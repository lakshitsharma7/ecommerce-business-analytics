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_Me" sheetId="1" state="visible" r:id="rId1"/>
    <sheet name="01_Raw_Data" sheetId="2" state="visible" r:id="rId2"/>
    <sheet name="02_Data_Cleaning" sheetId="3" state="visible" r:id="rId3"/>
    <sheet name="03_Customers" sheetId="4" state="visible" r:id="rId4"/>
    <sheet name="04_Products" sheetId="5" state="visible" r:id="rId5"/>
    <sheet name="05_Orders" sheetId="6" state="visible" r:id="rId6"/>
    <sheet name="06_Pivot_Analysis" sheetId="7" state="visible" r:id="rId7"/>
    <sheet name="07_KPI_Summary" sheetId="8" state="visible" r:id="rId8"/>
    <sheet name="08_Business_Insights" sheetId="9" state="visible" r:id="rId9"/>
    <sheet name="09_Warehouse_KPIs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0.0%"/>
    <numFmt numFmtId="167" formatCode="$#,##0"/>
  </numFmts>
  <fonts count="9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color rgb="000F172A"/>
      <sz val="10"/>
    </font>
    <font>
      <name val="Calibri"/>
      <b val="1"/>
      <color rgb="001E293B"/>
      <sz val="12"/>
    </font>
    <font>
      <name val="Calibri"/>
      <b val="1"/>
      <color rgb="0064748B"/>
      <sz val="9"/>
    </font>
    <font>
      <name val="Calibri"/>
      <b val="1"/>
      <color rgb="001E293B"/>
      <sz val="18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FFFBEB"/>
        <bgColor rgb="00FFFBEB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double">
        <color rgb="001E293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0" fontId="6" fillId="0" borderId="0" pivotButton="0" quotePrefix="0" xfId="0"/>
    <xf numFmtId="3" fontId="5" fillId="0" borderId="1" pivotButton="0" quotePrefix="0" xfId="0"/>
    <xf numFmtId="0" fontId="4" fillId="3" borderId="2" pivotButton="0" quotePrefix="0" xfId="0"/>
    <xf numFmtId="3" fontId="4" fillId="3" borderId="2" pivotButton="0" quotePrefix="0" xfId="0"/>
    <xf numFmtId="164" fontId="4" fillId="3" borderId="2" pivotButton="0" quotePrefix="0" xfId="0"/>
    <xf numFmtId="166" fontId="4" fillId="3" borderId="2" pivotButton="0" quotePrefix="0" xfId="0"/>
    <xf numFmtId="0" fontId="7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6" borderId="1" applyAlignment="1" pivotButton="0" quotePrefix="0" xfId="0">
      <alignment horizontal="center" vertical="center"/>
    </xf>
    <xf numFmtId="0" fontId="0" fillId="6" borderId="1" pivotButton="0" quotePrefix="0" xfId="0"/>
    <xf numFmtId="167" fontId="8" fillId="3" borderId="1" applyAlignment="1" pivotButton="0" quotePrefix="0" xfId="0">
      <alignment horizontal="center" vertical="center"/>
    </xf>
    <xf numFmtId="167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0" fontId="5" fillId="0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APEXCART RETAIL INC. — ANALYTICS WORKBOOK</t>
        </is>
      </c>
    </row>
    <row r="2">
      <c r="A2" s="2" t="inlineStr">
        <is>
          <t>Synthetic portfolio data. Read the scope notes before interpreting sample worksheets.</t>
        </is>
      </c>
    </row>
    <row r="4" ht="26" customHeight="1">
      <c r="A4" s="3" t="inlineStr">
        <is>
          <t>Worksheet</t>
        </is>
      </c>
      <c r="B4" s="3" t="inlineStr">
        <is>
          <t>Scope and interpretation</t>
        </is>
      </c>
    </row>
    <row r="5">
      <c r="A5" s="4" t="inlineStr">
        <is>
          <t>01_Raw_Data</t>
        </is>
      </c>
      <c r="B5" s="5" t="inlineStr">
        <is>
          <t>A sample of up to 1,500 raw order-detail rows joined to their raw order/customer fields.</t>
        </is>
      </c>
    </row>
    <row r="6">
      <c r="A6" s="4" t="inlineStr">
        <is>
          <t>02_Data_Cleaning</t>
        </is>
      </c>
      <c r="B6" s="5" t="inlineStr">
        <is>
          <t>Formula demonstrations over 500 sample rows; this is not the production cleaning pipeline.</t>
        </is>
      </c>
    </row>
    <row r="7">
      <c r="A7" s="4" t="inlineStr">
        <is>
          <t>03_Customers</t>
        </is>
      </c>
      <c r="B7" s="5" t="inlineStr">
        <is>
          <t>The first 1,000 cleaned customer records.</t>
        </is>
      </c>
    </row>
    <row r="8">
      <c r="A8" s="4" t="inlineStr">
        <is>
          <t>04_Products</t>
        </is>
      </c>
      <c r="B8" s="5" t="inlineStr">
        <is>
          <t>The cleaned 500-product catalog.</t>
        </is>
      </c>
    </row>
    <row r="9">
      <c r="A9" s="4" t="inlineStr">
        <is>
          <t>05_Orders</t>
        </is>
      </c>
      <c r="B9" s="5" t="inlineStr">
        <is>
          <t>The first 2,000 cleaned order-detail rows with workbook formulas.</t>
        </is>
      </c>
    </row>
    <row r="10">
      <c r="A10" s="4" t="inlineStr">
        <is>
          <t>06_Pivot_Analysis</t>
        </is>
      </c>
      <c r="B10" s="5" t="inlineStr">
        <is>
          <t>Formula analysis of the sample in 05_Orders, not full-warehouse totals.</t>
        </is>
      </c>
    </row>
    <row r="11">
      <c r="A11" s="4" t="inlineStr">
        <is>
          <t>07_KPI_Summary</t>
        </is>
      </c>
      <c r="B11" s="5" t="inlineStr">
        <is>
          <t>Formula examples only; official targets are not assumed.</t>
        </is>
      </c>
    </row>
    <row r="12">
      <c r="A12" s="4" t="inlineStr">
        <is>
          <t>08_Business_Insights</t>
        </is>
      </c>
      <c r="B12" s="5" t="inlineStr">
        <is>
          <t>Current full-warehouse findings, computed from the SQLite database.</t>
        </is>
      </c>
    </row>
    <row r="13">
      <c r="A13" s="4" t="inlineStr">
        <is>
          <t>09_Warehouse_KPIs</t>
        </is>
      </c>
      <c r="B13" s="5" t="inlineStr">
        <is>
          <t>Static SQL-calculated totals and record counts for the full current warehouse.</t>
        </is>
      </c>
    </row>
    <row r="16">
      <c r="A16" s="6" t="inlineStr">
        <is>
          <t>Cleaning pipeline</t>
        </is>
      </c>
      <c r="B16" s="7" t="inlineStr">
        <is>
          <t>scripts/clean_raw_datasets.py is the reproducible raw-to-clean pipeline. Unlike the illustrative formulas above, it rejects orders with missing customer keys and records transformations in data/cleaned/cleaning_audit.json.</t>
        </is>
      </c>
    </row>
    <row r="18">
      <c r="A18" s="6" t="inlineStr">
        <is>
          <t>Financial scope</t>
        </is>
      </c>
      <c r="B18" s="7" t="inlineStr">
        <is>
          <t>SQL line-item sales and profit include all stored order statuses, including cancelled orders. Refund-adjusted profit subtracts recorded refunds only; it is not operating profit or EBITDA. Formula cells are calculated by Excel when the workbook is opened.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4"/>
  <sheetViews>
    <sheetView showGridLines="1" workbookViewId="0">
      <selection activeCell="A1" sqref="A1"/>
    </sheetView>
  </sheetViews>
  <sheetFormatPr baseColWidth="8" defaultRowHeight="15"/>
  <cols>
    <col width="157" customWidth="1" min="1" max="1"/>
    <col width="18" customWidth="1" min="2" max="2"/>
    <col width="19" customWidth="1" min="3" max="3"/>
    <col width="24" customWidth="1" min="4" max="4"/>
    <col width="14" customWidth="1" min="5" max="5"/>
    <col width="16" customWidth="1" min="6" max="6"/>
    <col width="14" customWidth="1" min="7" max="7"/>
    <col width="16" customWidth="1" min="8" max="8"/>
    <col width="21" customWidth="1" min="9" max="9"/>
    <col width="21" customWidth="1" min="10" max="10"/>
    <col width="14" customWidth="1" min="11" max="11"/>
  </cols>
  <sheetData>
    <row r="1">
      <c r="A1" s="1" t="inlineStr">
        <is>
          <t>APEXCART RETAIL INC. — RAW TRANSACTION INGESTION FEED</t>
        </is>
      </c>
    </row>
    <row r="2">
      <c r="A2" s="2" t="inlineStr">
        <is>
          <t>Uncleaned source transactions containing real-world anomalies: date format variances, whitespace, negative quantities, text discount %, and missing keys.</t>
        </is>
      </c>
    </row>
    <row r="3"/>
    <row r="4" ht="26" customHeight="1">
      <c r="A4" s="3" t="inlineStr">
        <is>
          <t>Order_ID</t>
        </is>
      </c>
      <c r="B4" s="3" t="inlineStr">
        <is>
          <t>Order_Date_Raw</t>
        </is>
      </c>
      <c r="C4" s="3" t="inlineStr">
        <is>
          <t>Customer_ID_Raw</t>
        </is>
      </c>
      <c r="D4" s="3" t="inlineStr">
        <is>
          <t>Customer_Name_Raw</t>
        </is>
      </c>
      <c r="E4" s="3" t="inlineStr">
        <is>
          <t>Product_ID</t>
        </is>
      </c>
      <c r="F4" s="3" t="inlineStr">
        <is>
          <t>Quantity_Raw</t>
        </is>
      </c>
      <c r="G4" s="3" t="inlineStr">
        <is>
          <t>Unit_Price</t>
        </is>
      </c>
      <c r="H4" s="3" t="inlineStr">
        <is>
          <t>Discount_Raw</t>
        </is>
      </c>
      <c r="I4" s="3" t="inlineStr">
        <is>
          <t>Shipping_Mode_Raw</t>
        </is>
      </c>
      <c r="J4" s="3" t="inlineStr">
        <is>
          <t>Sales_Channel</t>
        </is>
      </c>
      <c r="K4" s="3" t="inlineStr">
        <is>
          <t>Region_Raw</t>
        </is>
      </c>
    </row>
    <row r="5">
      <c r="A5" s="8" t="inlineStr">
        <is>
          <t>ORD-000001</t>
        </is>
      </c>
      <c r="B5" s="8" t="inlineStr">
        <is>
          <t>2025-03-14</t>
        </is>
      </c>
      <c r="C5" s="8" t="inlineStr">
        <is>
          <t>CUST-03473</t>
        </is>
      </c>
      <c r="D5" s="8" t="inlineStr">
        <is>
          <t>Samuel Evans</t>
        </is>
      </c>
      <c r="E5" s="8" t="inlineStr">
        <is>
          <t>PRD-0308</t>
        </is>
      </c>
      <c r="F5" s="8" t="inlineStr">
        <is>
          <t>1</t>
        </is>
      </c>
      <c r="G5" s="9" t="n">
        <v>61.03</v>
      </c>
      <c r="H5" s="8" t="inlineStr">
        <is>
          <t>0.05</t>
        </is>
      </c>
      <c r="I5" s="8" t="inlineStr">
        <is>
          <t>Standard Ground</t>
        </is>
      </c>
      <c r="J5" s="8" t="inlineStr">
        <is>
          <t>Mobile App</t>
        </is>
      </c>
      <c r="K5" s="8" t="inlineStr">
        <is>
          <t>REG-LATAM</t>
        </is>
      </c>
    </row>
    <row r="6">
      <c r="A6" s="8" t="inlineStr">
        <is>
          <t>ORD-000002</t>
        </is>
      </c>
      <c r="B6" s="8" t="inlineStr">
        <is>
          <t>2023-09-25</t>
        </is>
      </c>
      <c r="C6" s="8" t="inlineStr">
        <is>
          <t>CUST-03511</t>
        </is>
      </c>
      <c r="D6" s="8" t="inlineStr">
        <is>
          <t>Karen Gray</t>
        </is>
      </c>
      <c r="E6" s="8" t="inlineStr">
        <is>
          <t>PRD-0203</t>
        </is>
      </c>
      <c r="F6" s="8" t="inlineStr">
        <is>
          <t>3</t>
        </is>
      </c>
      <c r="G6" s="9" t="n">
        <v>991.36</v>
      </c>
      <c r="H6" s="8" t="inlineStr">
        <is>
          <t>0.05</t>
        </is>
      </c>
      <c r="I6" s="8" t="inlineStr">
        <is>
          <t>Standard Ground</t>
        </is>
      </c>
      <c r="J6" s="8" t="inlineStr">
        <is>
          <t>Mobile App</t>
        </is>
      </c>
      <c r="K6" s="8" t="inlineStr">
        <is>
          <t>REG-APAC</t>
        </is>
      </c>
    </row>
    <row r="7">
      <c r="A7" s="8" t="inlineStr">
        <is>
          <t>ORD-000003</t>
        </is>
      </c>
      <c r="B7" s="8" t="inlineStr">
        <is>
          <t>2025-08-03</t>
        </is>
      </c>
      <c r="C7" s="8" t="inlineStr">
        <is>
          <t>CUST-00043</t>
        </is>
      </c>
      <c r="D7" s="8" t="inlineStr">
        <is>
          <t>Heather Hughes</t>
        </is>
      </c>
      <c r="E7" s="8" t="inlineStr">
        <is>
          <t>PRD-0360</t>
        </is>
      </c>
      <c r="F7" s="8" t="inlineStr">
        <is>
          <t>2</t>
        </is>
      </c>
      <c r="G7" s="9" t="n">
        <v>465.92</v>
      </c>
      <c r="H7" s="8" t="inlineStr">
        <is>
          <t>0.0</t>
        </is>
      </c>
      <c r="I7" s="8" t="inlineStr">
        <is>
          <t>Express Air</t>
        </is>
      </c>
      <c r="J7" s="8" t="inlineStr">
        <is>
          <t>B2B Portal</t>
        </is>
      </c>
      <c r="K7" s="8" t="inlineStr">
        <is>
          <t>REG-NA</t>
        </is>
      </c>
    </row>
    <row r="8">
      <c r="A8" s="8" t="inlineStr">
        <is>
          <t>ORD-000003</t>
        </is>
      </c>
      <c r="B8" s="8" t="inlineStr">
        <is>
          <t>2025-08-03</t>
        </is>
      </c>
      <c r="C8" s="8" t="inlineStr">
        <is>
          <t>CUST-00043</t>
        </is>
      </c>
      <c r="D8" s="8" t="inlineStr">
        <is>
          <t>Heather Hughes</t>
        </is>
      </c>
      <c r="E8" s="8" t="inlineStr">
        <is>
          <t>PRD-0429</t>
        </is>
      </c>
      <c r="F8" s="8" t="inlineStr">
        <is>
          <t>1</t>
        </is>
      </c>
      <c r="G8" s="9" t="n">
        <v>790.21</v>
      </c>
      <c r="H8" s="8" t="inlineStr">
        <is>
          <t>0.1</t>
        </is>
      </c>
      <c r="I8" s="8" t="inlineStr">
        <is>
          <t>Express Air</t>
        </is>
      </c>
      <c r="J8" s="8" t="inlineStr">
        <is>
          <t>B2B Portal</t>
        </is>
      </c>
      <c r="K8" s="8" t="inlineStr">
        <is>
          <t>REG-NA</t>
        </is>
      </c>
    </row>
    <row r="9">
      <c r="A9" s="8" t="inlineStr">
        <is>
          <t>ORD-000003</t>
        </is>
      </c>
      <c r="B9" s="8" t="inlineStr">
        <is>
          <t>2025-08-03</t>
        </is>
      </c>
      <c r="C9" s="8" t="inlineStr">
        <is>
          <t>CUST-00043</t>
        </is>
      </c>
      <c r="D9" s="8" t="inlineStr">
        <is>
          <t>Heather Hughes</t>
        </is>
      </c>
      <c r="E9" s="8" t="inlineStr">
        <is>
          <t>PRD-0166</t>
        </is>
      </c>
      <c r="F9" s="8" t="inlineStr">
        <is>
          <t>2</t>
        </is>
      </c>
      <c r="G9" s="9" t="n">
        <v>173.5</v>
      </c>
      <c r="H9" s="8" t="inlineStr">
        <is>
          <t>0.1</t>
        </is>
      </c>
      <c r="I9" s="8" t="inlineStr">
        <is>
          <t>Express Air</t>
        </is>
      </c>
      <c r="J9" s="8" t="inlineStr">
        <is>
          <t>B2B Portal</t>
        </is>
      </c>
      <c r="K9" s="8" t="inlineStr">
        <is>
          <t>REG-NA</t>
        </is>
      </c>
    </row>
    <row r="10">
      <c r="A10" s="8" t="inlineStr">
        <is>
          <t>ORD-000003</t>
        </is>
      </c>
      <c r="B10" s="8" t="inlineStr">
        <is>
          <t>2025-08-03</t>
        </is>
      </c>
      <c r="C10" s="8" t="inlineStr">
        <is>
          <t>CUST-00043</t>
        </is>
      </c>
      <c r="D10" s="8" t="inlineStr">
        <is>
          <t>Heather Hughes</t>
        </is>
      </c>
      <c r="E10" s="8" t="inlineStr">
        <is>
          <t>PRD-0317</t>
        </is>
      </c>
      <c r="F10" s="8" t="inlineStr">
        <is>
          <t>1</t>
        </is>
      </c>
      <c r="G10" s="9" t="n">
        <v>484.56</v>
      </c>
      <c r="H10" s="8" t="inlineStr">
        <is>
          <t>0.0</t>
        </is>
      </c>
      <c r="I10" s="8" t="inlineStr">
        <is>
          <t>Express Air</t>
        </is>
      </c>
      <c r="J10" s="8" t="inlineStr">
        <is>
          <t>B2B Portal</t>
        </is>
      </c>
      <c r="K10" s="8" t="inlineStr">
        <is>
          <t>REG-NA</t>
        </is>
      </c>
    </row>
    <row r="11">
      <c r="A11" s="8" t="inlineStr">
        <is>
          <t>ORD-000003</t>
        </is>
      </c>
      <c r="B11" s="8" t="inlineStr">
        <is>
          <t>2025-08-03</t>
        </is>
      </c>
      <c r="C11" s="8" t="inlineStr">
        <is>
          <t>CUST-00043</t>
        </is>
      </c>
      <c r="D11" s="8" t="inlineStr">
        <is>
          <t>Heather Hughes</t>
        </is>
      </c>
      <c r="E11" s="8" t="inlineStr">
        <is>
          <t>PRD-0249</t>
        </is>
      </c>
      <c r="F11" s="8" t="inlineStr">
        <is>
          <t>1</t>
        </is>
      </c>
      <c r="G11" s="9" t="n">
        <v>69.31999999999999</v>
      </c>
      <c r="H11" s="8" t="inlineStr">
        <is>
          <t>0.1</t>
        </is>
      </c>
      <c r="I11" s="8" t="inlineStr">
        <is>
          <t>Express Air</t>
        </is>
      </c>
      <c r="J11" s="8" t="inlineStr">
        <is>
          <t>B2B Portal</t>
        </is>
      </c>
      <c r="K11" s="8" t="inlineStr">
        <is>
          <t>REG-NA</t>
        </is>
      </c>
    </row>
    <row r="12">
      <c r="A12" s="8" t="inlineStr">
        <is>
          <t>ORD-000004</t>
        </is>
      </c>
      <c r="B12" s="8" t="inlineStr">
        <is>
          <t>2025-03-04</t>
        </is>
      </c>
      <c r="C12" s="8" t="inlineStr">
        <is>
          <t>CUST-03363</t>
        </is>
      </c>
      <c r="D12" s="8" t="inlineStr">
        <is>
          <t>Carolyn King</t>
        </is>
      </c>
      <c r="E12" s="8" t="inlineStr">
        <is>
          <t>PRD-0141</t>
        </is>
      </c>
      <c r="F12" s="8" t="inlineStr">
        <is>
          <t>3</t>
        </is>
      </c>
      <c r="G12" s="9" t="n">
        <v>53.7</v>
      </c>
      <c r="H12" s="8" t="inlineStr">
        <is>
          <t>0.0</t>
        </is>
      </c>
      <c r="I12" s="8" t="inlineStr">
        <is>
          <t>Standard Ground</t>
        </is>
      </c>
      <c r="J12" s="8" t="inlineStr">
        <is>
          <t>Direct Web</t>
        </is>
      </c>
      <c r="K12" s="8" t="inlineStr">
        <is>
          <t>REG-APAC</t>
        </is>
      </c>
    </row>
    <row r="13">
      <c r="A13" s="8" t="inlineStr">
        <is>
          <t>ORD-000004</t>
        </is>
      </c>
      <c r="B13" s="8" t="inlineStr">
        <is>
          <t>2025-03-04</t>
        </is>
      </c>
      <c r="C13" s="8" t="inlineStr">
        <is>
          <t>CUST-03363</t>
        </is>
      </c>
      <c r="D13" s="8" t="inlineStr">
        <is>
          <t>Carolyn King</t>
        </is>
      </c>
      <c r="E13" s="8" t="inlineStr">
        <is>
          <t>PRD-0388</t>
        </is>
      </c>
      <c r="F13" s="8" t="inlineStr">
        <is>
          <t>1</t>
        </is>
      </c>
      <c r="G13" s="9" t="n">
        <v>318.52</v>
      </c>
      <c r="H13" s="8" t="inlineStr">
        <is>
          <t>0.0</t>
        </is>
      </c>
      <c r="I13" s="8" t="inlineStr">
        <is>
          <t>Standard Ground</t>
        </is>
      </c>
      <c r="J13" s="8" t="inlineStr">
        <is>
          <t>Direct Web</t>
        </is>
      </c>
      <c r="K13" s="8" t="inlineStr">
        <is>
          <t>REG-APAC</t>
        </is>
      </c>
    </row>
    <row r="14">
      <c r="A14" s="8" t="inlineStr">
        <is>
          <t>ORD-000004</t>
        </is>
      </c>
      <c r="B14" s="8" t="inlineStr">
        <is>
          <t>2025-03-04</t>
        </is>
      </c>
      <c r="C14" s="8" t="inlineStr">
        <is>
          <t>CUST-03363</t>
        </is>
      </c>
      <c r="D14" s="8" t="inlineStr">
        <is>
          <t>Carolyn King</t>
        </is>
      </c>
      <c r="E14" s="8" t="inlineStr">
        <is>
          <t>PRD-0301</t>
        </is>
      </c>
      <c r="F14" s="8" t="inlineStr">
        <is>
          <t>1</t>
        </is>
      </c>
      <c r="G14" s="9" t="n">
        <v>528.29</v>
      </c>
      <c r="H14" s="8" t="inlineStr">
        <is>
          <t>0.15</t>
        </is>
      </c>
      <c r="I14" s="8" t="inlineStr">
        <is>
          <t>Standard Ground</t>
        </is>
      </c>
      <c r="J14" s="8" t="inlineStr">
        <is>
          <t>Direct Web</t>
        </is>
      </c>
      <c r="K14" s="8" t="inlineStr">
        <is>
          <t>REG-APAC</t>
        </is>
      </c>
    </row>
    <row r="15">
      <c r="A15" s="8" t="inlineStr">
        <is>
          <t>ORD-000004</t>
        </is>
      </c>
      <c r="B15" s="8" t="inlineStr">
        <is>
          <t>2025-03-04</t>
        </is>
      </c>
      <c r="C15" s="8" t="inlineStr">
        <is>
          <t>CUST-03363</t>
        </is>
      </c>
      <c r="D15" s="8" t="inlineStr">
        <is>
          <t>Carolyn King</t>
        </is>
      </c>
      <c r="E15" s="8" t="inlineStr">
        <is>
          <t>PRD-0399</t>
        </is>
      </c>
      <c r="F15" s="8" t="inlineStr">
        <is>
          <t>2</t>
        </is>
      </c>
      <c r="G15" s="9" t="n">
        <v>933.08</v>
      </c>
      <c r="H15" s="8" t="inlineStr">
        <is>
          <t>0.05</t>
        </is>
      </c>
      <c r="I15" s="8" t="inlineStr">
        <is>
          <t>Standard Ground</t>
        </is>
      </c>
      <c r="J15" s="8" t="inlineStr">
        <is>
          <t>Direct Web</t>
        </is>
      </c>
      <c r="K15" s="8" t="inlineStr">
        <is>
          <t>REG-APAC</t>
        </is>
      </c>
    </row>
    <row r="16">
      <c r="A16" s="8" t="inlineStr">
        <is>
          <t>ORD-000005</t>
        </is>
      </c>
      <c r="B16" s="8" t="inlineStr">
        <is>
          <t>2023-09-26</t>
        </is>
      </c>
      <c r="C16" s="8" t="inlineStr">
        <is>
          <t>CUST-01966</t>
        </is>
      </c>
      <c r="D16" s="8" t="inlineStr">
        <is>
          <t>Helen Bennett</t>
        </is>
      </c>
      <c r="E16" s="8" t="inlineStr">
        <is>
          <t>PRD-0248</t>
        </is>
      </c>
      <c r="F16" s="8" t="inlineStr">
        <is>
          <t>2</t>
        </is>
      </c>
      <c r="G16" s="9" t="n">
        <v>603.58</v>
      </c>
      <c r="H16" s="8" t="inlineStr">
        <is>
          <t>0.05</t>
        </is>
      </c>
      <c r="I16" s="8" t="inlineStr">
        <is>
          <t>Standard Ground</t>
        </is>
      </c>
      <c r="J16" s="8" t="inlineStr">
        <is>
          <t>Direct Web</t>
        </is>
      </c>
      <c r="K16" s="8" t="inlineStr">
        <is>
          <t>REG-NA</t>
        </is>
      </c>
    </row>
    <row r="17">
      <c r="A17" s="8" t="inlineStr">
        <is>
          <t>ORD-000005</t>
        </is>
      </c>
      <c r="B17" s="8" t="inlineStr">
        <is>
          <t>2023-09-26</t>
        </is>
      </c>
      <c r="C17" s="8" t="inlineStr">
        <is>
          <t>CUST-01966</t>
        </is>
      </c>
      <c r="D17" s="8" t="inlineStr">
        <is>
          <t>Helen Bennett</t>
        </is>
      </c>
      <c r="E17" s="8" t="inlineStr">
        <is>
          <t>PRD-0215</t>
        </is>
      </c>
      <c r="F17" s="8" t="inlineStr">
        <is>
          <t>1</t>
        </is>
      </c>
      <c r="G17" s="9" t="n">
        <v>1006.33</v>
      </c>
      <c r="H17" s="8" t="inlineStr">
        <is>
          <t>0.2</t>
        </is>
      </c>
      <c r="I17" s="8" t="inlineStr">
        <is>
          <t>Standard Ground</t>
        </is>
      </c>
      <c r="J17" s="8" t="inlineStr">
        <is>
          <t>Direct Web</t>
        </is>
      </c>
      <c r="K17" s="8" t="inlineStr">
        <is>
          <t>REG-NA</t>
        </is>
      </c>
    </row>
    <row r="18">
      <c r="A18" s="8" t="inlineStr">
        <is>
          <t>ORD-000006</t>
        </is>
      </c>
      <c r="B18" s="8" t="inlineStr">
        <is>
          <t>2023-01-19</t>
        </is>
      </c>
      <c r="C18" s="8" t="inlineStr">
        <is>
          <t>CUST-07581</t>
        </is>
      </c>
      <c r="D18" s="8" t="inlineStr">
        <is>
          <t>Andrew Ramirez</t>
        </is>
      </c>
      <c r="E18" s="8" t="inlineStr">
        <is>
          <t>PRD-0019</t>
        </is>
      </c>
      <c r="F18" s="8" t="inlineStr">
        <is>
          <t>1</t>
        </is>
      </c>
      <c r="G18" s="9" t="n">
        <v>444.46</v>
      </c>
      <c r="H18" s="8" t="inlineStr">
        <is>
          <t>0.15</t>
        </is>
      </c>
      <c r="I18" s="8" t="inlineStr">
        <is>
          <t>Express Air</t>
        </is>
      </c>
      <c r="J18" s="8" t="inlineStr">
        <is>
          <t>Direct Web</t>
        </is>
      </c>
      <c r="K18" s="8" t="inlineStr">
        <is>
          <t>REG-NA</t>
        </is>
      </c>
    </row>
    <row r="19">
      <c r="A19" s="8" t="inlineStr">
        <is>
          <t>ORD-000006</t>
        </is>
      </c>
      <c r="B19" s="8" t="inlineStr">
        <is>
          <t>2023-01-19</t>
        </is>
      </c>
      <c r="C19" s="8" t="inlineStr">
        <is>
          <t>CUST-07581</t>
        </is>
      </c>
      <c r="D19" s="8" t="inlineStr">
        <is>
          <t>Andrew Ramirez</t>
        </is>
      </c>
      <c r="E19" s="8" t="inlineStr">
        <is>
          <t>PRD-0359</t>
        </is>
      </c>
      <c r="F19" s="8" t="inlineStr">
        <is>
          <t>1</t>
        </is>
      </c>
      <c r="G19" s="9" t="n">
        <v>1075.75</v>
      </c>
      <c r="H19" s="8" t="inlineStr">
        <is>
          <t>0.0</t>
        </is>
      </c>
      <c r="I19" s="8" t="inlineStr">
        <is>
          <t>Express Air</t>
        </is>
      </c>
      <c r="J19" s="8" t="inlineStr">
        <is>
          <t>Direct Web</t>
        </is>
      </c>
      <c r="K19" s="8" t="inlineStr">
        <is>
          <t>REG-NA</t>
        </is>
      </c>
    </row>
    <row r="20">
      <c r="A20" s="8" t="inlineStr">
        <is>
          <t>ORD-000006</t>
        </is>
      </c>
      <c r="B20" s="8" t="inlineStr">
        <is>
          <t>2023-01-19</t>
        </is>
      </c>
      <c r="C20" s="8" t="inlineStr">
        <is>
          <t>CUST-07581</t>
        </is>
      </c>
      <c r="D20" s="8" t="inlineStr">
        <is>
          <t>Andrew Ramirez</t>
        </is>
      </c>
      <c r="E20" s="8" t="inlineStr">
        <is>
          <t>PRD-0385</t>
        </is>
      </c>
      <c r="F20" s="8" t="inlineStr">
        <is>
          <t>1</t>
        </is>
      </c>
      <c r="G20" s="9" t="n">
        <v>209.78</v>
      </c>
      <c r="H20" s="8" t="inlineStr">
        <is>
          <t>0.0</t>
        </is>
      </c>
      <c r="I20" s="8" t="inlineStr">
        <is>
          <t>Express Air</t>
        </is>
      </c>
      <c r="J20" s="8" t="inlineStr">
        <is>
          <t>Direct Web</t>
        </is>
      </c>
      <c r="K20" s="8" t="inlineStr">
        <is>
          <t>REG-NA</t>
        </is>
      </c>
    </row>
    <row r="21">
      <c r="A21" s="8" t="inlineStr">
        <is>
          <t>ORD-000006</t>
        </is>
      </c>
      <c r="B21" s="8" t="inlineStr">
        <is>
          <t>2023-01-19</t>
        </is>
      </c>
      <c r="C21" s="8" t="inlineStr">
        <is>
          <t>CUST-07581</t>
        </is>
      </c>
      <c r="D21" s="8" t="inlineStr">
        <is>
          <t>Andrew Ramirez</t>
        </is>
      </c>
      <c r="E21" s="8" t="inlineStr">
        <is>
          <t>PRD-0208</t>
        </is>
      </c>
      <c r="F21" s="8" t="inlineStr">
        <is>
          <t>1</t>
        </is>
      </c>
      <c r="G21" s="9" t="n">
        <v>47.15</v>
      </c>
      <c r="H21" s="8" t="inlineStr">
        <is>
          <t>0.0</t>
        </is>
      </c>
      <c r="I21" s="8" t="inlineStr">
        <is>
          <t>Express Air</t>
        </is>
      </c>
      <c r="J21" s="8" t="inlineStr">
        <is>
          <t>Direct Web</t>
        </is>
      </c>
      <c r="K21" s="8" t="inlineStr">
        <is>
          <t>REG-NA</t>
        </is>
      </c>
    </row>
    <row r="22">
      <c r="A22" s="8" t="inlineStr">
        <is>
          <t>ORD-000007</t>
        </is>
      </c>
      <c r="B22" s="8" t="inlineStr">
        <is>
          <t>2024-03-09</t>
        </is>
      </c>
      <c r="C22" s="8" t="inlineStr">
        <is>
          <t>CUST-00360</t>
        </is>
      </c>
      <c r="D22" s="8" t="inlineStr">
        <is>
          <t>Brian Thompson</t>
        </is>
      </c>
      <c r="E22" s="8" t="inlineStr">
        <is>
          <t>PRD-0222</t>
        </is>
      </c>
      <c r="F22" s="8" t="inlineStr">
        <is>
          <t>8</t>
        </is>
      </c>
      <c r="G22" s="9" t="n">
        <v>748.03</v>
      </c>
      <c r="H22" s="8" t="inlineStr">
        <is>
          <t>0.0</t>
        </is>
      </c>
      <c r="I22" s="8" t="inlineStr">
        <is>
          <t>Standard Ground</t>
        </is>
      </c>
      <c r="J22" s="8" t="inlineStr">
        <is>
          <t>Direct Web</t>
        </is>
      </c>
      <c r="K22" s="8" t="inlineStr">
        <is>
          <t>REG-APAC</t>
        </is>
      </c>
    </row>
    <row r="23">
      <c r="A23" s="8" t="inlineStr">
        <is>
          <t>ORD-000008</t>
        </is>
      </c>
      <c r="B23" s="8" t="inlineStr">
        <is>
          <t>2025-11-23</t>
        </is>
      </c>
      <c r="C23" s="8" t="inlineStr">
        <is>
          <t>CUST-05897</t>
        </is>
      </c>
      <c r="D23" s="8" t="inlineStr">
        <is>
          <t>Melissa Campbell</t>
        </is>
      </c>
      <c r="E23" s="8" t="inlineStr">
        <is>
          <t>PRD-0141</t>
        </is>
      </c>
      <c r="F23" s="8" t="inlineStr">
        <is>
          <t>1</t>
        </is>
      </c>
      <c r="G23" s="9" t="n">
        <v>53.7</v>
      </c>
      <c r="H23" s="8" t="inlineStr">
        <is>
          <t>0.0</t>
        </is>
      </c>
      <c r="I23" s="8" t="inlineStr">
        <is>
          <t>Express Air</t>
        </is>
      </c>
      <c r="J23" s="8" t="inlineStr">
        <is>
          <t>Direct Web</t>
        </is>
      </c>
      <c r="K23" s="8" t="inlineStr">
        <is>
          <t>REG-APAC</t>
        </is>
      </c>
    </row>
    <row r="24">
      <c r="A24" s="8" t="inlineStr">
        <is>
          <t>ORD-000008</t>
        </is>
      </c>
      <c r="B24" s="8" t="inlineStr">
        <is>
          <t>2025-11-23</t>
        </is>
      </c>
      <c r="C24" s="8" t="inlineStr">
        <is>
          <t>CUST-05897</t>
        </is>
      </c>
      <c r="D24" s="8" t="inlineStr">
        <is>
          <t>Melissa Campbell</t>
        </is>
      </c>
      <c r="E24" s="8" t="inlineStr">
        <is>
          <t>PRD-0143</t>
        </is>
      </c>
      <c r="F24" s="8" t="inlineStr">
        <is>
          <t>3</t>
        </is>
      </c>
      <c r="G24" s="9" t="n">
        <v>359.58</v>
      </c>
      <c r="H24" s="8" t="inlineStr">
        <is>
          <t>0.0</t>
        </is>
      </c>
      <c r="I24" s="8" t="inlineStr">
        <is>
          <t>Express Air</t>
        </is>
      </c>
      <c r="J24" s="8" t="inlineStr">
        <is>
          <t>Direct Web</t>
        </is>
      </c>
      <c r="K24" s="8" t="inlineStr">
        <is>
          <t>REG-APAC</t>
        </is>
      </c>
    </row>
    <row r="25">
      <c r="A25" s="8" t="inlineStr">
        <is>
          <t>ORD-000008</t>
        </is>
      </c>
      <c r="B25" s="8" t="inlineStr">
        <is>
          <t>2025-11-23</t>
        </is>
      </c>
      <c r="C25" s="8" t="inlineStr">
        <is>
          <t>CUST-05897</t>
        </is>
      </c>
      <c r="D25" s="8" t="inlineStr">
        <is>
          <t>Melissa Campbell</t>
        </is>
      </c>
      <c r="E25" s="8" t="inlineStr">
        <is>
          <t>PRD-0281</t>
        </is>
      </c>
      <c r="F25" s="8" t="inlineStr">
        <is>
          <t>1</t>
        </is>
      </c>
      <c r="G25" s="9" t="n">
        <v>19.01</v>
      </c>
      <c r="H25" s="8" t="inlineStr">
        <is>
          <t>0.15</t>
        </is>
      </c>
      <c r="I25" s="8" t="inlineStr">
        <is>
          <t>Express Air</t>
        </is>
      </c>
      <c r="J25" s="8" t="inlineStr">
        <is>
          <t>Direct Web</t>
        </is>
      </c>
      <c r="K25" s="8" t="inlineStr">
        <is>
          <t>REG-APAC</t>
        </is>
      </c>
    </row>
    <row r="26">
      <c r="A26" s="8" t="inlineStr">
        <is>
          <t>ORD-000009</t>
        </is>
      </c>
      <c r="B26" s="8" t="inlineStr">
        <is>
          <t>12/20/2024</t>
        </is>
      </c>
      <c r="C26" s="8" t="inlineStr">
        <is>
          <t>CUST-05907</t>
        </is>
      </c>
      <c r="D26" s="8" t="inlineStr">
        <is>
          <t>Cynthia Reyes</t>
        </is>
      </c>
      <c r="E26" s="8" t="inlineStr">
        <is>
          <t>PRD-0236</t>
        </is>
      </c>
      <c r="F26" s="8" t="inlineStr">
        <is>
          <t>2</t>
        </is>
      </c>
      <c r="G26" s="9" t="n">
        <v>128.74</v>
      </c>
      <c r="H26" s="8" t="inlineStr">
        <is>
          <t>0.0</t>
        </is>
      </c>
      <c r="I26" s="8" t="inlineStr">
        <is>
          <t>Standard Ground</t>
        </is>
      </c>
      <c r="J26" s="8" t="inlineStr">
        <is>
          <t>Mobile App</t>
        </is>
      </c>
      <c r="K26" s="8" t="inlineStr">
        <is>
          <t>REG-EU</t>
        </is>
      </c>
    </row>
    <row r="27">
      <c r="A27" s="8" t="inlineStr">
        <is>
          <t>ORD-000010</t>
        </is>
      </c>
      <c r="B27" s="8" t="inlineStr">
        <is>
          <t>2024-01-17</t>
        </is>
      </c>
      <c r="C27" s="8" t="inlineStr">
        <is>
          <t>CUST-00188</t>
        </is>
      </c>
      <c r="D27" s="8" t="inlineStr">
        <is>
          <t>Carolyn Harris</t>
        </is>
      </c>
      <c r="E27" s="8" t="inlineStr">
        <is>
          <t>PRD-0035</t>
        </is>
      </c>
      <c r="F27" s="8" t="inlineStr">
        <is>
          <t>1</t>
        </is>
      </c>
      <c r="G27" s="9" t="n">
        <v>584.6799999999999</v>
      </c>
      <c r="H27" s="8" t="inlineStr">
        <is>
          <t>0.2</t>
        </is>
      </c>
      <c r="I27" s="8" t="inlineStr">
        <is>
          <t>Express Air</t>
        </is>
      </c>
      <c r="J27" s="8" t="inlineStr">
        <is>
          <t>Direct Web</t>
        </is>
      </c>
      <c r="K27" s="8" t="inlineStr">
        <is>
          <t>REG-LATAM</t>
        </is>
      </c>
    </row>
    <row r="28">
      <c r="A28" s="8" t="inlineStr">
        <is>
          <t>ORD-000011</t>
        </is>
      </c>
      <c r="B28" s="8" t="inlineStr">
        <is>
          <t>2025-07-28</t>
        </is>
      </c>
      <c r="C28" s="8" t="inlineStr">
        <is>
          <t>CUST-00289</t>
        </is>
      </c>
      <c r="D28" s="8" t="inlineStr">
        <is>
          <t>Gregory Bailey</t>
        </is>
      </c>
      <c r="E28" s="8" t="inlineStr">
        <is>
          <t>PRD-0226</t>
        </is>
      </c>
      <c r="F28" s="8" t="inlineStr">
        <is>
          <t>2</t>
        </is>
      </c>
      <c r="G28" s="9" t="n">
        <v>849.36</v>
      </c>
      <c r="H28" s="8" t="inlineStr">
        <is>
          <t>0.15</t>
        </is>
      </c>
      <c r="I28" s="8" t="inlineStr">
        <is>
          <t>Express Air</t>
        </is>
      </c>
      <c r="J28" s="8" t="inlineStr">
        <is>
          <t>Affiliate Partner</t>
        </is>
      </c>
      <c r="K28" s="8" t="inlineStr">
        <is>
          <t>REG-LATAM</t>
        </is>
      </c>
    </row>
    <row r="29">
      <c r="A29" s="8" t="inlineStr">
        <is>
          <t>ORD-000011</t>
        </is>
      </c>
      <c r="B29" s="8" t="inlineStr">
        <is>
          <t>2025-07-28</t>
        </is>
      </c>
      <c r="C29" s="8" t="inlineStr">
        <is>
          <t>CUST-00289</t>
        </is>
      </c>
      <c r="D29" s="8" t="inlineStr">
        <is>
          <t>Gregory Bailey</t>
        </is>
      </c>
      <c r="E29" s="8" t="inlineStr">
        <is>
          <t>PRD-0256</t>
        </is>
      </c>
      <c r="F29" s="8" t="inlineStr">
        <is>
          <t>1</t>
        </is>
      </c>
      <c r="G29" s="9" t="n">
        <v>235.18</v>
      </c>
      <c r="H29" s="8" t="inlineStr">
        <is>
          <t>0.0</t>
        </is>
      </c>
      <c r="I29" s="8" t="inlineStr">
        <is>
          <t>Express Air</t>
        </is>
      </c>
      <c r="J29" s="8" t="inlineStr">
        <is>
          <t>Affiliate Partner</t>
        </is>
      </c>
      <c r="K29" s="8" t="inlineStr">
        <is>
          <t>REG-LATAM</t>
        </is>
      </c>
    </row>
    <row r="30">
      <c r="A30" s="8" t="inlineStr">
        <is>
          <t>ORD-000011</t>
        </is>
      </c>
      <c r="B30" s="8" t="inlineStr">
        <is>
          <t>2025-07-28</t>
        </is>
      </c>
      <c r="C30" s="8" t="inlineStr">
        <is>
          <t>CUST-00289</t>
        </is>
      </c>
      <c r="D30" s="8" t="inlineStr">
        <is>
          <t>Gregory Bailey</t>
        </is>
      </c>
      <c r="E30" s="8" t="inlineStr">
        <is>
          <t>PRD-0257</t>
        </is>
      </c>
      <c r="F30" s="8" t="inlineStr">
        <is>
          <t>2</t>
        </is>
      </c>
      <c r="G30" s="9" t="n">
        <v>31.28</v>
      </c>
      <c r="H30" s="8" t="inlineStr">
        <is>
          <t>0.05</t>
        </is>
      </c>
      <c r="I30" s="8" t="inlineStr">
        <is>
          <t>Express Air</t>
        </is>
      </c>
      <c r="J30" s="8" t="inlineStr">
        <is>
          <t>Affiliate Partner</t>
        </is>
      </c>
      <c r="K30" s="8" t="inlineStr">
        <is>
          <t>REG-LATAM</t>
        </is>
      </c>
    </row>
    <row r="31">
      <c r="A31" s="8" t="inlineStr">
        <is>
          <t>ORD-000012</t>
        </is>
      </c>
      <c r="B31" s="8" t="inlineStr">
        <is>
          <t>2025-05-31</t>
        </is>
      </c>
      <c r="C31" s="8" t="inlineStr">
        <is>
          <t>CUST-06135</t>
        </is>
      </c>
      <c r="D31" s="8" t="inlineStr">
        <is>
          <t>Nicholas Long</t>
        </is>
      </c>
      <c r="E31" s="8" t="inlineStr">
        <is>
          <t>PRD-0225</t>
        </is>
      </c>
      <c r="F31" s="8" t="inlineStr">
        <is>
          <t>1</t>
        </is>
      </c>
      <c r="G31" s="9" t="n">
        <v>266.58</v>
      </c>
      <c r="H31" s="8" t="inlineStr">
        <is>
          <t>0.3</t>
        </is>
      </c>
      <c r="I31" s="8" t="inlineStr">
        <is>
          <t>Express Air</t>
        </is>
      </c>
      <c r="J31" s="8" t="inlineStr">
        <is>
          <t>Affiliate Partner</t>
        </is>
      </c>
      <c r="K31" s="8" t="inlineStr">
        <is>
          <t>REG-EU</t>
        </is>
      </c>
    </row>
    <row r="32">
      <c r="A32" s="8" t="inlineStr">
        <is>
          <t>ORD-000013</t>
        </is>
      </c>
      <c r="B32" s="8" t="inlineStr">
        <is>
          <t>2023-08-10</t>
        </is>
      </c>
      <c r="C32" s="8" t="inlineStr">
        <is>
          <t>CUST-03549</t>
        </is>
      </c>
      <c r="D32" s="8" t="inlineStr">
        <is>
          <t>Stephen Gray</t>
        </is>
      </c>
      <c r="E32" s="8" t="inlineStr">
        <is>
          <t>PRD-0210</t>
        </is>
      </c>
      <c r="F32" s="8" t="inlineStr">
        <is>
          <t>1</t>
        </is>
      </c>
      <c r="G32" s="9" t="n">
        <v>920.55</v>
      </c>
      <c r="H32" s="8" t="inlineStr">
        <is>
          <t>0.1</t>
        </is>
      </c>
      <c r="I32" s="8" t="inlineStr">
        <is>
          <t>Standard Ground</t>
        </is>
      </c>
      <c r="J32" s="8" t="inlineStr">
        <is>
          <t>Direct Web</t>
        </is>
      </c>
      <c r="K32" s="8" t="inlineStr">
        <is>
          <t>REG-APAC</t>
        </is>
      </c>
    </row>
    <row r="33">
      <c r="A33" s="8" t="inlineStr">
        <is>
          <t>ORD-000013</t>
        </is>
      </c>
      <c r="B33" s="8" t="inlineStr">
        <is>
          <t>2023-08-10</t>
        </is>
      </c>
      <c r="C33" s="8" t="inlineStr">
        <is>
          <t>CUST-03549</t>
        </is>
      </c>
      <c r="D33" s="8" t="inlineStr">
        <is>
          <t>Stephen Gray</t>
        </is>
      </c>
      <c r="E33" s="8" t="inlineStr">
        <is>
          <t>PRD-0374</t>
        </is>
      </c>
      <c r="F33" s="8" t="inlineStr">
        <is>
          <t>3</t>
        </is>
      </c>
      <c r="G33" s="9" t="n">
        <v>549.09</v>
      </c>
      <c r="H33" s="8" t="inlineStr">
        <is>
          <t>0.0</t>
        </is>
      </c>
      <c r="I33" s="8" t="inlineStr">
        <is>
          <t>Standard Ground</t>
        </is>
      </c>
      <c r="J33" s="8" t="inlineStr">
        <is>
          <t>Direct Web</t>
        </is>
      </c>
      <c r="K33" s="8" t="inlineStr">
        <is>
          <t>REG-APAC</t>
        </is>
      </c>
    </row>
    <row r="34">
      <c r="A34" s="8" t="inlineStr">
        <is>
          <t>ORD-000013</t>
        </is>
      </c>
      <c r="B34" s="8" t="inlineStr">
        <is>
          <t>2023-08-10</t>
        </is>
      </c>
      <c r="C34" s="8" t="inlineStr">
        <is>
          <t>CUST-03549</t>
        </is>
      </c>
      <c r="D34" s="8" t="inlineStr">
        <is>
          <t>Stephen Gray</t>
        </is>
      </c>
      <c r="E34" s="8" t="inlineStr">
        <is>
          <t>PRD-0361</t>
        </is>
      </c>
      <c r="F34" s="8" t="inlineStr">
        <is>
          <t>1</t>
        </is>
      </c>
      <c r="G34" s="9" t="n">
        <v>13.14</v>
      </c>
      <c r="H34" s="8" t="inlineStr">
        <is>
          <t>0.0</t>
        </is>
      </c>
      <c r="I34" s="8" t="inlineStr">
        <is>
          <t>Standard Ground</t>
        </is>
      </c>
      <c r="J34" s="8" t="inlineStr">
        <is>
          <t>Direct Web</t>
        </is>
      </c>
      <c r="K34" s="8" t="inlineStr">
        <is>
          <t>REG-APAC</t>
        </is>
      </c>
    </row>
    <row r="35">
      <c r="A35" s="8" t="inlineStr">
        <is>
          <t>ORD-000013</t>
        </is>
      </c>
      <c r="B35" s="8" t="inlineStr">
        <is>
          <t>2023-08-10</t>
        </is>
      </c>
      <c r="C35" s="8" t="inlineStr">
        <is>
          <t>CUST-03549</t>
        </is>
      </c>
      <c r="D35" s="8" t="inlineStr">
        <is>
          <t>Stephen Gray</t>
        </is>
      </c>
      <c r="E35" s="8" t="inlineStr">
        <is>
          <t>PRD-0415</t>
        </is>
      </c>
      <c r="F35" s="8" t="inlineStr">
        <is>
          <t>1</t>
        </is>
      </c>
      <c r="G35" s="9" t="n">
        <v>934.21</v>
      </c>
      <c r="H35" s="8" t="inlineStr">
        <is>
          <t>0.0</t>
        </is>
      </c>
      <c r="I35" s="8" t="inlineStr">
        <is>
          <t>Standard Ground</t>
        </is>
      </c>
      <c r="J35" s="8" t="inlineStr">
        <is>
          <t>Direct Web</t>
        </is>
      </c>
      <c r="K35" s="8" t="inlineStr">
        <is>
          <t>REG-APAC</t>
        </is>
      </c>
    </row>
    <row r="36">
      <c r="A36" s="8" t="inlineStr">
        <is>
          <t>ORD-000014</t>
        </is>
      </c>
      <c r="B36" s="8" t="inlineStr">
        <is>
          <t>2025-04-25</t>
        </is>
      </c>
      <c r="C36" s="8" t="inlineStr"/>
      <c r="D36" s="8" t="inlineStr"/>
      <c r="E36" s="8" t="inlineStr">
        <is>
          <t>PRD-0215</t>
        </is>
      </c>
      <c r="F36" s="8" t="inlineStr">
        <is>
          <t>1</t>
        </is>
      </c>
      <c r="G36" s="9" t="n">
        <v>1006.33</v>
      </c>
      <c r="H36" s="8" t="inlineStr">
        <is>
          <t>0.0</t>
        </is>
      </c>
      <c r="I36" s="8" t="inlineStr">
        <is>
          <t>Standard Ground</t>
        </is>
      </c>
      <c r="J36" s="8" t="inlineStr">
        <is>
          <t>Direct Web</t>
        </is>
      </c>
      <c r="K36" s="8" t="inlineStr"/>
    </row>
    <row r="37">
      <c r="A37" s="8" t="inlineStr">
        <is>
          <t>ORD-000015</t>
        </is>
      </c>
      <c r="B37" s="8" t="inlineStr">
        <is>
          <t>2024-09-16</t>
        </is>
      </c>
      <c r="C37" s="8" t="inlineStr">
        <is>
          <t>CUST-05715</t>
        </is>
      </c>
      <c r="D37" s="8" t="inlineStr">
        <is>
          <t>Jerry Kim</t>
        </is>
      </c>
      <c r="E37" s="8" t="inlineStr">
        <is>
          <t>PRD-0108</t>
        </is>
      </c>
      <c r="F37" s="8" t="inlineStr">
        <is>
          <t>1</t>
        </is>
      </c>
      <c r="G37" s="9" t="n">
        <v>217.9</v>
      </c>
      <c r="H37" s="8" t="inlineStr">
        <is>
          <t>0.1</t>
        </is>
      </c>
      <c r="I37" s="8" t="inlineStr">
        <is>
          <t>Freight</t>
        </is>
      </c>
      <c r="J37" s="8" t="inlineStr">
        <is>
          <t>Direct Web</t>
        </is>
      </c>
      <c r="K37" s="8" t="inlineStr">
        <is>
          <t>REG-NA</t>
        </is>
      </c>
    </row>
    <row r="38">
      <c r="A38" s="8" t="inlineStr">
        <is>
          <t>ORD-000015</t>
        </is>
      </c>
      <c r="B38" s="8" t="inlineStr">
        <is>
          <t>2024-09-16</t>
        </is>
      </c>
      <c r="C38" s="8" t="inlineStr">
        <is>
          <t>CUST-05715</t>
        </is>
      </c>
      <c r="D38" s="8" t="inlineStr">
        <is>
          <t>Jerry Kim</t>
        </is>
      </c>
      <c r="E38" s="8" t="inlineStr">
        <is>
          <t>PRD-0191</t>
        </is>
      </c>
      <c r="F38" s="8" t="inlineStr">
        <is>
          <t>1</t>
        </is>
      </c>
      <c r="G38" s="9" t="n">
        <v>45.09</v>
      </c>
      <c r="H38" s="8" t="inlineStr">
        <is>
          <t>0.0</t>
        </is>
      </c>
      <c r="I38" s="8" t="inlineStr">
        <is>
          <t>Freight</t>
        </is>
      </c>
      <c r="J38" s="8" t="inlineStr">
        <is>
          <t>Direct Web</t>
        </is>
      </c>
      <c r="K38" s="8" t="inlineStr">
        <is>
          <t>REG-NA</t>
        </is>
      </c>
    </row>
    <row r="39">
      <c r="A39" s="8" t="inlineStr">
        <is>
          <t>ORD-000016</t>
        </is>
      </c>
      <c r="B39" s="8" t="inlineStr">
        <is>
          <t>2023-08-12</t>
        </is>
      </c>
      <c r="C39" s="8" t="inlineStr">
        <is>
          <t>CUST-03436</t>
        </is>
      </c>
      <c r="D39" s="8" t="inlineStr">
        <is>
          <t>Betty Sanders</t>
        </is>
      </c>
      <c r="E39" s="8" t="inlineStr">
        <is>
          <t>PRD-0026</t>
        </is>
      </c>
      <c r="F39" s="8" t="inlineStr">
        <is>
          <t>1</t>
        </is>
      </c>
      <c r="G39" s="9" t="n">
        <v>469.49</v>
      </c>
      <c r="H39" s="8" t="inlineStr">
        <is>
          <t>0.0</t>
        </is>
      </c>
      <c r="I39" s="8" t="inlineStr">
        <is>
          <t>Standard Ground</t>
        </is>
      </c>
      <c r="J39" s="8" t="inlineStr">
        <is>
          <t>Direct Web</t>
        </is>
      </c>
      <c r="K39" s="8" t="inlineStr">
        <is>
          <t>REG-EU</t>
        </is>
      </c>
    </row>
    <row r="40">
      <c r="A40" s="8" t="inlineStr">
        <is>
          <t>ORD-000017</t>
        </is>
      </c>
      <c r="B40" s="8" t="inlineStr">
        <is>
          <t>2025-02-19</t>
        </is>
      </c>
      <c r="C40" s="8" t="inlineStr">
        <is>
          <t>CUST-05569</t>
        </is>
      </c>
      <c r="D40" s="8" t="inlineStr">
        <is>
          <t>Benjamin Morris</t>
        </is>
      </c>
      <c r="E40" s="8" t="inlineStr">
        <is>
          <t>PRD-0094</t>
        </is>
      </c>
      <c r="F40" s="8" t="inlineStr">
        <is>
          <t>1</t>
        </is>
      </c>
      <c r="G40" s="9" t="n">
        <v>282.3</v>
      </c>
      <c r="H40" s="8" t="inlineStr">
        <is>
          <t>0.1</t>
        </is>
      </c>
      <c r="I40" s="8" t="inlineStr">
        <is>
          <t>Same-Day Priority</t>
        </is>
      </c>
      <c r="J40" s="8" t="inlineStr">
        <is>
          <t>Mobile App</t>
        </is>
      </c>
      <c r="K40" s="8" t="inlineStr">
        <is>
          <t>REG-NA</t>
        </is>
      </c>
    </row>
    <row r="41">
      <c r="A41" s="8" t="inlineStr">
        <is>
          <t>ORD-000018</t>
        </is>
      </c>
      <c r="B41" s="8" t="inlineStr">
        <is>
          <t>2023-11-05</t>
        </is>
      </c>
      <c r="C41" s="8" t="inlineStr">
        <is>
          <t>CUST-01039</t>
        </is>
      </c>
      <c r="D41" s="8" t="inlineStr">
        <is>
          <t>Sarah Lewis</t>
        </is>
      </c>
      <c r="E41" s="8" t="inlineStr">
        <is>
          <t>PRD-0254</t>
        </is>
      </c>
      <c r="F41" s="8" t="inlineStr">
        <is>
          <t>3</t>
        </is>
      </c>
      <c r="G41" s="9" t="n">
        <v>219.63</v>
      </c>
      <c r="H41" s="8" t="inlineStr">
        <is>
          <t>0.0</t>
        </is>
      </c>
      <c r="I41" s="8" t="inlineStr">
        <is>
          <t>Standard Ground</t>
        </is>
      </c>
      <c r="J41" s="8" t="inlineStr">
        <is>
          <t>Direct Web</t>
        </is>
      </c>
      <c r="K41" s="8" t="inlineStr">
        <is>
          <t>REG-NA</t>
        </is>
      </c>
    </row>
    <row r="42">
      <c r="A42" s="8" t="inlineStr">
        <is>
          <t>ORD-000019</t>
        </is>
      </c>
      <c r="B42" s="8" t="inlineStr">
        <is>
          <t>2024-11-10</t>
        </is>
      </c>
      <c r="C42" s="8" t="inlineStr">
        <is>
          <t>CUST-01504</t>
        </is>
      </c>
      <c r="D42" s="8" t="inlineStr">
        <is>
          <t>Samantha Miller</t>
        </is>
      </c>
      <c r="E42" s="8" t="inlineStr">
        <is>
          <t>PRD-0417</t>
        </is>
      </c>
      <c r="F42" s="8" t="inlineStr">
        <is>
          <t>1</t>
        </is>
      </c>
      <c r="G42" s="9" t="n">
        <v>134.04</v>
      </c>
      <c r="H42" s="8" t="inlineStr">
        <is>
          <t>0.3</t>
        </is>
      </c>
      <c r="I42" s="8" t="inlineStr">
        <is>
          <t>Express Air</t>
        </is>
      </c>
      <c r="J42" s="8" t="inlineStr">
        <is>
          <t>Direct Web</t>
        </is>
      </c>
      <c r="K42" s="8" t="inlineStr">
        <is>
          <t>REG-NA</t>
        </is>
      </c>
    </row>
    <row r="43">
      <c r="A43" s="8" t="inlineStr">
        <is>
          <t>ORD-000019</t>
        </is>
      </c>
      <c r="B43" s="8" t="inlineStr">
        <is>
          <t>2024-11-10</t>
        </is>
      </c>
      <c r="C43" s="8" t="inlineStr">
        <is>
          <t>CUST-01504</t>
        </is>
      </c>
      <c r="D43" s="8" t="inlineStr">
        <is>
          <t>Samantha Miller</t>
        </is>
      </c>
      <c r="E43" s="8" t="inlineStr">
        <is>
          <t>PRD-0163</t>
        </is>
      </c>
      <c r="F43" s="8" t="inlineStr">
        <is>
          <t>3</t>
        </is>
      </c>
      <c r="G43" s="9" t="n">
        <v>101.4</v>
      </c>
      <c r="H43" s="8" t="inlineStr">
        <is>
          <t>0.0</t>
        </is>
      </c>
      <c r="I43" s="8" t="inlineStr">
        <is>
          <t>Express Air</t>
        </is>
      </c>
      <c r="J43" s="8" t="inlineStr">
        <is>
          <t>Direct Web</t>
        </is>
      </c>
      <c r="K43" s="8" t="inlineStr">
        <is>
          <t>REG-NA</t>
        </is>
      </c>
    </row>
    <row r="44">
      <c r="A44" s="8" t="inlineStr">
        <is>
          <t>ORD-000019</t>
        </is>
      </c>
      <c r="B44" s="8" t="inlineStr">
        <is>
          <t>2024-11-10</t>
        </is>
      </c>
      <c r="C44" s="8" t="inlineStr">
        <is>
          <t>CUST-01504</t>
        </is>
      </c>
      <c r="D44" s="8" t="inlineStr">
        <is>
          <t>Samantha Miller</t>
        </is>
      </c>
      <c r="E44" s="8" t="inlineStr">
        <is>
          <t>PRD-0154</t>
        </is>
      </c>
      <c r="F44" s="8" t="inlineStr">
        <is>
          <t>3</t>
        </is>
      </c>
      <c r="G44" s="9" t="n">
        <v>168.94</v>
      </c>
      <c r="H44" s="8" t="inlineStr">
        <is>
          <t>0.0</t>
        </is>
      </c>
      <c r="I44" s="8" t="inlineStr">
        <is>
          <t>Express Air</t>
        </is>
      </c>
      <c r="J44" s="8" t="inlineStr">
        <is>
          <t>Direct Web</t>
        </is>
      </c>
      <c r="K44" s="8" t="inlineStr">
        <is>
          <t>REG-NA</t>
        </is>
      </c>
    </row>
    <row r="45">
      <c r="A45" s="8" t="inlineStr">
        <is>
          <t>ORD-000020</t>
        </is>
      </c>
      <c r="B45" s="8" t="inlineStr">
        <is>
          <t>03/18/2024</t>
        </is>
      </c>
      <c r="C45" s="8" t="inlineStr">
        <is>
          <t>CUST-07544</t>
        </is>
      </c>
      <c r="D45" s="8" t="inlineStr">
        <is>
          <t>Jonathan Patel</t>
        </is>
      </c>
      <c r="E45" s="8" t="inlineStr">
        <is>
          <t>PRD-0184</t>
        </is>
      </c>
      <c r="F45" s="8" t="inlineStr">
        <is>
          <t>1</t>
        </is>
      </c>
      <c r="G45" s="9" t="n">
        <v>79.56999999999999</v>
      </c>
      <c r="H45" s="8" t="inlineStr">
        <is>
          <t>0.3</t>
        </is>
      </c>
      <c r="I45" s="8" t="inlineStr">
        <is>
          <t>Standard Ground</t>
        </is>
      </c>
      <c r="J45" s="8" t="inlineStr">
        <is>
          <t>Mobile App</t>
        </is>
      </c>
      <c r="K45" s="8" t="inlineStr">
        <is>
          <t>REG-EU</t>
        </is>
      </c>
    </row>
    <row r="46">
      <c r="A46" s="8" t="inlineStr">
        <is>
          <t>ORD-000021</t>
        </is>
      </c>
      <c r="B46" s="8" t="inlineStr">
        <is>
          <t>2024-10-17</t>
        </is>
      </c>
      <c r="C46" s="8" t="inlineStr">
        <is>
          <t>CUST-00428</t>
        </is>
      </c>
      <c r="D46" s="8" t="inlineStr">
        <is>
          <t>Gregory Rogers</t>
        </is>
      </c>
      <c r="E46" s="8" t="inlineStr">
        <is>
          <t>PRD-0336</t>
        </is>
      </c>
      <c r="F46" s="8" t="inlineStr">
        <is>
          <t>3</t>
        </is>
      </c>
      <c r="G46" s="9" t="n">
        <v>216.76</v>
      </c>
      <c r="H46" s="8" t="inlineStr">
        <is>
          <t>10%</t>
        </is>
      </c>
      <c r="I46" s="8" t="inlineStr">
        <is>
          <t>Express Air</t>
        </is>
      </c>
      <c r="J46" s="8" t="inlineStr">
        <is>
          <t>B2B Portal</t>
        </is>
      </c>
      <c r="K46" s="8" t="inlineStr">
        <is>
          <t>REG-APAC</t>
        </is>
      </c>
    </row>
    <row r="47">
      <c r="A47" s="8" t="inlineStr">
        <is>
          <t>ORD-000022</t>
        </is>
      </c>
      <c r="B47" s="8" t="inlineStr">
        <is>
          <t>2025-03-29</t>
        </is>
      </c>
      <c r="C47" s="8" t="inlineStr">
        <is>
          <t>CUST-05119</t>
        </is>
      </c>
      <c r="D47" s="8" t="inlineStr">
        <is>
          <t>Sharon Gomez</t>
        </is>
      </c>
      <c r="E47" s="8" t="inlineStr">
        <is>
          <t>PRD-0131</t>
        </is>
      </c>
      <c r="F47" s="8" t="inlineStr">
        <is>
          <t>1</t>
        </is>
      </c>
      <c r="G47" s="9" t="n">
        <v>66.06999999999999</v>
      </c>
      <c r="H47" s="8" t="inlineStr">
        <is>
          <t>0.1</t>
        </is>
      </c>
      <c r="I47" s="8" t="inlineStr">
        <is>
          <t>Standard Ground</t>
        </is>
      </c>
      <c r="J47" s="8" t="inlineStr">
        <is>
          <t>Direct Web</t>
        </is>
      </c>
      <c r="K47" s="8" t="inlineStr">
        <is>
          <t>REG-APAC</t>
        </is>
      </c>
    </row>
    <row r="48">
      <c r="A48" s="8" t="inlineStr">
        <is>
          <t>ORD-000023</t>
        </is>
      </c>
      <c r="B48" s="8" t="inlineStr">
        <is>
          <t>2025-02-12</t>
        </is>
      </c>
      <c r="C48" s="8" t="inlineStr">
        <is>
          <t>CUST-06053</t>
        </is>
      </c>
      <c r="D48" s="8" t="inlineStr">
        <is>
          <t>Nicole Bennett</t>
        </is>
      </c>
      <c r="E48" s="8" t="inlineStr">
        <is>
          <t>PRD-0342</t>
        </is>
      </c>
      <c r="F48" s="8" t="inlineStr">
        <is>
          <t>1</t>
        </is>
      </c>
      <c r="G48" s="9" t="n">
        <v>994.42</v>
      </c>
      <c r="H48" s="8" t="inlineStr">
        <is>
          <t>0.0</t>
        </is>
      </c>
      <c r="I48" s="8" t="inlineStr">
        <is>
          <t>Freight</t>
        </is>
      </c>
      <c r="J48" s="8" t="inlineStr">
        <is>
          <t>Mobile App</t>
        </is>
      </c>
      <c r="K48" s="8" t="inlineStr">
        <is>
          <t>REG-NA</t>
        </is>
      </c>
    </row>
    <row r="49">
      <c r="A49" s="8" t="inlineStr">
        <is>
          <t>ORD-000024</t>
        </is>
      </c>
      <c r="B49" s="8" t="inlineStr">
        <is>
          <t>2023-11-14</t>
        </is>
      </c>
      <c r="C49" s="8" t="inlineStr">
        <is>
          <t>CUST-06698</t>
        </is>
      </c>
      <c r="D49" s="8" t="inlineStr">
        <is>
          <t>Stephen Morales</t>
        </is>
      </c>
      <c r="E49" s="8" t="inlineStr">
        <is>
          <t>PRD-0321</t>
        </is>
      </c>
      <c r="F49" s="8" t="inlineStr">
        <is>
          <t>2</t>
        </is>
      </c>
      <c r="G49" s="9" t="n">
        <v>684.87</v>
      </c>
      <c r="H49" s="8" t="inlineStr">
        <is>
          <t>0.1</t>
        </is>
      </c>
      <c r="I49" s="8" t="inlineStr">
        <is>
          <t>Express Air</t>
        </is>
      </c>
      <c r="J49" s="8" t="inlineStr">
        <is>
          <t>Affiliate Partner</t>
        </is>
      </c>
      <c r="K49" s="8" t="inlineStr">
        <is>
          <t>REG-EU</t>
        </is>
      </c>
    </row>
    <row r="50">
      <c r="A50" s="8" t="inlineStr">
        <is>
          <t>ORD-000024</t>
        </is>
      </c>
      <c r="B50" s="8" t="inlineStr">
        <is>
          <t>2023-11-14</t>
        </is>
      </c>
      <c r="C50" s="8" t="inlineStr">
        <is>
          <t>CUST-06698</t>
        </is>
      </c>
      <c r="D50" s="8" t="inlineStr">
        <is>
          <t>Stephen Morales</t>
        </is>
      </c>
      <c r="E50" s="8" t="inlineStr">
        <is>
          <t>PRD-0259</t>
        </is>
      </c>
      <c r="F50" s="8" t="inlineStr">
        <is>
          <t>4</t>
        </is>
      </c>
      <c r="G50" s="9" t="n">
        <v>427.15</v>
      </c>
      <c r="H50" s="8" t="inlineStr">
        <is>
          <t>0.0</t>
        </is>
      </c>
      <c r="I50" s="8" t="inlineStr">
        <is>
          <t>Express Air</t>
        </is>
      </c>
      <c r="J50" s="8" t="inlineStr">
        <is>
          <t>Affiliate Partner</t>
        </is>
      </c>
      <c r="K50" s="8" t="inlineStr">
        <is>
          <t>REG-EU</t>
        </is>
      </c>
    </row>
    <row r="51">
      <c r="A51" s="8" t="inlineStr">
        <is>
          <t>ORD-000024</t>
        </is>
      </c>
      <c r="B51" s="8" t="inlineStr">
        <is>
          <t>2023-11-14</t>
        </is>
      </c>
      <c r="C51" s="8" t="inlineStr">
        <is>
          <t>CUST-06698</t>
        </is>
      </c>
      <c r="D51" s="8" t="inlineStr">
        <is>
          <t>Stephen Morales</t>
        </is>
      </c>
      <c r="E51" s="8" t="inlineStr">
        <is>
          <t>PRD-0268</t>
        </is>
      </c>
      <c r="F51" s="8" t="inlineStr">
        <is>
          <t>2</t>
        </is>
      </c>
      <c r="G51" s="9" t="n">
        <v>69.90000000000001</v>
      </c>
      <c r="H51" s="8" t="inlineStr">
        <is>
          <t>0.0</t>
        </is>
      </c>
      <c r="I51" s="8" t="inlineStr">
        <is>
          <t>Express Air</t>
        </is>
      </c>
      <c r="J51" s="8" t="inlineStr">
        <is>
          <t>Affiliate Partner</t>
        </is>
      </c>
      <c r="K51" s="8" t="inlineStr">
        <is>
          <t>REG-EU</t>
        </is>
      </c>
    </row>
    <row r="52">
      <c r="A52" s="8" t="inlineStr">
        <is>
          <t>ORD-000025</t>
        </is>
      </c>
      <c r="B52" s="8" t="inlineStr">
        <is>
          <t>2025-10-22</t>
        </is>
      </c>
      <c r="C52" s="8" t="inlineStr">
        <is>
          <t>CUST-02242</t>
        </is>
      </c>
      <c r="D52" s="8" t="inlineStr">
        <is>
          <t>Patricia Castillo</t>
        </is>
      </c>
      <c r="E52" s="8" t="inlineStr">
        <is>
          <t>PRD-0079</t>
        </is>
      </c>
      <c r="F52" s="8" t="inlineStr">
        <is>
          <t>3</t>
        </is>
      </c>
      <c r="G52" s="9" t="n">
        <v>1234.41</v>
      </c>
      <c r="H52" s="8" t="inlineStr">
        <is>
          <t>0.15</t>
        </is>
      </c>
      <c r="I52" s="8" t="inlineStr">
        <is>
          <t>Standard Ground</t>
        </is>
      </c>
      <c r="J52" s="8" t="inlineStr">
        <is>
          <t>Direct Web</t>
        </is>
      </c>
      <c r="K52" s="8" t="inlineStr">
        <is>
          <t>REG-NA</t>
        </is>
      </c>
    </row>
    <row r="53">
      <c r="A53" s="8" t="inlineStr">
        <is>
          <t>ORD-000025</t>
        </is>
      </c>
      <c r="B53" s="8" t="inlineStr">
        <is>
          <t>2025-10-22</t>
        </is>
      </c>
      <c r="C53" s="8" t="inlineStr">
        <is>
          <t>CUST-02242</t>
        </is>
      </c>
      <c r="D53" s="8" t="inlineStr">
        <is>
          <t>Patricia Castillo</t>
        </is>
      </c>
      <c r="E53" s="8" t="inlineStr">
        <is>
          <t>PRD-0470</t>
        </is>
      </c>
      <c r="F53" s="8" t="inlineStr">
        <is>
          <t>3</t>
        </is>
      </c>
      <c r="G53" s="9" t="n">
        <v>1097.57</v>
      </c>
      <c r="H53" s="8" t="inlineStr">
        <is>
          <t>0.1</t>
        </is>
      </c>
      <c r="I53" s="8" t="inlineStr">
        <is>
          <t>Standard Ground</t>
        </is>
      </c>
      <c r="J53" s="8" t="inlineStr">
        <is>
          <t>Direct Web</t>
        </is>
      </c>
      <c r="K53" s="8" t="inlineStr">
        <is>
          <t>REG-NA</t>
        </is>
      </c>
    </row>
    <row r="54">
      <c r="A54" s="8" t="inlineStr">
        <is>
          <t>ORD-000026</t>
        </is>
      </c>
      <c r="B54" s="8" t="inlineStr">
        <is>
          <t>12/30/2024</t>
        </is>
      </c>
      <c r="C54" s="8" t="inlineStr">
        <is>
          <t>CUST-03439</t>
        </is>
      </c>
      <c r="D54" s="8" t="inlineStr">
        <is>
          <t>Thomas Mitchell</t>
        </is>
      </c>
      <c r="E54" s="8" t="inlineStr">
        <is>
          <t>PRD-0257</t>
        </is>
      </c>
      <c r="F54" s="8" t="inlineStr">
        <is>
          <t>2</t>
        </is>
      </c>
      <c r="G54" s="9" t="n">
        <v>31.28</v>
      </c>
      <c r="H54" s="8" t="inlineStr">
        <is>
          <t>0.0</t>
        </is>
      </c>
      <c r="I54" s="8" t="inlineStr">
        <is>
          <t>Standard Ground</t>
        </is>
      </c>
      <c r="J54" s="8" t="inlineStr">
        <is>
          <t>Direct Web</t>
        </is>
      </c>
      <c r="K54" s="8" t="inlineStr">
        <is>
          <t>REG-NA</t>
        </is>
      </c>
    </row>
    <row r="55">
      <c r="A55" s="8" t="inlineStr">
        <is>
          <t>ORD-000027</t>
        </is>
      </c>
      <c r="B55" s="8" t="inlineStr">
        <is>
          <t>2024-08-17</t>
        </is>
      </c>
      <c r="C55" s="8" t="inlineStr">
        <is>
          <t>CUST-05208</t>
        </is>
      </c>
      <c r="D55" s="8" t="inlineStr">
        <is>
          <t>Larry Diaz</t>
        </is>
      </c>
      <c r="E55" s="8" t="inlineStr">
        <is>
          <t>PRD-0314</t>
        </is>
      </c>
      <c r="F55" s="8" t="inlineStr">
        <is>
          <t>2</t>
        </is>
      </c>
      <c r="G55" s="9" t="n">
        <v>28.5</v>
      </c>
      <c r="H55" s="8" t="inlineStr">
        <is>
          <t>0.3</t>
        </is>
      </c>
      <c r="I55" s="8" t="inlineStr">
        <is>
          <t>Express Air</t>
        </is>
      </c>
      <c r="J55" s="8" t="inlineStr">
        <is>
          <t>Direct Web</t>
        </is>
      </c>
      <c r="K55" s="8" t="inlineStr">
        <is>
          <t>REG-APAC</t>
        </is>
      </c>
    </row>
    <row r="56">
      <c r="A56" s="8" t="inlineStr">
        <is>
          <t>ORD-000028</t>
        </is>
      </c>
      <c r="B56" s="8" t="inlineStr">
        <is>
          <t>2025-07-14</t>
        </is>
      </c>
      <c r="C56" s="8" t="inlineStr">
        <is>
          <t>CUST-02394</t>
        </is>
      </c>
      <c r="D56" s="8" t="inlineStr">
        <is>
          <t>Christopher Anderson</t>
        </is>
      </c>
      <c r="E56" s="8" t="inlineStr">
        <is>
          <t>PRD-0433</t>
        </is>
      </c>
      <c r="F56" s="8" t="inlineStr">
        <is>
          <t>1</t>
        </is>
      </c>
      <c r="G56" s="9" t="n">
        <v>545.86</v>
      </c>
      <c r="H56" s="8" t="inlineStr">
        <is>
          <t>0.1</t>
        </is>
      </c>
      <c r="I56" s="8" t="inlineStr">
        <is>
          <t>Standard Ground</t>
        </is>
      </c>
      <c r="J56" s="8" t="inlineStr">
        <is>
          <t>Mobile App</t>
        </is>
      </c>
      <c r="K56" s="8" t="inlineStr">
        <is>
          <t>REG-APAC</t>
        </is>
      </c>
    </row>
    <row r="57">
      <c r="A57" s="8" t="inlineStr">
        <is>
          <t>ORD-000028</t>
        </is>
      </c>
      <c r="B57" s="8" t="inlineStr">
        <is>
          <t>2025-07-14</t>
        </is>
      </c>
      <c r="C57" s="8" t="inlineStr">
        <is>
          <t>CUST-02394</t>
        </is>
      </c>
      <c r="D57" s="8" t="inlineStr">
        <is>
          <t>Christopher Anderson</t>
        </is>
      </c>
      <c r="E57" s="8" t="inlineStr">
        <is>
          <t>PRD-0132</t>
        </is>
      </c>
      <c r="F57" s="8" t="inlineStr">
        <is>
          <t>1</t>
        </is>
      </c>
      <c r="G57" s="9" t="n">
        <v>792.09</v>
      </c>
      <c r="H57" s="8" t="inlineStr">
        <is>
          <t>0.25</t>
        </is>
      </c>
      <c r="I57" s="8" t="inlineStr">
        <is>
          <t>Standard Ground</t>
        </is>
      </c>
      <c r="J57" s="8" t="inlineStr">
        <is>
          <t>Mobile App</t>
        </is>
      </c>
      <c r="K57" s="8" t="inlineStr">
        <is>
          <t>REG-APAC</t>
        </is>
      </c>
    </row>
    <row r="58">
      <c r="A58" s="8" t="inlineStr">
        <is>
          <t>ORD-000029</t>
        </is>
      </c>
      <c r="B58" s="8" t="inlineStr">
        <is>
          <t>2024-10-17</t>
        </is>
      </c>
      <c r="C58" s="8" t="inlineStr">
        <is>
          <t>CUST-07775</t>
        </is>
      </c>
      <c r="D58" s="8" t="inlineStr">
        <is>
          <t>Debra Price</t>
        </is>
      </c>
      <c r="E58" s="8" t="inlineStr">
        <is>
          <t>PRD-0410</t>
        </is>
      </c>
      <c r="F58" s="8" t="inlineStr">
        <is>
          <t>2</t>
        </is>
      </c>
      <c r="G58" s="9" t="n">
        <v>13.14</v>
      </c>
      <c r="H58" s="8" t="inlineStr">
        <is>
          <t>0.0</t>
        </is>
      </c>
      <c r="I58" s="8" t="inlineStr">
        <is>
          <t>Express Air</t>
        </is>
      </c>
      <c r="J58" s="8" t="inlineStr">
        <is>
          <t>Mobile App</t>
        </is>
      </c>
      <c r="K58" s="8" t="inlineStr">
        <is>
          <t>REG-LATAM</t>
        </is>
      </c>
    </row>
    <row r="59">
      <c r="A59" s="8" t="inlineStr">
        <is>
          <t>ORD-000030</t>
        </is>
      </c>
      <c r="B59" s="8" t="inlineStr">
        <is>
          <t>2023-05-09</t>
        </is>
      </c>
      <c r="C59" s="8" t="inlineStr">
        <is>
          <t>CUST-00164</t>
        </is>
      </c>
      <c r="D59" s="8" t="inlineStr">
        <is>
          <t>Lisa Clark</t>
        </is>
      </c>
      <c r="E59" s="8" t="inlineStr">
        <is>
          <t>PRD-0048</t>
        </is>
      </c>
      <c r="F59" s="8" t="inlineStr">
        <is>
          <t>1</t>
        </is>
      </c>
      <c r="G59" s="9" t="n">
        <v>39</v>
      </c>
      <c r="H59" s="8" t="inlineStr">
        <is>
          <t>0.0</t>
        </is>
      </c>
      <c r="I59" s="8" t="inlineStr">
        <is>
          <t>Standard Ground</t>
        </is>
      </c>
      <c r="J59" s="8" t="inlineStr">
        <is>
          <t>Mobile App</t>
        </is>
      </c>
      <c r="K59" s="8" t="inlineStr">
        <is>
          <t>REG-NA</t>
        </is>
      </c>
    </row>
    <row r="60">
      <c r="A60" s="8" t="inlineStr">
        <is>
          <t>ORD-000030</t>
        </is>
      </c>
      <c r="B60" s="8" t="inlineStr">
        <is>
          <t>2023-05-09</t>
        </is>
      </c>
      <c r="C60" s="8" t="inlineStr">
        <is>
          <t>CUST-00164</t>
        </is>
      </c>
      <c r="D60" s="8" t="inlineStr">
        <is>
          <t>Lisa Clark</t>
        </is>
      </c>
      <c r="E60" s="8" t="inlineStr">
        <is>
          <t>PRD-0004</t>
        </is>
      </c>
      <c r="F60" s="8" t="inlineStr">
        <is>
          <t>1</t>
        </is>
      </c>
      <c r="G60" s="9" t="n">
        <v>13.71</v>
      </c>
      <c r="H60" s="8" t="inlineStr">
        <is>
          <t>0.05</t>
        </is>
      </c>
      <c r="I60" s="8" t="inlineStr">
        <is>
          <t>Standard Ground</t>
        </is>
      </c>
      <c r="J60" s="8" t="inlineStr">
        <is>
          <t>Mobile App</t>
        </is>
      </c>
      <c r="K60" s="8" t="inlineStr">
        <is>
          <t>REG-NA</t>
        </is>
      </c>
    </row>
    <row r="61">
      <c r="A61" s="8" t="inlineStr">
        <is>
          <t>ORD-000030</t>
        </is>
      </c>
      <c r="B61" s="8" t="inlineStr">
        <is>
          <t>2023-05-09</t>
        </is>
      </c>
      <c r="C61" s="8" t="inlineStr">
        <is>
          <t>CUST-00164</t>
        </is>
      </c>
      <c r="D61" s="8" t="inlineStr">
        <is>
          <t>Lisa Clark</t>
        </is>
      </c>
      <c r="E61" s="8" t="inlineStr">
        <is>
          <t>PRD-0407</t>
        </is>
      </c>
      <c r="F61" s="8" t="inlineStr">
        <is>
          <t>1</t>
        </is>
      </c>
      <c r="G61" s="9" t="n">
        <v>515.9299999999999</v>
      </c>
      <c r="H61" s="8" t="inlineStr">
        <is>
          <t>0.1</t>
        </is>
      </c>
      <c r="I61" s="8" t="inlineStr">
        <is>
          <t>Standard Ground</t>
        </is>
      </c>
      <c r="J61" s="8" t="inlineStr">
        <is>
          <t>Mobile App</t>
        </is>
      </c>
      <c r="K61" s="8" t="inlineStr">
        <is>
          <t>REG-NA</t>
        </is>
      </c>
    </row>
    <row r="62">
      <c r="A62" s="8" t="inlineStr">
        <is>
          <t>ORD-000030</t>
        </is>
      </c>
      <c r="B62" s="8" t="inlineStr">
        <is>
          <t>2023-05-09</t>
        </is>
      </c>
      <c r="C62" s="8" t="inlineStr">
        <is>
          <t>CUST-00164</t>
        </is>
      </c>
      <c r="D62" s="8" t="inlineStr">
        <is>
          <t>Lisa Clark</t>
        </is>
      </c>
      <c r="E62" s="8" t="inlineStr">
        <is>
          <t>PRD-0395</t>
        </is>
      </c>
      <c r="F62" s="8" t="inlineStr">
        <is>
          <t>1</t>
        </is>
      </c>
      <c r="G62" s="9" t="n">
        <v>875.5700000000001</v>
      </c>
      <c r="H62" s="8" t="inlineStr">
        <is>
          <t>0.0</t>
        </is>
      </c>
      <c r="I62" s="8" t="inlineStr">
        <is>
          <t>Standard Ground</t>
        </is>
      </c>
      <c r="J62" s="8" t="inlineStr">
        <is>
          <t>Mobile App</t>
        </is>
      </c>
      <c r="K62" s="8" t="inlineStr">
        <is>
          <t>REG-NA</t>
        </is>
      </c>
    </row>
    <row r="63">
      <c r="A63" s="8" t="inlineStr">
        <is>
          <t>ORD-000030</t>
        </is>
      </c>
      <c r="B63" s="8" t="inlineStr">
        <is>
          <t>2023-05-09</t>
        </is>
      </c>
      <c r="C63" s="8" t="inlineStr">
        <is>
          <t>CUST-00164</t>
        </is>
      </c>
      <c r="D63" s="8" t="inlineStr">
        <is>
          <t>Lisa Clark</t>
        </is>
      </c>
      <c r="E63" s="8" t="inlineStr">
        <is>
          <t>PRD-0432</t>
        </is>
      </c>
      <c r="F63" s="8" t="inlineStr">
        <is>
          <t>3</t>
        </is>
      </c>
      <c r="G63" s="9" t="n">
        <v>25.28</v>
      </c>
      <c r="H63" s="8" t="inlineStr">
        <is>
          <t>0.05</t>
        </is>
      </c>
      <c r="I63" s="8" t="inlineStr">
        <is>
          <t>Standard Ground</t>
        </is>
      </c>
      <c r="J63" s="8" t="inlineStr">
        <is>
          <t>Mobile App</t>
        </is>
      </c>
      <c r="K63" s="8" t="inlineStr">
        <is>
          <t>REG-NA</t>
        </is>
      </c>
    </row>
    <row r="64">
      <c r="A64" s="8" t="inlineStr">
        <is>
          <t>ORD-000031</t>
        </is>
      </c>
      <c r="B64" s="8" t="inlineStr">
        <is>
          <t>2024-02-15</t>
        </is>
      </c>
      <c r="C64" s="8" t="inlineStr">
        <is>
          <t>CUST-04504</t>
        </is>
      </c>
      <c r="D64" s="8" t="inlineStr">
        <is>
          <t>Sarah Mitchell</t>
        </is>
      </c>
      <c r="E64" s="8" t="inlineStr">
        <is>
          <t>PRD-0194</t>
        </is>
      </c>
      <c r="F64" s="8" t="inlineStr">
        <is>
          <t>1</t>
        </is>
      </c>
      <c r="G64" s="9" t="n">
        <v>603.6900000000001</v>
      </c>
      <c r="H64" s="8" t="inlineStr">
        <is>
          <t>0.0</t>
        </is>
      </c>
      <c r="I64" s="8" t="inlineStr">
        <is>
          <t>Standard Ground</t>
        </is>
      </c>
      <c r="J64" s="8" t="inlineStr">
        <is>
          <t>B2B Portal</t>
        </is>
      </c>
      <c r="K64" s="8" t="inlineStr">
        <is>
          <t>REG-LATAM</t>
        </is>
      </c>
    </row>
    <row r="65">
      <c r="A65" s="8" t="inlineStr">
        <is>
          <t>ORD-000032</t>
        </is>
      </c>
      <c r="B65" s="8" t="inlineStr">
        <is>
          <t>2025-09-03</t>
        </is>
      </c>
      <c r="C65" s="8" t="inlineStr">
        <is>
          <t>CUST-01521</t>
        </is>
      </c>
      <c r="D65" s="8" t="inlineStr">
        <is>
          <t>Jennifer Cook</t>
        </is>
      </c>
      <c r="E65" s="8" t="inlineStr">
        <is>
          <t>PRD-0023</t>
        </is>
      </c>
      <c r="F65" s="8" t="inlineStr">
        <is>
          <t>1</t>
        </is>
      </c>
      <c r="G65" s="9" t="n">
        <v>276.6</v>
      </c>
      <c r="H65" s="8" t="inlineStr">
        <is>
          <t>0.0</t>
        </is>
      </c>
      <c r="I65" s="8" t="inlineStr">
        <is>
          <t>Same-Day Priority</t>
        </is>
      </c>
      <c r="J65" s="8" t="inlineStr">
        <is>
          <t>Direct Web</t>
        </is>
      </c>
      <c r="K65" s="8" t="inlineStr">
        <is>
          <t>REG-NA</t>
        </is>
      </c>
    </row>
    <row r="66">
      <c r="A66" s="8" t="inlineStr">
        <is>
          <t>ORD-000032</t>
        </is>
      </c>
      <c r="B66" s="8" t="inlineStr">
        <is>
          <t>2025-09-03</t>
        </is>
      </c>
      <c r="C66" s="8" t="inlineStr">
        <is>
          <t>CUST-01521</t>
        </is>
      </c>
      <c r="D66" s="8" t="inlineStr">
        <is>
          <t>Jennifer Cook</t>
        </is>
      </c>
      <c r="E66" s="8" t="inlineStr">
        <is>
          <t>PRD-0021</t>
        </is>
      </c>
      <c r="F66" s="8" t="inlineStr">
        <is>
          <t>2</t>
        </is>
      </c>
      <c r="G66" s="9" t="n">
        <v>41.09</v>
      </c>
      <c r="H66" s="8" t="inlineStr">
        <is>
          <t>0.1</t>
        </is>
      </c>
      <c r="I66" s="8" t="inlineStr">
        <is>
          <t>Same-Day Priority</t>
        </is>
      </c>
      <c r="J66" s="8" t="inlineStr">
        <is>
          <t>Direct Web</t>
        </is>
      </c>
      <c r="K66" s="8" t="inlineStr">
        <is>
          <t>REG-NA</t>
        </is>
      </c>
    </row>
    <row r="67">
      <c r="A67" s="8" t="inlineStr">
        <is>
          <t>ORD-000033</t>
        </is>
      </c>
      <c r="B67" s="8" t="inlineStr">
        <is>
          <t>2025-03-19</t>
        </is>
      </c>
      <c r="C67" s="8" t="inlineStr">
        <is>
          <t>CUST-04177</t>
        </is>
      </c>
      <c r="D67" s="8" t="inlineStr">
        <is>
          <t>Brian Ward</t>
        </is>
      </c>
      <c r="E67" s="8" t="inlineStr">
        <is>
          <t>PRD-0421</t>
        </is>
      </c>
      <c r="F67" s="8" t="inlineStr">
        <is>
          <t>1</t>
        </is>
      </c>
      <c r="G67" s="9" t="n">
        <v>50.08</v>
      </c>
      <c r="H67" s="8" t="inlineStr">
        <is>
          <t>0.05</t>
        </is>
      </c>
      <c r="I67" s="8" t="inlineStr">
        <is>
          <t>Standard Ground</t>
        </is>
      </c>
      <c r="J67" s="8" t="inlineStr">
        <is>
          <t>Mobile App</t>
        </is>
      </c>
      <c r="K67" s="8" t="inlineStr">
        <is>
          <t>REG-NA</t>
        </is>
      </c>
    </row>
    <row r="68">
      <c r="A68" s="8" t="inlineStr">
        <is>
          <t>ORD-000033</t>
        </is>
      </c>
      <c r="B68" s="8" t="inlineStr">
        <is>
          <t>2025-03-19</t>
        </is>
      </c>
      <c r="C68" s="8" t="inlineStr">
        <is>
          <t>CUST-04177</t>
        </is>
      </c>
      <c r="D68" s="8" t="inlineStr">
        <is>
          <t>Brian Ward</t>
        </is>
      </c>
      <c r="E68" s="8" t="inlineStr">
        <is>
          <t>PRD-0311</t>
        </is>
      </c>
      <c r="F68" s="8" t="inlineStr">
        <is>
          <t>1</t>
        </is>
      </c>
      <c r="G68" s="9" t="n">
        <v>7.85</v>
      </c>
      <c r="H68" s="8" t="inlineStr">
        <is>
          <t>0.0</t>
        </is>
      </c>
      <c r="I68" s="8" t="inlineStr">
        <is>
          <t>Standard Ground</t>
        </is>
      </c>
      <c r="J68" s="8" t="inlineStr">
        <is>
          <t>Mobile App</t>
        </is>
      </c>
      <c r="K68" s="8" t="inlineStr">
        <is>
          <t>REG-NA</t>
        </is>
      </c>
    </row>
    <row r="69">
      <c r="A69" s="8" t="inlineStr">
        <is>
          <t>ORD-000033</t>
        </is>
      </c>
      <c r="B69" s="8" t="inlineStr">
        <is>
          <t>2025-03-19</t>
        </is>
      </c>
      <c r="C69" s="8" t="inlineStr">
        <is>
          <t>CUST-04177</t>
        </is>
      </c>
      <c r="D69" s="8" t="inlineStr">
        <is>
          <t>Brian Ward</t>
        </is>
      </c>
      <c r="E69" s="8" t="inlineStr">
        <is>
          <t>PRD-0402</t>
        </is>
      </c>
      <c r="F69" s="8" t="inlineStr">
        <is>
          <t>1</t>
        </is>
      </c>
      <c r="G69" s="9" t="n">
        <v>1065.19</v>
      </c>
      <c r="H69" s="8" t="inlineStr">
        <is>
          <t>0.05</t>
        </is>
      </c>
      <c r="I69" s="8" t="inlineStr">
        <is>
          <t>Standard Ground</t>
        </is>
      </c>
      <c r="J69" s="8" t="inlineStr">
        <is>
          <t>Mobile App</t>
        </is>
      </c>
      <c r="K69" s="8" t="inlineStr">
        <is>
          <t>REG-NA</t>
        </is>
      </c>
    </row>
    <row r="70">
      <c r="A70" s="8" t="inlineStr">
        <is>
          <t>ORD-000034</t>
        </is>
      </c>
      <c r="B70" s="8" t="inlineStr">
        <is>
          <t>2023-06-23</t>
        </is>
      </c>
      <c r="C70" s="8" t="inlineStr">
        <is>
          <t>CUST-01453</t>
        </is>
      </c>
      <c r="D70" s="8" t="inlineStr">
        <is>
          <t>Janet Hall</t>
        </is>
      </c>
      <c r="E70" s="8" t="inlineStr">
        <is>
          <t>PRD-0190</t>
        </is>
      </c>
      <c r="F70" s="8" t="inlineStr">
        <is>
          <t>1</t>
        </is>
      </c>
      <c r="G70" s="9" t="n">
        <v>33.02</v>
      </c>
      <c r="H70" s="8" t="inlineStr">
        <is>
          <t>0.2</t>
        </is>
      </c>
      <c r="I70" s="8" t="inlineStr">
        <is>
          <t>Express Air</t>
        </is>
      </c>
      <c r="J70" s="8" t="inlineStr">
        <is>
          <t>Direct Web</t>
        </is>
      </c>
      <c r="K70" s="8" t="inlineStr">
        <is>
          <t>REG-NA</t>
        </is>
      </c>
    </row>
    <row r="71">
      <c r="A71" s="8" t="inlineStr">
        <is>
          <t>ORD-000035</t>
        </is>
      </c>
      <c r="B71" s="8" t="inlineStr">
        <is>
          <t>12/08/2025</t>
        </is>
      </c>
      <c r="C71" s="8" t="inlineStr">
        <is>
          <t>CUST-00357</t>
        </is>
      </c>
      <c r="D71" s="8" t="inlineStr">
        <is>
          <t>Timothy Diaz</t>
        </is>
      </c>
      <c r="E71" s="8" t="inlineStr">
        <is>
          <t>PRD-0141</t>
        </is>
      </c>
      <c r="F71" s="8" t="inlineStr">
        <is>
          <t>1</t>
        </is>
      </c>
      <c r="G71" s="9" t="n">
        <v>53.7</v>
      </c>
      <c r="H71" s="8" t="inlineStr">
        <is>
          <t>0.0</t>
        </is>
      </c>
      <c r="I71" s="8" t="inlineStr">
        <is>
          <t>Standard Ground</t>
        </is>
      </c>
      <c r="J71" s="8" t="inlineStr">
        <is>
          <t>Direct Web</t>
        </is>
      </c>
      <c r="K71" s="8" t="inlineStr">
        <is>
          <t>REG-NA</t>
        </is>
      </c>
    </row>
    <row r="72">
      <c r="A72" s="8" t="inlineStr">
        <is>
          <t>ORD-000035</t>
        </is>
      </c>
      <c r="B72" s="8" t="inlineStr">
        <is>
          <t>12/08/2025</t>
        </is>
      </c>
      <c r="C72" s="8" t="inlineStr">
        <is>
          <t>CUST-00357</t>
        </is>
      </c>
      <c r="D72" s="8" t="inlineStr">
        <is>
          <t>Timothy Diaz</t>
        </is>
      </c>
      <c r="E72" s="8" t="inlineStr">
        <is>
          <t>PRD-0454</t>
        </is>
      </c>
      <c r="F72" s="8" t="inlineStr">
        <is>
          <t>1</t>
        </is>
      </c>
      <c r="G72" s="9" t="n">
        <v>745.9400000000001</v>
      </c>
      <c r="H72" s="8" t="inlineStr">
        <is>
          <t>0.2</t>
        </is>
      </c>
      <c r="I72" s="8" t="inlineStr">
        <is>
          <t>Standard Ground</t>
        </is>
      </c>
      <c r="J72" s="8" t="inlineStr">
        <is>
          <t>Direct Web</t>
        </is>
      </c>
      <c r="K72" s="8" t="inlineStr">
        <is>
          <t>REG-NA</t>
        </is>
      </c>
    </row>
    <row r="73">
      <c r="A73" s="8" t="inlineStr">
        <is>
          <t>ORD-000036</t>
        </is>
      </c>
      <c r="B73" s="8" t="inlineStr">
        <is>
          <t>2025-06-21</t>
        </is>
      </c>
      <c r="C73" s="8" t="inlineStr">
        <is>
          <t>CUST-06211</t>
        </is>
      </c>
      <c r="D73" s="8" t="inlineStr">
        <is>
          <t>Daniel Green</t>
        </is>
      </c>
      <c r="E73" s="8" t="inlineStr">
        <is>
          <t>PRD-0106</t>
        </is>
      </c>
      <c r="F73" s="8" t="inlineStr">
        <is>
          <t>1</t>
        </is>
      </c>
      <c r="G73" s="9" t="n">
        <v>49.14</v>
      </c>
      <c r="H73" s="8" t="inlineStr">
        <is>
          <t>0.1</t>
        </is>
      </c>
      <c r="I73" s="8" t="inlineStr">
        <is>
          <t>Standard Ground</t>
        </is>
      </c>
      <c r="J73" s="8" t="inlineStr">
        <is>
          <t>Direct Web</t>
        </is>
      </c>
      <c r="K73" s="8" t="inlineStr">
        <is>
          <t>REG-NA</t>
        </is>
      </c>
    </row>
    <row r="74">
      <c r="A74" s="8" t="inlineStr">
        <is>
          <t>ORD-000036</t>
        </is>
      </c>
      <c r="B74" s="8" t="inlineStr">
        <is>
          <t>2025-06-21</t>
        </is>
      </c>
      <c r="C74" s="8" t="inlineStr">
        <is>
          <t>CUST-06211</t>
        </is>
      </c>
      <c r="D74" s="8" t="inlineStr">
        <is>
          <t>Daniel Green</t>
        </is>
      </c>
      <c r="E74" s="8" t="inlineStr">
        <is>
          <t>PRD-0288</t>
        </is>
      </c>
      <c r="F74" s="8" t="inlineStr">
        <is>
          <t>1</t>
        </is>
      </c>
      <c r="G74" s="9" t="n">
        <v>41.37</v>
      </c>
      <c r="H74" s="8" t="inlineStr">
        <is>
          <t>0.0</t>
        </is>
      </c>
      <c r="I74" s="8" t="inlineStr">
        <is>
          <t>Standard Ground</t>
        </is>
      </c>
      <c r="J74" s="8" t="inlineStr">
        <is>
          <t>Direct Web</t>
        </is>
      </c>
      <c r="K74" s="8" t="inlineStr">
        <is>
          <t>REG-NA</t>
        </is>
      </c>
    </row>
    <row r="75">
      <c r="A75" s="8" t="inlineStr">
        <is>
          <t>ORD-000036</t>
        </is>
      </c>
      <c r="B75" s="8" t="inlineStr">
        <is>
          <t>2025-06-21</t>
        </is>
      </c>
      <c r="C75" s="8" t="inlineStr">
        <is>
          <t>CUST-06211</t>
        </is>
      </c>
      <c r="D75" s="8" t="inlineStr">
        <is>
          <t>Daniel Green</t>
        </is>
      </c>
      <c r="E75" s="8" t="inlineStr">
        <is>
          <t>PRD-0357</t>
        </is>
      </c>
      <c r="F75" s="8" t="inlineStr">
        <is>
          <t>1</t>
        </is>
      </c>
      <c r="G75" s="9" t="n">
        <v>305.71</v>
      </c>
      <c r="H75" s="8" t="inlineStr">
        <is>
          <t>0.0</t>
        </is>
      </c>
      <c r="I75" s="8" t="inlineStr">
        <is>
          <t>Standard Ground</t>
        </is>
      </c>
      <c r="J75" s="8" t="inlineStr">
        <is>
          <t>Direct Web</t>
        </is>
      </c>
      <c r="K75" s="8" t="inlineStr">
        <is>
          <t>REG-NA</t>
        </is>
      </c>
    </row>
    <row r="76">
      <c r="A76" s="8" t="inlineStr">
        <is>
          <t>ORD-000037</t>
        </is>
      </c>
      <c r="B76" s="8" t="inlineStr">
        <is>
          <t>2023-06-08</t>
        </is>
      </c>
      <c r="C76" s="8" t="inlineStr">
        <is>
          <t>CUST-07906</t>
        </is>
      </c>
      <c r="D76" s="8" t="inlineStr">
        <is>
          <t>David Price</t>
        </is>
      </c>
      <c r="E76" s="8" t="inlineStr">
        <is>
          <t>PRD-0229</t>
        </is>
      </c>
      <c r="F76" s="8" t="inlineStr">
        <is>
          <t>2</t>
        </is>
      </c>
      <c r="G76" s="9" t="n">
        <v>31.96</v>
      </c>
      <c r="H76" s="8" t="inlineStr">
        <is>
          <t>0.05</t>
        </is>
      </c>
      <c r="I76" s="8" t="inlineStr">
        <is>
          <t>Standard Ground</t>
        </is>
      </c>
      <c r="J76" s="8" t="inlineStr">
        <is>
          <t>Affiliate Partner</t>
        </is>
      </c>
      <c r="K76" s="8" t="inlineStr">
        <is>
          <t>REG-APAC</t>
        </is>
      </c>
    </row>
    <row r="77">
      <c r="A77" s="8" t="inlineStr">
        <is>
          <t>ORD-000038</t>
        </is>
      </c>
      <c r="B77" s="8" t="inlineStr">
        <is>
          <t>2023-11-24</t>
        </is>
      </c>
      <c r="C77" s="8" t="inlineStr">
        <is>
          <t>CUST-04333</t>
        </is>
      </c>
      <c r="D77" s="8" t="inlineStr">
        <is>
          <t>Ruth Hall</t>
        </is>
      </c>
      <c r="E77" s="8" t="inlineStr">
        <is>
          <t>PRD-0369</t>
        </is>
      </c>
      <c r="F77" s="8" t="inlineStr">
        <is>
          <t>1</t>
        </is>
      </c>
      <c r="G77" s="9" t="n">
        <v>653.11</v>
      </c>
      <c r="H77" s="8" t="inlineStr">
        <is>
          <t>0.0</t>
        </is>
      </c>
      <c r="I77" s="8" t="inlineStr">
        <is>
          <t>Freight</t>
        </is>
      </c>
      <c r="J77" s="8" t="inlineStr">
        <is>
          <t>B2B Portal</t>
        </is>
      </c>
      <c r="K77" s="8" t="inlineStr">
        <is>
          <t>REG-NA</t>
        </is>
      </c>
    </row>
    <row r="78">
      <c r="A78" s="8" t="inlineStr">
        <is>
          <t>ORD-000038</t>
        </is>
      </c>
      <c r="B78" s="8" t="inlineStr">
        <is>
          <t>2023-11-24</t>
        </is>
      </c>
      <c r="C78" s="8" t="inlineStr">
        <is>
          <t>CUST-04333</t>
        </is>
      </c>
      <c r="D78" s="8" t="inlineStr">
        <is>
          <t>Ruth Hall</t>
        </is>
      </c>
      <c r="E78" s="8" t="inlineStr">
        <is>
          <t>PRD-0207</t>
        </is>
      </c>
      <c r="F78" s="8" t="inlineStr">
        <is>
          <t>1</t>
        </is>
      </c>
      <c r="G78" s="9" t="n">
        <v>1025.22</v>
      </c>
      <c r="H78" s="8" t="inlineStr">
        <is>
          <t>0.0</t>
        </is>
      </c>
      <c r="I78" s="8" t="inlineStr">
        <is>
          <t>Freight</t>
        </is>
      </c>
      <c r="J78" s="8" t="inlineStr">
        <is>
          <t>B2B Portal</t>
        </is>
      </c>
      <c r="K78" s="8" t="inlineStr">
        <is>
          <t>REG-NA</t>
        </is>
      </c>
    </row>
    <row r="79">
      <c r="A79" s="8" t="inlineStr">
        <is>
          <t>ORD-000039</t>
        </is>
      </c>
      <c r="B79" s="8" t="inlineStr">
        <is>
          <t>2024-09-09</t>
        </is>
      </c>
      <c r="C79" s="8" t="inlineStr">
        <is>
          <t>CUST-01549</t>
        </is>
      </c>
      <c r="D79" s="8" t="inlineStr">
        <is>
          <t>Rebecca James</t>
        </is>
      </c>
      <c r="E79" s="8" t="inlineStr">
        <is>
          <t>PRD-0111</t>
        </is>
      </c>
      <c r="F79" s="8" t="inlineStr">
        <is>
          <t>1</t>
        </is>
      </c>
      <c r="G79" s="9" t="n">
        <v>63.37</v>
      </c>
      <c r="H79" s="8" t="inlineStr">
        <is>
          <t>0.1</t>
        </is>
      </c>
      <c r="I79" s="8" t="inlineStr">
        <is>
          <t>Freight</t>
        </is>
      </c>
      <c r="J79" s="8" t="inlineStr">
        <is>
          <t>Direct Web</t>
        </is>
      </c>
      <c r="K79" s="8" t="inlineStr">
        <is>
          <t>REG-APAC</t>
        </is>
      </c>
    </row>
    <row r="80">
      <c r="A80" s="8" t="inlineStr">
        <is>
          <t>ORD-000040</t>
        </is>
      </c>
      <c r="B80" s="8" t="inlineStr">
        <is>
          <t>2025-08-26</t>
        </is>
      </c>
      <c r="C80" s="8" t="inlineStr">
        <is>
          <t>CUST-04796</t>
        </is>
      </c>
      <c r="D80" s="8" t="inlineStr">
        <is>
          <t>Timothy Jimenez</t>
        </is>
      </c>
      <c r="E80" s="8" t="inlineStr">
        <is>
          <t>PRD-0182</t>
        </is>
      </c>
      <c r="F80" s="8" t="inlineStr">
        <is>
          <t>1</t>
        </is>
      </c>
      <c r="G80" s="9" t="n">
        <v>1423.65</v>
      </c>
      <c r="H80" s="8" t="inlineStr">
        <is>
          <t>0.0</t>
        </is>
      </c>
      <c r="I80" s="8" t="inlineStr">
        <is>
          <t>Express Air</t>
        </is>
      </c>
      <c r="J80" s="8" t="inlineStr">
        <is>
          <t>B2B Portal</t>
        </is>
      </c>
      <c r="K80" s="8" t="inlineStr">
        <is>
          <t>REG-APAC</t>
        </is>
      </c>
    </row>
    <row r="81">
      <c r="A81" s="8" t="inlineStr">
        <is>
          <t>ORD-000041</t>
        </is>
      </c>
      <c r="B81" s="8" t="inlineStr">
        <is>
          <t>2025-09-13</t>
        </is>
      </c>
      <c r="C81" s="8" t="inlineStr">
        <is>
          <t>CUST-06011</t>
        </is>
      </c>
      <c r="D81" s="8" t="inlineStr">
        <is>
          <t xml:space="preserve">  thomas garcia  </t>
        </is>
      </c>
      <c r="E81" s="8" t="inlineStr">
        <is>
          <t>PRD-0318</t>
        </is>
      </c>
      <c r="F81" s="8" t="inlineStr">
        <is>
          <t>2</t>
        </is>
      </c>
      <c r="G81" s="9" t="n">
        <v>130.98</v>
      </c>
      <c r="H81" s="8" t="inlineStr">
        <is>
          <t>0.05</t>
        </is>
      </c>
      <c r="I81" s="8" t="inlineStr">
        <is>
          <t>Standard Ground</t>
        </is>
      </c>
      <c r="J81" s="8" t="inlineStr">
        <is>
          <t>Mobile App</t>
        </is>
      </c>
      <c r="K81" s="8" t="inlineStr">
        <is>
          <t>REG-EU</t>
        </is>
      </c>
    </row>
    <row r="82">
      <c r="A82" s="8" t="inlineStr">
        <is>
          <t>ORD-000042</t>
        </is>
      </c>
      <c r="B82" s="8" t="inlineStr">
        <is>
          <t>2023-03-01</t>
        </is>
      </c>
      <c r="C82" s="8" t="inlineStr">
        <is>
          <t>CUST-07356</t>
        </is>
      </c>
      <c r="D82" s="8" t="inlineStr">
        <is>
          <t>Amanda Perez</t>
        </is>
      </c>
      <c r="E82" s="8" t="inlineStr">
        <is>
          <t>PRD-0434</t>
        </is>
      </c>
      <c r="F82" s="8" t="inlineStr">
        <is>
          <t>1</t>
        </is>
      </c>
      <c r="G82" s="9" t="n">
        <v>899.59</v>
      </c>
      <c r="H82" s="8" t="inlineStr">
        <is>
          <t>0.15</t>
        </is>
      </c>
      <c r="I82" s="8" t="inlineStr">
        <is>
          <t>Same-Day Priority</t>
        </is>
      </c>
      <c r="J82" s="8" t="inlineStr">
        <is>
          <t>Mobile App</t>
        </is>
      </c>
      <c r="K82" s="8" t="inlineStr">
        <is>
          <t>REG-EU</t>
        </is>
      </c>
    </row>
    <row r="83">
      <c r="A83" s="8" t="inlineStr">
        <is>
          <t>ORD-000042</t>
        </is>
      </c>
      <c r="B83" s="8" t="inlineStr">
        <is>
          <t>2023-03-01</t>
        </is>
      </c>
      <c r="C83" s="8" t="inlineStr">
        <is>
          <t>CUST-07356</t>
        </is>
      </c>
      <c r="D83" s="8" t="inlineStr">
        <is>
          <t>Amanda Perez</t>
        </is>
      </c>
      <c r="E83" s="8" t="inlineStr">
        <is>
          <t>PRD-0264</t>
        </is>
      </c>
      <c r="F83" s="8" t="inlineStr">
        <is>
          <t>1</t>
        </is>
      </c>
      <c r="G83" s="9" t="n">
        <v>705.08</v>
      </c>
      <c r="H83" s="8" t="inlineStr">
        <is>
          <t>0.1</t>
        </is>
      </c>
      <c r="I83" s="8" t="inlineStr">
        <is>
          <t>Same-Day Priority</t>
        </is>
      </c>
      <c r="J83" s="8" t="inlineStr">
        <is>
          <t>Mobile App</t>
        </is>
      </c>
      <c r="K83" s="8" t="inlineStr">
        <is>
          <t>REG-EU</t>
        </is>
      </c>
    </row>
    <row r="84">
      <c r="A84" s="8" t="inlineStr">
        <is>
          <t>ORD-000042</t>
        </is>
      </c>
      <c r="B84" s="8" t="inlineStr">
        <is>
          <t>2023-03-01</t>
        </is>
      </c>
      <c r="C84" s="8" t="inlineStr">
        <is>
          <t>CUST-07356</t>
        </is>
      </c>
      <c r="D84" s="8" t="inlineStr">
        <is>
          <t>Amanda Perez</t>
        </is>
      </c>
      <c r="E84" s="8" t="inlineStr">
        <is>
          <t>PRD-0243</t>
        </is>
      </c>
      <c r="F84" s="8" t="inlineStr">
        <is>
          <t>2</t>
        </is>
      </c>
      <c r="G84" s="9" t="n">
        <v>510.81</v>
      </c>
      <c r="H84" s="8" t="inlineStr">
        <is>
          <t>0.1</t>
        </is>
      </c>
      <c r="I84" s="8" t="inlineStr">
        <is>
          <t>Same-Day Priority</t>
        </is>
      </c>
      <c r="J84" s="8" t="inlineStr">
        <is>
          <t>Mobile App</t>
        </is>
      </c>
      <c r="K84" s="8" t="inlineStr">
        <is>
          <t>REG-EU</t>
        </is>
      </c>
    </row>
    <row r="85">
      <c r="A85" s="8" t="inlineStr">
        <is>
          <t>ORD-000042</t>
        </is>
      </c>
      <c r="B85" s="8" t="inlineStr">
        <is>
          <t>2023-03-01</t>
        </is>
      </c>
      <c r="C85" s="8" t="inlineStr">
        <is>
          <t>CUST-07356</t>
        </is>
      </c>
      <c r="D85" s="8" t="inlineStr">
        <is>
          <t>Amanda Perez</t>
        </is>
      </c>
      <c r="E85" s="8" t="inlineStr">
        <is>
          <t>PRD-0329</t>
        </is>
      </c>
      <c r="F85" s="8" t="inlineStr">
        <is>
          <t>1</t>
        </is>
      </c>
      <c r="G85" s="9" t="n">
        <v>1014.02</v>
      </c>
      <c r="H85" s="8" t="inlineStr">
        <is>
          <t>0.0</t>
        </is>
      </c>
      <c r="I85" s="8" t="inlineStr">
        <is>
          <t>Same-Day Priority</t>
        </is>
      </c>
      <c r="J85" s="8" t="inlineStr">
        <is>
          <t>Mobile App</t>
        </is>
      </c>
      <c r="K85" s="8" t="inlineStr">
        <is>
          <t>REG-EU</t>
        </is>
      </c>
    </row>
    <row r="86">
      <c r="A86" s="8" t="inlineStr">
        <is>
          <t>ORD-000043</t>
        </is>
      </c>
      <c r="B86" s="8" t="inlineStr">
        <is>
          <t>2024-01-11</t>
        </is>
      </c>
      <c r="C86" s="8" t="inlineStr">
        <is>
          <t>CUST-04116</t>
        </is>
      </c>
      <c r="D86" s="8" t="inlineStr">
        <is>
          <t>Steven Campbell</t>
        </is>
      </c>
      <c r="E86" s="8" t="inlineStr">
        <is>
          <t>PRD-0256</t>
        </is>
      </c>
      <c r="F86" s="8" t="inlineStr">
        <is>
          <t>2</t>
        </is>
      </c>
      <c r="G86" s="9" t="n">
        <v>235.18</v>
      </c>
      <c r="H86" s="8" t="inlineStr">
        <is>
          <t>0.0</t>
        </is>
      </c>
      <c r="I86" s="8" t="inlineStr">
        <is>
          <t>Express Air</t>
        </is>
      </c>
      <c r="J86" s="8" t="inlineStr">
        <is>
          <t>Direct Web</t>
        </is>
      </c>
      <c r="K86" s="8" t="inlineStr">
        <is>
          <t>REG-APAC</t>
        </is>
      </c>
    </row>
    <row r="87">
      <c r="A87" s="8" t="inlineStr">
        <is>
          <t>ORD-000043</t>
        </is>
      </c>
      <c r="B87" s="8" t="inlineStr">
        <is>
          <t>2024-01-11</t>
        </is>
      </c>
      <c r="C87" s="8" t="inlineStr">
        <is>
          <t>CUST-04116</t>
        </is>
      </c>
      <c r="D87" s="8" t="inlineStr">
        <is>
          <t>Steven Campbell</t>
        </is>
      </c>
      <c r="E87" s="8" t="inlineStr">
        <is>
          <t>PRD-0332</t>
        </is>
      </c>
      <c r="F87" s="8" t="inlineStr">
        <is>
          <t>1</t>
        </is>
      </c>
      <c r="G87" s="9" t="n">
        <v>82.03</v>
      </c>
      <c r="H87" s="8" t="inlineStr">
        <is>
          <t>0.0</t>
        </is>
      </c>
      <c r="I87" s="8" t="inlineStr">
        <is>
          <t>Express Air</t>
        </is>
      </c>
      <c r="J87" s="8" t="inlineStr">
        <is>
          <t>Direct Web</t>
        </is>
      </c>
      <c r="K87" s="8" t="inlineStr">
        <is>
          <t>REG-APAC</t>
        </is>
      </c>
    </row>
    <row r="88">
      <c r="A88" s="8" t="inlineStr">
        <is>
          <t>ORD-000044</t>
        </is>
      </c>
      <c r="B88" s="8" t="inlineStr">
        <is>
          <t>2024-04-29</t>
        </is>
      </c>
      <c r="C88" s="8" t="inlineStr">
        <is>
          <t>CUST-01005</t>
        </is>
      </c>
      <c r="D88" s="8" t="inlineStr">
        <is>
          <t>Michelle Turner</t>
        </is>
      </c>
      <c r="E88" s="8" t="inlineStr">
        <is>
          <t>PRD-0273</t>
        </is>
      </c>
      <c r="F88" s="8" t="inlineStr">
        <is>
          <t>1</t>
        </is>
      </c>
      <c r="G88" s="9" t="n">
        <v>19.23</v>
      </c>
      <c r="H88" s="8" t="inlineStr">
        <is>
          <t>0.2</t>
        </is>
      </c>
      <c r="I88" s="8" t="inlineStr">
        <is>
          <t>Standard Ground</t>
        </is>
      </c>
      <c r="J88" s="8" t="inlineStr">
        <is>
          <t>Direct Web</t>
        </is>
      </c>
      <c r="K88" s="8" t="inlineStr">
        <is>
          <t>REG-NA</t>
        </is>
      </c>
    </row>
    <row r="89">
      <c r="A89" s="8" t="inlineStr">
        <is>
          <t>ORD-000045</t>
        </is>
      </c>
      <c r="B89" s="8" t="inlineStr">
        <is>
          <t>2024-04-28</t>
        </is>
      </c>
      <c r="C89" s="8" t="inlineStr">
        <is>
          <t>CUST-02201</t>
        </is>
      </c>
      <c r="D89" s="8" t="inlineStr">
        <is>
          <t>Samuel Bailey</t>
        </is>
      </c>
      <c r="E89" s="8" t="inlineStr">
        <is>
          <t>PRD-0464</t>
        </is>
      </c>
      <c r="F89" s="8" t="inlineStr">
        <is>
          <t>2</t>
        </is>
      </c>
      <c r="G89" s="9" t="n">
        <v>21.08</v>
      </c>
      <c r="H89" s="8" t="inlineStr">
        <is>
          <t>0.15</t>
        </is>
      </c>
      <c r="I89" s="8" t="inlineStr">
        <is>
          <t>Standard Ground</t>
        </is>
      </c>
      <c r="J89" s="8" t="inlineStr">
        <is>
          <t>Direct Web</t>
        </is>
      </c>
      <c r="K89" s="8" t="inlineStr">
        <is>
          <t>REG-NA</t>
        </is>
      </c>
    </row>
    <row r="90">
      <c r="A90" s="8" t="inlineStr">
        <is>
          <t>ORD-000046</t>
        </is>
      </c>
      <c r="B90" s="8" t="inlineStr">
        <is>
          <t>2025-09-10</t>
        </is>
      </c>
      <c r="C90" s="8" t="inlineStr">
        <is>
          <t>CUST-07566</t>
        </is>
      </c>
      <c r="D90" s="8" t="inlineStr">
        <is>
          <t>Dennis Patel</t>
        </is>
      </c>
      <c r="E90" s="8" t="inlineStr">
        <is>
          <t>PRD-0250</t>
        </is>
      </c>
      <c r="F90" s="8" t="inlineStr">
        <is>
          <t>1</t>
        </is>
      </c>
      <c r="G90" s="9" t="n">
        <v>91.75</v>
      </c>
      <c r="H90" s="8" t="inlineStr">
        <is>
          <t>0.1</t>
        </is>
      </c>
      <c r="I90" s="8" t="inlineStr">
        <is>
          <t>Express Air</t>
        </is>
      </c>
      <c r="J90" s="8" t="inlineStr">
        <is>
          <t>Direct Web</t>
        </is>
      </c>
      <c r="K90" s="8" t="inlineStr">
        <is>
          <t>REG-NA</t>
        </is>
      </c>
    </row>
    <row r="91">
      <c r="A91" s="8" t="inlineStr">
        <is>
          <t>ORD-000047</t>
        </is>
      </c>
      <c r="B91" s="8" t="inlineStr">
        <is>
          <t>2025-11-03</t>
        </is>
      </c>
      <c r="C91" s="8" t="inlineStr">
        <is>
          <t>CUST-00902</t>
        </is>
      </c>
      <c r="D91" s="8" t="inlineStr">
        <is>
          <t>Rebecca Hill</t>
        </is>
      </c>
      <c r="E91" s="8" t="inlineStr">
        <is>
          <t>PRD-0496</t>
        </is>
      </c>
      <c r="F91" s="8" t="inlineStr">
        <is>
          <t>1</t>
        </is>
      </c>
      <c r="G91" s="9" t="n">
        <v>555.47</v>
      </c>
      <c r="H91" s="8" t="inlineStr">
        <is>
          <t>0.0</t>
        </is>
      </c>
      <c r="I91" s="8" t="inlineStr">
        <is>
          <t>Standard Ground</t>
        </is>
      </c>
      <c r="J91" s="8" t="inlineStr">
        <is>
          <t>Direct Web</t>
        </is>
      </c>
      <c r="K91" s="8" t="inlineStr">
        <is>
          <t>REG-EU</t>
        </is>
      </c>
    </row>
    <row r="92">
      <c r="A92" s="8" t="inlineStr">
        <is>
          <t>ORD-000047</t>
        </is>
      </c>
      <c r="B92" s="8" t="inlineStr">
        <is>
          <t>2025-11-03</t>
        </is>
      </c>
      <c r="C92" s="8" t="inlineStr">
        <is>
          <t>CUST-00902</t>
        </is>
      </c>
      <c r="D92" s="8" t="inlineStr">
        <is>
          <t>Rebecca Hill</t>
        </is>
      </c>
      <c r="E92" s="8" t="inlineStr">
        <is>
          <t>PRD-0197</t>
        </is>
      </c>
      <c r="F92" s="8" t="inlineStr">
        <is>
          <t>2</t>
        </is>
      </c>
      <c r="G92" s="9" t="n">
        <v>810.85</v>
      </c>
      <c r="H92" s="8" t="inlineStr">
        <is>
          <t>0.1</t>
        </is>
      </c>
      <c r="I92" s="8" t="inlineStr">
        <is>
          <t>Standard Ground</t>
        </is>
      </c>
      <c r="J92" s="8" t="inlineStr">
        <is>
          <t>Direct Web</t>
        </is>
      </c>
      <c r="K92" s="8" t="inlineStr">
        <is>
          <t>REG-EU</t>
        </is>
      </c>
    </row>
    <row r="93">
      <c r="A93" s="8" t="inlineStr">
        <is>
          <t>ORD-000048</t>
        </is>
      </c>
      <c r="B93" s="8" t="inlineStr">
        <is>
          <t>2024-03-21</t>
        </is>
      </c>
      <c r="C93" s="8" t="inlineStr">
        <is>
          <t>CUST-03522</t>
        </is>
      </c>
      <c r="D93" s="8" t="inlineStr">
        <is>
          <t>Sarah Wilson</t>
        </is>
      </c>
      <c r="E93" s="8" t="inlineStr">
        <is>
          <t>PRD-0451</t>
        </is>
      </c>
      <c r="F93" s="8" t="inlineStr">
        <is>
          <t>1</t>
        </is>
      </c>
      <c r="G93" s="9" t="n">
        <v>664.9400000000001</v>
      </c>
      <c r="H93" s="8" t="inlineStr">
        <is>
          <t>0.0</t>
        </is>
      </c>
      <c r="I93" s="8" t="inlineStr">
        <is>
          <t>Same-Day Priority</t>
        </is>
      </c>
      <c r="J93" s="8" t="inlineStr">
        <is>
          <t>Direct Web</t>
        </is>
      </c>
      <c r="K93" s="8" t="inlineStr">
        <is>
          <t>REG-EU</t>
        </is>
      </c>
    </row>
    <row r="94">
      <c r="A94" s="8" t="inlineStr">
        <is>
          <t>ORD-000049</t>
        </is>
      </c>
      <c r="B94" s="8" t="inlineStr">
        <is>
          <t>2024-11-13</t>
        </is>
      </c>
      <c r="C94" s="8" t="inlineStr">
        <is>
          <t>CUST-01209</t>
        </is>
      </c>
      <c r="D94" s="8" t="inlineStr">
        <is>
          <t>Scott Gomez</t>
        </is>
      </c>
      <c r="E94" s="8" t="inlineStr">
        <is>
          <t>PRD-0482</t>
        </is>
      </c>
      <c r="F94" s="8" t="inlineStr">
        <is>
          <t>1</t>
        </is>
      </c>
      <c r="G94" s="9" t="n">
        <v>1206.95</v>
      </c>
      <c r="H94" s="8" t="inlineStr">
        <is>
          <t>0.15</t>
        </is>
      </c>
      <c r="I94" s="8" t="inlineStr">
        <is>
          <t>Standard Ground</t>
        </is>
      </c>
      <c r="J94" s="8" t="inlineStr">
        <is>
          <t>Direct Web</t>
        </is>
      </c>
      <c r="K94" s="8" t="inlineStr">
        <is>
          <t>REG-EU</t>
        </is>
      </c>
    </row>
    <row r="95">
      <c r="A95" s="8" t="inlineStr">
        <is>
          <t>ORD-000049</t>
        </is>
      </c>
      <c r="B95" s="8" t="inlineStr">
        <is>
          <t>2024-11-13</t>
        </is>
      </c>
      <c r="C95" s="8" t="inlineStr">
        <is>
          <t>CUST-01209</t>
        </is>
      </c>
      <c r="D95" s="8" t="inlineStr">
        <is>
          <t>Scott Gomez</t>
        </is>
      </c>
      <c r="E95" s="8" t="inlineStr">
        <is>
          <t>PRD-0331</t>
        </is>
      </c>
      <c r="F95" s="8" t="inlineStr">
        <is>
          <t>2</t>
        </is>
      </c>
      <c r="G95" s="9" t="n">
        <v>1076.14</v>
      </c>
      <c r="H95" s="8" t="inlineStr">
        <is>
          <t>0.0</t>
        </is>
      </c>
      <c r="I95" s="8" t="inlineStr">
        <is>
          <t>Standard Ground</t>
        </is>
      </c>
      <c r="J95" s="8" t="inlineStr">
        <is>
          <t>Direct Web</t>
        </is>
      </c>
      <c r="K95" s="8" t="inlineStr">
        <is>
          <t>REG-EU</t>
        </is>
      </c>
    </row>
    <row r="96">
      <c r="A96" s="8" t="inlineStr">
        <is>
          <t>ORD-000049</t>
        </is>
      </c>
      <c r="B96" s="8" t="inlineStr">
        <is>
          <t>2024-11-13</t>
        </is>
      </c>
      <c r="C96" s="8" t="inlineStr">
        <is>
          <t>CUST-01209</t>
        </is>
      </c>
      <c r="D96" s="8" t="inlineStr">
        <is>
          <t>Scott Gomez</t>
        </is>
      </c>
      <c r="E96" s="8" t="inlineStr">
        <is>
          <t>PRD-0338</t>
        </is>
      </c>
      <c r="F96" s="8" t="inlineStr">
        <is>
          <t>1</t>
        </is>
      </c>
      <c r="G96" s="9" t="n">
        <v>76.98999999999999</v>
      </c>
      <c r="H96" s="8" t="inlineStr">
        <is>
          <t>0.1</t>
        </is>
      </c>
      <c r="I96" s="8" t="inlineStr">
        <is>
          <t>Standard Ground</t>
        </is>
      </c>
      <c r="J96" s="8" t="inlineStr">
        <is>
          <t>Direct Web</t>
        </is>
      </c>
      <c r="K96" s="8" t="inlineStr">
        <is>
          <t>REG-EU</t>
        </is>
      </c>
    </row>
    <row r="97">
      <c r="A97" s="8" t="inlineStr">
        <is>
          <t>ORD-000050</t>
        </is>
      </c>
      <c r="B97" s="8" t="inlineStr">
        <is>
          <t>2025-08-03</t>
        </is>
      </c>
      <c r="C97" s="8" t="inlineStr">
        <is>
          <t>CUST-00567</t>
        </is>
      </c>
      <c r="D97" s="8" t="inlineStr">
        <is>
          <t>Christine Castillo</t>
        </is>
      </c>
      <c r="E97" s="8" t="inlineStr">
        <is>
          <t>PRD-0205</t>
        </is>
      </c>
      <c r="F97" s="8" t="inlineStr">
        <is>
          <t>1</t>
        </is>
      </c>
      <c r="G97" s="9" t="n">
        <v>385.35</v>
      </c>
      <c r="H97" s="8" t="inlineStr">
        <is>
          <t>0.15</t>
        </is>
      </c>
      <c r="I97" s="8" t="inlineStr">
        <is>
          <t>Standard Ground</t>
        </is>
      </c>
      <c r="J97" s="8" t="inlineStr">
        <is>
          <t>Affiliate Partner</t>
        </is>
      </c>
      <c r="K97" s="8" t="inlineStr">
        <is>
          <t>REG-EU</t>
        </is>
      </c>
    </row>
    <row r="98">
      <c r="A98" s="8" t="inlineStr">
        <is>
          <t>ORD-000051</t>
        </is>
      </c>
      <c r="B98" s="8" t="inlineStr">
        <is>
          <t>2024-10-13</t>
        </is>
      </c>
      <c r="C98" s="8" t="inlineStr">
        <is>
          <t>CUST-05267</t>
        </is>
      </c>
      <c r="D98" s="8" t="inlineStr">
        <is>
          <t>Melissa Harris</t>
        </is>
      </c>
      <c r="E98" s="8" t="inlineStr">
        <is>
          <t>PRD-0401</t>
        </is>
      </c>
      <c r="F98" s="8" t="inlineStr">
        <is>
          <t>2</t>
        </is>
      </c>
      <c r="G98" s="9" t="n">
        <v>57.89</v>
      </c>
      <c r="H98" s="8" t="inlineStr">
        <is>
          <t>0.05</t>
        </is>
      </c>
      <c r="I98" s="8" t="inlineStr">
        <is>
          <t>Standard Ground</t>
        </is>
      </c>
      <c r="J98" s="8" t="inlineStr">
        <is>
          <t>Direct Web</t>
        </is>
      </c>
      <c r="K98" s="8" t="inlineStr">
        <is>
          <t>REG-EU</t>
        </is>
      </c>
    </row>
    <row r="99">
      <c r="A99" s="8" t="inlineStr">
        <is>
          <t>ORD-000051</t>
        </is>
      </c>
      <c r="B99" s="8" t="inlineStr">
        <is>
          <t>2024-10-13</t>
        </is>
      </c>
      <c r="C99" s="8" t="inlineStr">
        <is>
          <t>CUST-05267</t>
        </is>
      </c>
      <c r="D99" s="8" t="inlineStr">
        <is>
          <t>Melissa Harris</t>
        </is>
      </c>
      <c r="E99" s="8" t="inlineStr">
        <is>
          <t>PRD-0498</t>
        </is>
      </c>
      <c r="F99" s="8" t="inlineStr">
        <is>
          <t>1</t>
        </is>
      </c>
      <c r="G99" s="9" t="n">
        <v>63.17</v>
      </c>
      <c r="H99" s="8" t="inlineStr">
        <is>
          <t>0.0</t>
        </is>
      </c>
      <c r="I99" s="8" t="inlineStr">
        <is>
          <t>Standard Ground</t>
        </is>
      </c>
      <c r="J99" s="8" t="inlineStr">
        <is>
          <t>Direct Web</t>
        </is>
      </c>
      <c r="K99" s="8" t="inlineStr">
        <is>
          <t>REG-EU</t>
        </is>
      </c>
    </row>
    <row r="100">
      <c r="A100" s="8" t="inlineStr">
        <is>
          <t>ORD-000052</t>
        </is>
      </c>
      <c r="B100" s="8" t="inlineStr">
        <is>
          <t>2025-11-30</t>
        </is>
      </c>
      <c r="C100" s="8" t="inlineStr">
        <is>
          <t>CUST-00389</t>
        </is>
      </c>
      <c r="D100" s="8" t="inlineStr">
        <is>
          <t>Joseph Morris</t>
        </is>
      </c>
      <c r="E100" s="8" t="inlineStr">
        <is>
          <t>PRD-0239</t>
        </is>
      </c>
      <c r="F100" s="8" t="inlineStr">
        <is>
          <t>3</t>
        </is>
      </c>
      <c r="G100" s="9" t="n">
        <v>302.56</v>
      </c>
      <c r="H100" s="8" t="inlineStr">
        <is>
          <t>0.0</t>
        </is>
      </c>
      <c r="I100" s="8" t="inlineStr">
        <is>
          <t>Freight</t>
        </is>
      </c>
      <c r="J100" s="8" t="inlineStr">
        <is>
          <t>Direct Web</t>
        </is>
      </c>
      <c r="K100" s="8" t="inlineStr">
        <is>
          <t>REG-NA</t>
        </is>
      </c>
    </row>
    <row r="101">
      <c r="A101" s="8" t="inlineStr">
        <is>
          <t>ORD-000053</t>
        </is>
      </c>
      <c r="B101" s="8" t="inlineStr">
        <is>
          <t>2024-11-17</t>
        </is>
      </c>
      <c r="C101" s="8" t="inlineStr">
        <is>
          <t>CUST-07677</t>
        </is>
      </c>
      <c r="D101" s="8" t="inlineStr">
        <is>
          <t>Christopher Walker</t>
        </is>
      </c>
      <c r="E101" s="8" t="inlineStr">
        <is>
          <t>PRD-0297</t>
        </is>
      </c>
      <c r="F101" s="8" t="inlineStr">
        <is>
          <t>3</t>
        </is>
      </c>
      <c r="G101" s="9" t="n">
        <v>47.74</v>
      </c>
      <c r="H101" s="8" t="inlineStr">
        <is>
          <t>0.1</t>
        </is>
      </c>
      <c r="I101" s="8" t="inlineStr">
        <is>
          <t>Standard Ground</t>
        </is>
      </c>
      <c r="J101" s="8" t="inlineStr">
        <is>
          <t>Direct Web</t>
        </is>
      </c>
      <c r="K101" s="8" t="inlineStr">
        <is>
          <t>REG-NA</t>
        </is>
      </c>
    </row>
    <row r="102">
      <c r="A102" s="8" t="inlineStr">
        <is>
          <t>ORD-000054</t>
        </is>
      </c>
      <c r="B102" s="8" t="inlineStr">
        <is>
          <t>2024-04-08</t>
        </is>
      </c>
      <c r="C102" s="8" t="inlineStr">
        <is>
          <t>CUST-04127</t>
        </is>
      </c>
      <c r="D102" s="8" t="inlineStr">
        <is>
          <t>Paul Sanders</t>
        </is>
      </c>
      <c r="E102" s="8" t="inlineStr">
        <is>
          <t>PRD-0250</t>
        </is>
      </c>
      <c r="F102" s="8" t="inlineStr">
        <is>
          <t>1</t>
        </is>
      </c>
      <c r="G102" s="9" t="n">
        <v>91.75</v>
      </c>
      <c r="H102" s="8" t="inlineStr">
        <is>
          <t>0.0</t>
        </is>
      </c>
      <c r="I102" s="8" t="inlineStr">
        <is>
          <t>Standard Ground</t>
        </is>
      </c>
      <c r="J102" s="8" t="inlineStr">
        <is>
          <t>Mobile App</t>
        </is>
      </c>
      <c r="K102" s="8" t="inlineStr">
        <is>
          <t>REG-NA</t>
        </is>
      </c>
    </row>
    <row r="103">
      <c r="A103" s="8" t="inlineStr">
        <is>
          <t>ORD-000055</t>
        </is>
      </c>
      <c r="B103" s="8" t="inlineStr">
        <is>
          <t>2025-05-02</t>
        </is>
      </c>
      <c r="C103" s="8" t="inlineStr">
        <is>
          <t>CUST-03140</t>
        </is>
      </c>
      <c r="D103" s="8" t="inlineStr">
        <is>
          <t>Timothy Peterson</t>
        </is>
      </c>
      <c r="E103" s="8" t="inlineStr">
        <is>
          <t>PRD-0363</t>
        </is>
      </c>
      <c r="F103" s="8" t="inlineStr">
        <is>
          <t>1</t>
        </is>
      </c>
      <c r="G103" s="9" t="n">
        <v>40.42</v>
      </c>
      <c r="H103" s="8" t="inlineStr">
        <is>
          <t>0.0</t>
        </is>
      </c>
      <c r="I103" s="8" t="inlineStr">
        <is>
          <t>Freight</t>
        </is>
      </c>
      <c r="J103" s="8" t="inlineStr">
        <is>
          <t>Direct Web</t>
        </is>
      </c>
      <c r="K103" s="8" t="inlineStr">
        <is>
          <t>REG-LATAM</t>
        </is>
      </c>
    </row>
    <row r="104">
      <c r="A104" s="8" t="inlineStr">
        <is>
          <t>ORD-000055</t>
        </is>
      </c>
      <c r="B104" s="8" t="inlineStr">
        <is>
          <t>2025-05-02</t>
        </is>
      </c>
      <c r="C104" s="8" t="inlineStr">
        <is>
          <t>CUST-03140</t>
        </is>
      </c>
      <c r="D104" s="8" t="inlineStr">
        <is>
          <t>Timothy Peterson</t>
        </is>
      </c>
      <c r="E104" s="8" t="inlineStr">
        <is>
          <t>PRD-0217</t>
        </is>
      </c>
      <c r="F104" s="8" t="inlineStr">
        <is>
          <t>5</t>
        </is>
      </c>
      <c r="G104" s="9" t="n">
        <v>457.08</v>
      </c>
      <c r="H104" s="8" t="inlineStr">
        <is>
          <t>0.0</t>
        </is>
      </c>
      <c r="I104" s="8" t="inlineStr">
        <is>
          <t>Freight</t>
        </is>
      </c>
      <c r="J104" s="8" t="inlineStr">
        <is>
          <t>Direct Web</t>
        </is>
      </c>
      <c r="K104" s="8" t="inlineStr">
        <is>
          <t>REG-LATAM</t>
        </is>
      </c>
    </row>
    <row r="105">
      <c r="A105" s="8" t="inlineStr">
        <is>
          <t>ORD-000055</t>
        </is>
      </c>
      <c r="B105" s="8" t="inlineStr">
        <is>
          <t>2025-05-02</t>
        </is>
      </c>
      <c r="C105" s="8" t="inlineStr">
        <is>
          <t>CUST-03140</t>
        </is>
      </c>
      <c r="D105" s="8" t="inlineStr">
        <is>
          <t>Timothy Peterson</t>
        </is>
      </c>
      <c r="E105" s="8" t="inlineStr">
        <is>
          <t>PRD-0390</t>
        </is>
      </c>
      <c r="F105" s="8" t="inlineStr">
        <is>
          <t>2</t>
        </is>
      </c>
      <c r="G105" s="9" t="n">
        <v>260.6</v>
      </c>
      <c r="H105" s="8" t="inlineStr">
        <is>
          <t>0.0</t>
        </is>
      </c>
      <c r="I105" s="8" t="inlineStr">
        <is>
          <t>Freight</t>
        </is>
      </c>
      <c r="J105" s="8" t="inlineStr">
        <is>
          <t>Direct Web</t>
        </is>
      </c>
      <c r="K105" s="8" t="inlineStr">
        <is>
          <t>REG-LATAM</t>
        </is>
      </c>
    </row>
    <row r="106">
      <c r="A106" s="8" t="inlineStr">
        <is>
          <t>ORD-000055</t>
        </is>
      </c>
      <c r="B106" s="8" t="inlineStr">
        <is>
          <t>2025-05-02</t>
        </is>
      </c>
      <c r="C106" s="8" t="inlineStr">
        <is>
          <t>CUST-03140</t>
        </is>
      </c>
      <c r="D106" s="8" t="inlineStr">
        <is>
          <t>Timothy Peterson</t>
        </is>
      </c>
      <c r="E106" s="8" t="inlineStr">
        <is>
          <t>PRD-0230</t>
        </is>
      </c>
      <c r="F106" s="8" t="inlineStr">
        <is>
          <t>4</t>
        </is>
      </c>
      <c r="G106" s="9" t="n">
        <v>54.32</v>
      </c>
      <c r="H106" s="8" t="inlineStr">
        <is>
          <t>0.2</t>
        </is>
      </c>
      <c r="I106" s="8" t="inlineStr">
        <is>
          <t>Freight</t>
        </is>
      </c>
      <c r="J106" s="8" t="inlineStr">
        <is>
          <t>Direct Web</t>
        </is>
      </c>
      <c r="K106" s="8" t="inlineStr">
        <is>
          <t>REG-LATAM</t>
        </is>
      </c>
    </row>
    <row r="107">
      <c r="A107" s="8" t="inlineStr">
        <is>
          <t>ORD-000056</t>
        </is>
      </c>
      <c r="B107" s="8" t="inlineStr">
        <is>
          <t>2024-05-08</t>
        </is>
      </c>
      <c r="C107" s="8" t="inlineStr">
        <is>
          <t>CUST-05290</t>
        </is>
      </c>
      <c r="D107" s="8" t="inlineStr">
        <is>
          <t>Raymond Walker</t>
        </is>
      </c>
      <c r="E107" s="8" t="inlineStr">
        <is>
          <t>PRD-0190</t>
        </is>
      </c>
      <c r="F107" s="8" t="inlineStr">
        <is>
          <t>1</t>
        </is>
      </c>
      <c r="G107" s="9" t="n">
        <v>33.02</v>
      </c>
      <c r="H107" s="8" t="inlineStr">
        <is>
          <t>0.0</t>
        </is>
      </c>
      <c r="I107" s="8" t="inlineStr">
        <is>
          <t>Standard Ground</t>
        </is>
      </c>
      <c r="J107" s="8" t="inlineStr">
        <is>
          <t>Mobile App</t>
        </is>
      </c>
      <c r="K107" s="8" t="inlineStr">
        <is>
          <t>REG-EU</t>
        </is>
      </c>
    </row>
    <row r="108">
      <c r="A108" s="8" t="inlineStr">
        <is>
          <t>ORD-000056</t>
        </is>
      </c>
      <c r="B108" s="8" t="inlineStr">
        <is>
          <t>2024-05-08</t>
        </is>
      </c>
      <c r="C108" s="8" t="inlineStr">
        <is>
          <t>CUST-05290</t>
        </is>
      </c>
      <c r="D108" s="8" t="inlineStr">
        <is>
          <t>Raymond Walker</t>
        </is>
      </c>
      <c r="E108" s="8" t="inlineStr">
        <is>
          <t>PRD-0124</t>
        </is>
      </c>
      <c r="F108" s="8" t="inlineStr">
        <is>
          <t>2</t>
        </is>
      </c>
      <c r="G108" s="9" t="n">
        <v>265.24</v>
      </c>
      <c r="H108" s="8" t="inlineStr">
        <is>
          <t>0.2</t>
        </is>
      </c>
      <c r="I108" s="8" t="inlineStr">
        <is>
          <t>Standard Ground</t>
        </is>
      </c>
      <c r="J108" s="8" t="inlineStr">
        <is>
          <t>Mobile App</t>
        </is>
      </c>
      <c r="K108" s="8" t="inlineStr">
        <is>
          <t>REG-EU</t>
        </is>
      </c>
    </row>
    <row r="109">
      <c r="A109" s="8" t="inlineStr">
        <is>
          <t>ORD-000057</t>
        </is>
      </c>
      <c r="B109" s="8" t="inlineStr">
        <is>
          <t>2023-06-30</t>
        </is>
      </c>
      <c r="C109" s="8" t="inlineStr">
        <is>
          <t>CUST-01734</t>
        </is>
      </c>
      <c r="D109" s="8" t="inlineStr">
        <is>
          <t xml:space="preserve">  sarah ramirez  </t>
        </is>
      </c>
      <c r="E109" s="8" t="inlineStr">
        <is>
          <t>PRD-0456</t>
        </is>
      </c>
      <c r="F109" s="8" t="inlineStr">
        <is>
          <t>2</t>
        </is>
      </c>
      <c r="G109" s="9" t="n">
        <v>148.24</v>
      </c>
      <c r="H109" s="8" t="inlineStr">
        <is>
          <t>0.25</t>
        </is>
      </c>
      <c r="I109" s="8" t="inlineStr">
        <is>
          <t>Express Air</t>
        </is>
      </c>
      <c r="J109" s="8" t="inlineStr">
        <is>
          <t>B2B Portal</t>
        </is>
      </c>
      <c r="K109" s="8" t="inlineStr">
        <is>
          <t>REG-EU</t>
        </is>
      </c>
    </row>
    <row r="110">
      <c r="A110" s="8" t="inlineStr">
        <is>
          <t>ORD-000057</t>
        </is>
      </c>
      <c r="B110" s="8" t="inlineStr">
        <is>
          <t>2023-06-30</t>
        </is>
      </c>
      <c r="C110" s="8" t="inlineStr">
        <is>
          <t>CUST-01734</t>
        </is>
      </c>
      <c r="D110" s="8" t="inlineStr">
        <is>
          <t xml:space="preserve">  sarah ramirez  </t>
        </is>
      </c>
      <c r="E110" s="8" t="inlineStr">
        <is>
          <t>PRD-0283</t>
        </is>
      </c>
      <c r="F110" s="8" t="inlineStr">
        <is>
          <t>4</t>
        </is>
      </c>
      <c r="G110" s="9" t="n">
        <v>778.89</v>
      </c>
      <c r="H110" s="8" t="inlineStr">
        <is>
          <t>0.05</t>
        </is>
      </c>
      <c r="I110" s="8" t="inlineStr">
        <is>
          <t>Express Air</t>
        </is>
      </c>
      <c r="J110" s="8" t="inlineStr">
        <is>
          <t>B2B Portal</t>
        </is>
      </c>
      <c r="K110" s="8" t="inlineStr">
        <is>
          <t>REG-EU</t>
        </is>
      </c>
    </row>
    <row r="111">
      <c r="A111" s="8" t="inlineStr">
        <is>
          <t>ORD-000058</t>
        </is>
      </c>
      <c r="B111" s="8" t="inlineStr">
        <is>
          <t>2024-08-02</t>
        </is>
      </c>
      <c r="C111" s="8" t="inlineStr">
        <is>
          <t>CUST-04587</t>
        </is>
      </c>
      <c r="D111" s="8" t="inlineStr">
        <is>
          <t>Kevin Jimenez</t>
        </is>
      </c>
      <c r="E111" s="8" t="inlineStr">
        <is>
          <t>PRD-0258</t>
        </is>
      </c>
      <c r="F111" s="8" t="inlineStr">
        <is>
          <t>3</t>
        </is>
      </c>
      <c r="G111" s="9" t="n">
        <v>636.27</v>
      </c>
      <c r="H111" s="8" t="inlineStr">
        <is>
          <t>0.15</t>
        </is>
      </c>
      <c r="I111" s="8" t="inlineStr">
        <is>
          <t>Standard Ground</t>
        </is>
      </c>
      <c r="J111" s="8" t="inlineStr">
        <is>
          <t>Mobile App</t>
        </is>
      </c>
      <c r="K111" s="8" t="inlineStr">
        <is>
          <t>REG-NA</t>
        </is>
      </c>
    </row>
    <row r="112">
      <c r="A112" s="8" t="inlineStr">
        <is>
          <t>ORD-000058</t>
        </is>
      </c>
      <c r="B112" s="8" t="inlineStr">
        <is>
          <t>2024-08-02</t>
        </is>
      </c>
      <c r="C112" s="8" t="inlineStr">
        <is>
          <t>CUST-04587</t>
        </is>
      </c>
      <c r="D112" s="8" t="inlineStr">
        <is>
          <t>Kevin Jimenez</t>
        </is>
      </c>
      <c r="E112" s="8" t="inlineStr">
        <is>
          <t>PRD-0203</t>
        </is>
      </c>
      <c r="F112" s="8" t="inlineStr">
        <is>
          <t>1</t>
        </is>
      </c>
      <c r="G112" s="9" t="n">
        <v>991.36</v>
      </c>
      <c r="H112" s="8" t="inlineStr">
        <is>
          <t>0%</t>
        </is>
      </c>
      <c r="I112" s="8" t="inlineStr">
        <is>
          <t>Standard Ground</t>
        </is>
      </c>
      <c r="J112" s="8" t="inlineStr">
        <is>
          <t>Mobile App</t>
        </is>
      </c>
      <c r="K112" s="8" t="inlineStr">
        <is>
          <t>REG-NA</t>
        </is>
      </c>
    </row>
    <row r="113">
      <c r="A113" s="8" t="inlineStr">
        <is>
          <t>ORD-000058</t>
        </is>
      </c>
      <c r="B113" s="8" t="inlineStr">
        <is>
          <t>2024-08-02</t>
        </is>
      </c>
      <c r="C113" s="8" t="inlineStr">
        <is>
          <t>CUST-04587</t>
        </is>
      </c>
      <c r="D113" s="8" t="inlineStr">
        <is>
          <t>Kevin Jimenez</t>
        </is>
      </c>
      <c r="E113" s="8" t="inlineStr">
        <is>
          <t>PRD-0220</t>
        </is>
      </c>
      <c r="F113" s="8" t="inlineStr">
        <is>
          <t>1</t>
        </is>
      </c>
      <c r="G113" s="9" t="n">
        <v>472.5</v>
      </c>
      <c r="H113" s="8" t="inlineStr">
        <is>
          <t>0.15</t>
        </is>
      </c>
      <c r="I113" s="8" t="inlineStr">
        <is>
          <t>Standard Ground</t>
        </is>
      </c>
      <c r="J113" s="8" t="inlineStr">
        <is>
          <t>Mobile App</t>
        </is>
      </c>
      <c r="K113" s="8" t="inlineStr">
        <is>
          <t>REG-NA</t>
        </is>
      </c>
    </row>
    <row r="114">
      <c r="A114" s="8" t="inlineStr">
        <is>
          <t>ORD-000058</t>
        </is>
      </c>
      <c r="B114" s="8" t="inlineStr">
        <is>
          <t>2024-08-02</t>
        </is>
      </c>
      <c r="C114" s="8" t="inlineStr">
        <is>
          <t>CUST-04587</t>
        </is>
      </c>
      <c r="D114" s="8" t="inlineStr">
        <is>
          <t>Kevin Jimenez</t>
        </is>
      </c>
      <c r="E114" s="8" t="inlineStr">
        <is>
          <t>PRD-0465</t>
        </is>
      </c>
      <c r="F114" s="8" t="inlineStr">
        <is>
          <t>1</t>
        </is>
      </c>
      <c r="G114" s="9" t="n">
        <v>36.72</v>
      </c>
      <c r="H114" s="8" t="inlineStr">
        <is>
          <t>0.05</t>
        </is>
      </c>
      <c r="I114" s="8" t="inlineStr">
        <is>
          <t>Standard Ground</t>
        </is>
      </c>
      <c r="J114" s="8" t="inlineStr">
        <is>
          <t>Mobile App</t>
        </is>
      </c>
      <c r="K114" s="8" t="inlineStr">
        <is>
          <t>REG-NA</t>
        </is>
      </c>
    </row>
    <row r="115">
      <c r="A115" s="8" t="inlineStr">
        <is>
          <t>ORD-000059</t>
        </is>
      </c>
      <c r="B115" s="8" t="inlineStr">
        <is>
          <t>2024-12-26</t>
        </is>
      </c>
      <c r="C115" s="8" t="inlineStr">
        <is>
          <t>CUST-03166</t>
        </is>
      </c>
      <c r="D115" s="8" t="inlineStr">
        <is>
          <t>Kimberly Kelly</t>
        </is>
      </c>
      <c r="E115" s="8" t="inlineStr">
        <is>
          <t>PRD-0069</t>
        </is>
      </c>
      <c r="F115" s="8" t="inlineStr">
        <is>
          <t>2</t>
        </is>
      </c>
      <c r="G115" s="9" t="n">
        <v>58.36</v>
      </c>
      <c r="H115" s="8" t="inlineStr">
        <is>
          <t>0.1</t>
        </is>
      </c>
      <c r="I115" s="8" t="inlineStr">
        <is>
          <t>Freight</t>
        </is>
      </c>
      <c r="J115" s="8" t="inlineStr">
        <is>
          <t>Affiliate Partner</t>
        </is>
      </c>
      <c r="K115" s="8" t="inlineStr">
        <is>
          <t>REG-NA</t>
        </is>
      </c>
    </row>
    <row r="116">
      <c r="A116" s="8" t="inlineStr">
        <is>
          <t>ORD-000060</t>
        </is>
      </c>
      <c r="B116" s="8" t="inlineStr">
        <is>
          <t>2023-11-01</t>
        </is>
      </c>
      <c r="C116" s="8" t="inlineStr">
        <is>
          <t>CUST-01461</t>
        </is>
      </c>
      <c r="D116" s="8" t="inlineStr">
        <is>
          <t>Jonathan Kim</t>
        </is>
      </c>
      <c r="E116" s="8" t="inlineStr">
        <is>
          <t>PRD-0292</t>
        </is>
      </c>
      <c r="F116" s="8" t="inlineStr">
        <is>
          <t>1</t>
        </is>
      </c>
      <c r="G116" s="9" t="n">
        <v>44.76</v>
      </c>
      <c r="H116" s="8" t="inlineStr">
        <is>
          <t>0.0</t>
        </is>
      </c>
      <c r="I116" s="8" t="inlineStr">
        <is>
          <t>Standard Ground</t>
        </is>
      </c>
      <c r="J116" s="8" t="inlineStr">
        <is>
          <t>Mobile App</t>
        </is>
      </c>
      <c r="K116" s="8" t="inlineStr">
        <is>
          <t>REG-LATAM</t>
        </is>
      </c>
    </row>
    <row r="117">
      <c r="A117" s="8" t="inlineStr">
        <is>
          <t>ORD-000061</t>
        </is>
      </c>
      <c r="B117" s="8" t="inlineStr">
        <is>
          <t>2023-11-22</t>
        </is>
      </c>
      <c r="C117" s="8" t="inlineStr">
        <is>
          <t>CUST-04236</t>
        </is>
      </c>
      <c r="D117" s="8" t="inlineStr">
        <is>
          <t>Aaron Thompson</t>
        </is>
      </c>
      <c r="E117" s="8" t="inlineStr">
        <is>
          <t>PRD-0170</t>
        </is>
      </c>
      <c r="F117" s="8" t="inlineStr">
        <is>
          <t>1</t>
        </is>
      </c>
      <c r="G117" s="9" t="n">
        <v>111</v>
      </c>
      <c r="H117" s="8" t="inlineStr">
        <is>
          <t>0.0</t>
        </is>
      </c>
      <c r="I117" s="8" t="inlineStr">
        <is>
          <t>Express Air</t>
        </is>
      </c>
      <c r="J117" s="8" t="inlineStr">
        <is>
          <t>Mobile App</t>
        </is>
      </c>
      <c r="K117" s="8" t="inlineStr">
        <is>
          <t>REG-NA</t>
        </is>
      </c>
    </row>
    <row r="118">
      <c r="A118" s="8" t="inlineStr">
        <is>
          <t>ORD-000061</t>
        </is>
      </c>
      <c r="B118" s="8" t="inlineStr">
        <is>
          <t>2023-11-22</t>
        </is>
      </c>
      <c r="C118" s="8" t="inlineStr">
        <is>
          <t>CUST-04236</t>
        </is>
      </c>
      <c r="D118" s="8" t="inlineStr">
        <is>
          <t>Aaron Thompson</t>
        </is>
      </c>
      <c r="E118" s="8" t="inlineStr">
        <is>
          <t>PRD-0454</t>
        </is>
      </c>
      <c r="F118" s="8" t="inlineStr">
        <is>
          <t>1</t>
        </is>
      </c>
      <c r="G118" s="9" t="n">
        <v>745.9400000000001</v>
      </c>
      <c r="H118" s="8" t="inlineStr">
        <is>
          <t>0.15</t>
        </is>
      </c>
      <c r="I118" s="8" t="inlineStr">
        <is>
          <t>Express Air</t>
        </is>
      </c>
      <c r="J118" s="8" t="inlineStr">
        <is>
          <t>Mobile App</t>
        </is>
      </c>
      <c r="K118" s="8" t="inlineStr">
        <is>
          <t>REG-NA</t>
        </is>
      </c>
    </row>
    <row r="119">
      <c r="A119" s="8" t="inlineStr">
        <is>
          <t>ORD-000061</t>
        </is>
      </c>
      <c r="B119" s="8" t="inlineStr">
        <is>
          <t>2023-11-22</t>
        </is>
      </c>
      <c r="C119" s="8" t="inlineStr">
        <is>
          <t>CUST-04236</t>
        </is>
      </c>
      <c r="D119" s="8" t="inlineStr">
        <is>
          <t>Aaron Thompson</t>
        </is>
      </c>
      <c r="E119" s="8" t="inlineStr">
        <is>
          <t>PRD-0346</t>
        </is>
      </c>
      <c r="F119" s="8" t="inlineStr">
        <is>
          <t>5</t>
        </is>
      </c>
      <c r="G119" s="9" t="n">
        <v>61.49</v>
      </c>
      <c r="H119" s="8" t="inlineStr">
        <is>
          <t>0%</t>
        </is>
      </c>
      <c r="I119" s="8" t="inlineStr">
        <is>
          <t>Express Air</t>
        </is>
      </c>
      <c r="J119" s="8" t="inlineStr">
        <is>
          <t>Mobile App</t>
        </is>
      </c>
      <c r="K119" s="8" t="inlineStr">
        <is>
          <t>REG-NA</t>
        </is>
      </c>
    </row>
    <row r="120">
      <c r="A120" s="8" t="inlineStr">
        <is>
          <t>ORD-000061</t>
        </is>
      </c>
      <c r="B120" s="8" t="inlineStr">
        <is>
          <t>2023-11-22</t>
        </is>
      </c>
      <c r="C120" s="8" t="inlineStr">
        <is>
          <t>CUST-04236</t>
        </is>
      </c>
      <c r="D120" s="8" t="inlineStr">
        <is>
          <t>Aaron Thompson</t>
        </is>
      </c>
      <c r="E120" s="8" t="inlineStr">
        <is>
          <t>PRD-0142</t>
        </is>
      </c>
      <c r="F120" s="8" t="inlineStr">
        <is>
          <t>5</t>
        </is>
      </c>
      <c r="G120" s="9" t="n">
        <v>44.6</v>
      </c>
      <c r="H120" s="8" t="inlineStr">
        <is>
          <t>0.1</t>
        </is>
      </c>
      <c r="I120" s="8" t="inlineStr">
        <is>
          <t>Express Air</t>
        </is>
      </c>
      <c r="J120" s="8" t="inlineStr">
        <is>
          <t>Mobile App</t>
        </is>
      </c>
      <c r="K120" s="8" t="inlineStr">
        <is>
          <t>REG-NA</t>
        </is>
      </c>
    </row>
    <row r="121">
      <c r="A121" s="8" t="inlineStr">
        <is>
          <t>ORD-000062</t>
        </is>
      </c>
      <c r="B121" s="8" t="inlineStr">
        <is>
          <t>2024-12-26</t>
        </is>
      </c>
      <c r="C121" s="8" t="inlineStr">
        <is>
          <t>CUST-02482</t>
        </is>
      </c>
      <c r="D121" s="8" t="inlineStr">
        <is>
          <t>Mark Martinez</t>
        </is>
      </c>
      <c r="E121" s="8" t="inlineStr">
        <is>
          <t>PRD-0455</t>
        </is>
      </c>
      <c r="F121" s="8" t="inlineStr">
        <is>
          <t>1</t>
        </is>
      </c>
      <c r="G121" s="9" t="n">
        <v>63.62</v>
      </c>
      <c r="H121" s="8" t="inlineStr">
        <is>
          <t>0.15</t>
        </is>
      </c>
      <c r="I121" s="8" t="inlineStr">
        <is>
          <t>Express Air</t>
        </is>
      </c>
      <c r="J121" s="8" t="inlineStr">
        <is>
          <t>Direct Web</t>
        </is>
      </c>
      <c r="K121" s="8" t="inlineStr">
        <is>
          <t>REG-APAC</t>
        </is>
      </c>
    </row>
    <row r="122">
      <c r="A122" s="8" t="inlineStr">
        <is>
          <t>ORD-000062</t>
        </is>
      </c>
      <c r="B122" s="8" t="inlineStr">
        <is>
          <t>2024-12-26</t>
        </is>
      </c>
      <c r="C122" s="8" t="inlineStr">
        <is>
          <t>CUST-02482</t>
        </is>
      </c>
      <c r="D122" s="8" t="inlineStr">
        <is>
          <t>Mark Martinez</t>
        </is>
      </c>
      <c r="E122" s="8" t="inlineStr">
        <is>
          <t>PRD-0184</t>
        </is>
      </c>
      <c r="F122" s="8" t="inlineStr">
        <is>
          <t>1</t>
        </is>
      </c>
      <c r="G122" s="9" t="n">
        <v>79.56999999999999</v>
      </c>
      <c r="H122" s="8" t="inlineStr">
        <is>
          <t>0.0</t>
        </is>
      </c>
      <c r="I122" s="8" t="inlineStr">
        <is>
          <t>Express Air</t>
        </is>
      </c>
      <c r="J122" s="8" t="inlineStr">
        <is>
          <t>Direct Web</t>
        </is>
      </c>
      <c r="K122" s="8" t="inlineStr">
        <is>
          <t>REG-APAC</t>
        </is>
      </c>
    </row>
    <row r="123">
      <c r="A123" s="8" t="inlineStr">
        <is>
          <t>ORD-000062</t>
        </is>
      </c>
      <c r="B123" s="8" t="inlineStr">
        <is>
          <t>2024-12-26</t>
        </is>
      </c>
      <c r="C123" s="8" t="inlineStr">
        <is>
          <t>CUST-02482</t>
        </is>
      </c>
      <c r="D123" s="8" t="inlineStr">
        <is>
          <t>Mark Martinez</t>
        </is>
      </c>
      <c r="E123" s="8" t="inlineStr">
        <is>
          <t>PRD-0293</t>
        </is>
      </c>
      <c r="F123" s="8" t="inlineStr">
        <is>
          <t>3</t>
        </is>
      </c>
      <c r="G123" s="9" t="n">
        <v>231.64</v>
      </c>
      <c r="H123" s="8" t="inlineStr">
        <is>
          <t>0.0</t>
        </is>
      </c>
      <c r="I123" s="8" t="inlineStr">
        <is>
          <t>Express Air</t>
        </is>
      </c>
      <c r="J123" s="8" t="inlineStr">
        <is>
          <t>Direct Web</t>
        </is>
      </c>
      <c r="K123" s="8" t="inlineStr">
        <is>
          <t>REG-APAC</t>
        </is>
      </c>
    </row>
    <row r="124">
      <c r="A124" s="8" t="inlineStr">
        <is>
          <t>ORD-000062</t>
        </is>
      </c>
      <c r="B124" s="8" t="inlineStr">
        <is>
          <t>2024-12-26</t>
        </is>
      </c>
      <c r="C124" s="8" t="inlineStr">
        <is>
          <t>CUST-02482</t>
        </is>
      </c>
      <c r="D124" s="8" t="inlineStr">
        <is>
          <t>Mark Martinez</t>
        </is>
      </c>
      <c r="E124" s="8" t="inlineStr">
        <is>
          <t>PRD-0120</t>
        </is>
      </c>
      <c r="F124" s="8" t="inlineStr">
        <is>
          <t>1</t>
        </is>
      </c>
      <c r="G124" s="9" t="n">
        <v>1001.04</v>
      </c>
      <c r="H124" s="8" t="inlineStr">
        <is>
          <t>0.05</t>
        </is>
      </c>
      <c r="I124" s="8" t="inlineStr">
        <is>
          <t>Express Air</t>
        </is>
      </c>
      <c r="J124" s="8" t="inlineStr">
        <is>
          <t>Direct Web</t>
        </is>
      </c>
      <c r="K124" s="8" t="inlineStr">
        <is>
          <t>REG-APAC</t>
        </is>
      </c>
    </row>
    <row r="125">
      <c r="A125" s="8" t="inlineStr">
        <is>
          <t>ORD-000062</t>
        </is>
      </c>
      <c r="B125" s="8" t="inlineStr">
        <is>
          <t>2024-12-26</t>
        </is>
      </c>
      <c r="C125" s="8" t="inlineStr">
        <is>
          <t>CUST-02482</t>
        </is>
      </c>
      <c r="D125" s="8" t="inlineStr">
        <is>
          <t>Mark Martinez</t>
        </is>
      </c>
      <c r="E125" s="8" t="inlineStr">
        <is>
          <t>PRD-0188</t>
        </is>
      </c>
      <c r="F125" s="8" t="inlineStr">
        <is>
          <t>1</t>
        </is>
      </c>
      <c r="G125" s="9" t="n">
        <v>946.83</v>
      </c>
      <c r="H125" s="8" t="inlineStr">
        <is>
          <t>0.05</t>
        </is>
      </c>
      <c r="I125" s="8" t="inlineStr">
        <is>
          <t>Express Air</t>
        </is>
      </c>
      <c r="J125" s="8" t="inlineStr">
        <is>
          <t>Direct Web</t>
        </is>
      </c>
      <c r="K125" s="8" t="inlineStr">
        <is>
          <t>REG-APAC</t>
        </is>
      </c>
    </row>
    <row r="126">
      <c r="A126" s="8" t="inlineStr">
        <is>
          <t>ORD-000063</t>
        </is>
      </c>
      <c r="B126" s="8" t="inlineStr">
        <is>
          <t>2024-08-11</t>
        </is>
      </c>
      <c r="C126" s="8" t="inlineStr">
        <is>
          <t>CUST-06992</t>
        </is>
      </c>
      <c r="D126" s="8" t="inlineStr">
        <is>
          <t>William Evans</t>
        </is>
      </c>
      <c r="E126" s="8" t="inlineStr">
        <is>
          <t>PRD-0309</t>
        </is>
      </c>
      <c r="F126" s="8" t="inlineStr">
        <is>
          <t>3</t>
        </is>
      </c>
      <c r="G126" s="9" t="n">
        <v>632.1799999999999</v>
      </c>
      <c r="H126" s="8" t="inlineStr">
        <is>
          <t>0.2</t>
        </is>
      </c>
      <c r="I126" s="8" t="inlineStr">
        <is>
          <t>Express Air</t>
        </is>
      </c>
      <c r="J126" s="8" t="inlineStr">
        <is>
          <t>Direct Web</t>
        </is>
      </c>
      <c r="K126" s="8" t="inlineStr">
        <is>
          <t>REG-EU</t>
        </is>
      </c>
    </row>
    <row r="127">
      <c r="A127" s="8" t="inlineStr">
        <is>
          <t>ORD-000063</t>
        </is>
      </c>
      <c r="B127" s="8" t="inlineStr">
        <is>
          <t>2024-08-11</t>
        </is>
      </c>
      <c r="C127" s="8" t="inlineStr">
        <is>
          <t>CUST-06992</t>
        </is>
      </c>
      <c r="D127" s="8" t="inlineStr">
        <is>
          <t>William Evans</t>
        </is>
      </c>
      <c r="E127" s="8" t="inlineStr">
        <is>
          <t>PRD-0176</t>
        </is>
      </c>
      <c r="F127" s="8" t="inlineStr">
        <is>
          <t>1</t>
        </is>
      </c>
      <c r="G127" s="9" t="n">
        <v>18.25</v>
      </c>
      <c r="H127" s="8" t="inlineStr">
        <is>
          <t>0.05</t>
        </is>
      </c>
      <c r="I127" s="8" t="inlineStr">
        <is>
          <t>Express Air</t>
        </is>
      </c>
      <c r="J127" s="8" t="inlineStr">
        <is>
          <t>Direct Web</t>
        </is>
      </c>
      <c r="K127" s="8" t="inlineStr">
        <is>
          <t>REG-EU</t>
        </is>
      </c>
    </row>
    <row r="128">
      <c r="A128" s="8" t="inlineStr">
        <is>
          <t>ORD-000064</t>
        </is>
      </c>
      <c r="B128" s="8" t="inlineStr">
        <is>
          <t>2024-10-12</t>
        </is>
      </c>
      <c r="C128" s="8" t="inlineStr">
        <is>
          <t>CUST-03544</t>
        </is>
      </c>
      <c r="D128" s="8" t="inlineStr">
        <is>
          <t>Scott Parker</t>
        </is>
      </c>
      <c r="E128" s="8" t="inlineStr">
        <is>
          <t>PRD-0165</t>
        </is>
      </c>
      <c r="F128" s="8" t="inlineStr">
        <is>
          <t>1</t>
        </is>
      </c>
      <c r="G128" s="9" t="n">
        <v>37.4</v>
      </c>
      <c r="H128" s="8" t="inlineStr">
        <is>
          <t>20%</t>
        </is>
      </c>
      <c r="I128" s="8" t="inlineStr">
        <is>
          <t>Standard Ground</t>
        </is>
      </c>
      <c r="J128" s="8" t="inlineStr">
        <is>
          <t>Mobile App</t>
        </is>
      </c>
      <c r="K128" s="8" t="inlineStr">
        <is>
          <t>REG-EU</t>
        </is>
      </c>
    </row>
    <row r="129">
      <c r="A129" s="8" t="inlineStr">
        <is>
          <t>ORD-000064</t>
        </is>
      </c>
      <c r="B129" s="8" t="inlineStr">
        <is>
          <t>2024-10-12</t>
        </is>
      </c>
      <c r="C129" s="8" t="inlineStr">
        <is>
          <t>CUST-03544</t>
        </is>
      </c>
      <c r="D129" s="8" t="inlineStr">
        <is>
          <t>Scott Parker</t>
        </is>
      </c>
      <c r="E129" s="8" t="inlineStr">
        <is>
          <t>PRD-0192</t>
        </is>
      </c>
      <c r="F129" s="8" t="inlineStr">
        <is>
          <t>4</t>
        </is>
      </c>
      <c r="G129" s="9" t="n">
        <v>26.26</v>
      </c>
      <c r="H129" s="8" t="inlineStr">
        <is>
          <t>0.0</t>
        </is>
      </c>
      <c r="I129" s="8" t="inlineStr">
        <is>
          <t>Standard Ground</t>
        </is>
      </c>
      <c r="J129" s="8" t="inlineStr">
        <is>
          <t>Mobile App</t>
        </is>
      </c>
      <c r="K129" s="8" t="inlineStr">
        <is>
          <t>REG-EU</t>
        </is>
      </c>
    </row>
    <row r="130">
      <c r="A130" s="8" t="inlineStr">
        <is>
          <t>ORD-000064</t>
        </is>
      </c>
      <c r="B130" s="8" t="inlineStr">
        <is>
          <t>2024-10-12</t>
        </is>
      </c>
      <c r="C130" s="8" t="inlineStr">
        <is>
          <t>CUST-03544</t>
        </is>
      </c>
      <c r="D130" s="8" t="inlineStr">
        <is>
          <t>Scott Parker</t>
        </is>
      </c>
      <c r="E130" s="8" t="inlineStr">
        <is>
          <t>PRD-0388</t>
        </is>
      </c>
      <c r="F130" s="8" t="inlineStr">
        <is>
          <t>1</t>
        </is>
      </c>
      <c r="G130" s="9" t="n">
        <v>318.52</v>
      </c>
      <c r="H130" s="8" t="inlineStr">
        <is>
          <t>0.05</t>
        </is>
      </c>
      <c r="I130" s="8" t="inlineStr">
        <is>
          <t>Standard Ground</t>
        </is>
      </c>
      <c r="J130" s="8" t="inlineStr">
        <is>
          <t>Mobile App</t>
        </is>
      </c>
      <c r="K130" s="8" t="inlineStr">
        <is>
          <t>REG-EU</t>
        </is>
      </c>
    </row>
    <row r="131">
      <c r="A131" s="8" t="inlineStr">
        <is>
          <t>ORD-000064</t>
        </is>
      </c>
      <c r="B131" s="8" t="inlineStr">
        <is>
          <t>2024-10-12</t>
        </is>
      </c>
      <c r="C131" s="8" t="inlineStr">
        <is>
          <t>CUST-03544</t>
        </is>
      </c>
      <c r="D131" s="8" t="inlineStr">
        <is>
          <t>Scott Parker</t>
        </is>
      </c>
      <c r="E131" s="8" t="inlineStr">
        <is>
          <t>PRD-0385</t>
        </is>
      </c>
      <c r="F131" s="8" t="inlineStr">
        <is>
          <t>1</t>
        </is>
      </c>
      <c r="G131" s="9" t="n">
        <v>209.78</v>
      </c>
      <c r="H131" s="8" t="inlineStr">
        <is>
          <t>0.0</t>
        </is>
      </c>
      <c r="I131" s="8" t="inlineStr">
        <is>
          <t>Standard Ground</t>
        </is>
      </c>
      <c r="J131" s="8" t="inlineStr">
        <is>
          <t>Mobile App</t>
        </is>
      </c>
      <c r="K131" s="8" t="inlineStr">
        <is>
          <t>REG-EU</t>
        </is>
      </c>
    </row>
    <row r="132">
      <c r="A132" s="8" t="inlineStr">
        <is>
          <t>ORD-000064</t>
        </is>
      </c>
      <c r="B132" s="8" t="inlineStr">
        <is>
          <t>2024-10-12</t>
        </is>
      </c>
      <c r="C132" s="8" t="inlineStr">
        <is>
          <t>CUST-03544</t>
        </is>
      </c>
      <c r="D132" s="8" t="inlineStr">
        <is>
          <t>Scott Parker</t>
        </is>
      </c>
      <c r="E132" s="8" t="inlineStr">
        <is>
          <t>PRD-0326</t>
        </is>
      </c>
      <c r="F132" s="8" t="inlineStr">
        <is>
          <t>2</t>
        </is>
      </c>
      <c r="G132" s="9" t="n">
        <v>886.1</v>
      </c>
      <c r="H132" s="8" t="inlineStr">
        <is>
          <t>0.0</t>
        </is>
      </c>
      <c r="I132" s="8" t="inlineStr">
        <is>
          <t>Standard Ground</t>
        </is>
      </c>
      <c r="J132" s="8" t="inlineStr">
        <is>
          <t>Mobile App</t>
        </is>
      </c>
      <c r="K132" s="8" t="inlineStr">
        <is>
          <t>REG-EU</t>
        </is>
      </c>
    </row>
    <row r="133">
      <c r="A133" s="8" t="inlineStr">
        <is>
          <t>ORD-000065</t>
        </is>
      </c>
      <c r="B133" s="8" t="inlineStr">
        <is>
          <t>2024-03-20</t>
        </is>
      </c>
      <c r="C133" s="8" t="inlineStr">
        <is>
          <t>CUST-04887</t>
        </is>
      </c>
      <c r="D133" s="8" t="inlineStr">
        <is>
          <t>Kenneth Morris</t>
        </is>
      </c>
      <c r="E133" s="8" t="inlineStr">
        <is>
          <t>PRD-0295</t>
        </is>
      </c>
      <c r="F133" s="8" t="inlineStr">
        <is>
          <t>2</t>
        </is>
      </c>
      <c r="G133" s="9" t="n">
        <v>929.3099999999999</v>
      </c>
      <c r="H133" s="8" t="inlineStr">
        <is>
          <t>0.05</t>
        </is>
      </c>
      <c r="I133" s="8" t="inlineStr">
        <is>
          <t>Freight</t>
        </is>
      </c>
      <c r="J133" s="8" t="inlineStr">
        <is>
          <t>Direct Web</t>
        </is>
      </c>
      <c r="K133" s="8" t="inlineStr">
        <is>
          <t>REG-EU</t>
        </is>
      </c>
    </row>
    <row r="134">
      <c r="A134" s="8" t="inlineStr">
        <is>
          <t>ORD-000066</t>
        </is>
      </c>
      <c r="B134" s="8" t="inlineStr">
        <is>
          <t>2025-07-09</t>
        </is>
      </c>
      <c r="C134" s="8" t="inlineStr">
        <is>
          <t>CUST-00805</t>
        </is>
      </c>
      <c r="D134" s="8" t="inlineStr">
        <is>
          <t>Samantha Murphy</t>
        </is>
      </c>
      <c r="E134" s="8" t="inlineStr">
        <is>
          <t>PRD-0265</t>
        </is>
      </c>
      <c r="F134" s="8" t="inlineStr">
        <is>
          <t>5</t>
        </is>
      </c>
      <c r="G134" s="9" t="n">
        <v>426.8</v>
      </c>
      <c r="H134" s="8" t="inlineStr">
        <is>
          <t>0.0</t>
        </is>
      </c>
      <c r="I134" s="8" t="inlineStr">
        <is>
          <t>Standard Ground</t>
        </is>
      </c>
      <c r="J134" s="8" t="inlineStr">
        <is>
          <t>Direct Web</t>
        </is>
      </c>
      <c r="K134" s="8" t="inlineStr">
        <is>
          <t>REG-NA</t>
        </is>
      </c>
    </row>
    <row r="135">
      <c r="A135" s="8" t="inlineStr">
        <is>
          <t>ORD-000066</t>
        </is>
      </c>
      <c r="B135" s="8" t="inlineStr">
        <is>
          <t>2025-07-09</t>
        </is>
      </c>
      <c r="C135" s="8" t="inlineStr">
        <is>
          <t>CUST-00805</t>
        </is>
      </c>
      <c r="D135" s="8" t="inlineStr">
        <is>
          <t>Samantha Murphy</t>
        </is>
      </c>
      <c r="E135" s="8" t="inlineStr">
        <is>
          <t>PRD-0045</t>
        </is>
      </c>
      <c r="F135" s="8" t="inlineStr">
        <is>
          <t>1</t>
        </is>
      </c>
      <c r="G135" s="9" t="n">
        <v>30.53</v>
      </c>
      <c r="H135" s="8" t="inlineStr">
        <is>
          <t>0.2</t>
        </is>
      </c>
      <c r="I135" s="8" t="inlineStr">
        <is>
          <t>Standard Ground</t>
        </is>
      </c>
      <c r="J135" s="8" t="inlineStr">
        <is>
          <t>Direct Web</t>
        </is>
      </c>
      <c r="K135" s="8" t="inlineStr">
        <is>
          <t>REG-NA</t>
        </is>
      </c>
    </row>
    <row r="136">
      <c r="A136" s="8" t="inlineStr">
        <is>
          <t>ORD-000066</t>
        </is>
      </c>
      <c r="B136" s="8" t="inlineStr">
        <is>
          <t>2025-07-09</t>
        </is>
      </c>
      <c r="C136" s="8" t="inlineStr">
        <is>
          <t>CUST-00805</t>
        </is>
      </c>
      <c r="D136" s="8" t="inlineStr">
        <is>
          <t>Samantha Murphy</t>
        </is>
      </c>
      <c r="E136" s="8" t="inlineStr">
        <is>
          <t>PRD-0160</t>
        </is>
      </c>
      <c r="F136" s="8" t="inlineStr">
        <is>
          <t>1</t>
        </is>
      </c>
      <c r="G136" s="9" t="n">
        <v>1076.82</v>
      </c>
      <c r="H136" s="8" t="inlineStr">
        <is>
          <t>0.05</t>
        </is>
      </c>
      <c r="I136" s="8" t="inlineStr">
        <is>
          <t>Standard Ground</t>
        </is>
      </c>
      <c r="J136" s="8" t="inlineStr">
        <is>
          <t>Direct Web</t>
        </is>
      </c>
      <c r="K136" s="8" t="inlineStr">
        <is>
          <t>REG-NA</t>
        </is>
      </c>
    </row>
    <row r="137">
      <c r="A137" s="8" t="inlineStr">
        <is>
          <t>ORD-000066</t>
        </is>
      </c>
      <c r="B137" s="8" t="inlineStr">
        <is>
          <t>2025-07-09</t>
        </is>
      </c>
      <c r="C137" s="8" t="inlineStr">
        <is>
          <t>CUST-00805</t>
        </is>
      </c>
      <c r="D137" s="8" t="inlineStr">
        <is>
          <t>Samantha Murphy</t>
        </is>
      </c>
      <c r="E137" s="8" t="inlineStr">
        <is>
          <t>PRD-0403</t>
        </is>
      </c>
      <c r="F137" s="8" t="inlineStr">
        <is>
          <t>1</t>
        </is>
      </c>
      <c r="G137" s="9" t="n">
        <v>213.25</v>
      </c>
      <c r="H137" s="8" t="inlineStr">
        <is>
          <t>0.0</t>
        </is>
      </c>
      <c r="I137" s="8" t="inlineStr">
        <is>
          <t>Standard Ground</t>
        </is>
      </c>
      <c r="J137" s="8" t="inlineStr">
        <is>
          <t>Direct Web</t>
        </is>
      </c>
      <c r="K137" s="8" t="inlineStr">
        <is>
          <t>REG-NA</t>
        </is>
      </c>
    </row>
    <row r="138">
      <c r="A138" s="8" t="inlineStr">
        <is>
          <t>ORD-000067</t>
        </is>
      </c>
      <c r="B138" s="8" t="inlineStr">
        <is>
          <t>2024-07-28</t>
        </is>
      </c>
      <c r="C138" s="8" t="inlineStr">
        <is>
          <t>CUST-04544</t>
        </is>
      </c>
      <c r="D138" s="8" t="inlineStr">
        <is>
          <t>Amy Alvarez</t>
        </is>
      </c>
      <c r="E138" s="8" t="inlineStr">
        <is>
          <t>PRD-0119</t>
        </is>
      </c>
      <c r="F138" s="8" t="inlineStr">
        <is>
          <t>2</t>
        </is>
      </c>
      <c r="G138" s="9" t="n">
        <v>11.35</v>
      </c>
      <c r="H138" s="8" t="inlineStr">
        <is>
          <t>0.1</t>
        </is>
      </c>
      <c r="I138" s="8" t="inlineStr">
        <is>
          <t>Standard Ground</t>
        </is>
      </c>
      <c r="J138" s="8" t="inlineStr">
        <is>
          <t>Direct Web</t>
        </is>
      </c>
      <c r="K138" s="8" t="inlineStr">
        <is>
          <t>REG-NA</t>
        </is>
      </c>
    </row>
    <row r="139">
      <c r="A139" s="8" t="inlineStr">
        <is>
          <t>ORD-000068</t>
        </is>
      </c>
      <c r="B139" s="8" t="inlineStr">
        <is>
          <t>2025-10-26</t>
        </is>
      </c>
      <c r="C139" s="8" t="inlineStr">
        <is>
          <t>CUST-06734</t>
        </is>
      </c>
      <c r="D139" s="8" t="inlineStr">
        <is>
          <t>Ronald Ortiz</t>
        </is>
      </c>
      <c r="E139" s="8" t="inlineStr">
        <is>
          <t>PRD-0113</t>
        </is>
      </c>
      <c r="F139" s="8" t="inlineStr">
        <is>
          <t>4</t>
        </is>
      </c>
      <c r="G139" s="9" t="n">
        <v>70.09</v>
      </c>
      <c r="H139" s="8" t="inlineStr">
        <is>
          <t>5%</t>
        </is>
      </c>
      <c r="I139" s="8" t="inlineStr">
        <is>
          <t>Express Air</t>
        </is>
      </c>
      <c r="J139" s="8" t="inlineStr">
        <is>
          <t>Direct Web</t>
        </is>
      </c>
      <c r="K139" s="8" t="inlineStr">
        <is>
          <t>REG-EU</t>
        </is>
      </c>
    </row>
    <row r="140">
      <c r="A140" s="8" t="inlineStr">
        <is>
          <t>ORD-000069</t>
        </is>
      </c>
      <c r="B140" s="8" t="inlineStr">
        <is>
          <t>2024-12-07</t>
        </is>
      </c>
      <c r="C140" s="8" t="inlineStr">
        <is>
          <t>CUST-02379</t>
        </is>
      </c>
      <c r="D140" s="8" t="inlineStr">
        <is>
          <t>Stephanie Gonzalez</t>
        </is>
      </c>
      <c r="E140" s="8" t="inlineStr">
        <is>
          <t>PRD-0053</t>
        </is>
      </c>
      <c r="F140" s="8" t="inlineStr">
        <is>
          <t>2</t>
        </is>
      </c>
      <c r="G140" s="9" t="n">
        <v>1031.53</v>
      </c>
      <c r="H140" s="8" t="inlineStr">
        <is>
          <t>0.1</t>
        </is>
      </c>
      <c r="I140" s="8" t="inlineStr">
        <is>
          <t>Express Air</t>
        </is>
      </c>
      <c r="J140" s="8" t="inlineStr">
        <is>
          <t>Direct Web</t>
        </is>
      </c>
      <c r="K140" s="8" t="inlineStr">
        <is>
          <t>REG-APAC</t>
        </is>
      </c>
    </row>
    <row r="141">
      <c r="A141" s="8" t="inlineStr">
        <is>
          <t>ORD-000069</t>
        </is>
      </c>
      <c r="B141" s="8" t="inlineStr">
        <is>
          <t>2024-12-07</t>
        </is>
      </c>
      <c r="C141" s="8" t="inlineStr">
        <is>
          <t>CUST-02379</t>
        </is>
      </c>
      <c r="D141" s="8" t="inlineStr">
        <is>
          <t>Stephanie Gonzalez</t>
        </is>
      </c>
      <c r="E141" s="8" t="inlineStr">
        <is>
          <t>PRD-0243</t>
        </is>
      </c>
      <c r="F141" s="8" t="inlineStr">
        <is>
          <t>2</t>
        </is>
      </c>
      <c r="G141" s="9" t="n">
        <v>510.81</v>
      </c>
      <c r="H141" s="8" t="inlineStr">
        <is>
          <t>20%</t>
        </is>
      </c>
      <c r="I141" s="8" t="inlineStr">
        <is>
          <t>Express Air</t>
        </is>
      </c>
      <c r="J141" s="8" t="inlineStr">
        <is>
          <t>Direct Web</t>
        </is>
      </c>
      <c r="K141" s="8" t="inlineStr">
        <is>
          <t>REG-APAC</t>
        </is>
      </c>
    </row>
    <row r="142">
      <c r="A142" s="8" t="inlineStr">
        <is>
          <t>ORD-000069</t>
        </is>
      </c>
      <c r="B142" s="8" t="inlineStr">
        <is>
          <t>2024-12-07</t>
        </is>
      </c>
      <c r="C142" s="8" t="inlineStr">
        <is>
          <t>CUST-02379</t>
        </is>
      </c>
      <c r="D142" s="8" t="inlineStr">
        <is>
          <t>Stephanie Gonzalez</t>
        </is>
      </c>
      <c r="E142" s="8" t="inlineStr">
        <is>
          <t>PRD-0342</t>
        </is>
      </c>
      <c r="F142" s="8" t="inlineStr">
        <is>
          <t>1</t>
        </is>
      </c>
      <c r="G142" s="9" t="n">
        <v>994.42</v>
      </c>
      <c r="H142" s="8" t="inlineStr">
        <is>
          <t>0.0</t>
        </is>
      </c>
      <c r="I142" s="8" t="inlineStr">
        <is>
          <t>Express Air</t>
        </is>
      </c>
      <c r="J142" s="8" t="inlineStr">
        <is>
          <t>Direct Web</t>
        </is>
      </c>
      <c r="K142" s="8" t="inlineStr">
        <is>
          <t>REG-APAC</t>
        </is>
      </c>
    </row>
    <row r="143">
      <c r="A143" s="8" t="inlineStr">
        <is>
          <t>ORD-000069</t>
        </is>
      </c>
      <c r="B143" s="8" t="inlineStr">
        <is>
          <t>2024-12-07</t>
        </is>
      </c>
      <c r="C143" s="8" t="inlineStr">
        <is>
          <t>CUST-02379</t>
        </is>
      </c>
      <c r="D143" s="8" t="inlineStr">
        <is>
          <t>Stephanie Gonzalez</t>
        </is>
      </c>
      <c r="E143" s="8" t="inlineStr">
        <is>
          <t>PRD-0089</t>
        </is>
      </c>
      <c r="F143" s="8" t="inlineStr">
        <is>
          <t>1</t>
        </is>
      </c>
      <c r="G143" s="9" t="n">
        <v>638.52</v>
      </c>
      <c r="H143" s="8" t="inlineStr">
        <is>
          <t>0.0</t>
        </is>
      </c>
      <c r="I143" s="8" t="inlineStr">
        <is>
          <t>Express Air</t>
        </is>
      </c>
      <c r="J143" s="8" t="inlineStr">
        <is>
          <t>Direct Web</t>
        </is>
      </c>
      <c r="K143" s="8" t="inlineStr">
        <is>
          <t>REG-APAC</t>
        </is>
      </c>
    </row>
    <row r="144">
      <c r="A144" s="8" t="inlineStr">
        <is>
          <t>ORD-000069</t>
        </is>
      </c>
      <c r="B144" s="8" t="inlineStr">
        <is>
          <t>2024-12-07</t>
        </is>
      </c>
      <c r="C144" s="8" t="inlineStr">
        <is>
          <t>CUST-02379</t>
        </is>
      </c>
      <c r="D144" s="8" t="inlineStr">
        <is>
          <t>Stephanie Gonzalez</t>
        </is>
      </c>
      <c r="E144" s="8" t="inlineStr">
        <is>
          <t>PRD-0240</t>
        </is>
      </c>
      <c r="F144" s="8" t="inlineStr">
        <is>
          <t>1</t>
        </is>
      </c>
      <c r="G144" s="9" t="n">
        <v>656.01</v>
      </c>
      <c r="H144" s="8" t="inlineStr">
        <is>
          <t>0.0</t>
        </is>
      </c>
      <c r="I144" s="8" t="inlineStr">
        <is>
          <t>Express Air</t>
        </is>
      </c>
      <c r="J144" s="8" t="inlineStr">
        <is>
          <t>Direct Web</t>
        </is>
      </c>
      <c r="K144" s="8" t="inlineStr">
        <is>
          <t>REG-APAC</t>
        </is>
      </c>
    </row>
    <row r="145">
      <c r="A145" s="8" t="inlineStr">
        <is>
          <t>ORD-000070</t>
        </is>
      </c>
      <c r="B145" s="8" t="inlineStr">
        <is>
          <t>2025-03-31</t>
        </is>
      </c>
      <c r="C145" s="8" t="inlineStr">
        <is>
          <t>CUST-02185</t>
        </is>
      </c>
      <c r="D145" s="8" t="inlineStr">
        <is>
          <t xml:space="preserve">  linda gonzalez  </t>
        </is>
      </c>
      <c r="E145" s="8" t="inlineStr">
        <is>
          <t>PRD-0025</t>
        </is>
      </c>
      <c r="F145" s="8" t="inlineStr">
        <is>
          <t>3</t>
        </is>
      </c>
      <c r="G145" s="9" t="n">
        <v>537.5700000000001</v>
      </c>
      <c r="H145" s="8" t="inlineStr">
        <is>
          <t>0.1</t>
        </is>
      </c>
      <c r="I145" s="8" t="inlineStr">
        <is>
          <t>Standard Ground</t>
        </is>
      </c>
      <c r="J145" s="8" t="inlineStr">
        <is>
          <t>Mobile App</t>
        </is>
      </c>
      <c r="K145" s="8" t="inlineStr">
        <is>
          <t>REG-EU</t>
        </is>
      </c>
    </row>
    <row r="146">
      <c r="A146" s="8" t="inlineStr">
        <is>
          <t>ORD-000070</t>
        </is>
      </c>
      <c r="B146" s="8" t="inlineStr">
        <is>
          <t>2025-03-31</t>
        </is>
      </c>
      <c r="C146" s="8" t="inlineStr">
        <is>
          <t>CUST-02185</t>
        </is>
      </c>
      <c r="D146" s="8" t="inlineStr">
        <is>
          <t xml:space="preserve">  linda gonzalez  </t>
        </is>
      </c>
      <c r="E146" s="8" t="inlineStr">
        <is>
          <t>PRD-0192</t>
        </is>
      </c>
      <c r="F146" s="8" t="inlineStr">
        <is>
          <t>1</t>
        </is>
      </c>
      <c r="G146" s="9" t="n">
        <v>26.26</v>
      </c>
      <c r="H146" s="8" t="inlineStr">
        <is>
          <t>0.0</t>
        </is>
      </c>
      <c r="I146" s="8" t="inlineStr">
        <is>
          <t>Standard Ground</t>
        </is>
      </c>
      <c r="J146" s="8" t="inlineStr">
        <is>
          <t>Mobile App</t>
        </is>
      </c>
      <c r="K146" s="8" t="inlineStr">
        <is>
          <t>REG-EU</t>
        </is>
      </c>
    </row>
    <row r="147">
      <c r="A147" s="8" t="inlineStr">
        <is>
          <t>ORD-000071</t>
        </is>
      </c>
      <c r="B147" s="8" t="inlineStr">
        <is>
          <t>2023-12-08</t>
        </is>
      </c>
      <c r="C147" s="8" t="inlineStr">
        <is>
          <t>CUST-01023</t>
        </is>
      </c>
      <c r="D147" s="8" t="inlineStr">
        <is>
          <t>Jennifer Baker</t>
        </is>
      </c>
      <c r="E147" s="8" t="inlineStr">
        <is>
          <t>PRD-0143</t>
        </is>
      </c>
      <c r="F147" s="8" t="inlineStr">
        <is>
          <t>2</t>
        </is>
      </c>
      <c r="G147" s="9" t="n">
        <v>359.58</v>
      </c>
      <c r="H147" s="8" t="inlineStr">
        <is>
          <t>0.05</t>
        </is>
      </c>
      <c r="I147" s="8" t="inlineStr">
        <is>
          <t>Standard Ground</t>
        </is>
      </c>
      <c r="J147" s="8" t="inlineStr">
        <is>
          <t>Direct Web</t>
        </is>
      </c>
      <c r="K147" s="8" t="inlineStr">
        <is>
          <t>REG-APAC</t>
        </is>
      </c>
    </row>
    <row r="148">
      <c r="A148" s="8" t="inlineStr">
        <is>
          <t>ORD-000071</t>
        </is>
      </c>
      <c r="B148" s="8" t="inlineStr">
        <is>
          <t>2023-12-08</t>
        </is>
      </c>
      <c r="C148" s="8" t="inlineStr">
        <is>
          <t>CUST-01023</t>
        </is>
      </c>
      <c r="D148" s="8" t="inlineStr">
        <is>
          <t>Jennifer Baker</t>
        </is>
      </c>
      <c r="E148" s="8" t="inlineStr">
        <is>
          <t>PRD-0430</t>
        </is>
      </c>
      <c r="F148" s="8" t="inlineStr">
        <is>
          <t>1</t>
        </is>
      </c>
      <c r="G148" s="9" t="n">
        <v>105.31</v>
      </c>
      <c r="H148" s="8" t="inlineStr">
        <is>
          <t>0.05</t>
        </is>
      </c>
      <c r="I148" s="8" t="inlineStr">
        <is>
          <t>Standard Ground</t>
        </is>
      </c>
      <c r="J148" s="8" t="inlineStr">
        <is>
          <t>Direct Web</t>
        </is>
      </c>
      <c r="K148" s="8" t="inlineStr">
        <is>
          <t>REG-APAC</t>
        </is>
      </c>
    </row>
    <row r="149">
      <c r="A149" s="8" t="inlineStr">
        <is>
          <t>ORD-000072</t>
        </is>
      </c>
      <c r="B149" s="8" t="inlineStr">
        <is>
          <t>2023-12-30</t>
        </is>
      </c>
      <c r="C149" s="8" t="inlineStr">
        <is>
          <t>CUST-00187</t>
        </is>
      </c>
      <c r="D149" s="8" t="inlineStr">
        <is>
          <t>Scott Hall</t>
        </is>
      </c>
      <c r="E149" s="8" t="inlineStr">
        <is>
          <t>PRD-0121</t>
        </is>
      </c>
      <c r="F149" s="8" t="inlineStr">
        <is>
          <t>1</t>
        </is>
      </c>
      <c r="G149" s="9" t="n">
        <v>420.86</v>
      </c>
      <c r="H149" s="8" t="inlineStr">
        <is>
          <t>0.2</t>
        </is>
      </c>
      <c r="I149" s="8" t="inlineStr">
        <is>
          <t>Freight</t>
        </is>
      </c>
      <c r="J149" s="8" t="inlineStr">
        <is>
          <t>Mobile App</t>
        </is>
      </c>
      <c r="K149" s="8" t="inlineStr">
        <is>
          <t>REG-APAC</t>
        </is>
      </c>
    </row>
    <row r="150">
      <c r="A150" s="8" t="inlineStr">
        <is>
          <t>ORD-000073</t>
        </is>
      </c>
      <c r="B150" s="8" t="inlineStr">
        <is>
          <t>2024-07-17</t>
        </is>
      </c>
      <c r="C150" s="8" t="inlineStr">
        <is>
          <t>CUST-07434</t>
        </is>
      </c>
      <c r="D150" s="8" t="inlineStr">
        <is>
          <t>Nicholas Parker</t>
        </is>
      </c>
      <c r="E150" s="8" t="inlineStr">
        <is>
          <t>PRD-0135</t>
        </is>
      </c>
      <c r="F150" s="8" t="inlineStr">
        <is>
          <t>1</t>
        </is>
      </c>
      <c r="G150" s="9" t="n">
        <v>946.98</v>
      </c>
      <c r="H150" s="8" t="inlineStr">
        <is>
          <t>0.05</t>
        </is>
      </c>
      <c r="I150" s="8" t="inlineStr">
        <is>
          <t>Standard Ground</t>
        </is>
      </c>
      <c r="J150" s="8" t="inlineStr">
        <is>
          <t>Direct Web</t>
        </is>
      </c>
      <c r="K150" s="8" t="inlineStr">
        <is>
          <t>REG-EU</t>
        </is>
      </c>
    </row>
    <row r="151">
      <c r="A151" s="8" t="inlineStr">
        <is>
          <t>ORD-000073</t>
        </is>
      </c>
      <c r="B151" s="8" t="inlineStr">
        <is>
          <t>2024-07-17</t>
        </is>
      </c>
      <c r="C151" s="8" t="inlineStr">
        <is>
          <t>CUST-07434</t>
        </is>
      </c>
      <c r="D151" s="8" t="inlineStr">
        <is>
          <t>Nicholas Parker</t>
        </is>
      </c>
      <c r="E151" s="8" t="inlineStr">
        <is>
          <t>PRD-0344</t>
        </is>
      </c>
      <c r="F151" s="8" t="inlineStr">
        <is>
          <t>3</t>
        </is>
      </c>
      <c r="G151" s="9" t="n">
        <v>337.02</v>
      </c>
      <c r="H151" s="8" t="inlineStr">
        <is>
          <t>0.25</t>
        </is>
      </c>
      <c r="I151" s="8" t="inlineStr">
        <is>
          <t>Standard Ground</t>
        </is>
      </c>
      <c r="J151" s="8" t="inlineStr">
        <is>
          <t>Direct Web</t>
        </is>
      </c>
      <c r="K151" s="8" t="inlineStr">
        <is>
          <t>REG-EU</t>
        </is>
      </c>
    </row>
    <row r="152">
      <c r="A152" s="8" t="inlineStr">
        <is>
          <t>ORD-000073</t>
        </is>
      </c>
      <c r="B152" s="8" t="inlineStr">
        <is>
          <t>2024-07-17</t>
        </is>
      </c>
      <c r="C152" s="8" t="inlineStr">
        <is>
          <t>CUST-07434</t>
        </is>
      </c>
      <c r="D152" s="8" t="inlineStr">
        <is>
          <t>Nicholas Parker</t>
        </is>
      </c>
      <c r="E152" s="8" t="inlineStr">
        <is>
          <t>PRD-0133</t>
        </is>
      </c>
      <c r="F152" s="8" t="inlineStr">
        <is>
          <t>1</t>
        </is>
      </c>
      <c r="G152" s="9" t="n">
        <v>673.35</v>
      </c>
      <c r="H152" s="8" t="inlineStr">
        <is>
          <t>0.0</t>
        </is>
      </c>
      <c r="I152" s="8" t="inlineStr">
        <is>
          <t>Standard Ground</t>
        </is>
      </c>
      <c r="J152" s="8" t="inlineStr">
        <is>
          <t>Direct Web</t>
        </is>
      </c>
      <c r="K152" s="8" t="inlineStr">
        <is>
          <t>REG-EU</t>
        </is>
      </c>
    </row>
    <row r="153">
      <c r="A153" s="8" t="inlineStr">
        <is>
          <t>ORD-000074</t>
        </is>
      </c>
      <c r="B153" s="8" t="inlineStr">
        <is>
          <t>2023-10-07</t>
        </is>
      </c>
      <c r="C153" s="8" t="inlineStr">
        <is>
          <t>CUST-07252</t>
        </is>
      </c>
      <c r="D153" s="8" t="inlineStr">
        <is>
          <t>Timothy Jimenez</t>
        </is>
      </c>
      <c r="E153" s="8" t="inlineStr">
        <is>
          <t>PRD-0116</t>
        </is>
      </c>
      <c r="F153" s="8" t="inlineStr">
        <is>
          <t>-3</t>
        </is>
      </c>
      <c r="G153" s="9" t="n">
        <v>177.13</v>
      </c>
      <c r="H153" s="8" t="inlineStr">
        <is>
          <t>0%</t>
        </is>
      </c>
      <c r="I153" s="8" t="inlineStr">
        <is>
          <t>Standard Ground</t>
        </is>
      </c>
      <c r="J153" s="8" t="inlineStr">
        <is>
          <t>Direct Web</t>
        </is>
      </c>
      <c r="K153" s="8" t="inlineStr">
        <is>
          <t>REG-APAC</t>
        </is>
      </c>
    </row>
    <row r="154">
      <c r="A154" s="8" t="inlineStr">
        <is>
          <t>ORD-000074</t>
        </is>
      </c>
      <c r="B154" s="8" t="inlineStr">
        <is>
          <t>2023-10-07</t>
        </is>
      </c>
      <c r="C154" s="8" t="inlineStr">
        <is>
          <t>CUST-07252</t>
        </is>
      </c>
      <c r="D154" s="8" t="inlineStr">
        <is>
          <t>Timothy Jimenez</t>
        </is>
      </c>
      <c r="E154" s="8" t="inlineStr">
        <is>
          <t>PRD-0018</t>
        </is>
      </c>
      <c r="F154" s="8" t="inlineStr">
        <is>
          <t>1</t>
        </is>
      </c>
      <c r="G154" s="9" t="n">
        <v>75.52</v>
      </c>
      <c r="H154" s="8" t="inlineStr">
        <is>
          <t>0.0</t>
        </is>
      </c>
      <c r="I154" s="8" t="inlineStr">
        <is>
          <t>Standard Ground</t>
        </is>
      </c>
      <c r="J154" s="8" t="inlineStr">
        <is>
          <t>Direct Web</t>
        </is>
      </c>
      <c r="K154" s="8" t="inlineStr">
        <is>
          <t>REG-APAC</t>
        </is>
      </c>
    </row>
    <row r="155">
      <c r="A155" s="8" t="inlineStr">
        <is>
          <t>ORD-000075</t>
        </is>
      </c>
      <c r="B155" s="8" t="inlineStr">
        <is>
          <t>2023-04-05</t>
        </is>
      </c>
      <c r="C155" s="8" t="inlineStr">
        <is>
          <t>CUST-00940</t>
        </is>
      </c>
      <c r="D155" s="8" t="inlineStr">
        <is>
          <t>Melissa Phillips</t>
        </is>
      </c>
      <c r="E155" s="8" t="inlineStr">
        <is>
          <t>PRD-0417</t>
        </is>
      </c>
      <c r="F155" s="8" t="inlineStr">
        <is>
          <t>1</t>
        </is>
      </c>
      <c r="G155" s="9" t="n">
        <v>134.04</v>
      </c>
      <c r="H155" s="8" t="inlineStr">
        <is>
          <t>0.15</t>
        </is>
      </c>
      <c r="I155" s="8" t="inlineStr">
        <is>
          <t>Standard Ground</t>
        </is>
      </c>
      <c r="J155" s="8" t="inlineStr">
        <is>
          <t>Mobile App</t>
        </is>
      </c>
      <c r="K155" s="8" t="inlineStr">
        <is>
          <t>REG-APAC</t>
        </is>
      </c>
    </row>
    <row r="156">
      <c r="A156" s="8" t="inlineStr">
        <is>
          <t>ORD-000075</t>
        </is>
      </c>
      <c r="B156" s="8" t="inlineStr">
        <is>
          <t>2023-04-05</t>
        </is>
      </c>
      <c r="C156" s="8" t="inlineStr">
        <is>
          <t>CUST-00940</t>
        </is>
      </c>
      <c r="D156" s="8" t="inlineStr">
        <is>
          <t>Melissa Phillips</t>
        </is>
      </c>
      <c r="E156" s="8" t="inlineStr">
        <is>
          <t>PRD-0358</t>
        </is>
      </c>
      <c r="F156" s="8" t="inlineStr">
        <is>
          <t>1</t>
        </is>
      </c>
      <c r="G156" s="9" t="n">
        <v>795.41</v>
      </c>
      <c r="H156" s="8" t="inlineStr">
        <is>
          <t>0.1</t>
        </is>
      </c>
      <c r="I156" s="8" t="inlineStr">
        <is>
          <t>Standard Ground</t>
        </is>
      </c>
      <c r="J156" s="8" t="inlineStr">
        <is>
          <t>Mobile App</t>
        </is>
      </c>
      <c r="K156" s="8" t="inlineStr">
        <is>
          <t>REG-APAC</t>
        </is>
      </c>
    </row>
    <row r="157">
      <c r="A157" s="8" t="inlineStr">
        <is>
          <t>ORD-000076</t>
        </is>
      </c>
      <c r="B157" s="8" t="inlineStr">
        <is>
          <t>2024-03-24</t>
        </is>
      </c>
      <c r="C157" s="8" t="inlineStr">
        <is>
          <t>CUST-02765</t>
        </is>
      </c>
      <c r="D157" s="8" t="inlineStr">
        <is>
          <t>Scott Martin</t>
        </is>
      </c>
      <c r="E157" s="8" t="inlineStr">
        <is>
          <t>PRD-0347</t>
        </is>
      </c>
      <c r="F157" s="8" t="inlineStr">
        <is>
          <t>1</t>
        </is>
      </c>
      <c r="G157" s="9" t="n">
        <v>197.61</v>
      </c>
      <c r="H157" s="8" t="inlineStr">
        <is>
          <t>0.05</t>
        </is>
      </c>
      <c r="I157" s="8" t="inlineStr">
        <is>
          <t>Standard Ground</t>
        </is>
      </c>
      <c r="J157" s="8" t="inlineStr">
        <is>
          <t>Mobile App</t>
        </is>
      </c>
      <c r="K157" s="8" t="inlineStr">
        <is>
          <t>REG-NA</t>
        </is>
      </c>
    </row>
    <row r="158">
      <c r="A158" s="8" t="inlineStr">
        <is>
          <t>ORD-000077</t>
        </is>
      </c>
      <c r="B158" s="8" t="inlineStr">
        <is>
          <t>2024-11-26</t>
        </is>
      </c>
      <c r="C158" s="8" t="inlineStr">
        <is>
          <t>CUST-02502</t>
        </is>
      </c>
      <c r="D158" s="8" t="inlineStr">
        <is>
          <t xml:space="preserve">  linda howard  </t>
        </is>
      </c>
      <c r="E158" s="8" t="inlineStr">
        <is>
          <t>PRD-0388</t>
        </is>
      </c>
      <c r="F158" s="8" t="inlineStr">
        <is>
          <t>1</t>
        </is>
      </c>
      <c r="G158" s="9" t="n">
        <v>318.52</v>
      </c>
      <c r="H158" s="8" t="inlineStr">
        <is>
          <t>0.05</t>
        </is>
      </c>
      <c r="I158" s="8" t="inlineStr">
        <is>
          <t>Express Air</t>
        </is>
      </c>
      <c r="J158" s="8" t="inlineStr">
        <is>
          <t>Mobile App</t>
        </is>
      </c>
      <c r="K158" s="8" t="inlineStr">
        <is>
          <t>REG-EU</t>
        </is>
      </c>
    </row>
    <row r="159">
      <c r="A159" s="8" t="inlineStr">
        <is>
          <t>ORD-000078</t>
        </is>
      </c>
      <c r="B159" s="8" t="inlineStr">
        <is>
          <t>2025-09-23</t>
        </is>
      </c>
      <c r="C159" s="8" t="inlineStr">
        <is>
          <t>CUST-03012</t>
        </is>
      </c>
      <c r="D159" s="8" t="inlineStr">
        <is>
          <t>Carolyn Rivera</t>
        </is>
      </c>
      <c r="E159" s="8" t="inlineStr">
        <is>
          <t>PRD-0287</t>
        </is>
      </c>
      <c r="F159" s="8" t="inlineStr">
        <is>
          <t>1</t>
        </is>
      </c>
      <c r="G159" s="9" t="n">
        <v>214.91</v>
      </c>
      <c r="H159" s="8" t="inlineStr">
        <is>
          <t>0.15</t>
        </is>
      </c>
      <c r="I159" s="8" t="inlineStr">
        <is>
          <t>Standard Ground</t>
        </is>
      </c>
      <c r="J159" s="8" t="inlineStr">
        <is>
          <t>B2B Portal</t>
        </is>
      </c>
      <c r="K159" s="8" t="inlineStr">
        <is>
          <t>REG-NA</t>
        </is>
      </c>
    </row>
    <row r="160">
      <c r="A160" s="8" t="inlineStr">
        <is>
          <t>ORD-000079</t>
        </is>
      </c>
      <c r="B160" s="8" t="inlineStr">
        <is>
          <t>2023-06-13</t>
        </is>
      </c>
      <c r="C160" s="8" t="inlineStr">
        <is>
          <t>CUST-00938</t>
        </is>
      </c>
      <c r="D160" s="8" t="inlineStr">
        <is>
          <t xml:space="preserve">  ronald williams  </t>
        </is>
      </c>
      <c r="E160" s="8" t="inlineStr">
        <is>
          <t>PRD-0200</t>
        </is>
      </c>
      <c r="F160" s="8" t="inlineStr">
        <is>
          <t>1</t>
        </is>
      </c>
      <c r="G160" s="9" t="n">
        <v>977</v>
      </c>
      <c r="H160" s="8" t="inlineStr">
        <is>
          <t>0.1</t>
        </is>
      </c>
      <c r="I160" s="8" t="inlineStr">
        <is>
          <t>Express Air</t>
        </is>
      </c>
      <c r="J160" s="8" t="inlineStr">
        <is>
          <t>B2B Portal</t>
        </is>
      </c>
      <c r="K160" s="8" t="inlineStr">
        <is>
          <t>REG-NA</t>
        </is>
      </c>
    </row>
    <row r="161">
      <c r="A161" s="8" t="inlineStr">
        <is>
          <t>ORD-000079</t>
        </is>
      </c>
      <c r="B161" s="8" t="inlineStr">
        <is>
          <t>2023-06-13</t>
        </is>
      </c>
      <c r="C161" s="8" t="inlineStr">
        <is>
          <t>CUST-00938</t>
        </is>
      </c>
      <c r="D161" s="8" t="inlineStr">
        <is>
          <t xml:space="preserve">  ronald williams  </t>
        </is>
      </c>
      <c r="E161" s="8" t="inlineStr">
        <is>
          <t>PRD-0371</t>
        </is>
      </c>
      <c r="F161" s="8" t="inlineStr">
        <is>
          <t>1</t>
        </is>
      </c>
      <c r="G161" s="9" t="n">
        <v>41.78</v>
      </c>
      <c r="H161" s="8" t="inlineStr">
        <is>
          <t>0.0</t>
        </is>
      </c>
      <c r="I161" s="8" t="inlineStr">
        <is>
          <t>Express Air</t>
        </is>
      </c>
      <c r="J161" s="8" t="inlineStr">
        <is>
          <t>B2B Portal</t>
        </is>
      </c>
      <c r="K161" s="8" t="inlineStr">
        <is>
          <t>REG-NA</t>
        </is>
      </c>
    </row>
    <row r="162">
      <c r="A162" s="8" t="inlineStr">
        <is>
          <t>ORD-000079</t>
        </is>
      </c>
      <c r="B162" s="8" t="inlineStr">
        <is>
          <t>2023-06-13</t>
        </is>
      </c>
      <c r="C162" s="8" t="inlineStr">
        <is>
          <t>CUST-00938</t>
        </is>
      </c>
      <c r="D162" s="8" t="inlineStr">
        <is>
          <t xml:space="preserve">  ronald williams  </t>
        </is>
      </c>
      <c r="E162" s="8" t="inlineStr">
        <is>
          <t>PRD-0252</t>
        </is>
      </c>
      <c r="F162" s="8" t="inlineStr">
        <is>
          <t>2</t>
        </is>
      </c>
      <c r="G162" s="9" t="n">
        <v>332.85</v>
      </c>
      <c r="H162" s="8" t="inlineStr">
        <is>
          <t>0.1</t>
        </is>
      </c>
      <c r="I162" s="8" t="inlineStr">
        <is>
          <t>Express Air</t>
        </is>
      </c>
      <c r="J162" s="8" t="inlineStr">
        <is>
          <t>B2B Portal</t>
        </is>
      </c>
      <c r="K162" s="8" t="inlineStr">
        <is>
          <t>REG-NA</t>
        </is>
      </c>
    </row>
    <row r="163">
      <c r="A163" s="8" t="inlineStr">
        <is>
          <t>ORD-000079</t>
        </is>
      </c>
      <c r="B163" s="8" t="inlineStr">
        <is>
          <t>2023-06-13</t>
        </is>
      </c>
      <c r="C163" s="8" t="inlineStr">
        <is>
          <t>CUST-00938</t>
        </is>
      </c>
      <c r="D163" s="8" t="inlineStr">
        <is>
          <t xml:space="preserve">  ronald williams  </t>
        </is>
      </c>
      <c r="E163" s="8" t="inlineStr">
        <is>
          <t>PRD-0349</t>
        </is>
      </c>
      <c r="F163" s="8" t="inlineStr">
        <is>
          <t>1</t>
        </is>
      </c>
      <c r="G163" s="9" t="n">
        <v>70.33</v>
      </c>
      <c r="H163" s="8" t="inlineStr">
        <is>
          <t>0.0</t>
        </is>
      </c>
      <c r="I163" s="8" t="inlineStr">
        <is>
          <t>Express Air</t>
        </is>
      </c>
      <c r="J163" s="8" t="inlineStr">
        <is>
          <t>B2B Portal</t>
        </is>
      </c>
      <c r="K163" s="8" t="inlineStr">
        <is>
          <t>REG-NA</t>
        </is>
      </c>
    </row>
    <row r="164">
      <c r="A164" s="8" t="inlineStr">
        <is>
          <t>ORD-000080</t>
        </is>
      </c>
      <c r="B164" s="8" t="inlineStr">
        <is>
          <t>2024-11-28</t>
        </is>
      </c>
      <c r="C164" s="8" t="inlineStr">
        <is>
          <t>CUST-02410</t>
        </is>
      </c>
      <c r="D164" s="8" t="inlineStr">
        <is>
          <t>Linda Stewart</t>
        </is>
      </c>
      <c r="E164" s="8" t="inlineStr">
        <is>
          <t>PRD-0418</t>
        </is>
      </c>
      <c r="F164" s="8" t="inlineStr">
        <is>
          <t>1</t>
        </is>
      </c>
      <c r="G164" s="9" t="n">
        <v>287.35</v>
      </c>
      <c r="H164" s="8" t="inlineStr">
        <is>
          <t>0.0</t>
        </is>
      </c>
      <c r="I164" s="8" t="inlineStr">
        <is>
          <t>Standard Ground</t>
        </is>
      </c>
      <c r="J164" s="8" t="inlineStr">
        <is>
          <t>Direct Web</t>
        </is>
      </c>
      <c r="K164" s="8" t="inlineStr">
        <is>
          <t>REG-NA</t>
        </is>
      </c>
    </row>
    <row r="165">
      <c r="A165" s="8" t="inlineStr">
        <is>
          <t>ORD-000080</t>
        </is>
      </c>
      <c r="B165" s="8" t="inlineStr">
        <is>
          <t>2024-11-28</t>
        </is>
      </c>
      <c r="C165" s="8" t="inlineStr">
        <is>
          <t>CUST-02410</t>
        </is>
      </c>
      <c r="D165" s="8" t="inlineStr">
        <is>
          <t>Linda Stewart</t>
        </is>
      </c>
      <c r="E165" s="8" t="inlineStr">
        <is>
          <t>PRD-0346</t>
        </is>
      </c>
      <c r="F165" s="8" t="inlineStr">
        <is>
          <t>1</t>
        </is>
      </c>
      <c r="G165" s="9" t="n">
        <v>61.49</v>
      </c>
      <c r="H165" s="8" t="inlineStr">
        <is>
          <t>0.25</t>
        </is>
      </c>
      <c r="I165" s="8" t="inlineStr">
        <is>
          <t>Standard Ground</t>
        </is>
      </c>
      <c r="J165" s="8" t="inlineStr">
        <is>
          <t>Direct Web</t>
        </is>
      </c>
      <c r="K165" s="8" t="inlineStr">
        <is>
          <t>REG-NA</t>
        </is>
      </c>
    </row>
    <row r="166">
      <c r="A166" s="8" t="inlineStr">
        <is>
          <t>ORD-000081</t>
        </is>
      </c>
      <c r="B166" s="8" t="inlineStr">
        <is>
          <t>2024-03-28</t>
        </is>
      </c>
      <c r="C166" s="8" t="inlineStr">
        <is>
          <t>CUST-01064</t>
        </is>
      </c>
      <c r="D166" s="8" t="inlineStr">
        <is>
          <t>Jack Turner</t>
        </is>
      </c>
      <c r="E166" s="8" t="inlineStr">
        <is>
          <t>PRD-0285</t>
        </is>
      </c>
      <c r="F166" s="8" t="inlineStr">
        <is>
          <t>1</t>
        </is>
      </c>
      <c r="G166" s="9" t="n">
        <v>269.59</v>
      </c>
      <c r="H166" s="8" t="inlineStr">
        <is>
          <t>0.3</t>
        </is>
      </c>
      <c r="I166" s="8" t="inlineStr">
        <is>
          <t>Standard Ground</t>
        </is>
      </c>
      <c r="J166" s="8" t="inlineStr">
        <is>
          <t>Affiliate Partner</t>
        </is>
      </c>
      <c r="K166" s="8" t="inlineStr">
        <is>
          <t>REG-EU</t>
        </is>
      </c>
    </row>
    <row r="167">
      <c r="A167" s="8" t="inlineStr">
        <is>
          <t>ORD-000082</t>
        </is>
      </c>
      <c r="B167" s="8" t="inlineStr">
        <is>
          <t>2023-11-07</t>
        </is>
      </c>
      <c r="C167" s="8" t="inlineStr"/>
      <c r="D167" s="8" t="inlineStr"/>
      <c r="E167" s="8" t="inlineStr">
        <is>
          <t>PRD-0344</t>
        </is>
      </c>
      <c r="F167" s="8" t="inlineStr">
        <is>
          <t>2</t>
        </is>
      </c>
      <c r="G167" s="9" t="n">
        <v>337.02</v>
      </c>
      <c r="H167" s="8" t="inlineStr">
        <is>
          <t>0.05</t>
        </is>
      </c>
      <c r="I167" s="8" t="inlineStr">
        <is>
          <t>Standard Ground</t>
        </is>
      </c>
      <c r="J167" s="8" t="inlineStr">
        <is>
          <t>Mobile App</t>
        </is>
      </c>
      <c r="K167" s="8" t="inlineStr"/>
    </row>
    <row r="168">
      <c r="A168" s="8" t="inlineStr">
        <is>
          <t>ORD-000083</t>
        </is>
      </c>
      <c r="B168" s="8" t="inlineStr">
        <is>
          <t>2023-12-12</t>
        </is>
      </c>
      <c r="C168" s="8" t="inlineStr">
        <is>
          <t>CUST-03910</t>
        </is>
      </c>
      <c r="D168" s="8" t="inlineStr">
        <is>
          <t>Catherine White</t>
        </is>
      </c>
      <c r="E168" s="8" t="inlineStr">
        <is>
          <t>PRD-0133</t>
        </is>
      </c>
      <c r="F168" s="8" t="inlineStr">
        <is>
          <t>3</t>
        </is>
      </c>
      <c r="G168" s="9" t="n">
        <v>673.35</v>
      </c>
      <c r="H168" s="8" t="inlineStr">
        <is>
          <t>0.2</t>
        </is>
      </c>
      <c r="I168" s="8" t="inlineStr">
        <is>
          <t>Express Air</t>
        </is>
      </c>
      <c r="J168" s="8" t="inlineStr">
        <is>
          <t>Direct Web</t>
        </is>
      </c>
      <c r="K168" s="8" t="inlineStr">
        <is>
          <t>REG-LATAM</t>
        </is>
      </c>
    </row>
    <row r="169">
      <c r="A169" s="8" t="inlineStr">
        <is>
          <t>ORD-000083</t>
        </is>
      </c>
      <c r="B169" s="8" t="inlineStr">
        <is>
          <t>2023-12-12</t>
        </is>
      </c>
      <c r="C169" s="8" t="inlineStr">
        <is>
          <t>CUST-03910</t>
        </is>
      </c>
      <c r="D169" s="8" t="inlineStr">
        <is>
          <t>Catherine White</t>
        </is>
      </c>
      <c r="E169" s="8" t="inlineStr">
        <is>
          <t>PRD-0240</t>
        </is>
      </c>
      <c r="F169" s="8" t="inlineStr">
        <is>
          <t>1</t>
        </is>
      </c>
      <c r="G169" s="9" t="n">
        <v>656.01</v>
      </c>
      <c r="H169" s="8" t="inlineStr">
        <is>
          <t>0.05</t>
        </is>
      </c>
      <c r="I169" s="8" t="inlineStr">
        <is>
          <t>Express Air</t>
        </is>
      </c>
      <c r="J169" s="8" t="inlineStr">
        <is>
          <t>Direct Web</t>
        </is>
      </c>
      <c r="K169" s="8" t="inlineStr">
        <is>
          <t>REG-LATAM</t>
        </is>
      </c>
    </row>
    <row r="170">
      <c r="A170" s="8" t="inlineStr">
        <is>
          <t>ORD-000084</t>
        </is>
      </c>
      <c r="B170" s="8" t="inlineStr">
        <is>
          <t>2024-09-05</t>
        </is>
      </c>
      <c r="C170" s="8" t="inlineStr">
        <is>
          <t>CUST-00136</t>
        </is>
      </c>
      <c r="D170" s="8" t="inlineStr">
        <is>
          <t>Maria Garcia</t>
        </is>
      </c>
      <c r="E170" s="8" t="inlineStr">
        <is>
          <t>PRD-0119</t>
        </is>
      </c>
      <c r="F170" s="8" t="inlineStr">
        <is>
          <t>8</t>
        </is>
      </c>
      <c r="G170" s="9" t="n">
        <v>11.35</v>
      </c>
      <c r="H170" s="8" t="inlineStr">
        <is>
          <t>0.0</t>
        </is>
      </c>
      <c r="I170" s="8" t="inlineStr">
        <is>
          <t>Express Air</t>
        </is>
      </c>
      <c r="J170" s="8" t="inlineStr">
        <is>
          <t>Direct Web</t>
        </is>
      </c>
      <c r="K170" s="8" t="inlineStr">
        <is>
          <t>REG-NA</t>
        </is>
      </c>
    </row>
    <row r="171">
      <c r="A171" s="8" t="inlineStr">
        <is>
          <t>ORD-000085</t>
        </is>
      </c>
      <c r="B171" s="8" t="inlineStr">
        <is>
          <t>01-09-2024</t>
        </is>
      </c>
      <c r="C171" s="8" t="inlineStr">
        <is>
          <t>CUST-05314</t>
        </is>
      </c>
      <c r="D171" s="8" t="inlineStr">
        <is>
          <t>Nicholas Stewart</t>
        </is>
      </c>
      <c r="E171" s="8" t="inlineStr">
        <is>
          <t>PRD-0003</t>
        </is>
      </c>
      <c r="F171" s="8" t="inlineStr">
        <is>
          <t>1</t>
        </is>
      </c>
      <c r="G171" s="9" t="n">
        <v>807.39</v>
      </c>
      <c r="H171" s="8" t="inlineStr">
        <is>
          <t>0.05</t>
        </is>
      </c>
      <c r="I171" s="8" t="inlineStr">
        <is>
          <t>Standard Ground</t>
        </is>
      </c>
      <c r="J171" s="8" t="inlineStr">
        <is>
          <t>Direct Web</t>
        </is>
      </c>
      <c r="K171" s="8" t="inlineStr">
        <is>
          <t>REG-LATAM</t>
        </is>
      </c>
    </row>
    <row r="172">
      <c r="A172" s="8" t="inlineStr">
        <is>
          <t>ORD-000085</t>
        </is>
      </c>
      <c r="B172" s="8" t="inlineStr">
        <is>
          <t>01-09-2024</t>
        </is>
      </c>
      <c r="C172" s="8" t="inlineStr">
        <is>
          <t>CUST-05314</t>
        </is>
      </c>
      <c r="D172" s="8" t="inlineStr">
        <is>
          <t>Nicholas Stewart</t>
        </is>
      </c>
      <c r="E172" s="8" t="inlineStr">
        <is>
          <t>PRD-0348</t>
        </is>
      </c>
      <c r="F172" s="8" t="inlineStr">
        <is>
          <t>4</t>
        </is>
      </c>
      <c r="G172" s="9" t="n">
        <v>792.8200000000001</v>
      </c>
      <c r="H172" s="8" t="inlineStr">
        <is>
          <t>0.1</t>
        </is>
      </c>
      <c r="I172" s="8" t="inlineStr">
        <is>
          <t>Standard Ground</t>
        </is>
      </c>
      <c r="J172" s="8" t="inlineStr">
        <is>
          <t>Direct Web</t>
        </is>
      </c>
      <c r="K172" s="8" t="inlineStr">
        <is>
          <t>REG-LATAM</t>
        </is>
      </c>
    </row>
    <row r="173">
      <c r="A173" s="8" t="inlineStr">
        <is>
          <t>ORD-000085</t>
        </is>
      </c>
      <c r="B173" s="8" t="inlineStr">
        <is>
          <t>01-09-2024</t>
        </is>
      </c>
      <c r="C173" s="8" t="inlineStr">
        <is>
          <t>CUST-05314</t>
        </is>
      </c>
      <c r="D173" s="8" t="inlineStr">
        <is>
          <t>Nicholas Stewart</t>
        </is>
      </c>
      <c r="E173" s="8" t="inlineStr">
        <is>
          <t>PRD-0459</t>
        </is>
      </c>
      <c r="F173" s="8" t="inlineStr">
        <is>
          <t>2</t>
        </is>
      </c>
      <c r="G173" s="9" t="n">
        <v>55.95</v>
      </c>
      <c r="H173" s="8" t="inlineStr">
        <is>
          <t>0.05</t>
        </is>
      </c>
      <c r="I173" s="8" t="inlineStr">
        <is>
          <t>Standard Ground</t>
        </is>
      </c>
      <c r="J173" s="8" t="inlineStr">
        <is>
          <t>Direct Web</t>
        </is>
      </c>
      <c r="K173" s="8" t="inlineStr">
        <is>
          <t>REG-LATAM</t>
        </is>
      </c>
    </row>
    <row r="174">
      <c r="A174" s="8" t="inlineStr">
        <is>
          <t>ORD-000085</t>
        </is>
      </c>
      <c r="B174" s="8" t="inlineStr">
        <is>
          <t>01-09-2024</t>
        </is>
      </c>
      <c r="C174" s="8" t="inlineStr">
        <is>
          <t>CUST-05314</t>
        </is>
      </c>
      <c r="D174" s="8" t="inlineStr">
        <is>
          <t>Nicholas Stewart</t>
        </is>
      </c>
      <c r="E174" s="8" t="inlineStr">
        <is>
          <t>PRD-0037</t>
        </is>
      </c>
      <c r="F174" s="8" t="inlineStr">
        <is>
          <t>1</t>
        </is>
      </c>
      <c r="G174" s="9" t="n">
        <v>499.93</v>
      </c>
      <c r="H174" s="8" t="inlineStr">
        <is>
          <t>0.0</t>
        </is>
      </c>
      <c r="I174" s="8" t="inlineStr">
        <is>
          <t>Standard Ground</t>
        </is>
      </c>
      <c r="J174" s="8" t="inlineStr">
        <is>
          <t>Direct Web</t>
        </is>
      </c>
      <c r="K174" s="8" t="inlineStr">
        <is>
          <t>REG-LATAM</t>
        </is>
      </c>
    </row>
    <row r="175">
      <c r="A175" s="8" t="inlineStr">
        <is>
          <t>ORD-000086</t>
        </is>
      </c>
      <c r="B175" s="8" t="inlineStr">
        <is>
          <t>2025-03-24</t>
        </is>
      </c>
      <c r="C175" s="8" t="inlineStr">
        <is>
          <t>CUST-01200</t>
        </is>
      </c>
      <c r="D175" s="8" t="inlineStr">
        <is>
          <t>Mark Wright</t>
        </is>
      </c>
      <c r="E175" s="8" t="inlineStr">
        <is>
          <t>PRD-0034</t>
        </is>
      </c>
      <c r="F175" s="8" t="inlineStr">
        <is>
          <t>1</t>
        </is>
      </c>
      <c r="G175" s="9" t="n">
        <v>52.58</v>
      </c>
      <c r="H175" s="8" t="inlineStr">
        <is>
          <t>0.05</t>
        </is>
      </c>
      <c r="I175" s="8" t="inlineStr">
        <is>
          <t>Standard Ground</t>
        </is>
      </c>
      <c r="J175" s="8" t="inlineStr">
        <is>
          <t>Mobile App</t>
        </is>
      </c>
      <c r="K175" s="8" t="inlineStr">
        <is>
          <t>REG-EU</t>
        </is>
      </c>
    </row>
    <row r="176">
      <c r="A176" s="8" t="inlineStr">
        <is>
          <t>ORD-000086</t>
        </is>
      </c>
      <c r="B176" s="8" t="inlineStr">
        <is>
          <t>2025-03-24</t>
        </is>
      </c>
      <c r="C176" s="8" t="inlineStr">
        <is>
          <t>CUST-01200</t>
        </is>
      </c>
      <c r="D176" s="8" t="inlineStr">
        <is>
          <t>Mark Wright</t>
        </is>
      </c>
      <c r="E176" s="8" t="inlineStr">
        <is>
          <t>PRD-0308</t>
        </is>
      </c>
      <c r="F176" s="8" t="inlineStr">
        <is>
          <t>1</t>
        </is>
      </c>
      <c r="G176" s="9" t="n">
        <v>61.03</v>
      </c>
      <c r="H176" s="8" t="inlineStr">
        <is>
          <t>0.0</t>
        </is>
      </c>
      <c r="I176" s="8" t="inlineStr">
        <is>
          <t>Standard Ground</t>
        </is>
      </c>
      <c r="J176" s="8" t="inlineStr">
        <is>
          <t>Mobile App</t>
        </is>
      </c>
      <c r="K176" s="8" t="inlineStr">
        <is>
          <t>REG-EU</t>
        </is>
      </c>
    </row>
    <row r="177">
      <c r="A177" s="8" t="inlineStr">
        <is>
          <t>ORD-000086</t>
        </is>
      </c>
      <c r="B177" s="8" t="inlineStr">
        <is>
          <t>2025-03-24</t>
        </is>
      </c>
      <c r="C177" s="8" t="inlineStr">
        <is>
          <t>CUST-01200</t>
        </is>
      </c>
      <c r="D177" s="8" t="inlineStr">
        <is>
          <t>Mark Wright</t>
        </is>
      </c>
      <c r="E177" s="8" t="inlineStr">
        <is>
          <t>PRD-0311</t>
        </is>
      </c>
      <c r="F177" s="8" t="inlineStr">
        <is>
          <t>1</t>
        </is>
      </c>
      <c r="G177" s="9" t="n">
        <v>7.85</v>
      </c>
      <c r="H177" s="8" t="inlineStr">
        <is>
          <t>0.1</t>
        </is>
      </c>
      <c r="I177" s="8" t="inlineStr">
        <is>
          <t>Standard Ground</t>
        </is>
      </c>
      <c r="J177" s="8" t="inlineStr">
        <is>
          <t>Mobile App</t>
        </is>
      </c>
      <c r="K177" s="8" t="inlineStr">
        <is>
          <t>REG-EU</t>
        </is>
      </c>
    </row>
    <row r="178">
      <c r="A178" s="8" t="inlineStr">
        <is>
          <t>ORD-000087</t>
        </is>
      </c>
      <c r="B178" s="8" t="inlineStr">
        <is>
          <t>2024-03-24</t>
        </is>
      </c>
      <c r="C178" s="8" t="inlineStr">
        <is>
          <t>CUST-07052</t>
        </is>
      </c>
      <c r="D178" s="8" t="inlineStr">
        <is>
          <t>Paul Sanders</t>
        </is>
      </c>
      <c r="E178" s="8" t="inlineStr">
        <is>
          <t>PRD-0063</t>
        </is>
      </c>
      <c r="F178" s="8" t="inlineStr">
        <is>
          <t>1</t>
        </is>
      </c>
      <c r="G178" s="9" t="n">
        <v>62.68</v>
      </c>
      <c r="H178" s="8" t="inlineStr">
        <is>
          <t>0.05</t>
        </is>
      </c>
      <c r="I178" s="8" t="inlineStr">
        <is>
          <t>Same-Day Priority</t>
        </is>
      </c>
      <c r="J178" s="8" t="inlineStr">
        <is>
          <t>Direct Web</t>
        </is>
      </c>
      <c r="K178" s="8" t="inlineStr">
        <is>
          <t>REG-NA</t>
        </is>
      </c>
    </row>
    <row r="179">
      <c r="A179" s="8" t="inlineStr">
        <is>
          <t>ORD-000087</t>
        </is>
      </c>
      <c r="B179" s="8" t="inlineStr">
        <is>
          <t>2024-03-24</t>
        </is>
      </c>
      <c r="C179" s="8" t="inlineStr">
        <is>
          <t>CUST-07052</t>
        </is>
      </c>
      <c r="D179" s="8" t="inlineStr">
        <is>
          <t>Paul Sanders</t>
        </is>
      </c>
      <c r="E179" s="8" t="inlineStr">
        <is>
          <t>PRD-0266</t>
        </is>
      </c>
      <c r="F179" s="8" t="inlineStr">
        <is>
          <t>4</t>
        </is>
      </c>
      <c r="G179" s="9" t="n">
        <v>170.34</v>
      </c>
      <c r="H179" s="8" t="inlineStr">
        <is>
          <t>0.05</t>
        </is>
      </c>
      <c r="I179" s="8" t="inlineStr">
        <is>
          <t>Same-Day Priority</t>
        </is>
      </c>
      <c r="J179" s="8" t="inlineStr">
        <is>
          <t>Direct Web</t>
        </is>
      </c>
      <c r="K179" s="8" t="inlineStr">
        <is>
          <t>REG-NA</t>
        </is>
      </c>
    </row>
    <row r="180">
      <c r="A180" s="8" t="inlineStr">
        <is>
          <t>ORD-000087</t>
        </is>
      </c>
      <c r="B180" s="8" t="inlineStr">
        <is>
          <t>2024-03-24</t>
        </is>
      </c>
      <c r="C180" s="8" t="inlineStr">
        <is>
          <t>CUST-07052</t>
        </is>
      </c>
      <c r="D180" s="8" t="inlineStr">
        <is>
          <t>Paul Sanders</t>
        </is>
      </c>
      <c r="E180" s="8" t="inlineStr">
        <is>
          <t>PRD-0027</t>
        </is>
      </c>
      <c r="F180" s="8" t="inlineStr">
        <is>
          <t>1</t>
        </is>
      </c>
      <c r="G180" s="9" t="n">
        <v>11.1</v>
      </c>
      <c r="H180" s="8" t="inlineStr">
        <is>
          <t>0.05</t>
        </is>
      </c>
      <c r="I180" s="8" t="inlineStr">
        <is>
          <t>Same-Day Priority</t>
        </is>
      </c>
      <c r="J180" s="8" t="inlineStr">
        <is>
          <t>Direct Web</t>
        </is>
      </c>
      <c r="K180" s="8" t="inlineStr">
        <is>
          <t>REG-NA</t>
        </is>
      </c>
    </row>
    <row r="181">
      <c r="A181" s="8" t="inlineStr">
        <is>
          <t>ORD-000087</t>
        </is>
      </c>
      <c r="B181" s="8" t="inlineStr">
        <is>
          <t>2024-03-24</t>
        </is>
      </c>
      <c r="C181" s="8" t="inlineStr">
        <is>
          <t>CUST-07052</t>
        </is>
      </c>
      <c r="D181" s="8" t="inlineStr">
        <is>
          <t>Paul Sanders</t>
        </is>
      </c>
      <c r="E181" s="8" t="inlineStr">
        <is>
          <t>PRD-0286</t>
        </is>
      </c>
      <c r="F181" s="8" t="inlineStr">
        <is>
          <t>1</t>
        </is>
      </c>
      <c r="G181" s="9" t="n">
        <v>232.89</v>
      </c>
      <c r="H181" s="8" t="inlineStr">
        <is>
          <t>0.1</t>
        </is>
      </c>
      <c r="I181" s="8" t="inlineStr">
        <is>
          <t>Same-Day Priority</t>
        </is>
      </c>
      <c r="J181" s="8" t="inlineStr">
        <is>
          <t>Direct Web</t>
        </is>
      </c>
      <c r="K181" s="8" t="inlineStr">
        <is>
          <t>REG-NA</t>
        </is>
      </c>
    </row>
    <row r="182">
      <c r="A182" s="8" t="inlineStr">
        <is>
          <t>ORD-000088</t>
        </is>
      </c>
      <c r="B182" s="8" t="inlineStr">
        <is>
          <t>2023-04-10</t>
        </is>
      </c>
      <c r="C182" s="8" t="inlineStr">
        <is>
          <t>CUST-00409</t>
        </is>
      </c>
      <c r="D182" s="8" t="inlineStr">
        <is>
          <t>Jennifer Taylor</t>
        </is>
      </c>
      <c r="E182" s="8" t="inlineStr">
        <is>
          <t>PRD-0261</t>
        </is>
      </c>
      <c r="F182" s="8" t="inlineStr">
        <is>
          <t>1</t>
        </is>
      </c>
      <c r="G182" s="9" t="n">
        <v>568.83</v>
      </c>
      <c r="H182" s="8" t="inlineStr">
        <is>
          <t>0.15</t>
        </is>
      </c>
      <c r="I182" s="8" t="inlineStr">
        <is>
          <t>Standard Ground</t>
        </is>
      </c>
      <c r="J182" s="8" t="inlineStr">
        <is>
          <t>Direct Web</t>
        </is>
      </c>
      <c r="K182" s="8" t="inlineStr">
        <is>
          <t>REG-EU</t>
        </is>
      </c>
    </row>
    <row r="183">
      <c r="A183" s="8" t="inlineStr">
        <is>
          <t>ORD-000088</t>
        </is>
      </c>
      <c r="B183" s="8" t="inlineStr">
        <is>
          <t>2023-04-10</t>
        </is>
      </c>
      <c r="C183" s="8" t="inlineStr">
        <is>
          <t>CUST-00409</t>
        </is>
      </c>
      <c r="D183" s="8" t="inlineStr">
        <is>
          <t>Jennifer Taylor</t>
        </is>
      </c>
      <c r="E183" s="8" t="inlineStr">
        <is>
          <t>PRD-0433</t>
        </is>
      </c>
      <c r="F183" s="8" t="inlineStr">
        <is>
          <t>1</t>
        </is>
      </c>
      <c r="G183" s="9" t="n">
        <v>545.86</v>
      </c>
      <c r="H183" s="8" t="inlineStr">
        <is>
          <t>0.0</t>
        </is>
      </c>
      <c r="I183" s="8" t="inlineStr">
        <is>
          <t>Standard Ground</t>
        </is>
      </c>
      <c r="J183" s="8" t="inlineStr">
        <is>
          <t>Direct Web</t>
        </is>
      </c>
      <c r="K183" s="8" t="inlineStr">
        <is>
          <t>REG-EU</t>
        </is>
      </c>
    </row>
    <row r="184">
      <c r="A184" s="8" t="inlineStr">
        <is>
          <t>ORD-000088</t>
        </is>
      </c>
      <c r="B184" s="8" t="inlineStr">
        <is>
          <t>2023-04-10</t>
        </is>
      </c>
      <c r="C184" s="8" t="inlineStr">
        <is>
          <t>CUST-00409</t>
        </is>
      </c>
      <c r="D184" s="8" t="inlineStr">
        <is>
          <t>Jennifer Taylor</t>
        </is>
      </c>
      <c r="E184" s="8" t="inlineStr">
        <is>
          <t>PRD-0386</t>
        </is>
      </c>
      <c r="F184" s="8" t="inlineStr">
        <is>
          <t>4</t>
        </is>
      </c>
      <c r="G184" s="9" t="n">
        <v>339.98</v>
      </c>
      <c r="H184" s="8" t="inlineStr">
        <is>
          <t>0.05</t>
        </is>
      </c>
      <c r="I184" s="8" t="inlineStr">
        <is>
          <t>Standard Ground</t>
        </is>
      </c>
      <c r="J184" s="8" t="inlineStr">
        <is>
          <t>Direct Web</t>
        </is>
      </c>
      <c r="K184" s="8" t="inlineStr">
        <is>
          <t>REG-EU</t>
        </is>
      </c>
    </row>
    <row r="185">
      <c r="A185" s="8" t="inlineStr">
        <is>
          <t>ORD-000088</t>
        </is>
      </c>
      <c r="B185" s="8" t="inlineStr">
        <is>
          <t>2023-04-10</t>
        </is>
      </c>
      <c r="C185" s="8" t="inlineStr">
        <is>
          <t>CUST-00409</t>
        </is>
      </c>
      <c r="D185" s="8" t="inlineStr">
        <is>
          <t>Jennifer Taylor</t>
        </is>
      </c>
      <c r="E185" s="8" t="inlineStr">
        <is>
          <t>PRD-0083</t>
        </is>
      </c>
      <c r="F185" s="8" t="inlineStr">
        <is>
          <t>2</t>
        </is>
      </c>
      <c r="G185" s="9" t="n">
        <v>73.41</v>
      </c>
      <c r="H185" s="8" t="inlineStr">
        <is>
          <t>0%</t>
        </is>
      </c>
      <c r="I185" s="8" t="inlineStr">
        <is>
          <t>Standard Ground</t>
        </is>
      </c>
      <c r="J185" s="8" t="inlineStr">
        <is>
          <t>Direct Web</t>
        </is>
      </c>
      <c r="K185" s="8" t="inlineStr">
        <is>
          <t>REG-EU</t>
        </is>
      </c>
    </row>
    <row r="186">
      <c r="A186" s="8" t="inlineStr">
        <is>
          <t>ORD-000089</t>
        </is>
      </c>
      <c r="B186" s="8" t="inlineStr">
        <is>
          <t>2023-08-20</t>
        </is>
      </c>
      <c r="C186" s="8" t="inlineStr">
        <is>
          <t>CUST-00504</t>
        </is>
      </c>
      <c r="D186" s="8" t="inlineStr">
        <is>
          <t xml:space="preserve">  james mitchell  </t>
        </is>
      </c>
      <c r="E186" s="8" t="inlineStr">
        <is>
          <t>PRD-0318</t>
        </is>
      </c>
      <c r="F186" s="8" t="inlineStr">
        <is>
          <t>1</t>
        </is>
      </c>
      <c r="G186" s="9" t="n">
        <v>130.98</v>
      </c>
      <c r="H186" s="8" t="inlineStr">
        <is>
          <t>0.0</t>
        </is>
      </c>
      <c r="I186" s="8" t="inlineStr">
        <is>
          <t>Standard Ground</t>
        </is>
      </c>
      <c r="J186" s="8" t="inlineStr">
        <is>
          <t>Direct Web</t>
        </is>
      </c>
      <c r="K186" s="8" t="inlineStr">
        <is>
          <t>REG-NA</t>
        </is>
      </c>
    </row>
    <row r="187">
      <c r="A187" s="8" t="inlineStr">
        <is>
          <t>ORD-000089</t>
        </is>
      </c>
      <c r="B187" s="8" t="inlineStr">
        <is>
          <t>2023-08-20</t>
        </is>
      </c>
      <c r="C187" s="8" t="inlineStr">
        <is>
          <t>CUST-00504</t>
        </is>
      </c>
      <c r="D187" s="8" t="inlineStr">
        <is>
          <t xml:space="preserve">  james mitchell  </t>
        </is>
      </c>
      <c r="E187" s="8" t="inlineStr">
        <is>
          <t>PRD-0274</t>
        </is>
      </c>
      <c r="F187" s="8" t="inlineStr">
        <is>
          <t>5</t>
        </is>
      </c>
      <c r="G187" s="9" t="n">
        <v>74.98999999999999</v>
      </c>
      <c r="H187" s="8" t="inlineStr">
        <is>
          <t>0.0</t>
        </is>
      </c>
      <c r="I187" s="8" t="inlineStr">
        <is>
          <t>Standard Ground</t>
        </is>
      </c>
      <c r="J187" s="8" t="inlineStr">
        <is>
          <t>Direct Web</t>
        </is>
      </c>
      <c r="K187" s="8" t="inlineStr">
        <is>
          <t>REG-NA</t>
        </is>
      </c>
    </row>
    <row r="188">
      <c r="A188" s="8" t="inlineStr">
        <is>
          <t>ORD-000089</t>
        </is>
      </c>
      <c r="B188" s="8" t="inlineStr">
        <is>
          <t>2023-08-20</t>
        </is>
      </c>
      <c r="C188" s="8" t="inlineStr">
        <is>
          <t>CUST-00504</t>
        </is>
      </c>
      <c r="D188" s="8" t="inlineStr">
        <is>
          <t xml:space="preserve">  james mitchell  </t>
        </is>
      </c>
      <c r="E188" s="8" t="inlineStr">
        <is>
          <t>PRD-0222</t>
        </is>
      </c>
      <c r="F188" s="8" t="inlineStr">
        <is>
          <t>1</t>
        </is>
      </c>
      <c r="G188" s="9" t="n">
        <v>748.03</v>
      </c>
      <c r="H188" s="8" t="inlineStr">
        <is>
          <t>0.05</t>
        </is>
      </c>
      <c r="I188" s="8" t="inlineStr">
        <is>
          <t>Standard Ground</t>
        </is>
      </c>
      <c r="J188" s="8" t="inlineStr">
        <is>
          <t>Direct Web</t>
        </is>
      </c>
      <c r="K188" s="8" t="inlineStr">
        <is>
          <t>REG-NA</t>
        </is>
      </c>
    </row>
    <row r="189">
      <c r="A189" s="8" t="inlineStr">
        <is>
          <t>ORD-000089</t>
        </is>
      </c>
      <c r="B189" s="8" t="inlineStr">
        <is>
          <t>2023-08-20</t>
        </is>
      </c>
      <c r="C189" s="8" t="inlineStr">
        <is>
          <t>CUST-00504</t>
        </is>
      </c>
      <c r="D189" s="8" t="inlineStr">
        <is>
          <t xml:space="preserve">  james mitchell  </t>
        </is>
      </c>
      <c r="E189" s="8" t="inlineStr">
        <is>
          <t>PRD-0366</t>
        </is>
      </c>
      <c r="F189" s="8" t="inlineStr">
        <is>
          <t>1</t>
        </is>
      </c>
      <c r="G189" s="9" t="n">
        <v>772.59</v>
      </c>
      <c r="H189" s="8" t="inlineStr">
        <is>
          <t>0.0</t>
        </is>
      </c>
      <c r="I189" s="8" t="inlineStr">
        <is>
          <t>Standard Ground</t>
        </is>
      </c>
      <c r="J189" s="8" t="inlineStr">
        <is>
          <t>Direct Web</t>
        </is>
      </c>
      <c r="K189" s="8" t="inlineStr">
        <is>
          <t>REG-NA</t>
        </is>
      </c>
    </row>
    <row r="190">
      <c r="A190" s="8" t="inlineStr">
        <is>
          <t>ORD-000089</t>
        </is>
      </c>
      <c r="B190" s="8" t="inlineStr">
        <is>
          <t>2023-08-20</t>
        </is>
      </c>
      <c r="C190" s="8" t="inlineStr">
        <is>
          <t>CUST-00504</t>
        </is>
      </c>
      <c r="D190" s="8" t="inlineStr">
        <is>
          <t xml:space="preserve">  james mitchell  </t>
        </is>
      </c>
      <c r="E190" s="8" t="inlineStr">
        <is>
          <t>PRD-0061</t>
        </is>
      </c>
      <c r="F190" s="8" t="inlineStr">
        <is>
          <t>5</t>
        </is>
      </c>
      <c r="G190" s="9" t="n">
        <v>394.62</v>
      </c>
      <c r="H190" s="8" t="inlineStr">
        <is>
          <t>0.05</t>
        </is>
      </c>
      <c r="I190" s="8" t="inlineStr">
        <is>
          <t>Standard Ground</t>
        </is>
      </c>
      <c r="J190" s="8" t="inlineStr">
        <is>
          <t>Direct Web</t>
        </is>
      </c>
      <c r="K190" s="8" t="inlineStr">
        <is>
          <t>REG-NA</t>
        </is>
      </c>
    </row>
    <row r="191">
      <c r="A191" s="8" t="inlineStr">
        <is>
          <t>ORD-000090</t>
        </is>
      </c>
      <c r="B191" s="8" t="inlineStr">
        <is>
          <t>2025-11-20</t>
        </is>
      </c>
      <c r="C191" s="8" t="inlineStr">
        <is>
          <t>CUST-05381</t>
        </is>
      </c>
      <c r="D191" s="8" t="inlineStr">
        <is>
          <t>Jessica Price</t>
        </is>
      </c>
      <c r="E191" s="8" t="inlineStr">
        <is>
          <t>PRD-0474</t>
        </is>
      </c>
      <c r="F191" s="8" t="inlineStr">
        <is>
          <t>1</t>
        </is>
      </c>
      <c r="G191" s="9" t="n">
        <v>86.79000000000001</v>
      </c>
      <c r="H191" s="8" t="inlineStr">
        <is>
          <t>0.2</t>
        </is>
      </c>
      <c r="I191" s="8" t="inlineStr">
        <is>
          <t>Express Air</t>
        </is>
      </c>
      <c r="J191" s="8" t="inlineStr">
        <is>
          <t>Direct Web</t>
        </is>
      </c>
      <c r="K191" s="8" t="inlineStr">
        <is>
          <t>REG-APAC</t>
        </is>
      </c>
    </row>
    <row r="192">
      <c r="A192" s="8" t="inlineStr">
        <is>
          <t>ORD-000090</t>
        </is>
      </c>
      <c r="B192" s="8" t="inlineStr">
        <is>
          <t>2025-11-20</t>
        </is>
      </c>
      <c r="C192" s="8" t="inlineStr">
        <is>
          <t>CUST-05381</t>
        </is>
      </c>
      <c r="D192" s="8" t="inlineStr">
        <is>
          <t>Jessica Price</t>
        </is>
      </c>
      <c r="E192" s="8" t="inlineStr">
        <is>
          <t>PRD-0404</t>
        </is>
      </c>
      <c r="F192" s="8" t="inlineStr">
        <is>
          <t>1</t>
        </is>
      </c>
      <c r="G192" s="9" t="n">
        <v>23.86</v>
      </c>
      <c r="H192" s="8" t="inlineStr">
        <is>
          <t>0.05</t>
        </is>
      </c>
      <c r="I192" s="8" t="inlineStr">
        <is>
          <t>Express Air</t>
        </is>
      </c>
      <c r="J192" s="8" t="inlineStr">
        <is>
          <t>Direct Web</t>
        </is>
      </c>
      <c r="K192" s="8" t="inlineStr">
        <is>
          <t>REG-APAC</t>
        </is>
      </c>
    </row>
    <row r="193">
      <c r="A193" s="8" t="inlineStr">
        <is>
          <t>ORD-000090</t>
        </is>
      </c>
      <c r="B193" s="8" t="inlineStr">
        <is>
          <t>2025-11-20</t>
        </is>
      </c>
      <c r="C193" s="8" t="inlineStr">
        <is>
          <t>CUST-05381</t>
        </is>
      </c>
      <c r="D193" s="8" t="inlineStr">
        <is>
          <t>Jessica Price</t>
        </is>
      </c>
      <c r="E193" s="8" t="inlineStr">
        <is>
          <t>PRD-0448</t>
        </is>
      </c>
      <c r="F193" s="8" t="inlineStr">
        <is>
          <t>1</t>
        </is>
      </c>
      <c r="G193" s="9" t="n">
        <v>338.65</v>
      </c>
      <c r="H193" s="8" t="inlineStr">
        <is>
          <t>0.15</t>
        </is>
      </c>
      <c r="I193" s="8" t="inlineStr">
        <is>
          <t>Express Air</t>
        </is>
      </c>
      <c r="J193" s="8" t="inlineStr">
        <is>
          <t>Direct Web</t>
        </is>
      </c>
      <c r="K193" s="8" t="inlineStr">
        <is>
          <t>REG-APAC</t>
        </is>
      </c>
    </row>
    <row r="194">
      <c r="A194" s="8" t="inlineStr">
        <is>
          <t>ORD-000090</t>
        </is>
      </c>
      <c r="B194" s="8" t="inlineStr">
        <is>
          <t>2025-11-20</t>
        </is>
      </c>
      <c r="C194" s="8" t="inlineStr">
        <is>
          <t>CUST-05381</t>
        </is>
      </c>
      <c r="D194" s="8" t="inlineStr">
        <is>
          <t>Jessica Price</t>
        </is>
      </c>
      <c r="E194" s="8" t="inlineStr">
        <is>
          <t>PRD-0253</t>
        </is>
      </c>
      <c r="F194" s="8" t="inlineStr">
        <is>
          <t>1</t>
        </is>
      </c>
      <c r="G194" s="9" t="n">
        <v>514.9400000000001</v>
      </c>
      <c r="H194" s="8" t="inlineStr">
        <is>
          <t>0.0</t>
        </is>
      </c>
      <c r="I194" s="8" t="inlineStr">
        <is>
          <t>Express Air</t>
        </is>
      </c>
      <c r="J194" s="8" t="inlineStr">
        <is>
          <t>Direct Web</t>
        </is>
      </c>
      <c r="K194" s="8" t="inlineStr">
        <is>
          <t>REG-APAC</t>
        </is>
      </c>
    </row>
    <row r="195">
      <c r="A195" s="8" t="inlineStr">
        <is>
          <t>ORD-000091</t>
        </is>
      </c>
      <c r="B195" s="8" t="inlineStr">
        <is>
          <t>2023-11-05</t>
        </is>
      </c>
      <c r="C195" s="8" t="inlineStr"/>
      <c r="D195" s="8" t="inlineStr"/>
      <c r="E195" s="8" t="inlineStr">
        <is>
          <t>PRD-0446</t>
        </is>
      </c>
      <c r="F195" s="8" t="inlineStr">
        <is>
          <t>1</t>
        </is>
      </c>
      <c r="G195" s="9" t="n">
        <v>610.12</v>
      </c>
      <c r="H195" s="8" t="inlineStr">
        <is>
          <t>0.05</t>
        </is>
      </c>
      <c r="I195" s="8" t="inlineStr">
        <is>
          <t>Express Air</t>
        </is>
      </c>
      <c r="J195" s="8" t="inlineStr">
        <is>
          <t>Direct Web</t>
        </is>
      </c>
      <c r="K195" s="8" t="inlineStr"/>
    </row>
    <row r="196">
      <c r="A196" s="8" t="inlineStr">
        <is>
          <t>ORD-000092</t>
        </is>
      </c>
      <c r="B196" s="8" t="inlineStr">
        <is>
          <t>2024-03-11</t>
        </is>
      </c>
      <c r="C196" s="8" t="inlineStr">
        <is>
          <t>CUST-07450</t>
        </is>
      </c>
      <c r="D196" s="8" t="inlineStr">
        <is>
          <t>Sarah Peterson</t>
        </is>
      </c>
      <c r="E196" s="8" t="inlineStr">
        <is>
          <t>PRD-0204</t>
        </is>
      </c>
      <c r="F196" s="8" t="inlineStr">
        <is>
          <t>2</t>
        </is>
      </c>
      <c r="G196" s="9" t="n">
        <v>46.46</v>
      </c>
      <c r="H196" s="8" t="inlineStr">
        <is>
          <t>0.15</t>
        </is>
      </c>
      <c r="I196" s="8" t="inlineStr">
        <is>
          <t>Standard Ground</t>
        </is>
      </c>
      <c r="J196" s="8" t="inlineStr">
        <is>
          <t>Mobile App</t>
        </is>
      </c>
      <c r="K196" s="8" t="inlineStr">
        <is>
          <t>REG-NA</t>
        </is>
      </c>
    </row>
    <row r="197">
      <c r="A197" s="8" t="inlineStr">
        <is>
          <t>ORD-000092</t>
        </is>
      </c>
      <c r="B197" s="8" t="inlineStr">
        <is>
          <t>2024-03-11</t>
        </is>
      </c>
      <c r="C197" s="8" t="inlineStr">
        <is>
          <t>CUST-07450</t>
        </is>
      </c>
      <c r="D197" s="8" t="inlineStr">
        <is>
          <t>Sarah Peterson</t>
        </is>
      </c>
      <c r="E197" s="8" t="inlineStr">
        <is>
          <t>PRD-0005</t>
        </is>
      </c>
      <c r="F197" s="8" t="inlineStr">
        <is>
          <t>1</t>
        </is>
      </c>
      <c r="G197" s="9" t="n">
        <v>148.59</v>
      </c>
      <c r="H197" s="8" t="inlineStr">
        <is>
          <t>0.05</t>
        </is>
      </c>
      <c r="I197" s="8" t="inlineStr">
        <is>
          <t>Standard Ground</t>
        </is>
      </c>
      <c r="J197" s="8" t="inlineStr">
        <is>
          <t>Mobile App</t>
        </is>
      </c>
      <c r="K197" s="8" t="inlineStr">
        <is>
          <t>REG-NA</t>
        </is>
      </c>
    </row>
    <row r="198">
      <c r="A198" s="8" t="inlineStr">
        <is>
          <t>ORD-000093</t>
        </is>
      </c>
      <c r="B198" s="8" t="inlineStr">
        <is>
          <t>2024-06-24</t>
        </is>
      </c>
      <c r="C198" s="8" t="inlineStr">
        <is>
          <t>CUST-06221</t>
        </is>
      </c>
      <c r="D198" s="8" t="inlineStr">
        <is>
          <t>Sarah Richardson</t>
        </is>
      </c>
      <c r="E198" s="8" t="inlineStr">
        <is>
          <t>PRD-0389</t>
        </is>
      </c>
      <c r="F198" s="8" t="inlineStr">
        <is>
          <t>3</t>
        </is>
      </c>
      <c r="G198" s="9" t="n">
        <v>355.7</v>
      </c>
      <c r="H198" s="8" t="inlineStr">
        <is>
          <t>0.3</t>
        </is>
      </c>
      <c r="I198" s="8" t="inlineStr">
        <is>
          <t>Standard Ground</t>
        </is>
      </c>
      <c r="J198" s="8" t="inlineStr">
        <is>
          <t>B2B Portal</t>
        </is>
      </c>
      <c r="K198" s="8" t="inlineStr">
        <is>
          <t>REG-NA</t>
        </is>
      </c>
    </row>
    <row r="199">
      <c r="A199" s="8" t="inlineStr">
        <is>
          <t>ORD-000093</t>
        </is>
      </c>
      <c r="B199" s="8" t="inlineStr">
        <is>
          <t>2024-06-24</t>
        </is>
      </c>
      <c r="C199" s="8" t="inlineStr">
        <is>
          <t>CUST-06221</t>
        </is>
      </c>
      <c r="D199" s="8" t="inlineStr">
        <is>
          <t>Sarah Richardson</t>
        </is>
      </c>
      <c r="E199" s="8" t="inlineStr">
        <is>
          <t>PRD-0423</t>
        </is>
      </c>
      <c r="F199" s="8" t="inlineStr">
        <is>
          <t>1</t>
        </is>
      </c>
      <c r="G199" s="9" t="n">
        <v>922.78</v>
      </c>
      <c r="H199" s="8" t="inlineStr">
        <is>
          <t>0.0</t>
        </is>
      </c>
      <c r="I199" s="8" t="inlineStr">
        <is>
          <t>Standard Ground</t>
        </is>
      </c>
      <c r="J199" s="8" t="inlineStr">
        <is>
          <t>B2B Portal</t>
        </is>
      </c>
      <c r="K199" s="8" t="inlineStr">
        <is>
          <t>REG-NA</t>
        </is>
      </c>
    </row>
    <row r="200">
      <c r="A200" s="8" t="inlineStr">
        <is>
          <t>ORD-000094</t>
        </is>
      </c>
      <c r="B200" s="8" t="inlineStr">
        <is>
          <t>2024-11-17</t>
        </is>
      </c>
      <c r="C200" s="8" t="inlineStr">
        <is>
          <t>CUST-00036</t>
        </is>
      </c>
      <c r="D200" s="8" t="inlineStr">
        <is>
          <t>Mark Ramirez</t>
        </is>
      </c>
      <c r="E200" s="8" t="inlineStr">
        <is>
          <t>PRD-0294</t>
        </is>
      </c>
      <c r="F200" s="8" t="inlineStr">
        <is>
          <t>1</t>
        </is>
      </c>
      <c r="G200" s="9" t="n">
        <v>159.21</v>
      </c>
      <c r="H200" s="8" t="inlineStr">
        <is>
          <t>0.0</t>
        </is>
      </c>
      <c r="I200" s="8" t="inlineStr">
        <is>
          <t>Express Air</t>
        </is>
      </c>
      <c r="J200" s="8" t="inlineStr">
        <is>
          <t>Affiliate Partner</t>
        </is>
      </c>
      <c r="K200" s="8" t="inlineStr">
        <is>
          <t>REG-APAC</t>
        </is>
      </c>
    </row>
    <row r="201">
      <c r="A201" s="8" t="inlineStr">
        <is>
          <t>ORD-000094</t>
        </is>
      </c>
      <c r="B201" s="8" t="inlineStr">
        <is>
          <t>2024-11-17</t>
        </is>
      </c>
      <c r="C201" s="8" t="inlineStr">
        <is>
          <t>CUST-00036</t>
        </is>
      </c>
      <c r="D201" s="8" t="inlineStr">
        <is>
          <t>Mark Ramirez</t>
        </is>
      </c>
      <c r="E201" s="8" t="inlineStr">
        <is>
          <t>PRD-0381</t>
        </is>
      </c>
      <c r="F201" s="8" t="inlineStr">
        <is>
          <t>1</t>
        </is>
      </c>
      <c r="G201" s="9" t="n">
        <v>321.45</v>
      </c>
      <c r="H201" s="8" t="inlineStr">
        <is>
          <t>0.0</t>
        </is>
      </c>
      <c r="I201" s="8" t="inlineStr">
        <is>
          <t>Express Air</t>
        </is>
      </c>
      <c r="J201" s="8" t="inlineStr">
        <is>
          <t>Affiliate Partner</t>
        </is>
      </c>
      <c r="K201" s="8" t="inlineStr">
        <is>
          <t>REG-APAC</t>
        </is>
      </c>
    </row>
    <row r="202">
      <c r="A202" s="8" t="inlineStr">
        <is>
          <t>ORD-000094</t>
        </is>
      </c>
      <c r="B202" s="8" t="inlineStr">
        <is>
          <t>2024-11-17</t>
        </is>
      </c>
      <c r="C202" s="8" t="inlineStr">
        <is>
          <t>CUST-00036</t>
        </is>
      </c>
      <c r="D202" s="8" t="inlineStr">
        <is>
          <t>Mark Ramirez</t>
        </is>
      </c>
      <c r="E202" s="8" t="inlineStr">
        <is>
          <t>PRD-0309</t>
        </is>
      </c>
      <c r="F202" s="8" t="inlineStr">
        <is>
          <t>1</t>
        </is>
      </c>
      <c r="G202" s="9" t="n">
        <v>632.1799999999999</v>
      </c>
      <c r="H202" s="8" t="inlineStr">
        <is>
          <t>0.05</t>
        </is>
      </c>
      <c r="I202" s="8" t="inlineStr">
        <is>
          <t>Express Air</t>
        </is>
      </c>
      <c r="J202" s="8" t="inlineStr">
        <is>
          <t>Affiliate Partner</t>
        </is>
      </c>
      <c r="K202" s="8" t="inlineStr">
        <is>
          <t>REG-APAC</t>
        </is>
      </c>
    </row>
    <row r="203">
      <c r="A203" s="8" t="inlineStr">
        <is>
          <t>ORD-000094</t>
        </is>
      </c>
      <c r="B203" s="8" t="inlineStr">
        <is>
          <t>2024-11-17</t>
        </is>
      </c>
      <c r="C203" s="8" t="inlineStr">
        <is>
          <t>CUST-00036</t>
        </is>
      </c>
      <c r="D203" s="8" t="inlineStr">
        <is>
          <t>Mark Ramirez</t>
        </is>
      </c>
      <c r="E203" s="8" t="inlineStr">
        <is>
          <t>PRD-0490</t>
        </is>
      </c>
      <c r="F203" s="8" t="inlineStr">
        <is>
          <t>1</t>
        </is>
      </c>
      <c r="G203" s="9" t="n">
        <v>146.89</v>
      </c>
      <c r="H203" s="8" t="inlineStr">
        <is>
          <t>0.2</t>
        </is>
      </c>
      <c r="I203" s="8" t="inlineStr">
        <is>
          <t>Express Air</t>
        </is>
      </c>
      <c r="J203" s="8" t="inlineStr">
        <is>
          <t>Affiliate Partner</t>
        </is>
      </c>
      <c r="K203" s="8" t="inlineStr">
        <is>
          <t>REG-APAC</t>
        </is>
      </c>
    </row>
    <row r="204">
      <c r="A204" s="8" t="inlineStr">
        <is>
          <t>ORD-000094</t>
        </is>
      </c>
      <c r="B204" s="8" t="inlineStr">
        <is>
          <t>2024-11-17</t>
        </is>
      </c>
      <c r="C204" s="8" t="inlineStr">
        <is>
          <t>CUST-00036</t>
        </is>
      </c>
      <c r="D204" s="8" t="inlineStr">
        <is>
          <t>Mark Ramirez</t>
        </is>
      </c>
      <c r="E204" s="8" t="inlineStr">
        <is>
          <t>PRD-0437</t>
        </is>
      </c>
      <c r="F204" s="8" t="inlineStr">
        <is>
          <t>2</t>
        </is>
      </c>
      <c r="G204" s="9" t="n">
        <v>177.29</v>
      </c>
      <c r="H204" s="8" t="inlineStr">
        <is>
          <t>0.05</t>
        </is>
      </c>
      <c r="I204" s="8" t="inlineStr">
        <is>
          <t>Express Air</t>
        </is>
      </c>
      <c r="J204" s="8" t="inlineStr">
        <is>
          <t>Affiliate Partner</t>
        </is>
      </c>
      <c r="K204" s="8" t="inlineStr">
        <is>
          <t>REG-APAC</t>
        </is>
      </c>
    </row>
    <row r="205">
      <c r="A205" s="8" t="inlineStr">
        <is>
          <t>ORD-000095</t>
        </is>
      </c>
      <c r="B205" s="8" t="inlineStr">
        <is>
          <t>11/04/2023</t>
        </is>
      </c>
      <c r="C205" s="8" t="inlineStr">
        <is>
          <t>CUST-02043</t>
        </is>
      </c>
      <c r="D205" s="8" t="inlineStr">
        <is>
          <t>Eric Lewis</t>
        </is>
      </c>
      <c r="E205" s="8" t="inlineStr">
        <is>
          <t>PRD-0186</t>
        </is>
      </c>
      <c r="F205" s="8" t="inlineStr">
        <is>
          <t>1</t>
        </is>
      </c>
      <c r="G205" s="9" t="n">
        <v>39.22</v>
      </c>
      <c r="H205" s="8" t="inlineStr">
        <is>
          <t>0.1</t>
        </is>
      </c>
      <c r="I205" s="8" t="inlineStr">
        <is>
          <t>Standard Ground</t>
        </is>
      </c>
      <c r="J205" s="8" t="inlineStr">
        <is>
          <t>Direct Web</t>
        </is>
      </c>
      <c r="K205" s="8" t="inlineStr">
        <is>
          <t>REG-EU</t>
        </is>
      </c>
    </row>
    <row r="206">
      <c r="A206" s="8" t="inlineStr">
        <is>
          <t>ORD-000096</t>
        </is>
      </c>
      <c r="B206" s="8" t="inlineStr">
        <is>
          <t>2025-01-22</t>
        </is>
      </c>
      <c r="C206" s="8" t="inlineStr">
        <is>
          <t>CUST-04182</t>
        </is>
      </c>
      <c r="D206" s="8" t="inlineStr">
        <is>
          <t>Carolyn Hall</t>
        </is>
      </c>
      <c r="E206" s="8" t="inlineStr">
        <is>
          <t>PRD-0285</t>
        </is>
      </c>
      <c r="F206" s="8" t="inlineStr">
        <is>
          <t>2</t>
        </is>
      </c>
      <c r="G206" s="9" t="n">
        <v>269.59</v>
      </c>
      <c r="H206" s="8" t="inlineStr">
        <is>
          <t>0.1</t>
        </is>
      </c>
      <c r="I206" s="8" t="inlineStr">
        <is>
          <t>Standard Ground</t>
        </is>
      </c>
      <c r="J206" s="8" t="inlineStr">
        <is>
          <t>Mobile App</t>
        </is>
      </c>
      <c r="K206" s="8" t="inlineStr">
        <is>
          <t>REG-EU</t>
        </is>
      </c>
    </row>
    <row r="207">
      <c r="A207" s="8" t="inlineStr">
        <is>
          <t>ORD-000096</t>
        </is>
      </c>
      <c r="B207" s="8" t="inlineStr">
        <is>
          <t>2025-01-22</t>
        </is>
      </c>
      <c r="C207" s="8" t="inlineStr">
        <is>
          <t>CUST-04182</t>
        </is>
      </c>
      <c r="D207" s="8" t="inlineStr">
        <is>
          <t>Carolyn Hall</t>
        </is>
      </c>
      <c r="E207" s="8" t="inlineStr">
        <is>
          <t>PRD-0086</t>
        </is>
      </c>
      <c r="F207" s="8" t="inlineStr">
        <is>
          <t>1</t>
        </is>
      </c>
      <c r="G207" s="9" t="n">
        <v>996.2</v>
      </c>
      <c r="H207" s="8" t="inlineStr">
        <is>
          <t>0.1</t>
        </is>
      </c>
      <c r="I207" s="8" t="inlineStr">
        <is>
          <t>Standard Ground</t>
        </is>
      </c>
      <c r="J207" s="8" t="inlineStr">
        <is>
          <t>Mobile App</t>
        </is>
      </c>
      <c r="K207" s="8" t="inlineStr">
        <is>
          <t>REG-EU</t>
        </is>
      </c>
    </row>
    <row r="208">
      <c r="A208" s="8" t="inlineStr">
        <is>
          <t>ORD-000096</t>
        </is>
      </c>
      <c r="B208" s="8" t="inlineStr">
        <is>
          <t>2025-01-22</t>
        </is>
      </c>
      <c r="C208" s="8" t="inlineStr">
        <is>
          <t>CUST-04182</t>
        </is>
      </c>
      <c r="D208" s="8" t="inlineStr">
        <is>
          <t>Carolyn Hall</t>
        </is>
      </c>
      <c r="E208" s="8" t="inlineStr">
        <is>
          <t>PRD-0446</t>
        </is>
      </c>
      <c r="F208" s="8" t="inlineStr">
        <is>
          <t>1</t>
        </is>
      </c>
      <c r="G208" s="9" t="n">
        <v>610.12</v>
      </c>
      <c r="H208" s="8" t="inlineStr">
        <is>
          <t>0.05</t>
        </is>
      </c>
      <c r="I208" s="8" t="inlineStr">
        <is>
          <t>Standard Ground</t>
        </is>
      </c>
      <c r="J208" s="8" t="inlineStr">
        <is>
          <t>Mobile App</t>
        </is>
      </c>
      <c r="K208" s="8" t="inlineStr">
        <is>
          <t>REG-EU</t>
        </is>
      </c>
    </row>
    <row r="209">
      <c r="A209" s="8" t="inlineStr">
        <is>
          <t>ORD-000097</t>
        </is>
      </c>
      <c r="B209" s="8" t="inlineStr">
        <is>
          <t>2025-03-04</t>
        </is>
      </c>
      <c r="C209" s="8" t="inlineStr">
        <is>
          <t>CUST-01056</t>
        </is>
      </c>
      <c r="D209" s="8" t="inlineStr">
        <is>
          <t>John Foster</t>
        </is>
      </c>
      <c r="E209" s="8" t="inlineStr">
        <is>
          <t>PRD-0086</t>
        </is>
      </c>
      <c r="F209" s="8" t="inlineStr">
        <is>
          <t>5</t>
        </is>
      </c>
      <c r="G209" s="9" t="n">
        <v>996.2</v>
      </c>
      <c r="H209" s="8" t="inlineStr">
        <is>
          <t>0.0</t>
        </is>
      </c>
      <c r="I209" s="8" t="inlineStr">
        <is>
          <t>Standard Ground</t>
        </is>
      </c>
      <c r="J209" s="8" t="inlineStr">
        <is>
          <t>Direct Web</t>
        </is>
      </c>
      <c r="K209" s="8" t="inlineStr">
        <is>
          <t>REG-NA</t>
        </is>
      </c>
    </row>
    <row r="210">
      <c r="A210" s="8" t="inlineStr">
        <is>
          <t>ORD-000098</t>
        </is>
      </c>
      <c r="B210" s="8" t="inlineStr">
        <is>
          <t>2023-03-15</t>
        </is>
      </c>
      <c r="C210" s="8" t="inlineStr">
        <is>
          <t>CUST-06987</t>
        </is>
      </c>
      <c r="D210" s="8" t="inlineStr">
        <is>
          <t>Betty Hughes</t>
        </is>
      </c>
      <c r="E210" s="8" t="inlineStr">
        <is>
          <t>PRD-0187</t>
        </is>
      </c>
      <c r="F210" s="8" t="inlineStr">
        <is>
          <t>2</t>
        </is>
      </c>
      <c r="G210" s="9" t="n">
        <v>777.1799999999999</v>
      </c>
      <c r="H210" s="8" t="inlineStr">
        <is>
          <t>0.0</t>
        </is>
      </c>
      <c r="I210" s="8" t="inlineStr">
        <is>
          <t>Freight</t>
        </is>
      </c>
      <c r="J210" s="8" t="inlineStr">
        <is>
          <t>Direct Web</t>
        </is>
      </c>
      <c r="K210" s="8" t="inlineStr">
        <is>
          <t>REG-NA</t>
        </is>
      </c>
    </row>
    <row r="211">
      <c r="A211" s="8" t="inlineStr">
        <is>
          <t>ORD-000099</t>
        </is>
      </c>
      <c r="B211" s="8" t="inlineStr">
        <is>
          <t>2023-05-10</t>
        </is>
      </c>
      <c r="C211" s="8" t="inlineStr">
        <is>
          <t>CUST-06662</t>
        </is>
      </c>
      <c r="D211" s="8" t="inlineStr">
        <is>
          <t>Betty Scott</t>
        </is>
      </c>
      <c r="E211" s="8" t="inlineStr">
        <is>
          <t>PRD-0001</t>
        </is>
      </c>
      <c r="F211" s="8" t="inlineStr">
        <is>
          <t>1</t>
        </is>
      </c>
      <c r="G211" s="9" t="n">
        <v>9</v>
      </c>
      <c r="H211" s="8" t="inlineStr">
        <is>
          <t>0.15</t>
        </is>
      </c>
      <c r="I211" s="8" t="inlineStr">
        <is>
          <t>Standard Ground</t>
        </is>
      </c>
      <c r="J211" s="8" t="inlineStr">
        <is>
          <t>Mobile App</t>
        </is>
      </c>
      <c r="K211" s="8" t="inlineStr">
        <is>
          <t>REG-NA</t>
        </is>
      </c>
    </row>
    <row r="212">
      <c r="A212" s="8" t="inlineStr">
        <is>
          <t>ORD-000100</t>
        </is>
      </c>
      <c r="B212" s="8" t="inlineStr">
        <is>
          <t>2023-10-31</t>
        </is>
      </c>
      <c r="C212" s="8" t="inlineStr">
        <is>
          <t>CUST-06850</t>
        </is>
      </c>
      <c r="D212" s="8" t="inlineStr">
        <is>
          <t>Andrew Martin</t>
        </is>
      </c>
      <c r="E212" s="8" t="inlineStr">
        <is>
          <t>PRD-0053</t>
        </is>
      </c>
      <c r="F212" s="8" t="inlineStr">
        <is>
          <t>1</t>
        </is>
      </c>
      <c r="G212" s="9" t="n">
        <v>1031.53</v>
      </c>
      <c r="H212" s="8" t="inlineStr">
        <is>
          <t>0.0</t>
        </is>
      </c>
      <c r="I212" s="8" t="inlineStr">
        <is>
          <t>Standard Ground</t>
        </is>
      </c>
      <c r="J212" s="8" t="inlineStr">
        <is>
          <t>B2B Portal</t>
        </is>
      </c>
      <c r="K212" s="8" t="inlineStr">
        <is>
          <t>REG-APAC</t>
        </is>
      </c>
    </row>
    <row r="213">
      <c r="A213" s="8" t="inlineStr">
        <is>
          <t>ORD-000100</t>
        </is>
      </c>
      <c r="B213" s="8" t="inlineStr">
        <is>
          <t>2023-10-31</t>
        </is>
      </c>
      <c r="C213" s="8" t="inlineStr">
        <is>
          <t>CUST-06850</t>
        </is>
      </c>
      <c r="D213" s="8" t="inlineStr">
        <is>
          <t>Andrew Martin</t>
        </is>
      </c>
      <c r="E213" s="8" t="inlineStr">
        <is>
          <t>PRD-0141</t>
        </is>
      </c>
      <c r="F213" s="8" t="inlineStr">
        <is>
          <t>3</t>
        </is>
      </c>
      <c r="G213" s="9" t="n">
        <v>53.7</v>
      </c>
      <c r="H213" s="8" t="inlineStr">
        <is>
          <t>0.05</t>
        </is>
      </c>
      <c r="I213" s="8" t="inlineStr">
        <is>
          <t>Standard Ground</t>
        </is>
      </c>
      <c r="J213" s="8" t="inlineStr">
        <is>
          <t>B2B Portal</t>
        </is>
      </c>
      <c r="K213" s="8" t="inlineStr">
        <is>
          <t>REG-APAC</t>
        </is>
      </c>
    </row>
    <row r="214">
      <c r="A214" s="8" t="inlineStr">
        <is>
          <t>ORD-000100</t>
        </is>
      </c>
      <c r="B214" s="8" t="inlineStr">
        <is>
          <t>2023-10-31</t>
        </is>
      </c>
      <c r="C214" s="8" t="inlineStr">
        <is>
          <t>CUST-06850</t>
        </is>
      </c>
      <c r="D214" s="8" t="inlineStr">
        <is>
          <t>Andrew Martin</t>
        </is>
      </c>
      <c r="E214" s="8" t="inlineStr">
        <is>
          <t>PRD-0111</t>
        </is>
      </c>
      <c r="F214" s="8" t="inlineStr">
        <is>
          <t>1</t>
        </is>
      </c>
      <c r="G214" s="9" t="n">
        <v>63.37</v>
      </c>
      <c r="H214" s="8" t="inlineStr">
        <is>
          <t>0.05</t>
        </is>
      </c>
      <c r="I214" s="8" t="inlineStr">
        <is>
          <t>Standard Ground</t>
        </is>
      </c>
      <c r="J214" s="8" t="inlineStr">
        <is>
          <t>B2B Portal</t>
        </is>
      </c>
      <c r="K214" s="8" t="inlineStr">
        <is>
          <t>REG-APAC</t>
        </is>
      </c>
    </row>
    <row r="215">
      <c r="A215" s="8" t="inlineStr">
        <is>
          <t>ORD-000100</t>
        </is>
      </c>
      <c r="B215" s="8" t="inlineStr">
        <is>
          <t>2023-10-31</t>
        </is>
      </c>
      <c r="C215" s="8" t="inlineStr">
        <is>
          <t>CUST-06850</t>
        </is>
      </c>
      <c r="D215" s="8" t="inlineStr">
        <is>
          <t>Andrew Martin</t>
        </is>
      </c>
      <c r="E215" s="8" t="inlineStr">
        <is>
          <t>PRD-0258</t>
        </is>
      </c>
      <c r="F215" s="8" t="inlineStr">
        <is>
          <t>2</t>
        </is>
      </c>
      <c r="G215" s="9" t="n">
        <v>636.27</v>
      </c>
      <c r="H215" s="8" t="inlineStr">
        <is>
          <t>0.0</t>
        </is>
      </c>
      <c r="I215" s="8" t="inlineStr">
        <is>
          <t>Standard Ground</t>
        </is>
      </c>
      <c r="J215" s="8" t="inlineStr">
        <is>
          <t>B2B Portal</t>
        </is>
      </c>
      <c r="K215" s="8" t="inlineStr">
        <is>
          <t>REG-APAC</t>
        </is>
      </c>
    </row>
    <row r="216">
      <c r="A216" s="8" t="inlineStr">
        <is>
          <t>ORD-000100</t>
        </is>
      </c>
      <c r="B216" s="8" t="inlineStr">
        <is>
          <t>2023-10-31</t>
        </is>
      </c>
      <c r="C216" s="8" t="inlineStr">
        <is>
          <t>CUST-06850</t>
        </is>
      </c>
      <c r="D216" s="8" t="inlineStr">
        <is>
          <t>Andrew Martin</t>
        </is>
      </c>
      <c r="E216" s="8" t="inlineStr">
        <is>
          <t>PRD-0308</t>
        </is>
      </c>
      <c r="F216" s="8" t="inlineStr">
        <is>
          <t>2</t>
        </is>
      </c>
      <c r="G216" s="9" t="n">
        <v>61.03</v>
      </c>
      <c r="H216" s="8" t="inlineStr">
        <is>
          <t>0.0</t>
        </is>
      </c>
      <c r="I216" s="8" t="inlineStr">
        <is>
          <t>Standard Ground</t>
        </is>
      </c>
      <c r="J216" s="8" t="inlineStr">
        <is>
          <t>B2B Portal</t>
        </is>
      </c>
      <c r="K216" s="8" t="inlineStr">
        <is>
          <t>REG-APAC</t>
        </is>
      </c>
    </row>
    <row r="217">
      <c r="A217" s="8" t="inlineStr">
        <is>
          <t>ORD-000101</t>
        </is>
      </c>
      <c r="B217" s="8" t="inlineStr">
        <is>
          <t>2023-11-02</t>
        </is>
      </c>
      <c r="C217" s="8" t="inlineStr">
        <is>
          <t>CUST-05247</t>
        </is>
      </c>
      <c r="D217" s="8" t="inlineStr">
        <is>
          <t>Jerry Martinez</t>
        </is>
      </c>
      <c r="E217" s="8" t="inlineStr">
        <is>
          <t>PRD-0048</t>
        </is>
      </c>
      <c r="F217" s="8" t="inlineStr">
        <is>
          <t>3</t>
        </is>
      </c>
      <c r="G217" s="9" t="n">
        <v>39</v>
      </c>
      <c r="H217" s="8" t="inlineStr">
        <is>
          <t>0.0</t>
        </is>
      </c>
      <c r="I217" s="8" t="inlineStr">
        <is>
          <t>Standard Ground</t>
        </is>
      </c>
      <c r="J217" s="8" t="inlineStr">
        <is>
          <t>Direct Web</t>
        </is>
      </c>
      <c r="K217" s="8" t="inlineStr">
        <is>
          <t>REG-EU</t>
        </is>
      </c>
    </row>
    <row r="218">
      <c r="A218" s="8" t="inlineStr">
        <is>
          <t>ORD-000102</t>
        </is>
      </c>
      <c r="B218" s="8" t="inlineStr">
        <is>
          <t>2024-01-29</t>
        </is>
      </c>
      <c r="C218" s="8" t="inlineStr">
        <is>
          <t>CUST-06426</t>
        </is>
      </c>
      <c r="D218" s="8" t="inlineStr">
        <is>
          <t>Sharon Adams</t>
        </is>
      </c>
      <c r="E218" s="8" t="inlineStr">
        <is>
          <t>PRD-0369</t>
        </is>
      </c>
      <c r="F218" s="8" t="inlineStr">
        <is>
          <t>1</t>
        </is>
      </c>
      <c r="G218" s="9" t="n">
        <v>653.11</v>
      </c>
      <c r="H218" s="8" t="inlineStr">
        <is>
          <t>0.0</t>
        </is>
      </c>
      <c r="I218" s="8" t="inlineStr">
        <is>
          <t>Standard Ground</t>
        </is>
      </c>
      <c r="J218" s="8" t="inlineStr">
        <is>
          <t>Direct Web</t>
        </is>
      </c>
      <c r="K218" s="8" t="inlineStr">
        <is>
          <t>REG-APAC</t>
        </is>
      </c>
    </row>
    <row r="219">
      <c r="A219" s="8" t="inlineStr">
        <is>
          <t>ORD-000102</t>
        </is>
      </c>
      <c r="B219" s="8" t="inlineStr">
        <is>
          <t>2024-01-29</t>
        </is>
      </c>
      <c r="C219" s="8" t="inlineStr">
        <is>
          <t>CUST-06426</t>
        </is>
      </c>
      <c r="D219" s="8" t="inlineStr">
        <is>
          <t>Sharon Adams</t>
        </is>
      </c>
      <c r="E219" s="8" t="inlineStr">
        <is>
          <t>PRD-0112</t>
        </is>
      </c>
      <c r="F219" s="8" t="inlineStr">
        <is>
          <t>1</t>
        </is>
      </c>
      <c r="G219" s="9" t="n">
        <v>54.82</v>
      </c>
      <c r="H219" s="8" t="inlineStr">
        <is>
          <t>0.15</t>
        </is>
      </c>
      <c r="I219" s="8" t="inlineStr">
        <is>
          <t>Standard Ground</t>
        </is>
      </c>
      <c r="J219" s="8" t="inlineStr">
        <is>
          <t>Direct Web</t>
        </is>
      </c>
      <c r="K219" s="8" t="inlineStr">
        <is>
          <t>REG-APAC</t>
        </is>
      </c>
    </row>
    <row r="220">
      <c r="A220" s="8" t="inlineStr">
        <is>
          <t>ORD-000103</t>
        </is>
      </c>
      <c r="B220" s="8" t="inlineStr">
        <is>
          <t>2025-01-31</t>
        </is>
      </c>
      <c r="C220" s="8" t="inlineStr">
        <is>
          <t>CUST-04396</t>
        </is>
      </c>
      <c r="D220" s="8" t="inlineStr">
        <is>
          <t>Emma Price</t>
        </is>
      </c>
      <c r="E220" s="8" t="inlineStr">
        <is>
          <t>PRD-0433</t>
        </is>
      </c>
      <c r="F220" s="8" t="inlineStr">
        <is>
          <t>1</t>
        </is>
      </c>
      <c r="G220" s="9" t="n">
        <v>545.86</v>
      </c>
      <c r="H220" s="8" t="inlineStr">
        <is>
          <t>0.05</t>
        </is>
      </c>
      <c r="I220" s="8" t="inlineStr">
        <is>
          <t>Standard Ground</t>
        </is>
      </c>
      <c r="J220" s="8" t="inlineStr">
        <is>
          <t>Direct Web</t>
        </is>
      </c>
      <c r="K220" s="8" t="inlineStr">
        <is>
          <t>REG-NA</t>
        </is>
      </c>
    </row>
    <row r="221">
      <c r="A221" s="8" t="inlineStr">
        <is>
          <t>ORD-000103</t>
        </is>
      </c>
      <c r="B221" s="8" t="inlineStr">
        <is>
          <t>2025-01-31</t>
        </is>
      </c>
      <c r="C221" s="8" t="inlineStr">
        <is>
          <t>CUST-04396</t>
        </is>
      </c>
      <c r="D221" s="8" t="inlineStr">
        <is>
          <t>Emma Price</t>
        </is>
      </c>
      <c r="E221" s="8" t="inlineStr">
        <is>
          <t>PRD-0214</t>
        </is>
      </c>
      <c r="F221" s="8" t="inlineStr">
        <is>
          <t>1</t>
        </is>
      </c>
      <c r="G221" s="9" t="n">
        <v>482.72</v>
      </c>
      <c r="H221" s="8" t="inlineStr">
        <is>
          <t>0.0</t>
        </is>
      </c>
      <c r="I221" s="8" t="inlineStr">
        <is>
          <t>Standard Ground</t>
        </is>
      </c>
      <c r="J221" s="8" t="inlineStr">
        <is>
          <t>Direct Web</t>
        </is>
      </c>
      <c r="K221" s="8" t="inlineStr">
        <is>
          <t>REG-NA</t>
        </is>
      </c>
    </row>
    <row r="222">
      <c r="A222" s="8" t="inlineStr">
        <is>
          <t>ORD-000103</t>
        </is>
      </c>
      <c r="B222" s="8" t="inlineStr">
        <is>
          <t>2025-01-31</t>
        </is>
      </c>
      <c r="C222" s="8" t="inlineStr">
        <is>
          <t>CUST-04396</t>
        </is>
      </c>
      <c r="D222" s="8" t="inlineStr">
        <is>
          <t>Emma Price</t>
        </is>
      </c>
      <c r="E222" s="8" t="inlineStr">
        <is>
          <t>PRD-0419</t>
        </is>
      </c>
      <c r="F222" s="8" t="inlineStr">
        <is>
          <t>3</t>
        </is>
      </c>
      <c r="G222" s="9" t="n">
        <v>113.66</v>
      </c>
      <c r="H222" s="8" t="inlineStr">
        <is>
          <t>0.05</t>
        </is>
      </c>
      <c r="I222" s="8" t="inlineStr">
        <is>
          <t>Standard Ground</t>
        </is>
      </c>
      <c r="J222" s="8" t="inlineStr">
        <is>
          <t>Direct Web</t>
        </is>
      </c>
      <c r="K222" s="8" t="inlineStr">
        <is>
          <t>REG-NA</t>
        </is>
      </c>
    </row>
    <row r="223">
      <c r="A223" s="8" t="inlineStr">
        <is>
          <t>ORD-000103</t>
        </is>
      </c>
      <c r="B223" s="8" t="inlineStr">
        <is>
          <t>2025-01-31</t>
        </is>
      </c>
      <c r="C223" s="8" t="inlineStr">
        <is>
          <t>CUST-04396</t>
        </is>
      </c>
      <c r="D223" s="8" t="inlineStr">
        <is>
          <t>Emma Price</t>
        </is>
      </c>
      <c r="E223" s="8" t="inlineStr">
        <is>
          <t>PRD-0347</t>
        </is>
      </c>
      <c r="F223" s="8" t="inlineStr">
        <is>
          <t>1</t>
        </is>
      </c>
      <c r="G223" s="9" t="n">
        <v>197.61</v>
      </c>
      <c r="H223" s="8" t="inlineStr">
        <is>
          <t>0.0</t>
        </is>
      </c>
      <c r="I223" s="8" t="inlineStr">
        <is>
          <t>Standard Ground</t>
        </is>
      </c>
      <c r="J223" s="8" t="inlineStr">
        <is>
          <t>Direct Web</t>
        </is>
      </c>
      <c r="K223" s="8" t="inlineStr">
        <is>
          <t>REG-NA</t>
        </is>
      </c>
    </row>
    <row r="224">
      <c r="A224" s="8" t="inlineStr">
        <is>
          <t>ORD-000104</t>
        </is>
      </c>
      <c r="B224" s="8" t="inlineStr">
        <is>
          <t>2025-12-09</t>
        </is>
      </c>
      <c r="C224" s="8" t="inlineStr">
        <is>
          <t>CUST-05273</t>
        </is>
      </c>
      <c r="D224" s="8" t="inlineStr">
        <is>
          <t>Michelle Smith</t>
        </is>
      </c>
      <c r="E224" s="8" t="inlineStr">
        <is>
          <t>PRD-0004</t>
        </is>
      </c>
      <c r="F224" s="8" t="inlineStr">
        <is>
          <t>1</t>
        </is>
      </c>
      <c r="G224" s="9" t="n">
        <v>13.71</v>
      </c>
      <c r="H224" s="8" t="inlineStr">
        <is>
          <t>0%</t>
        </is>
      </c>
      <c r="I224" s="8" t="inlineStr">
        <is>
          <t>Express Air</t>
        </is>
      </c>
      <c r="J224" s="8" t="inlineStr">
        <is>
          <t>Direct Web</t>
        </is>
      </c>
      <c r="K224" s="8" t="inlineStr">
        <is>
          <t>REG-EU</t>
        </is>
      </c>
    </row>
    <row r="225">
      <c r="A225" s="8" t="inlineStr">
        <is>
          <t>ORD-000104</t>
        </is>
      </c>
      <c r="B225" s="8" t="inlineStr">
        <is>
          <t>2025-12-09</t>
        </is>
      </c>
      <c r="C225" s="8" t="inlineStr">
        <is>
          <t>CUST-05273</t>
        </is>
      </c>
      <c r="D225" s="8" t="inlineStr">
        <is>
          <t>Michelle Smith</t>
        </is>
      </c>
      <c r="E225" s="8" t="inlineStr">
        <is>
          <t>PRD-0232</t>
        </is>
      </c>
      <c r="F225" s="8" t="inlineStr">
        <is>
          <t>1</t>
        </is>
      </c>
      <c r="G225" s="9" t="n">
        <v>192.08</v>
      </c>
      <c r="H225" s="8" t="inlineStr">
        <is>
          <t>0.0</t>
        </is>
      </c>
      <c r="I225" s="8" t="inlineStr">
        <is>
          <t>Express Air</t>
        </is>
      </c>
      <c r="J225" s="8" t="inlineStr">
        <is>
          <t>Direct Web</t>
        </is>
      </c>
      <c r="K225" s="8" t="inlineStr">
        <is>
          <t>REG-EU</t>
        </is>
      </c>
    </row>
    <row r="226">
      <c r="A226" s="8" t="inlineStr">
        <is>
          <t>ORD-000104</t>
        </is>
      </c>
      <c r="B226" s="8" t="inlineStr">
        <is>
          <t>2025-12-09</t>
        </is>
      </c>
      <c r="C226" s="8" t="inlineStr">
        <is>
          <t>CUST-05273</t>
        </is>
      </c>
      <c r="D226" s="8" t="inlineStr">
        <is>
          <t>Michelle Smith</t>
        </is>
      </c>
      <c r="E226" s="8" t="inlineStr">
        <is>
          <t>PRD-0280</t>
        </is>
      </c>
      <c r="F226" s="8" t="inlineStr">
        <is>
          <t>1</t>
        </is>
      </c>
      <c r="G226" s="9" t="n">
        <v>408.85</v>
      </c>
      <c r="H226" s="8" t="inlineStr">
        <is>
          <t>0.0</t>
        </is>
      </c>
      <c r="I226" s="8" t="inlineStr">
        <is>
          <t>Express Air</t>
        </is>
      </c>
      <c r="J226" s="8" t="inlineStr">
        <is>
          <t>Direct Web</t>
        </is>
      </c>
      <c r="K226" s="8" t="inlineStr">
        <is>
          <t>REG-EU</t>
        </is>
      </c>
    </row>
    <row r="227">
      <c r="A227" s="8" t="inlineStr">
        <is>
          <t>ORD-000105</t>
        </is>
      </c>
      <c r="B227" s="8" t="inlineStr">
        <is>
          <t>2024-05-13</t>
        </is>
      </c>
      <c r="C227" s="8" t="inlineStr">
        <is>
          <t>CUST-03313</t>
        </is>
      </c>
      <c r="D227" s="8" t="inlineStr">
        <is>
          <t xml:space="preserve">  scott rivera  </t>
        </is>
      </c>
      <c r="E227" s="8" t="inlineStr">
        <is>
          <t>PRD-0037</t>
        </is>
      </c>
      <c r="F227" s="8" t="inlineStr">
        <is>
          <t>1</t>
        </is>
      </c>
      <c r="G227" s="9" t="n">
        <v>499.93</v>
      </c>
      <c r="H227" s="8" t="inlineStr">
        <is>
          <t>0.05</t>
        </is>
      </c>
      <c r="I227" s="8" t="inlineStr">
        <is>
          <t>Standard Ground</t>
        </is>
      </c>
      <c r="J227" s="8" t="inlineStr">
        <is>
          <t>Direct Web</t>
        </is>
      </c>
      <c r="K227" s="8" t="inlineStr">
        <is>
          <t>REG-APAC</t>
        </is>
      </c>
    </row>
    <row r="228">
      <c r="A228" s="8" t="inlineStr">
        <is>
          <t>ORD-000105</t>
        </is>
      </c>
      <c r="B228" s="8" t="inlineStr">
        <is>
          <t>2024-05-13</t>
        </is>
      </c>
      <c r="C228" s="8" t="inlineStr">
        <is>
          <t>CUST-03313</t>
        </is>
      </c>
      <c r="D228" s="8" t="inlineStr">
        <is>
          <t xml:space="preserve">  scott rivera  </t>
        </is>
      </c>
      <c r="E228" s="8" t="inlineStr">
        <is>
          <t>PRD-0001</t>
        </is>
      </c>
      <c r="F228" s="8" t="inlineStr">
        <is>
          <t>2</t>
        </is>
      </c>
      <c r="G228" s="9" t="n">
        <v>9</v>
      </c>
      <c r="H228" s="8" t="inlineStr">
        <is>
          <t>0.0</t>
        </is>
      </c>
      <c r="I228" s="8" t="inlineStr">
        <is>
          <t>Standard Ground</t>
        </is>
      </c>
      <c r="J228" s="8" t="inlineStr">
        <is>
          <t>Direct Web</t>
        </is>
      </c>
      <c r="K228" s="8" t="inlineStr">
        <is>
          <t>REG-APAC</t>
        </is>
      </c>
    </row>
    <row r="229">
      <c r="A229" s="8" t="inlineStr">
        <is>
          <t>ORD-000106</t>
        </is>
      </c>
      <c r="B229" s="8" t="inlineStr">
        <is>
          <t>2024-04-08</t>
        </is>
      </c>
      <c r="C229" s="8" t="inlineStr">
        <is>
          <t>CUST-04629</t>
        </is>
      </c>
      <c r="D229" s="8" t="inlineStr">
        <is>
          <t>Edward Cook</t>
        </is>
      </c>
      <c r="E229" s="8" t="inlineStr">
        <is>
          <t>PRD-0102</t>
        </is>
      </c>
      <c r="F229" s="8" t="inlineStr">
        <is>
          <t>1</t>
        </is>
      </c>
      <c r="G229" s="9" t="n">
        <v>933.64</v>
      </c>
      <c r="H229" s="8" t="inlineStr">
        <is>
          <t>0.0</t>
        </is>
      </c>
      <c r="I229" s="8" t="inlineStr">
        <is>
          <t>Same-Day Priority</t>
        </is>
      </c>
      <c r="J229" s="8" t="inlineStr">
        <is>
          <t>B2B Portal</t>
        </is>
      </c>
      <c r="K229" s="8" t="inlineStr">
        <is>
          <t>REG-EU</t>
        </is>
      </c>
    </row>
    <row r="230">
      <c r="A230" s="8" t="inlineStr">
        <is>
          <t>ORD-000106</t>
        </is>
      </c>
      <c r="B230" s="8" t="inlineStr">
        <is>
          <t>2024-04-08</t>
        </is>
      </c>
      <c r="C230" s="8" t="inlineStr">
        <is>
          <t>CUST-04629</t>
        </is>
      </c>
      <c r="D230" s="8" t="inlineStr">
        <is>
          <t>Edward Cook</t>
        </is>
      </c>
      <c r="E230" s="8" t="inlineStr">
        <is>
          <t>PRD-0081</t>
        </is>
      </c>
      <c r="F230" s="8" t="inlineStr">
        <is>
          <t>8</t>
        </is>
      </c>
      <c r="G230" s="9" t="n">
        <v>62.94</v>
      </c>
      <c r="H230" s="8" t="inlineStr">
        <is>
          <t>0.0</t>
        </is>
      </c>
      <c r="I230" s="8" t="inlineStr">
        <is>
          <t>Same-Day Priority</t>
        </is>
      </c>
      <c r="J230" s="8" t="inlineStr">
        <is>
          <t>B2B Portal</t>
        </is>
      </c>
      <c r="K230" s="8" t="inlineStr">
        <is>
          <t>REG-EU</t>
        </is>
      </c>
    </row>
    <row r="231">
      <c r="A231" s="8" t="inlineStr">
        <is>
          <t>ORD-000107</t>
        </is>
      </c>
      <c r="B231" s="8" t="inlineStr">
        <is>
          <t>2023-12-03</t>
        </is>
      </c>
      <c r="C231" s="8" t="inlineStr">
        <is>
          <t>CUST-01690</t>
        </is>
      </c>
      <c r="D231" s="8" t="inlineStr">
        <is>
          <t>Elizabeth James</t>
        </is>
      </c>
      <c r="E231" s="8" t="inlineStr">
        <is>
          <t>PRD-0234</t>
        </is>
      </c>
      <c r="F231" s="8" t="inlineStr">
        <is>
          <t>3</t>
        </is>
      </c>
      <c r="G231" s="9" t="n">
        <v>608.75</v>
      </c>
      <c r="H231" s="8" t="inlineStr">
        <is>
          <t>0.15</t>
        </is>
      </c>
      <c r="I231" s="8" t="inlineStr">
        <is>
          <t>Standard Ground</t>
        </is>
      </c>
      <c r="J231" s="8" t="inlineStr">
        <is>
          <t>Mobile App</t>
        </is>
      </c>
      <c r="K231" s="8" t="inlineStr">
        <is>
          <t>REG-EU</t>
        </is>
      </c>
    </row>
    <row r="232">
      <c r="A232" s="8" t="inlineStr">
        <is>
          <t>ORD-000107</t>
        </is>
      </c>
      <c r="B232" s="8" t="inlineStr">
        <is>
          <t>2023-12-03</t>
        </is>
      </c>
      <c r="C232" s="8" t="inlineStr">
        <is>
          <t>CUST-01690</t>
        </is>
      </c>
      <c r="D232" s="8" t="inlineStr">
        <is>
          <t>Elizabeth James</t>
        </is>
      </c>
      <c r="E232" s="8" t="inlineStr">
        <is>
          <t>PRD-0344</t>
        </is>
      </c>
      <c r="F232" s="8" t="inlineStr">
        <is>
          <t>1</t>
        </is>
      </c>
      <c r="G232" s="9" t="n">
        <v>337.02</v>
      </c>
      <c r="H232" s="8" t="inlineStr">
        <is>
          <t>0.0</t>
        </is>
      </c>
      <c r="I232" s="8" t="inlineStr">
        <is>
          <t>Standard Ground</t>
        </is>
      </c>
      <c r="J232" s="8" t="inlineStr">
        <is>
          <t>Mobile App</t>
        </is>
      </c>
      <c r="K232" s="8" t="inlineStr">
        <is>
          <t>REG-EU</t>
        </is>
      </c>
    </row>
    <row r="233">
      <c r="A233" s="8" t="inlineStr">
        <is>
          <t>ORD-000107</t>
        </is>
      </c>
      <c r="B233" s="8" t="inlineStr">
        <is>
          <t>2023-12-03</t>
        </is>
      </c>
      <c r="C233" s="8" t="inlineStr">
        <is>
          <t>CUST-01690</t>
        </is>
      </c>
      <c r="D233" s="8" t="inlineStr">
        <is>
          <t>Elizabeth James</t>
        </is>
      </c>
      <c r="E233" s="8" t="inlineStr">
        <is>
          <t>PRD-0246</t>
        </is>
      </c>
      <c r="F233" s="8" t="inlineStr">
        <is>
          <t>2</t>
        </is>
      </c>
      <c r="G233" s="9" t="n">
        <v>1238.92</v>
      </c>
      <c r="H233" s="8" t="inlineStr">
        <is>
          <t>0.05</t>
        </is>
      </c>
      <c r="I233" s="8" t="inlineStr">
        <is>
          <t>Standard Ground</t>
        </is>
      </c>
      <c r="J233" s="8" t="inlineStr">
        <is>
          <t>Mobile App</t>
        </is>
      </c>
      <c r="K233" s="8" t="inlineStr">
        <is>
          <t>REG-EU</t>
        </is>
      </c>
    </row>
    <row r="234">
      <c r="A234" s="8" t="inlineStr">
        <is>
          <t>ORD-000107</t>
        </is>
      </c>
      <c r="B234" s="8" t="inlineStr">
        <is>
          <t>2023-12-03</t>
        </is>
      </c>
      <c r="C234" s="8" t="inlineStr">
        <is>
          <t>CUST-01690</t>
        </is>
      </c>
      <c r="D234" s="8" t="inlineStr">
        <is>
          <t>Elizabeth James</t>
        </is>
      </c>
      <c r="E234" s="8" t="inlineStr">
        <is>
          <t>PRD-0161</t>
        </is>
      </c>
      <c r="F234" s="8" t="inlineStr">
        <is>
          <t>1</t>
        </is>
      </c>
      <c r="G234" s="9" t="n">
        <v>192.49</v>
      </c>
      <c r="H234" s="8" t="inlineStr">
        <is>
          <t>10%</t>
        </is>
      </c>
      <c r="I234" s="8" t="inlineStr">
        <is>
          <t>Standard Ground</t>
        </is>
      </c>
      <c r="J234" s="8" t="inlineStr">
        <is>
          <t>Mobile App</t>
        </is>
      </c>
      <c r="K234" s="8" t="inlineStr">
        <is>
          <t>REG-EU</t>
        </is>
      </c>
    </row>
    <row r="235">
      <c r="A235" s="8" t="inlineStr">
        <is>
          <t>ORD-000108</t>
        </is>
      </c>
      <c r="B235" s="8" t="inlineStr">
        <is>
          <t>2025-11-01</t>
        </is>
      </c>
      <c r="C235" s="8" t="inlineStr">
        <is>
          <t>CUST-01908</t>
        </is>
      </c>
      <c r="D235" s="8" t="inlineStr">
        <is>
          <t>Jeffrey Gomez</t>
        </is>
      </c>
      <c r="E235" s="8" t="inlineStr">
        <is>
          <t>PRD-0229</t>
        </is>
      </c>
      <c r="F235" s="8" t="inlineStr">
        <is>
          <t>2</t>
        </is>
      </c>
      <c r="G235" s="9" t="n">
        <v>31.96</v>
      </c>
      <c r="H235" s="8" t="inlineStr">
        <is>
          <t>0.1</t>
        </is>
      </c>
      <c r="I235" s="8" t="inlineStr">
        <is>
          <t>Standard Ground</t>
        </is>
      </c>
      <c r="J235" s="8" t="inlineStr">
        <is>
          <t>Mobile App</t>
        </is>
      </c>
      <c r="K235" s="8" t="inlineStr">
        <is>
          <t>REG-EU</t>
        </is>
      </c>
    </row>
    <row r="236">
      <c r="A236" s="8" t="inlineStr">
        <is>
          <t>ORD-000109</t>
        </is>
      </c>
      <c r="B236" s="8" t="inlineStr">
        <is>
          <t>2024-01-20</t>
        </is>
      </c>
      <c r="C236" s="8" t="inlineStr">
        <is>
          <t>CUST-03807</t>
        </is>
      </c>
      <c r="D236" s="8" t="inlineStr">
        <is>
          <t>Ronald Morgan</t>
        </is>
      </c>
      <c r="E236" s="8" t="inlineStr">
        <is>
          <t>PRD-0220</t>
        </is>
      </c>
      <c r="F236" s="8" t="inlineStr">
        <is>
          <t>1</t>
        </is>
      </c>
      <c r="G236" s="9" t="n">
        <v>472.5</v>
      </c>
      <c r="H236" s="8" t="inlineStr">
        <is>
          <t>0.05</t>
        </is>
      </c>
      <c r="I236" s="8" t="inlineStr">
        <is>
          <t>Standard Ground</t>
        </is>
      </c>
      <c r="J236" s="8" t="inlineStr">
        <is>
          <t>Direct Web</t>
        </is>
      </c>
      <c r="K236" s="8" t="inlineStr">
        <is>
          <t>REG-EU</t>
        </is>
      </c>
    </row>
    <row r="237">
      <c r="A237" s="8" t="inlineStr">
        <is>
          <t>ORD-000109</t>
        </is>
      </c>
      <c r="B237" s="8" t="inlineStr">
        <is>
          <t>2024-01-20</t>
        </is>
      </c>
      <c r="C237" s="8" t="inlineStr">
        <is>
          <t>CUST-03807</t>
        </is>
      </c>
      <c r="D237" s="8" t="inlineStr">
        <is>
          <t>Ronald Morgan</t>
        </is>
      </c>
      <c r="E237" s="8" t="inlineStr">
        <is>
          <t>PRD-0031</t>
        </is>
      </c>
      <c r="F237" s="8" t="inlineStr">
        <is>
          <t>2</t>
        </is>
      </c>
      <c r="G237" s="9" t="n">
        <v>68.91</v>
      </c>
      <c r="H237" s="8" t="inlineStr">
        <is>
          <t>0.0</t>
        </is>
      </c>
      <c r="I237" s="8" t="inlineStr">
        <is>
          <t>Standard Ground</t>
        </is>
      </c>
      <c r="J237" s="8" t="inlineStr">
        <is>
          <t>Direct Web</t>
        </is>
      </c>
      <c r="K237" s="8" t="inlineStr">
        <is>
          <t>REG-EU</t>
        </is>
      </c>
    </row>
    <row r="238">
      <c r="A238" s="8" t="inlineStr">
        <is>
          <t>ORD-000109</t>
        </is>
      </c>
      <c r="B238" s="8" t="inlineStr">
        <is>
          <t>2024-01-20</t>
        </is>
      </c>
      <c r="C238" s="8" t="inlineStr">
        <is>
          <t>CUST-03807</t>
        </is>
      </c>
      <c r="D238" s="8" t="inlineStr">
        <is>
          <t>Ronald Morgan</t>
        </is>
      </c>
      <c r="E238" s="8" t="inlineStr">
        <is>
          <t>PRD-0060</t>
        </is>
      </c>
      <c r="F238" s="8" t="inlineStr">
        <is>
          <t>1</t>
        </is>
      </c>
      <c r="G238" s="9" t="n">
        <v>826.74</v>
      </c>
      <c r="H238" s="8" t="inlineStr">
        <is>
          <t>0.0</t>
        </is>
      </c>
      <c r="I238" s="8" t="inlineStr">
        <is>
          <t>Standard Ground</t>
        </is>
      </c>
      <c r="J238" s="8" t="inlineStr">
        <is>
          <t>Direct Web</t>
        </is>
      </c>
      <c r="K238" s="8" t="inlineStr">
        <is>
          <t>REG-EU</t>
        </is>
      </c>
    </row>
    <row r="239">
      <c r="A239" s="8" t="inlineStr">
        <is>
          <t>ORD-000110</t>
        </is>
      </c>
      <c r="B239" s="8" t="inlineStr">
        <is>
          <t>2025-10-20</t>
        </is>
      </c>
      <c r="C239" s="8" t="inlineStr">
        <is>
          <t>CUST-07880</t>
        </is>
      </c>
      <c r="D239" s="8" t="inlineStr">
        <is>
          <t>Cynthia Flores</t>
        </is>
      </c>
      <c r="E239" s="8" t="inlineStr">
        <is>
          <t>PRD-0331</t>
        </is>
      </c>
      <c r="F239" s="8" t="inlineStr">
        <is>
          <t>2</t>
        </is>
      </c>
      <c r="G239" s="9" t="n">
        <v>1076.14</v>
      </c>
      <c r="H239" s="8" t="inlineStr">
        <is>
          <t>0.1</t>
        </is>
      </c>
      <c r="I239" s="8" t="inlineStr">
        <is>
          <t>Standard Ground</t>
        </is>
      </c>
      <c r="J239" s="8" t="inlineStr">
        <is>
          <t>Mobile App</t>
        </is>
      </c>
      <c r="K239" s="8" t="inlineStr">
        <is>
          <t>REG-EU</t>
        </is>
      </c>
    </row>
    <row r="240">
      <c r="A240" s="8" t="inlineStr">
        <is>
          <t>ORD-000111</t>
        </is>
      </c>
      <c r="B240" s="8" t="inlineStr">
        <is>
          <t>2023-05-12</t>
        </is>
      </c>
      <c r="C240" s="8" t="inlineStr">
        <is>
          <t>CUST-00210</t>
        </is>
      </c>
      <c r="D240" s="8" t="inlineStr">
        <is>
          <t>Stephen Ward</t>
        </is>
      </c>
      <c r="E240" s="8" t="inlineStr">
        <is>
          <t>PRD-0298</t>
        </is>
      </c>
      <c r="F240" s="8" t="inlineStr">
        <is>
          <t>2</t>
        </is>
      </c>
      <c r="G240" s="9" t="n">
        <v>1013.11</v>
      </c>
      <c r="H240" s="8" t="inlineStr">
        <is>
          <t>0%</t>
        </is>
      </c>
      <c r="I240" s="8" t="inlineStr">
        <is>
          <t>Standard Ground</t>
        </is>
      </c>
      <c r="J240" s="8" t="inlineStr">
        <is>
          <t>Direct Web</t>
        </is>
      </c>
      <c r="K240" s="8" t="inlineStr">
        <is>
          <t>REG-APAC</t>
        </is>
      </c>
    </row>
    <row r="241">
      <c r="A241" s="8" t="inlineStr">
        <is>
          <t>ORD-000111</t>
        </is>
      </c>
      <c r="B241" s="8" t="inlineStr">
        <is>
          <t>2023-05-12</t>
        </is>
      </c>
      <c r="C241" s="8" t="inlineStr">
        <is>
          <t>CUST-00210</t>
        </is>
      </c>
      <c r="D241" s="8" t="inlineStr">
        <is>
          <t>Stephen Ward</t>
        </is>
      </c>
      <c r="E241" s="8" t="inlineStr">
        <is>
          <t>PRD-0026</t>
        </is>
      </c>
      <c r="F241" s="8" t="inlineStr">
        <is>
          <t>2</t>
        </is>
      </c>
      <c r="G241" s="9" t="n">
        <v>469.49</v>
      </c>
      <c r="H241" s="8" t="inlineStr">
        <is>
          <t>0.15</t>
        </is>
      </c>
      <c r="I241" s="8" t="inlineStr">
        <is>
          <t>Standard Ground</t>
        </is>
      </c>
      <c r="J241" s="8" t="inlineStr">
        <is>
          <t>Direct Web</t>
        </is>
      </c>
      <c r="K241" s="8" t="inlineStr">
        <is>
          <t>REG-APAC</t>
        </is>
      </c>
    </row>
    <row r="242">
      <c r="A242" s="8" t="inlineStr">
        <is>
          <t>ORD-000111</t>
        </is>
      </c>
      <c r="B242" s="8" t="inlineStr">
        <is>
          <t>2023-05-12</t>
        </is>
      </c>
      <c r="C242" s="8" t="inlineStr">
        <is>
          <t>CUST-00210</t>
        </is>
      </c>
      <c r="D242" s="8" t="inlineStr">
        <is>
          <t>Stephen Ward</t>
        </is>
      </c>
      <c r="E242" s="8" t="inlineStr">
        <is>
          <t>PRD-0054</t>
        </is>
      </c>
      <c r="F242" s="8" t="inlineStr">
        <is>
          <t>1</t>
        </is>
      </c>
      <c r="G242" s="9" t="n">
        <v>873.8</v>
      </c>
      <c r="H242" s="8" t="inlineStr">
        <is>
          <t>0.05</t>
        </is>
      </c>
      <c r="I242" s="8" t="inlineStr">
        <is>
          <t>Standard Ground</t>
        </is>
      </c>
      <c r="J242" s="8" t="inlineStr">
        <is>
          <t>Direct Web</t>
        </is>
      </c>
      <c r="K242" s="8" t="inlineStr">
        <is>
          <t>REG-APAC</t>
        </is>
      </c>
    </row>
    <row r="243">
      <c r="A243" s="8" t="inlineStr">
        <is>
          <t>ORD-000111</t>
        </is>
      </c>
      <c r="B243" s="8" t="inlineStr">
        <is>
          <t>2023-05-12</t>
        </is>
      </c>
      <c r="C243" s="8" t="inlineStr">
        <is>
          <t>CUST-00210</t>
        </is>
      </c>
      <c r="D243" s="8" t="inlineStr">
        <is>
          <t>Stephen Ward</t>
        </is>
      </c>
      <c r="E243" s="8" t="inlineStr">
        <is>
          <t>PRD-0456</t>
        </is>
      </c>
      <c r="F243" s="8" t="inlineStr">
        <is>
          <t>1</t>
        </is>
      </c>
      <c r="G243" s="9" t="n">
        <v>148.24</v>
      </c>
      <c r="H243" s="8" t="inlineStr">
        <is>
          <t>0.0</t>
        </is>
      </c>
      <c r="I243" s="8" t="inlineStr">
        <is>
          <t>Standard Ground</t>
        </is>
      </c>
      <c r="J243" s="8" t="inlineStr">
        <is>
          <t>Direct Web</t>
        </is>
      </c>
      <c r="K243" s="8" t="inlineStr">
        <is>
          <t>REG-APAC</t>
        </is>
      </c>
    </row>
    <row r="244">
      <c r="A244" s="8" t="inlineStr">
        <is>
          <t>ORD-000111</t>
        </is>
      </c>
      <c r="B244" s="8" t="inlineStr">
        <is>
          <t>2023-05-12</t>
        </is>
      </c>
      <c r="C244" s="8" t="inlineStr">
        <is>
          <t>CUST-00210</t>
        </is>
      </c>
      <c r="D244" s="8" t="inlineStr">
        <is>
          <t>Stephen Ward</t>
        </is>
      </c>
      <c r="E244" s="8" t="inlineStr">
        <is>
          <t>PRD-0367</t>
        </is>
      </c>
      <c r="F244" s="8" t="inlineStr">
        <is>
          <t>1</t>
        </is>
      </c>
      <c r="G244" s="9" t="n">
        <v>68.37</v>
      </c>
      <c r="H244" s="8" t="inlineStr">
        <is>
          <t>0.0</t>
        </is>
      </c>
      <c r="I244" s="8" t="inlineStr">
        <is>
          <t>Standard Ground</t>
        </is>
      </c>
      <c r="J244" s="8" t="inlineStr">
        <is>
          <t>Direct Web</t>
        </is>
      </c>
      <c r="K244" s="8" t="inlineStr">
        <is>
          <t>REG-APAC</t>
        </is>
      </c>
    </row>
    <row r="245">
      <c r="A245" s="8" t="inlineStr">
        <is>
          <t>ORD-000112</t>
        </is>
      </c>
      <c r="B245" s="8" t="inlineStr">
        <is>
          <t>2025-08-07</t>
        </is>
      </c>
      <c r="C245" s="8" t="inlineStr">
        <is>
          <t>CUST-04126</t>
        </is>
      </c>
      <c r="D245" s="8" t="inlineStr">
        <is>
          <t>Rachel Kelly</t>
        </is>
      </c>
      <c r="E245" s="8" t="inlineStr">
        <is>
          <t>PRD-0307</t>
        </is>
      </c>
      <c r="F245" s="8" t="inlineStr">
        <is>
          <t>2</t>
        </is>
      </c>
      <c r="G245" s="9" t="n">
        <v>762.88</v>
      </c>
      <c r="H245" s="8" t="inlineStr">
        <is>
          <t>0.05</t>
        </is>
      </c>
      <c r="I245" s="8" t="inlineStr">
        <is>
          <t>Express Air</t>
        </is>
      </c>
      <c r="J245" s="8" t="inlineStr">
        <is>
          <t>B2B Portal</t>
        </is>
      </c>
      <c r="K245" s="8" t="inlineStr">
        <is>
          <t>REG-NA</t>
        </is>
      </c>
    </row>
    <row r="246">
      <c r="A246" s="8" t="inlineStr">
        <is>
          <t>ORD-000113</t>
        </is>
      </c>
      <c r="B246" s="8" t="inlineStr">
        <is>
          <t>2024-12-08</t>
        </is>
      </c>
      <c r="C246" s="8" t="inlineStr">
        <is>
          <t>CUST-05774</t>
        </is>
      </c>
      <c r="D246" s="8" t="inlineStr">
        <is>
          <t>Stephanie Howard</t>
        </is>
      </c>
      <c r="E246" s="8" t="inlineStr">
        <is>
          <t>PRD-0007</t>
        </is>
      </c>
      <c r="F246" s="8" t="inlineStr">
        <is>
          <t>1</t>
        </is>
      </c>
      <c r="G246" s="9" t="n">
        <v>254.43</v>
      </c>
      <c r="H246" s="8" t="inlineStr">
        <is>
          <t>0.0</t>
        </is>
      </c>
      <c r="I246" s="8" t="inlineStr">
        <is>
          <t>Standard Ground</t>
        </is>
      </c>
      <c r="J246" s="8" t="inlineStr">
        <is>
          <t>Direct Web</t>
        </is>
      </c>
      <c r="K246" s="8" t="inlineStr">
        <is>
          <t>REG-APAC</t>
        </is>
      </c>
    </row>
    <row r="247">
      <c r="A247" s="8" t="inlineStr">
        <is>
          <t>ORD-000114</t>
        </is>
      </c>
      <c r="B247" s="8" t="inlineStr">
        <is>
          <t>2023-09-13</t>
        </is>
      </c>
      <c r="C247" s="8" t="inlineStr">
        <is>
          <t>CUST-03699</t>
        </is>
      </c>
      <c r="D247" s="8" t="inlineStr">
        <is>
          <t>Sharon Sanchez</t>
        </is>
      </c>
      <c r="E247" s="8" t="inlineStr">
        <is>
          <t>PRD-0225</t>
        </is>
      </c>
      <c r="F247" s="8" t="inlineStr">
        <is>
          <t>1</t>
        </is>
      </c>
      <c r="G247" s="9" t="n">
        <v>266.58</v>
      </c>
      <c r="H247" s="8" t="inlineStr">
        <is>
          <t>0.0</t>
        </is>
      </c>
      <c r="I247" s="8" t="inlineStr">
        <is>
          <t>Express Air</t>
        </is>
      </c>
      <c r="J247" s="8" t="inlineStr">
        <is>
          <t>Mobile App</t>
        </is>
      </c>
      <c r="K247" s="8" t="inlineStr">
        <is>
          <t>REG-EU</t>
        </is>
      </c>
    </row>
    <row r="248">
      <c r="A248" s="8" t="inlineStr">
        <is>
          <t>ORD-000115</t>
        </is>
      </c>
      <c r="B248" s="8" t="inlineStr">
        <is>
          <t>2024-06-03</t>
        </is>
      </c>
      <c r="C248" s="8" t="inlineStr">
        <is>
          <t>CUST-06145</t>
        </is>
      </c>
      <c r="D248" s="8" t="inlineStr">
        <is>
          <t>Sarah Sanchez</t>
        </is>
      </c>
      <c r="E248" s="8" t="inlineStr">
        <is>
          <t>PRD-0403</t>
        </is>
      </c>
      <c r="F248" s="8" t="inlineStr">
        <is>
          <t>2</t>
        </is>
      </c>
      <c r="G248" s="9" t="n">
        <v>213.25</v>
      </c>
      <c r="H248" s="8" t="inlineStr">
        <is>
          <t>0.0</t>
        </is>
      </c>
      <c r="I248" s="8" t="inlineStr">
        <is>
          <t>Standard Ground</t>
        </is>
      </c>
      <c r="J248" s="8" t="inlineStr">
        <is>
          <t>B2B Portal</t>
        </is>
      </c>
      <c r="K248" s="8" t="inlineStr">
        <is>
          <t>REG-APAC</t>
        </is>
      </c>
    </row>
    <row r="249">
      <c r="A249" s="8" t="inlineStr">
        <is>
          <t>ORD-000116</t>
        </is>
      </c>
      <c r="B249" s="8" t="inlineStr">
        <is>
          <t>2023-08-13</t>
        </is>
      </c>
      <c r="C249" s="8" t="inlineStr">
        <is>
          <t>CUST-02135</t>
        </is>
      </c>
      <c r="D249" s="8" t="inlineStr">
        <is>
          <t>Maria Anderson</t>
        </is>
      </c>
      <c r="E249" s="8" t="inlineStr">
        <is>
          <t>PRD-0186</t>
        </is>
      </c>
      <c r="F249" s="8" t="inlineStr">
        <is>
          <t>1</t>
        </is>
      </c>
      <c r="G249" s="9" t="n">
        <v>39.22</v>
      </c>
      <c r="H249" s="8" t="inlineStr">
        <is>
          <t>0.0</t>
        </is>
      </c>
      <c r="I249" s="8" t="inlineStr">
        <is>
          <t>Standard Ground</t>
        </is>
      </c>
      <c r="J249" s="8" t="inlineStr">
        <is>
          <t>Direct Web</t>
        </is>
      </c>
      <c r="K249" s="8" t="inlineStr">
        <is>
          <t>REG-NA</t>
        </is>
      </c>
    </row>
    <row r="250">
      <c r="A250" s="8" t="inlineStr">
        <is>
          <t>ORD-000117</t>
        </is>
      </c>
      <c r="B250" s="8" t="inlineStr">
        <is>
          <t>2025-05-22</t>
        </is>
      </c>
      <c r="C250" s="8" t="inlineStr">
        <is>
          <t>CUST-04573</t>
        </is>
      </c>
      <c r="D250" s="8" t="inlineStr">
        <is>
          <t>Paul Lewis</t>
        </is>
      </c>
      <c r="E250" s="8" t="inlineStr">
        <is>
          <t>PRD-0373</t>
        </is>
      </c>
      <c r="F250" s="8" t="inlineStr">
        <is>
          <t>2</t>
        </is>
      </c>
      <c r="G250" s="9" t="n">
        <v>308.95</v>
      </c>
      <c r="H250" s="8" t="inlineStr">
        <is>
          <t>0.0</t>
        </is>
      </c>
      <c r="I250" s="8" t="inlineStr">
        <is>
          <t>Standard Ground</t>
        </is>
      </c>
      <c r="J250" s="8" t="inlineStr">
        <is>
          <t>Direct Web</t>
        </is>
      </c>
      <c r="K250" s="8" t="inlineStr">
        <is>
          <t>REG-EU</t>
        </is>
      </c>
    </row>
    <row r="251">
      <c r="A251" s="8" t="inlineStr">
        <is>
          <t>ORD-000117</t>
        </is>
      </c>
      <c r="B251" s="8" t="inlineStr">
        <is>
          <t>2025-05-22</t>
        </is>
      </c>
      <c r="C251" s="8" t="inlineStr">
        <is>
          <t>CUST-04573</t>
        </is>
      </c>
      <c r="D251" s="8" t="inlineStr">
        <is>
          <t>Paul Lewis</t>
        </is>
      </c>
      <c r="E251" s="8" t="inlineStr">
        <is>
          <t>PRD-0092</t>
        </is>
      </c>
      <c r="F251" s="8" t="inlineStr">
        <is>
          <t>1</t>
        </is>
      </c>
      <c r="G251" s="9" t="n">
        <v>63.9</v>
      </c>
      <c r="H251" s="8" t="inlineStr">
        <is>
          <t>0.05</t>
        </is>
      </c>
      <c r="I251" s="8" t="inlineStr">
        <is>
          <t>Standard Ground</t>
        </is>
      </c>
      <c r="J251" s="8" t="inlineStr">
        <is>
          <t>Direct Web</t>
        </is>
      </c>
      <c r="K251" s="8" t="inlineStr">
        <is>
          <t>REG-EU</t>
        </is>
      </c>
    </row>
    <row r="252">
      <c r="A252" s="8" t="inlineStr">
        <is>
          <t>ORD-000118</t>
        </is>
      </c>
      <c r="B252" s="8" t="inlineStr">
        <is>
          <t>12/26/2025</t>
        </is>
      </c>
      <c r="C252" s="8" t="inlineStr">
        <is>
          <t>CUST-05627</t>
        </is>
      </c>
      <c r="D252" s="8" t="inlineStr">
        <is>
          <t>Jason Sanchez</t>
        </is>
      </c>
      <c r="E252" s="8" t="inlineStr">
        <is>
          <t>PRD-0005</t>
        </is>
      </c>
      <c r="F252" s="8" t="inlineStr">
        <is>
          <t>2</t>
        </is>
      </c>
      <c r="G252" s="9" t="n">
        <v>148.59</v>
      </c>
      <c r="H252" s="8" t="inlineStr">
        <is>
          <t>0.0</t>
        </is>
      </c>
      <c r="I252" s="8" t="inlineStr">
        <is>
          <t>Standard Ground</t>
        </is>
      </c>
      <c r="J252" s="8" t="inlineStr">
        <is>
          <t>B2B Portal</t>
        </is>
      </c>
      <c r="K252" s="8" t="inlineStr">
        <is>
          <t>REG-EU</t>
        </is>
      </c>
    </row>
    <row r="253">
      <c r="A253" s="8" t="inlineStr">
        <is>
          <t>ORD-000118</t>
        </is>
      </c>
      <c r="B253" s="8" t="inlineStr">
        <is>
          <t>12/26/2025</t>
        </is>
      </c>
      <c r="C253" s="8" t="inlineStr">
        <is>
          <t>CUST-05627</t>
        </is>
      </c>
      <c r="D253" s="8" t="inlineStr">
        <is>
          <t>Jason Sanchez</t>
        </is>
      </c>
      <c r="E253" s="8" t="inlineStr">
        <is>
          <t>PRD-0130</t>
        </is>
      </c>
      <c r="F253" s="8" t="inlineStr">
        <is>
          <t>2</t>
        </is>
      </c>
      <c r="G253" s="9" t="n">
        <v>593.34</v>
      </c>
      <c r="H253" s="8" t="inlineStr">
        <is>
          <t>0.05</t>
        </is>
      </c>
      <c r="I253" s="8" t="inlineStr">
        <is>
          <t>Standard Ground</t>
        </is>
      </c>
      <c r="J253" s="8" t="inlineStr">
        <is>
          <t>B2B Portal</t>
        </is>
      </c>
      <c r="K253" s="8" t="inlineStr">
        <is>
          <t>REG-EU</t>
        </is>
      </c>
    </row>
    <row r="254">
      <c r="A254" s="8" t="inlineStr">
        <is>
          <t>ORD-000119</t>
        </is>
      </c>
      <c r="B254" s="8" t="inlineStr">
        <is>
          <t>02-09-2025</t>
        </is>
      </c>
      <c r="C254" s="8" t="inlineStr">
        <is>
          <t>CUST-00587</t>
        </is>
      </c>
      <c r="D254" s="8" t="inlineStr">
        <is>
          <t>Melissa Lewis</t>
        </is>
      </c>
      <c r="E254" s="8" t="inlineStr">
        <is>
          <t>PRD-0069</t>
        </is>
      </c>
      <c r="F254" s="8" t="inlineStr">
        <is>
          <t>3</t>
        </is>
      </c>
      <c r="G254" s="9" t="n">
        <v>58.36</v>
      </c>
      <c r="H254" s="8" t="inlineStr">
        <is>
          <t>0.1</t>
        </is>
      </c>
      <c r="I254" s="8" t="inlineStr">
        <is>
          <t>Standard Ground</t>
        </is>
      </c>
      <c r="J254" s="8" t="inlineStr">
        <is>
          <t>Direct Web</t>
        </is>
      </c>
      <c r="K254" s="8" t="inlineStr">
        <is>
          <t>REG-NA</t>
        </is>
      </c>
    </row>
    <row r="255">
      <c r="A255" s="8" t="inlineStr">
        <is>
          <t>ORD-000120</t>
        </is>
      </c>
      <c r="B255" s="8" t="inlineStr">
        <is>
          <t>2025-11-19</t>
        </is>
      </c>
      <c r="C255" s="8" t="inlineStr">
        <is>
          <t>CUST-06471</t>
        </is>
      </c>
      <c r="D255" s="8" t="inlineStr">
        <is>
          <t>Rebecca Thomas</t>
        </is>
      </c>
      <c r="E255" s="8" t="inlineStr">
        <is>
          <t>PRD-0274</t>
        </is>
      </c>
      <c r="F255" s="8" t="inlineStr">
        <is>
          <t>-3</t>
        </is>
      </c>
      <c r="G255" s="9" t="n">
        <v>74.98999999999999</v>
      </c>
      <c r="H255" s="8" t="inlineStr">
        <is>
          <t>0.1</t>
        </is>
      </c>
      <c r="I255" s="8" t="inlineStr">
        <is>
          <t>Standard Ground</t>
        </is>
      </c>
      <c r="J255" s="8" t="inlineStr">
        <is>
          <t>Mobile App</t>
        </is>
      </c>
      <c r="K255" s="8" t="inlineStr">
        <is>
          <t>REG-NA</t>
        </is>
      </c>
    </row>
    <row r="256">
      <c r="A256" s="8" t="inlineStr">
        <is>
          <t>ORD-000121</t>
        </is>
      </c>
      <c r="B256" s="8" t="inlineStr">
        <is>
          <t>2023-04-14</t>
        </is>
      </c>
      <c r="C256" s="8" t="inlineStr">
        <is>
          <t>CUST-07107</t>
        </is>
      </c>
      <c r="D256" s="8" t="inlineStr">
        <is>
          <t>Patrick James</t>
        </is>
      </c>
      <c r="E256" s="8" t="inlineStr">
        <is>
          <t>PRD-0228</t>
        </is>
      </c>
      <c r="F256" s="8" t="inlineStr">
        <is>
          <t>2</t>
        </is>
      </c>
      <c r="G256" s="9" t="n">
        <v>907.01</v>
      </c>
      <c r="H256" s="8" t="inlineStr">
        <is>
          <t>0.0</t>
        </is>
      </c>
      <c r="I256" s="8" t="inlineStr">
        <is>
          <t>Express Air</t>
        </is>
      </c>
      <c r="J256" s="8" t="inlineStr">
        <is>
          <t>B2B Portal</t>
        </is>
      </c>
      <c r="K256" s="8" t="inlineStr">
        <is>
          <t>REG-LATAM</t>
        </is>
      </c>
    </row>
    <row r="257">
      <c r="A257" s="8" t="inlineStr">
        <is>
          <t>ORD-000122</t>
        </is>
      </c>
      <c r="B257" s="8" t="inlineStr">
        <is>
          <t>2025-02-03</t>
        </is>
      </c>
      <c r="C257" s="8" t="inlineStr">
        <is>
          <t>CUST-02863</t>
        </is>
      </c>
      <c r="D257" s="8" t="inlineStr">
        <is>
          <t>Catherine Gutierrez</t>
        </is>
      </c>
      <c r="E257" s="8" t="inlineStr">
        <is>
          <t>PRD-0245</t>
        </is>
      </c>
      <c r="F257" s="8" t="inlineStr">
        <is>
          <t>2</t>
        </is>
      </c>
      <c r="G257" s="9" t="n">
        <v>202.5</v>
      </c>
      <c r="H257" s="8" t="inlineStr">
        <is>
          <t>0.0</t>
        </is>
      </c>
      <c r="I257" s="8" t="inlineStr">
        <is>
          <t>Express Air</t>
        </is>
      </c>
      <c r="J257" s="8" t="inlineStr">
        <is>
          <t>Direct Web</t>
        </is>
      </c>
      <c r="K257" s="8" t="inlineStr">
        <is>
          <t>REG-EU</t>
        </is>
      </c>
    </row>
    <row r="258">
      <c r="A258" s="8" t="inlineStr">
        <is>
          <t>ORD-000122</t>
        </is>
      </c>
      <c r="B258" s="8" t="inlineStr">
        <is>
          <t>2025-02-03</t>
        </is>
      </c>
      <c r="C258" s="8" t="inlineStr">
        <is>
          <t>CUST-02863</t>
        </is>
      </c>
      <c r="D258" s="8" t="inlineStr">
        <is>
          <t>Catherine Gutierrez</t>
        </is>
      </c>
      <c r="E258" s="8" t="inlineStr">
        <is>
          <t>PRD-0272</t>
        </is>
      </c>
      <c r="F258" s="8" t="inlineStr">
        <is>
          <t>2</t>
        </is>
      </c>
      <c r="G258" s="9" t="n">
        <v>109.11</v>
      </c>
      <c r="H258" s="8" t="inlineStr">
        <is>
          <t>0.1</t>
        </is>
      </c>
      <c r="I258" s="8" t="inlineStr">
        <is>
          <t>Express Air</t>
        </is>
      </c>
      <c r="J258" s="8" t="inlineStr">
        <is>
          <t>Direct Web</t>
        </is>
      </c>
      <c r="K258" s="8" t="inlineStr">
        <is>
          <t>REG-EU</t>
        </is>
      </c>
    </row>
    <row r="259">
      <c r="A259" s="8" t="inlineStr">
        <is>
          <t>ORD-000122</t>
        </is>
      </c>
      <c r="B259" s="8" t="inlineStr">
        <is>
          <t>2025-02-03</t>
        </is>
      </c>
      <c r="C259" s="8" t="inlineStr">
        <is>
          <t>CUST-02863</t>
        </is>
      </c>
      <c r="D259" s="8" t="inlineStr">
        <is>
          <t>Catherine Gutierrez</t>
        </is>
      </c>
      <c r="E259" s="8" t="inlineStr">
        <is>
          <t>PRD-0246</t>
        </is>
      </c>
      <c r="F259" s="8" t="inlineStr">
        <is>
          <t>2</t>
        </is>
      </c>
      <c r="G259" s="9" t="n">
        <v>1238.92</v>
      </c>
      <c r="H259" s="8" t="inlineStr">
        <is>
          <t>0.0</t>
        </is>
      </c>
      <c r="I259" s="8" t="inlineStr">
        <is>
          <t>Express Air</t>
        </is>
      </c>
      <c r="J259" s="8" t="inlineStr">
        <is>
          <t>Direct Web</t>
        </is>
      </c>
      <c r="K259" s="8" t="inlineStr">
        <is>
          <t>REG-EU</t>
        </is>
      </c>
    </row>
    <row r="260">
      <c r="A260" s="8" t="inlineStr">
        <is>
          <t>ORD-000123</t>
        </is>
      </c>
      <c r="B260" s="8" t="inlineStr">
        <is>
          <t>2023-09-14</t>
        </is>
      </c>
      <c r="C260" s="8" t="inlineStr">
        <is>
          <t>CUST-06109</t>
        </is>
      </c>
      <c r="D260" s="8" t="inlineStr">
        <is>
          <t>Frank Carter</t>
        </is>
      </c>
      <c r="E260" s="8" t="inlineStr">
        <is>
          <t>PRD-0420</t>
        </is>
      </c>
      <c r="F260" s="8" t="inlineStr">
        <is>
          <t>1</t>
        </is>
      </c>
      <c r="G260" s="9" t="n">
        <v>923.98</v>
      </c>
      <c r="H260" s="8" t="inlineStr">
        <is>
          <t>0.0</t>
        </is>
      </c>
      <c r="I260" s="8" t="inlineStr">
        <is>
          <t>Standard Ground</t>
        </is>
      </c>
      <c r="J260" s="8" t="inlineStr">
        <is>
          <t>Direct Web</t>
        </is>
      </c>
      <c r="K260" s="8" t="inlineStr">
        <is>
          <t>REG-NA</t>
        </is>
      </c>
    </row>
    <row r="261">
      <c r="A261" s="8" t="inlineStr">
        <is>
          <t>ORD-000123</t>
        </is>
      </c>
      <c r="B261" s="8" t="inlineStr">
        <is>
          <t>2023-09-14</t>
        </is>
      </c>
      <c r="C261" s="8" t="inlineStr">
        <is>
          <t>CUST-06109</t>
        </is>
      </c>
      <c r="D261" s="8" t="inlineStr">
        <is>
          <t>Frank Carter</t>
        </is>
      </c>
      <c r="E261" s="8" t="inlineStr">
        <is>
          <t>PRD-0143</t>
        </is>
      </c>
      <c r="F261" s="8" t="inlineStr">
        <is>
          <t>1</t>
        </is>
      </c>
      <c r="G261" s="9" t="n">
        <v>359.58</v>
      </c>
      <c r="H261" s="8" t="inlineStr">
        <is>
          <t>0.25</t>
        </is>
      </c>
      <c r="I261" s="8" t="inlineStr">
        <is>
          <t>Standard Ground</t>
        </is>
      </c>
      <c r="J261" s="8" t="inlineStr">
        <is>
          <t>Direct Web</t>
        </is>
      </c>
      <c r="K261" s="8" t="inlineStr">
        <is>
          <t>REG-NA</t>
        </is>
      </c>
    </row>
    <row r="262">
      <c r="A262" s="8" t="inlineStr">
        <is>
          <t>ORD-000123</t>
        </is>
      </c>
      <c r="B262" s="8" t="inlineStr">
        <is>
          <t>2023-09-14</t>
        </is>
      </c>
      <c r="C262" s="8" t="inlineStr">
        <is>
          <t>CUST-06109</t>
        </is>
      </c>
      <c r="D262" s="8" t="inlineStr">
        <is>
          <t>Frank Carter</t>
        </is>
      </c>
      <c r="E262" s="8" t="inlineStr">
        <is>
          <t>PRD-0260</t>
        </is>
      </c>
      <c r="F262" s="8" t="inlineStr">
        <is>
          <t>3</t>
        </is>
      </c>
      <c r="G262" s="9" t="n">
        <v>13.65</v>
      </c>
      <c r="H262" s="8" t="inlineStr">
        <is>
          <t>0.0</t>
        </is>
      </c>
      <c r="I262" s="8" t="inlineStr">
        <is>
          <t>Standard Ground</t>
        </is>
      </c>
      <c r="J262" s="8" t="inlineStr">
        <is>
          <t>Direct Web</t>
        </is>
      </c>
      <c r="K262" s="8" t="inlineStr">
        <is>
          <t>REG-NA</t>
        </is>
      </c>
    </row>
    <row r="263">
      <c r="A263" s="8" t="inlineStr">
        <is>
          <t>ORD-000123</t>
        </is>
      </c>
      <c r="B263" s="8" t="inlineStr">
        <is>
          <t>2023-09-14</t>
        </is>
      </c>
      <c r="C263" s="8" t="inlineStr">
        <is>
          <t>CUST-06109</t>
        </is>
      </c>
      <c r="D263" s="8" t="inlineStr">
        <is>
          <t>Frank Carter</t>
        </is>
      </c>
      <c r="E263" s="8" t="inlineStr">
        <is>
          <t>PRD-0234</t>
        </is>
      </c>
      <c r="F263" s="8" t="inlineStr">
        <is>
          <t>1</t>
        </is>
      </c>
      <c r="G263" s="9" t="n">
        <v>608.75</v>
      </c>
      <c r="H263" s="8" t="inlineStr">
        <is>
          <t>0.1</t>
        </is>
      </c>
      <c r="I263" s="8" t="inlineStr">
        <is>
          <t>Standard Ground</t>
        </is>
      </c>
      <c r="J263" s="8" t="inlineStr">
        <is>
          <t>Direct Web</t>
        </is>
      </c>
      <c r="K263" s="8" t="inlineStr">
        <is>
          <t>REG-NA</t>
        </is>
      </c>
    </row>
    <row r="264">
      <c r="A264" s="8" t="inlineStr">
        <is>
          <t>ORD-000124</t>
        </is>
      </c>
      <c r="B264" s="8" t="inlineStr">
        <is>
          <t>2024-06-30</t>
        </is>
      </c>
      <c r="C264" s="8" t="inlineStr">
        <is>
          <t>CUST-06598</t>
        </is>
      </c>
      <c r="D264" s="8" t="inlineStr">
        <is>
          <t>Jack Jones</t>
        </is>
      </c>
      <c r="E264" s="8" t="inlineStr">
        <is>
          <t>PRD-0017</t>
        </is>
      </c>
      <c r="F264" s="8" t="inlineStr">
        <is>
          <t>1</t>
        </is>
      </c>
      <c r="G264" s="9" t="n">
        <v>931.16</v>
      </c>
      <c r="H264" s="8" t="inlineStr">
        <is>
          <t>0.15</t>
        </is>
      </c>
      <c r="I264" s="8" t="inlineStr">
        <is>
          <t>Standard Ground</t>
        </is>
      </c>
      <c r="J264" s="8" t="inlineStr">
        <is>
          <t>Direct Web</t>
        </is>
      </c>
      <c r="K264" s="8" t="inlineStr">
        <is>
          <t>REG-EU</t>
        </is>
      </c>
    </row>
    <row r="265">
      <c r="A265" s="8" t="inlineStr">
        <is>
          <t>ORD-000124</t>
        </is>
      </c>
      <c r="B265" s="8" t="inlineStr">
        <is>
          <t>2024-06-30</t>
        </is>
      </c>
      <c r="C265" s="8" t="inlineStr">
        <is>
          <t>CUST-06598</t>
        </is>
      </c>
      <c r="D265" s="8" t="inlineStr">
        <is>
          <t>Jack Jones</t>
        </is>
      </c>
      <c r="E265" s="8" t="inlineStr">
        <is>
          <t>PRD-0120</t>
        </is>
      </c>
      <c r="F265" s="8" t="inlineStr">
        <is>
          <t>3</t>
        </is>
      </c>
      <c r="G265" s="9" t="n">
        <v>1001.04</v>
      </c>
      <c r="H265" s="8" t="inlineStr">
        <is>
          <t>0.0</t>
        </is>
      </c>
      <c r="I265" s="8" t="inlineStr">
        <is>
          <t>Standard Ground</t>
        </is>
      </c>
      <c r="J265" s="8" t="inlineStr">
        <is>
          <t>Direct Web</t>
        </is>
      </c>
      <c r="K265" s="8" t="inlineStr">
        <is>
          <t>REG-EU</t>
        </is>
      </c>
    </row>
    <row r="266">
      <c r="A266" s="8" t="inlineStr">
        <is>
          <t>ORD-000124</t>
        </is>
      </c>
      <c r="B266" s="8" t="inlineStr">
        <is>
          <t>2024-06-30</t>
        </is>
      </c>
      <c r="C266" s="8" t="inlineStr">
        <is>
          <t>CUST-06598</t>
        </is>
      </c>
      <c r="D266" s="8" t="inlineStr">
        <is>
          <t>Jack Jones</t>
        </is>
      </c>
      <c r="E266" s="8" t="inlineStr">
        <is>
          <t>PRD-0132</t>
        </is>
      </c>
      <c r="F266" s="8" t="inlineStr">
        <is>
          <t>2</t>
        </is>
      </c>
      <c r="G266" s="9" t="n">
        <v>792.09</v>
      </c>
      <c r="H266" s="8" t="inlineStr">
        <is>
          <t>0.1</t>
        </is>
      </c>
      <c r="I266" s="8" t="inlineStr">
        <is>
          <t>Standard Ground</t>
        </is>
      </c>
      <c r="J266" s="8" t="inlineStr">
        <is>
          <t>Direct Web</t>
        </is>
      </c>
      <c r="K266" s="8" t="inlineStr">
        <is>
          <t>REG-EU</t>
        </is>
      </c>
    </row>
    <row r="267">
      <c r="A267" s="8" t="inlineStr">
        <is>
          <t>ORD-000125</t>
        </is>
      </c>
      <c r="B267" s="8" t="inlineStr">
        <is>
          <t>2025-03-29</t>
        </is>
      </c>
      <c r="C267" s="8" t="inlineStr">
        <is>
          <t>CUST-00561</t>
        </is>
      </c>
      <c r="D267" s="8" t="inlineStr">
        <is>
          <t>Jessica Gutierrez</t>
        </is>
      </c>
      <c r="E267" s="8" t="inlineStr">
        <is>
          <t>PRD-0454</t>
        </is>
      </c>
      <c r="F267" s="8" t="inlineStr">
        <is>
          <t>2</t>
        </is>
      </c>
      <c r="G267" s="9" t="n">
        <v>745.9400000000001</v>
      </c>
      <c r="H267" s="8" t="inlineStr">
        <is>
          <t>0.1</t>
        </is>
      </c>
      <c r="I267" s="8" t="inlineStr">
        <is>
          <t>Express Air</t>
        </is>
      </c>
      <c r="J267" s="8" t="inlineStr">
        <is>
          <t>Direct Web</t>
        </is>
      </c>
      <c r="K267" s="8" t="inlineStr">
        <is>
          <t>REG-NA</t>
        </is>
      </c>
    </row>
    <row r="268">
      <c r="A268" s="8" t="inlineStr">
        <is>
          <t>ORD-000125</t>
        </is>
      </c>
      <c r="B268" s="8" t="inlineStr">
        <is>
          <t>2025-03-29</t>
        </is>
      </c>
      <c r="C268" s="8" t="inlineStr">
        <is>
          <t>CUST-00561</t>
        </is>
      </c>
      <c r="D268" s="8" t="inlineStr">
        <is>
          <t>Jessica Gutierrez</t>
        </is>
      </c>
      <c r="E268" s="8" t="inlineStr">
        <is>
          <t>PRD-0020</t>
        </is>
      </c>
      <c r="F268" s="8" t="inlineStr">
        <is>
          <t>1</t>
        </is>
      </c>
      <c r="G268" s="9" t="n">
        <v>22.42</v>
      </c>
      <c r="H268" s="8" t="inlineStr">
        <is>
          <t>0.0</t>
        </is>
      </c>
      <c r="I268" s="8" t="inlineStr">
        <is>
          <t>Express Air</t>
        </is>
      </c>
      <c r="J268" s="8" t="inlineStr">
        <is>
          <t>Direct Web</t>
        </is>
      </c>
      <c r="K268" s="8" t="inlineStr">
        <is>
          <t>REG-NA</t>
        </is>
      </c>
    </row>
    <row r="269">
      <c r="A269" s="8" t="inlineStr">
        <is>
          <t>ORD-000125</t>
        </is>
      </c>
      <c r="B269" s="8" t="inlineStr">
        <is>
          <t>2025-03-29</t>
        </is>
      </c>
      <c r="C269" s="8" t="inlineStr">
        <is>
          <t>CUST-00561</t>
        </is>
      </c>
      <c r="D269" s="8" t="inlineStr">
        <is>
          <t>Jessica Gutierrez</t>
        </is>
      </c>
      <c r="E269" s="8" t="inlineStr">
        <is>
          <t>PRD-0125</t>
        </is>
      </c>
      <c r="F269" s="8" t="inlineStr">
        <is>
          <t>2</t>
        </is>
      </c>
      <c r="G269" s="9" t="n">
        <v>1389.75</v>
      </c>
      <c r="H269" s="8" t="inlineStr">
        <is>
          <t>0.05</t>
        </is>
      </c>
      <c r="I269" s="8" t="inlineStr">
        <is>
          <t>Express Air</t>
        </is>
      </c>
      <c r="J269" s="8" t="inlineStr">
        <is>
          <t>Direct Web</t>
        </is>
      </c>
      <c r="K269" s="8" t="inlineStr">
        <is>
          <t>REG-NA</t>
        </is>
      </c>
    </row>
    <row r="270">
      <c r="A270" s="8" t="inlineStr">
        <is>
          <t>ORD-000126</t>
        </is>
      </c>
      <c r="B270" s="8" t="inlineStr">
        <is>
          <t>2025-02-11</t>
        </is>
      </c>
      <c r="C270" s="8" t="inlineStr">
        <is>
          <t>CUST-00178</t>
        </is>
      </c>
      <c r="D270" s="8" t="inlineStr">
        <is>
          <t>Andrew Campbell</t>
        </is>
      </c>
      <c r="E270" s="8" t="inlineStr">
        <is>
          <t>PRD-0083</t>
        </is>
      </c>
      <c r="F270" s="8" t="inlineStr">
        <is>
          <t>2</t>
        </is>
      </c>
      <c r="G270" s="9" t="n">
        <v>73.41</v>
      </c>
      <c r="H270" s="8" t="inlineStr">
        <is>
          <t>0.0</t>
        </is>
      </c>
      <c r="I270" s="8" t="inlineStr">
        <is>
          <t>Standard Ground</t>
        </is>
      </c>
      <c r="J270" s="8" t="inlineStr">
        <is>
          <t>Mobile App</t>
        </is>
      </c>
      <c r="K270" s="8" t="inlineStr">
        <is>
          <t>REG-LATAM</t>
        </is>
      </c>
    </row>
    <row r="271">
      <c r="A271" s="8" t="inlineStr">
        <is>
          <t>ORD-000127</t>
        </is>
      </c>
      <c r="B271" s="8" t="inlineStr">
        <is>
          <t>2024-05-13</t>
        </is>
      </c>
      <c r="C271" s="8" t="inlineStr">
        <is>
          <t>CUST-06012</t>
        </is>
      </c>
      <c r="D271" s="8" t="inlineStr">
        <is>
          <t>Robert Johnson</t>
        </is>
      </c>
      <c r="E271" s="8" t="inlineStr">
        <is>
          <t>PRD-0112</t>
        </is>
      </c>
      <c r="F271" s="8" t="inlineStr">
        <is>
          <t>4</t>
        </is>
      </c>
      <c r="G271" s="9" t="n">
        <v>54.82</v>
      </c>
      <c r="H271" s="8" t="inlineStr">
        <is>
          <t>0.25</t>
        </is>
      </c>
      <c r="I271" s="8" t="inlineStr">
        <is>
          <t>Standard Ground</t>
        </is>
      </c>
      <c r="J271" s="8" t="inlineStr">
        <is>
          <t>Direct Web</t>
        </is>
      </c>
      <c r="K271" s="8" t="inlineStr">
        <is>
          <t>REG-NA</t>
        </is>
      </c>
    </row>
    <row r="272">
      <c r="A272" s="8" t="inlineStr">
        <is>
          <t>ORD-000127</t>
        </is>
      </c>
      <c r="B272" s="8" t="inlineStr">
        <is>
          <t>2024-05-13</t>
        </is>
      </c>
      <c r="C272" s="8" t="inlineStr">
        <is>
          <t>CUST-06012</t>
        </is>
      </c>
      <c r="D272" s="8" t="inlineStr">
        <is>
          <t>Robert Johnson</t>
        </is>
      </c>
      <c r="E272" s="8" t="inlineStr">
        <is>
          <t>PRD-0256</t>
        </is>
      </c>
      <c r="F272" s="8" t="inlineStr">
        <is>
          <t>2</t>
        </is>
      </c>
      <c r="G272" s="9" t="n">
        <v>235.18</v>
      </c>
      <c r="H272" s="8" t="inlineStr">
        <is>
          <t>0.1</t>
        </is>
      </c>
      <c r="I272" s="8" t="inlineStr">
        <is>
          <t>Standard Ground</t>
        </is>
      </c>
      <c r="J272" s="8" t="inlineStr">
        <is>
          <t>Direct Web</t>
        </is>
      </c>
      <c r="K272" s="8" t="inlineStr">
        <is>
          <t>REG-NA</t>
        </is>
      </c>
    </row>
    <row r="273">
      <c r="A273" s="8" t="inlineStr">
        <is>
          <t>ORD-000128</t>
        </is>
      </c>
      <c r="B273" s="8" t="inlineStr">
        <is>
          <t>2025-07-30</t>
        </is>
      </c>
      <c r="C273" s="8" t="inlineStr">
        <is>
          <t>CUST-03272</t>
        </is>
      </c>
      <c r="D273" s="8" t="inlineStr">
        <is>
          <t>Rachel Mendoza</t>
        </is>
      </c>
      <c r="E273" s="8" t="inlineStr">
        <is>
          <t>PRD-0433</t>
        </is>
      </c>
      <c r="F273" s="8" t="inlineStr">
        <is>
          <t>1</t>
        </is>
      </c>
      <c r="G273" s="9" t="n">
        <v>545.86</v>
      </c>
      <c r="H273" s="8" t="inlineStr">
        <is>
          <t>0.1</t>
        </is>
      </c>
      <c r="I273" s="8" t="inlineStr">
        <is>
          <t>Same-Day Priority</t>
        </is>
      </c>
      <c r="J273" s="8" t="inlineStr">
        <is>
          <t>Direct Web</t>
        </is>
      </c>
      <c r="K273" s="8" t="inlineStr">
        <is>
          <t>REG-APAC</t>
        </is>
      </c>
    </row>
    <row r="274">
      <c r="A274" s="8" t="inlineStr">
        <is>
          <t>ORD-000128</t>
        </is>
      </c>
      <c r="B274" s="8" t="inlineStr">
        <is>
          <t>2025-07-30</t>
        </is>
      </c>
      <c r="C274" s="8" t="inlineStr">
        <is>
          <t>CUST-03272</t>
        </is>
      </c>
      <c r="D274" s="8" t="inlineStr">
        <is>
          <t>Rachel Mendoza</t>
        </is>
      </c>
      <c r="E274" s="8" t="inlineStr">
        <is>
          <t>PRD-0269</t>
        </is>
      </c>
      <c r="F274" s="8" t="inlineStr">
        <is>
          <t>2</t>
        </is>
      </c>
      <c r="G274" s="9" t="n">
        <v>1195.16</v>
      </c>
      <c r="H274" s="8" t="inlineStr">
        <is>
          <t>0.05</t>
        </is>
      </c>
      <c r="I274" s="8" t="inlineStr">
        <is>
          <t>Same-Day Priority</t>
        </is>
      </c>
      <c r="J274" s="8" t="inlineStr">
        <is>
          <t>Direct Web</t>
        </is>
      </c>
      <c r="K274" s="8" t="inlineStr">
        <is>
          <t>REG-APAC</t>
        </is>
      </c>
    </row>
    <row r="275">
      <c r="A275" s="8" t="inlineStr">
        <is>
          <t>ORD-000128</t>
        </is>
      </c>
      <c r="B275" s="8" t="inlineStr">
        <is>
          <t>2025-07-30</t>
        </is>
      </c>
      <c r="C275" s="8" t="inlineStr">
        <is>
          <t>CUST-03272</t>
        </is>
      </c>
      <c r="D275" s="8" t="inlineStr">
        <is>
          <t>Rachel Mendoza</t>
        </is>
      </c>
      <c r="E275" s="8" t="inlineStr">
        <is>
          <t>PRD-0367</t>
        </is>
      </c>
      <c r="F275" s="8" t="inlineStr">
        <is>
          <t>2</t>
        </is>
      </c>
      <c r="G275" s="9" t="n">
        <v>68.37</v>
      </c>
      <c r="H275" s="8" t="inlineStr">
        <is>
          <t>0.1</t>
        </is>
      </c>
      <c r="I275" s="8" t="inlineStr">
        <is>
          <t>Same-Day Priority</t>
        </is>
      </c>
      <c r="J275" s="8" t="inlineStr">
        <is>
          <t>Direct Web</t>
        </is>
      </c>
      <c r="K275" s="8" t="inlineStr">
        <is>
          <t>REG-APAC</t>
        </is>
      </c>
    </row>
    <row r="276">
      <c r="A276" s="8" t="inlineStr">
        <is>
          <t>ORD-000128</t>
        </is>
      </c>
      <c r="B276" s="8" t="inlineStr">
        <is>
          <t>2025-07-30</t>
        </is>
      </c>
      <c r="C276" s="8" t="inlineStr">
        <is>
          <t>CUST-03272</t>
        </is>
      </c>
      <c r="D276" s="8" t="inlineStr">
        <is>
          <t>Rachel Mendoza</t>
        </is>
      </c>
      <c r="E276" s="8" t="inlineStr">
        <is>
          <t>PRD-0180</t>
        </is>
      </c>
      <c r="F276" s="8" t="inlineStr">
        <is>
          <t>1</t>
        </is>
      </c>
      <c r="G276" s="9" t="n">
        <v>1016.03</v>
      </c>
      <c r="H276" s="8" t="inlineStr">
        <is>
          <t>0.0</t>
        </is>
      </c>
      <c r="I276" s="8" t="inlineStr">
        <is>
          <t>Same-Day Priority</t>
        </is>
      </c>
      <c r="J276" s="8" t="inlineStr">
        <is>
          <t>Direct Web</t>
        </is>
      </c>
      <c r="K276" s="8" t="inlineStr">
        <is>
          <t>REG-APAC</t>
        </is>
      </c>
    </row>
    <row r="277">
      <c r="A277" s="8" t="inlineStr">
        <is>
          <t>ORD-000129</t>
        </is>
      </c>
      <c r="B277" s="8" t="inlineStr">
        <is>
          <t>2023-01-24</t>
        </is>
      </c>
      <c r="C277" s="8" t="inlineStr">
        <is>
          <t>CUST-06916</t>
        </is>
      </c>
      <c r="D277" s="8" t="inlineStr">
        <is>
          <t>Margaret Gomez</t>
        </is>
      </c>
      <c r="E277" s="8" t="inlineStr">
        <is>
          <t>PRD-0236</t>
        </is>
      </c>
      <c r="F277" s="8" t="inlineStr">
        <is>
          <t>1</t>
        </is>
      </c>
      <c r="G277" s="9" t="n">
        <v>128.74</v>
      </c>
      <c r="H277" s="8" t="inlineStr">
        <is>
          <t>0.05</t>
        </is>
      </c>
      <c r="I277" s="8" t="inlineStr">
        <is>
          <t>Standard Ground</t>
        </is>
      </c>
      <c r="J277" s="8" t="inlineStr">
        <is>
          <t>Direct Web</t>
        </is>
      </c>
      <c r="K277" s="8" t="inlineStr">
        <is>
          <t>REG-LATAM</t>
        </is>
      </c>
    </row>
    <row r="278">
      <c r="A278" s="8" t="inlineStr">
        <is>
          <t>ORD-000130</t>
        </is>
      </c>
      <c r="B278" s="8" t="inlineStr">
        <is>
          <t>2025-04-02</t>
        </is>
      </c>
      <c r="C278" s="8" t="inlineStr">
        <is>
          <t>CUST-01175</t>
        </is>
      </c>
      <c r="D278" s="8" t="inlineStr">
        <is>
          <t>David Miller</t>
        </is>
      </c>
      <c r="E278" s="8" t="inlineStr">
        <is>
          <t>PRD-0213</t>
        </is>
      </c>
      <c r="F278" s="8" t="inlineStr">
        <is>
          <t>2</t>
        </is>
      </c>
      <c r="G278" s="9" t="n">
        <v>592.9</v>
      </c>
      <c r="H278" s="8" t="inlineStr">
        <is>
          <t>0.15</t>
        </is>
      </c>
      <c r="I278" s="8" t="inlineStr">
        <is>
          <t>Standard Ground</t>
        </is>
      </c>
      <c r="J278" s="8" t="inlineStr">
        <is>
          <t>Direct Web</t>
        </is>
      </c>
      <c r="K278" s="8" t="inlineStr">
        <is>
          <t>REG-LATAM</t>
        </is>
      </c>
    </row>
    <row r="279">
      <c r="A279" s="8" t="inlineStr">
        <is>
          <t>ORD-000131</t>
        </is>
      </c>
      <c r="B279" s="8" t="inlineStr">
        <is>
          <t>2025-01-15</t>
        </is>
      </c>
      <c r="C279" s="8" t="inlineStr">
        <is>
          <t>CUST-03155</t>
        </is>
      </c>
      <c r="D279" s="8" t="inlineStr">
        <is>
          <t>Angela Robinson</t>
        </is>
      </c>
      <c r="E279" s="8" t="inlineStr">
        <is>
          <t>PRD-0223</t>
        </is>
      </c>
      <c r="F279" s="8" t="inlineStr">
        <is>
          <t>1</t>
        </is>
      </c>
      <c r="G279" s="9" t="n">
        <v>31.04</v>
      </c>
      <c r="H279" s="8" t="inlineStr">
        <is>
          <t>0.2</t>
        </is>
      </c>
      <c r="I279" s="8" t="inlineStr">
        <is>
          <t>Standard Ground</t>
        </is>
      </c>
      <c r="J279" s="8" t="inlineStr">
        <is>
          <t>Mobile App</t>
        </is>
      </c>
      <c r="K279" s="8" t="inlineStr">
        <is>
          <t>REG-NA</t>
        </is>
      </c>
    </row>
    <row r="280">
      <c r="A280" s="8" t="inlineStr">
        <is>
          <t>ORD-000132</t>
        </is>
      </c>
      <c r="B280" s="8" t="inlineStr">
        <is>
          <t>2024-08-15</t>
        </is>
      </c>
      <c r="C280" s="8" t="inlineStr">
        <is>
          <t>CUST-07838</t>
        </is>
      </c>
      <c r="D280" s="8" t="inlineStr">
        <is>
          <t>Richard Castillo</t>
        </is>
      </c>
      <c r="E280" s="8" t="inlineStr">
        <is>
          <t>PRD-0092</t>
        </is>
      </c>
      <c r="F280" s="8" t="inlineStr">
        <is>
          <t>1</t>
        </is>
      </c>
      <c r="G280" s="9" t="n">
        <v>63.9</v>
      </c>
      <c r="H280" s="8" t="inlineStr">
        <is>
          <t>0.0</t>
        </is>
      </c>
      <c r="I280" s="8" t="inlineStr">
        <is>
          <t>Standard Ground</t>
        </is>
      </c>
      <c r="J280" s="8" t="inlineStr">
        <is>
          <t>Mobile App</t>
        </is>
      </c>
      <c r="K280" s="8" t="inlineStr">
        <is>
          <t>REG-APAC</t>
        </is>
      </c>
    </row>
    <row r="281">
      <c r="A281" s="8" t="inlineStr">
        <is>
          <t>ORD-000132</t>
        </is>
      </c>
      <c r="B281" s="8" t="inlineStr">
        <is>
          <t>2024-08-15</t>
        </is>
      </c>
      <c r="C281" s="8" t="inlineStr">
        <is>
          <t>CUST-07838</t>
        </is>
      </c>
      <c r="D281" s="8" t="inlineStr">
        <is>
          <t>Richard Castillo</t>
        </is>
      </c>
      <c r="E281" s="8" t="inlineStr">
        <is>
          <t>PRD-0416</t>
        </is>
      </c>
      <c r="F281" s="8" t="inlineStr">
        <is>
          <t>2</t>
        </is>
      </c>
      <c r="G281" s="9" t="n">
        <v>39.54</v>
      </c>
      <c r="H281" s="8" t="inlineStr">
        <is>
          <t>0.25</t>
        </is>
      </c>
      <c r="I281" s="8" t="inlineStr">
        <is>
          <t>Standard Ground</t>
        </is>
      </c>
      <c r="J281" s="8" t="inlineStr">
        <is>
          <t>Mobile App</t>
        </is>
      </c>
      <c r="K281" s="8" t="inlineStr">
        <is>
          <t>REG-APAC</t>
        </is>
      </c>
    </row>
    <row r="282">
      <c r="A282" s="8" t="inlineStr">
        <is>
          <t>ORD-000133</t>
        </is>
      </c>
      <c r="B282" s="8" t="inlineStr">
        <is>
          <t>2024-01-31</t>
        </is>
      </c>
      <c r="C282" s="8" t="inlineStr">
        <is>
          <t>CUST-02830</t>
        </is>
      </c>
      <c r="D282" s="8" t="inlineStr">
        <is>
          <t>Mark Long</t>
        </is>
      </c>
      <c r="E282" s="8" t="inlineStr">
        <is>
          <t>PRD-0278</t>
        </is>
      </c>
      <c r="F282" s="8" t="inlineStr">
        <is>
          <t>5</t>
        </is>
      </c>
      <c r="G282" s="9" t="n">
        <v>1176.56</v>
      </c>
      <c r="H282" s="8" t="inlineStr">
        <is>
          <t>0.0</t>
        </is>
      </c>
      <c r="I282" s="8" t="inlineStr">
        <is>
          <t>Standard Ground</t>
        </is>
      </c>
      <c r="J282" s="8" t="inlineStr">
        <is>
          <t>Affiliate Partner</t>
        </is>
      </c>
      <c r="K282" s="8" t="inlineStr">
        <is>
          <t>REG-NA</t>
        </is>
      </c>
    </row>
    <row r="283">
      <c r="A283" s="8" t="inlineStr">
        <is>
          <t>ORD-000133</t>
        </is>
      </c>
      <c r="B283" s="8" t="inlineStr">
        <is>
          <t>2024-01-31</t>
        </is>
      </c>
      <c r="C283" s="8" t="inlineStr">
        <is>
          <t>CUST-02830</t>
        </is>
      </c>
      <c r="D283" s="8" t="inlineStr">
        <is>
          <t>Mark Long</t>
        </is>
      </c>
      <c r="E283" s="8" t="inlineStr">
        <is>
          <t>PRD-0485</t>
        </is>
      </c>
      <c r="F283" s="8" t="inlineStr">
        <is>
          <t>1</t>
        </is>
      </c>
      <c r="G283" s="9" t="n">
        <v>432.36</v>
      </c>
      <c r="H283" s="8" t="inlineStr">
        <is>
          <t>0.0</t>
        </is>
      </c>
      <c r="I283" s="8" t="inlineStr">
        <is>
          <t>Standard Ground</t>
        </is>
      </c>
      <c r="J283" s="8" t="inlineStr">
        <is>
          <t>Affiliate Partner</t>
        </is>
      </c>
      <c r="K283" s="8" t="inlineStr">
        <is>
          <t>REG-NA</t>
        </is>
      </c>
    </row>
    <row r="284">
      <c r="A284" s="8" t="inlineStr">
        <is>
          <t>ORD-000134</t>
        </is>
      </c>
      <c r="B284" s="8" t="inlineStr">
        <is>
          <t>2024-09-08</t>
        </is>
      </c>
      <c r="C284" s="8" t="inlineStr">
        <is>
          <t>CUST-04729</t>
        </is>
      </c>
      <c r="D284" s="8" t="inlineStr">
        <is>
          <t>Scott Johnson</t>
        </is>
      </c>
      <c r="E284" s="8" t="inlineStr">
        <is>
          <t>PRD-0450</t>
        </is>
      </c>
      <c r="F284" s="8" t="inlineStr">
        <is>
          <t>3</t>
        </is>
      </c>
      <c r="G284" s="9" t="n">
        <v>646.8099999999999</v>
      </c>
      <c r="H284" s="8" t="inlineStr">
        <is>
          <t>0.0</t>
        </is>
      </c>
      <c r="I284" s="8" t="inlineStr">
        <is>
          <t>Standard Ground</t>
        </is>
      </c>
      <c r="J284" s="8" t="inlineStr">
        <is>
          <t>Direct Web</t>
        </is>
      </c>
      <c r="K284" s="8" t="inlineStr">
        <is>
          <t>REG-NA</t>
        </is>
      </c>
    </row>
    <row r="285">
      <c r="A285" s="8" t="inlineStr">
        <is>
          <t>ORD-000134</t>
        </is>
      </c>
      <c r="B285" s="8" t="inlineStr">
        <is>
          <t>2024-09-08</t>
        </is>
      </c>
      <c r="C285" s="8" t="inlineStr">
        <is>
          <t>CUST-04729</t>
        </is>
      </c>
      <c r="D285" s="8" t="inlineStr">
        <is>
          <t>Scott Johnson</t>
        </is>
      </c>
      <c r="E285" s="8" t="inlineStr">
        <is>
          <t>PRD-0266</t>
        </is>
      </c>
      <c r="F285" s="8" t="inlineStr">
        <is>
          <t>1</t>
        </is>
      </c>
      <c r="G285" s="9" t="n">
        <v>170.34</v>
      </c>
      <c r="H285" s="8" t="inlineStr">
        <is>
          <t>0.2</t>
        </is>
      </c>
      <c r="I285" s="8" t="inlineStr">
        <is>
          <t>Standard Ground</t>
        </is>
      </c>
      <c r="J285" s="8" t="inlineStr">
        <is>
          <t>Direct Web</t>
        </is>
      </c>
      <c r="K285" s="8" t="inlineStr">
        <is>
          <t>REG-NA</t>
        </is>
      </c>
    </row>
    <row r="286">
      <c r="A286" s="8" t="inlineStr">
        <is>
          <t>ORD-000134</t>
        </is>
      </c>
      <c r="B286" s="8" t="inlineStr">
        <is>
          <t>2024-09-08</t>
        </is>
      </c>
      <c r="C286" s="8" t="inlineStr">
        <is>
          <t>CUST-04729</t>
        </is>
      </c>
      <c r="D286" s="8" t="inlineStr">
        <is>
          <t>Scott Johnson</t>
        </is>
      </c>
      <c r="E286" s="8" t="inlineStr">
        <is>
          <t>PRD-0154</t>
        </is>
      </c>
      <c r="F286" s="8" t="inlineStr">
        <is>
          <t>1</t>
        </is>
      </c>
      <c r="G286" s="9" t="n">
        <v>168.94</v>
      </c>
      <c r="H286" s="8" t="inlineStr">
        <is>
          <t>15%</t>
        </is>
      </c>
      <c r="I286" s="8" t="inlineStr">
        <is>
          <t>Standard Ground</t>
        </is>
      </c>
      <c r="J286" s="8" t="inlineStr">
        <is>
          <t>Direct Web</t>
        </is>
      </c>
      <c r="K286" s="8" t="inlineStr">
        <is>
          <t>REG-NA</t>
        </is>
      </c>
    </row>
    <row r="287">
      <c r="A287" s="8" t="inlineStr">
        <is>
          <t>ORD-000135</t>
        </is>
      </c>
      <c r="B287" s="8" t="inlineStr">
        <is>
          <t>2023-01-22</t>
        </is>
      </c>
      <c r="C287" s="8" t="inlineStr">
        <is>
          <t>CUST-01542</t>
        </is>
      </c>
      <c r="D287" s="8" t="inlineStr">
        <is>
          <t>Samuel Clark</t>
        </is>
      </c>
      <c r="E287" s="8" t="inlineStr">
        <is>
          <t>PRD-0015</t>
        </is>
      </c>
      <c r="F287" s="8" t="inlineStr">
        <is>
          <t>1</t>
        </is>
      </c>
      <c r="G287" s="9" t="n">
        <v>141.71</v>
      </c>
      <c r="H287" s="8" t="inlineStr">
        <is>
          <t>0.0</t>
        </is>
      </c>
      <c r="I287" s="8" t="inlineStr">
        <is>
          <t>Standard Ground</t>
        </is>
      </c>
      <c r="J287" s="8" t="inlineStr">
        <is>
          <t>Direct Web</t>
        </is>
      </c>
      <c r="K287" s="8" t="inlineStr">
        <is>
          <t>REG-EU</t>
        </is>
      </c>
    </row>
    <row r="288">
      <c r="A288" s="8" t="inlineStr">
        <is>
          <t>ORD-000135</t>
        </is>
      </c>
      <c r="B288" s="8" t="inlineStr">
        <is>
          <t>2023-01-22</t>
        </is>
      </c>
      <c r="C288" s="8" t="inlineStr">
        <is>
          <t>CUST-01542</t>
        </is>
      </c>
      <c r="D288" s="8" t="inlineStr">
        <is>
          <t>Samuel Clark</t>
        </is>
      </c>
      <c r="E288" s="8" t="inlineStr">
        <is>
          <t>PRD-0259</t>
        </is>
      </c>
      <c r="F288" s="8" t="inlineStr">
        <is>
          <t>1</t>
        </is>
      </c>
      <c r="G288" s="9" t="n">
        <v>427.15</v>
      </c>
      <c r="H288" s="8" t="inlineStr">
        <is>
          <t>0.0</t>
        </is>
      </c>
      <c r="I288" s="8" t="inlineStr">
        <is>
          <t>Standard Ground</t>
        </is>
      </c>
      <c r="J288" s="8" t="inlineStr">
        <is>
          <t>Direct Web</t>
        </is>
      </c>
      <c r="K288" s="8" t="inlineStr">
        <is>
          <t>REG-EU</t>
        </is>
      </c>
    </row>
    <row r="289">
      <c r="A289" s="8" t="inlineStr">
        <is>
          <t>ORD-000135</t>
        </is>
      </c>
      <c r="B289" s="8" t="inlineStr">
        <is>
          <t>2023-01-22</t>
        </is>
      </c>
      <c r="C289" s="8" t="inlineStr">
        <is>
          <t>CUST-01542</t>
        </is>
      </c>
      <c r="D289" s="8" t="inlineStr">
        <is>
          <t>Samuel Clark</t>
        </is>
      </c>
      <c r="E289" s="8" t="inlineStr">
        <is>
          <t>PRD-0383</t>
        </is>
      </c>
      <c r="F289" s="8" t="inlineStr">
        <is>
          <t>2</t>
        </is>
      </c>
      <c r="G289" s="9" t="n">
        <v>752.8099999999999</v>
      </c>
      <c r="H289" s="8" t="inlineStr">
        <is>
          <t>0.0</t>
        </is>
      </c>
      <c r="I289" s="8" t="inlineStr">
        <is>
          <t>Standard Ground</t>
        </is>
      </c>
      <c r="J289" s="8" t="inlineStr">
        <is>
          <t>Direct Web</t>
        </is>
      </c>
      <c r="K289" s="8" t="inlineStr">
        <is>
          <t>REG-EU</t>
        </is>
      </c>
    </row>
    <row r="290">
      <c r="A290" s="8" t="inlineStr">
        <is>
          <t>ORD-000136</t>
        </is>
      </c>
      <c r="B290" s="8" t="inlineStr">
        <is>
          <t>2024-05-09</t>
        </is>
      </c>
      <c r="C290" s="8" t="inlineStr">
        <is>
          <t>CUST-04247</t>
        </is>
      </c>
      <c r="D290" s="8" t="inlineStr">
        <is>
          <t>Michael Miller</t>
        </is>
      </c>
      <c r="E290" s="8" t="inlineStr">
        <is>
          <t>PRD-0139</t>
        </is>
      </c>
      <c r="F290" s="8" t="inlineStr">
        <is>
          <t>4</t>
        </is>
      </c>
      <c r="G290" s="9" t="n">
        <v>402.87</v>
      </c>
      <c r="H290" s="8" t="inlineStr">
        <is>
          <t>0.05</t>
        </is>
      </c>
      <c r="I290" s="8" t="inlineStr">
        <is>
          <t>Express Air</t>
        </is>
      </c>
      <c r="J290" s="8" t="inlineStr">
        <is>
          <t>Mobile App</t>
        </is>
      </c>
      <c r="K290" s="8" t="inlineStr">
        <is>
          <t>REG-NA</t>
        </is>
      </c>
    </row>
    <row r="291">
      <c r="A291" s="8" t="inlineStr">
        <is>
          <t>ORD-000136</t>
        </is>
      </c>
      <c r="B291" s="8" t="inlineStr">
        <is>
          <t>2024-05-09</t>
        </is>
      </c>
      <c r="C291" s="8" t="inlineStr">
        <is>
          <t>CUST-04247</t>
        </is>
      </c>
      <c r="D291" s="8" t="inlineStr">
        <is>
          <t>Michael Miller</t>
        </is>
      </c>
      <c r="E291" s="8" t="inlineStr">
        <is>
          <t>PRD-0432</t>
        </is>
      </c>
      <c r="F291" s="8" t="inlineStr">
        <is>
          <t>1</t>
        </is>
      </c>
      <c r="G291" s="9" t="n">
        <v>25.28</v>
      </c>
      <c r="H291" s="8" t="inlineStr">
        <is>
          <t>0.05</t>
        </is>
      </c>
      <c r="I291" s="8" t="inlineStr">
        <is>
          <t>Express Air</t>
        </is>
      </c>
      <c r="J291" s="8" t="inlineStr">
        <is>
          <t>Mobile App</t>
        </is>
      </c>
      <c r="K291" s="8" t="inlineStr">
        <is>
          <t>REG-NA</t>
        </is>
      </c>
    </row>
    <row r="292">
      <c r="A292" s="8" t="inlineStr">
        <is>
          <t>ORD-000137</t>
        </is>
      </c>
      <c r="B292" s="8" t="inlineStr">
        <is>
          <t>2025-05-06</t>
        </is>
      </c>
      <c r="C292" s="8" t="inlineStr">
        <is>
          <t>CUST-02734</t>
        </is>
      </c>
      <c r="D292" s="8" t="inlineStr">
        <is>
          <t>Catherine Richardson</t>
        </is>
      </c>
      <c r="E292" s="8" t="inlineStr">
        <is>
          <t>PRD-0284</t>
        </is>
      </c>
      <c r="F292" s="8" t="inlineStr">
        <is>
          <t>3</t>
        </is>
      </c>
      <c r="G292" s="9" t="n">
        <v>621.83</v>
      </c>
      <c r="H292" s="8" t="inlineStr">
        <is>
          <t>0.25</t>
        </is>
      </c>
      <c r="I292" s="8" t="inlineStr">
        <is>
          <t>Same-Day Priority</t>
        </is>
      </c>
      <c r="J292" s="8" t="inlineStr">
        <is>
          <t>Direct Web</t>
        </is>
      </c>
      <c r="K292" s="8" t="inlineStr">
        <is>
          <t>REG-APAC</t>
        </is>
      </c>
    </row>
    <row r="293">
      <c r="A293" s="8" t="inlineStr">
        <is>
          <t>ORD-000138</t>
        </is>
      </c>
      <c r="B293" s="8" t="inlineStr">
        <is>
          <t>2024-03-14</t>
        </is>
      </c>
      <c r="C293" s="8" t="inlineStr">
        <is>
          <t>CUST-03485</t>
        </is>
      </c>
      <c r="D293" s="8" t="inlineStr">
        <is>
          <t>Mary Hernandez</t>
        </is>
      </c>
      <c r="E293" s="8" t="inlineStr">
        <is>
          <t>PRD-0217</t>
        </is>
      </c>
      <c r="F293" s="8" t="inlineStr">
        <is>
          <t>2</t>
        </is>
      </c>
      <c r="G293" s="9" t="n">
        <v>457.08</v>
      </c>
      <c r="H293" s="8" t="inlineStr">
        <is>
          <t>0.15</t>
        </is>
      </c>
      <c r="I293" s="8" t="inlineStr">
        <is>
          <t>Standard Ground</t>
        </is>
      </c>
      <c r="J293" s="8" t="inlineStr">
        <is>
          <t>Mobile App</t>
        </is>
      </c>
      <c r="K293" s="8" t="inlineStr">
        <is>
          <t>REG-APAC</t>
        </is>
      </c>
    </row>
    <row r="294">
      <c r="A294" s="8" t="inlineStr">
        <is>
          <t>ORD-000139</t>
        </is>
      </c>
      <c r="B294" s="8" t="inlineStr">
        <is>
          <t>2024-12-24</t>
        </is>
      </c>
      <c r="C294" s="8" t="inlineStr">
        <is>
          <t>CUST-03512</t>
        </is>
      </c>
      <c r="D294" s="8" t="inlineStr">
        <is>
          <t>Karen Hill</t>
        </is>
      </c>
      <c r="E294" s="8" t="inlineStr">
        <is>
          <t>PRD-0225</t>
        </is>
      </c>
      <c r="F294" s="8" t="inlineStr">
        <is>
          <t>3</t>
        </is>
      </c>
      <c r="G294" s="9" t="n">
        <v>266.58</v>
      </c>
      <c r="H294" s="8" t="inlineStr">
        <is>
          <t>0.1</t>
        </is>
      </c>
      <c r="I294" s="8" t="inlineStr">
        <is>
          <t>Standard Ground</t>
        </is>
      </c>
      <c r="J294" s="8" t="inlineStr">
        <is>
          <t>Direct Web</t>
        </is>
      </c>
      <c r="K294" s="8" t="inlineStr">
        <is>
          <t>REG-EU</t>
        </is>
      </c>
    </row>
    <row r="295">
      <c r="A295" s="8" t="inlineStr">
        <is>
          <t>ORD-000139</t>
        </is>
      </c>
      <c r="B295" s="8" t="inlineStr">
        <is>
          <t>2024-12-24</t>
        </is>
      </c>
      <c r="C295" s="8" t="inlineStr">
        <is>
          <t>CUST-03512</t>
        </is>
      </c>
      <c r="D295" s="8" t="inlineStr">
        <is>
          <t>Karen Hill</t>
        </is>
      </c>
      <c r="E295" s="8" t="inlineStr">
        <is>
          <t>PRD-0132</t>
        </is>
      </c>
      <c r="F295" s="8" t="inlineStr">
        <is>
          <t>1</t>
        </is>
      </c>
      <c r="G295" s="9" t="n">
        <v>792.09</v>
      </c>
      <c r="H295" s="8" t="inlineStr">
        <is>
          <t>0.1</t>
        </is>
      </c>
      <c r="I295" s="8" t="inlineStr">
        <is>
          <t>Standard Ground</t>
        </is>
      </c>
      <c r="J295" s="8" t="inlineStr">
        <is>
          <t>Direct Web</t>
        </is>
      </c>
      <c r="K295" s="8" t="inlineStr">
        <is>
          <t>REG-EU</t>
        </is>
      </c>
    </row>
    <row r="296">
      <c r="A296" s="8" t="inlineStr">
        <is>
          <t>ORD-000140</t>
        </is>
      </c>
      <c r="B296" s="8" t="inlineStr">
        <is>
          <t>2024-02-05</t>
        </is>
      </c>
      <c r="C296" s="8" t="inlineStr">
        <is>
          <t>CUST-06805</t>
        </is>
      </c>
      <c r="D296" s="8" t="inlineStr">
        <is>
          <t>Angela Ortiz</t>
        </is>
      </c>
      <c r="E296" s="8" t="inlineStr">
        <is>
          <t>PRD-0292</t>
        </is>
      </c>
      <c r="F296" s="8" t="inlineStr">
        <is>
          <t>1</t>
        </is>
      </c>
      <c r="G296" s="9" t="n">
        <v>44.76</v>
      </c>
      <c r="H296" s="8" t="inlineStr">
        <is>
          <t>0.05</t>
        </is>
      </c>
      <c r="I296" s="8" t="inlineStr">
        <is>
          <t>Standard Ground</t>
        </is>
      </c>
      <c r="J296" s="8" t="inlineStr">
        <is>
          <t>Mobile App</t>
        </is>
      </c>
      <c r="K296" s="8" t="inlineStr">
        <is>
          <t>REG-NA</t>
        </is>
      </c>
    </row>
    <row r="297">
      <c r="A297" s="8" t="inlineStr">
        <is>
          <t>ORD-000141</t>
        </is>
      </c>
      <c r="B297" s="8" t="inlineStr">
        <is>
          <t>2023-08-23</t>
        </is>
      </c>
      <c r="C297" s="8" t="inlineStr">
        <is>
          <t>CUST-01240</t>
        </is>
      </c>
      <c r="D297" s="8" t="inlineStr">
        <is>
          <t>Christopher Gutierrez</t>
        </is>
      </c>
      <c r="E297" s="8" t="inlineStr">
        <is>
          <t>PRD-0201</t>
        </is>
      </c>
      <c r="F297" s="8" t="inlineStr">
        <is>
          <t>1</t>
        </is>
      </c>
      <c r="G297" s="9" t="n">
        <v>522.37</v>
      </c>
      <c r="H297" s="8" t="inlineStr">
        <is>
          <t>0.0</t>
        </is>
      </c>
      <c r="I297" s="8" t="inlineStr">
        <is>
          <t>Express Air</t>
        </is>
      </c>
      <c r="J297" s="8" t="inlineStr">
        <is>
          <t>Affiliate Partner</t>
        </is>
      </c>
      <c r="K297" s="8" t="inlineStr">
        <is>
          <t>REG-EU</t>
        </is>
      </c>
    </row>
    <row r="298">
      <c r="A298" s="8" t="inlineStr">
        <is>
          <t>ORD-000141</t>
        </is>
      </c>
      <c r="B298" s="8" t="inlineStr">
        <is>
          <t>2023-08-23</t>
        </is>
      </c>
      <c r="C298" s="8" t="inlineStr">
        <is>
          <t>CUST-01240</t>
        </is>
      </c>
      <c r="D298" s="8" t="inlineStr">
        <is>
          <t>Christopher Gutierrez</t>
        </is>
      </c>
      <c r="E298" s="8" t="inlineStr">
        <is>
          <t>PRD-0391</t>
        </is>
      </c>
      <c r="F298" s="8" t="inlineStr">
        <is>
          <t>1</t>
        </is>
      </c>
      <c r="G298" s="9" t="n">
        <v>468.85</v>
      </c>
      <c r="H298" s="8" t="inlineStr">
        <is>
          <t>0.1</t>
        </is>
      </c>
      <c r="I298" s="8" t="inlineStr">
        <is>
          <t>Express Air</t>
        </is>
      </c>
      <c r="J298" s="8" t="inlineStr">
        <is>
          <t>Affiliate Partner</t>
        </is>
      </c>
      <c r="K298" s="8" t="inlineStr">
        <is>
          <t>REG-EU</t>
        </is>
      </c>
    </row>
    <row r="299">
      <c r="A299" s="8" t="inlineStr">
        <is>
          <t>ORD-000142</t>
        </is>
      </c>
      <c r="B299" s="8" t="inlineStr">
        <is>
          <t>2025-11-26</t>
        </is>
      </c>
      <c r="C299" s="8" t="inlineStr">
        <is>
          <t>CUST-06710</t>
        </is>
      </c>
      <c r="D299" s="8" t="inlineStr">
        <is>
          <t>Gary Williams</t>
        </is>
      </c>
      <c r="E299" s="8" t="inlineStr">
        <is>
          <t>PRD-0289</t>
        </is>
      </c>
      <c r="F299" s="8" t="inlineStr">
        <is>
          <t>8</t>
        </is>
      </c>
      <c r="G299" s="9" t="n">
        <v>579.4</v>
      </c>
      <c r="H299" s="8" t="inlineStr">
        <is>
          <t>0.1</t>
        </is>
      </c>
      <c r="I299" s="8" t="inlineStr">
        <is>
          <t>Express Air</t>
        </is>
      </c>
      <c r="J299" s="8" t="inlineStr">
        <is>
          <t>Direct Web</t>
        </is>
      </c>
      <c r="K299" s="8" t="inlineStr">
        <is>
          <t>REG-EU</t>
        </is>
      </c>
    </row>
    <row r="300">
      <c r="A300" s="8" t="inlineStr">
        <is>
          <t>ORD-000142</t>
        </is>
      </c>
      <c r="B300" s="8" t="inlineStr">
        <is>
          <t>2025-11-26</t>
        </is>
      </c>
      <c r="C300" s="8" t="inlineStr">
        <is>
          <t>CUST-06710</t>
        </is>
      </c>
      <c r="D300" s="8" t="inlineStr">
        <is>
          <t>Gary Williams</t>
        </is>
      </c>
      <c r="E300" s="8" t="inlineStr">
        <is>
          <t>PRD-0283</t>
        </is>
      </c>
      <c r="F300" s="8" t="inlineStr">
        <is>
          <t>1</t>
        </is>
      </c>
      <c r="G300" s="9" t="n">
        <v>778.89</v>
      </c>
      <c r="H300" s="8" t="inlineStr">
        <is>
          <t>0.1</t>
        </is>
      </c>
      <c r="I300" s="8" t="inlineStr">
        <is>
          <t>Express Air</t>
        </is>
      </c>
      <c r="J300" s="8" t="inlineStr">
        <is>
          <t>Direct Web</t>
        </is>
      </c>
      <c r="K300" s="8" t="inlineStr">
        <is>
          <t>REG-EU</t>
        </is>
      </c>
    </row>
    <row r="301">
      <c r="A301" s="8" t="inlineStr">
        <is>
          <t>ORD-000143</t>
        </is>
      </c>
      <c r="B301" s="8" t="inlineStr">
        <is>
          <t>2023-12-18</t>
        </is>
      </c>
      <c r="C301" s="8" t="inlineStr">
        <is>
          <t>CUST-02108</t>
        </is>
      </c>
      <c r="D301" s="8" t="inlineStr">
        <is>
          <t>Richard Ramos</t>
        </is>
      </c>
      <c r="E301" s="8" t="inlineStr">
        <is>
          <t>PRD-0026</t>
        </is>
      </c>
      <c r="F301" s="8" t="inlineStr">
        <is>
          <t>1</t>
        </is>
      </c>
      <c r="G301" s="9" t="n">
        <v>469.49</v>
      </c>
      <c r="H301" s="8" t="inlineStr">
        <is>
          <t>0.15</t>
        </is>
      </c>
      <c r="I301" s="8" t="inlineStr">
        <is>
          <t>Express Air</t>
        </is>
      </c>
      <c r="J301" s="8" t="inlineStr">
        <is>
          <t>Direct Web</t>
        </is>
      </c>
      <c r="K301" s="8" t="inlineStr">
        <is>
          <t>REG-EU</t>
        </is>
      </c>
    </row>
    <row r="302">
      <c r="A302" s="8" t="inlineStr">
        <is>
          <t>ORD-000144</t>
        </is>
      </c>
      <c r="B302" s="8" t="inlineStr">
        <is>
          <t>2023-06-28</t>
        </is>
      </c>
      <c r="C302" s="8" t="inlineStr">
        <is>
          <t>CUST-03105</t>
        </is>
      </c>
      <c r="D302" s="8" t="inlineStr">
        <is>
          <t>Rebecca Torres</t>
        </is>
      </c>
      <c r="E302" s="8" t="inlineStr">
        <is>
          <t>PRD-0381</t>
        </is>
      </c>
      <c r="F302" s="8" t="inlineStr">
        <is>
          <t>2</t>
        </is>
      </c>
      <c r="G302" s="9" t="n">
        <v>321.45</v>
      </c>
      <c r="H302" s="8" t="inlineStr">
        <is>
          <t>0.0</t>
        </is>
      </c>
      <c r="I302" s="8" t="inlineStr">
        <is>
          <t>Same-Day Priority</t>
        </is>
      </c>
      <c r="J302" s="8" t="inlineStr">
        <is>
          <t>Mobile App</t>
        </is>
      </c>
      <c r="K302" s="8" t="inlineStr">
        <is>
          <t>REG-NA</t>
        </is>
      </c>
    </row>
    <row r="303">
      <c r="A303" s="8" t="inlineStr">
        <is>
          <t>ORD-000144</t>
        </is>
      </c>
      <c r="B303" s="8" t="inlineStr">
        <is>
          <t>2023-06-28</t>
        </is>
      </c>
      <c r="C303" s="8" t="inlineStr">
        <is>
          <t>CUST-03105</t>
        </is>
      </c>
      <c r="D303" s="8" t="inlineStr">
        <is>
          <t>Rebecca Torres</t>
        </is>
      </c>
      <c r="E303" s="8" t="inlineStr">
        <is>
          <t>PRD-0019</t>
        </is>
      </c>
      <c r="F303" s="8" t="inlineStr">
        <is>
          <t>2</t>
        </is>
      </c>
      <c r="G303" s="9" t="n">
        <v>444.46</v>
      </c>
      <c r="H303" s="8" t="inlineStr">
        <is>
          <t>0.15</t>
        </is>
      </c>
      <c r="I303" s="8" t="inlineStr">
        <is>
          <t>Same-Day Priority</t>
        </is>
      </c>
      <c r="J303" s="8" t="inlineStr">
        <is>
          <t>Mobile App</t>
        </is>
      </c>
      <c r="K303" s="8" t="inlineStr">
        <is>
          <t>REG-NA</t>
        </is>
      </c>
    </row>
    <row r="304">
      <c r="A304" s="8" t="inlineStr">
        <is>
          <t>ORD-000145</t>
        </is>
      </c>
      <c r="B304" s="8" t="inlineStr">
        <is>
          <t>2025-04-05</t>
        </is>
      </c>
      <c r="C304" s="8" t="inlineStr">
        <is>
          <t>CUST-03463</t>
        </is>
      </c>
      <c r="D304" s="8" t="inlineStr">
        <is>
          <t>Justin Rodriguez</t>
        </is>
      </c>
      <c r="E304" s="8" t="inlineStr">
        <is>
          <t>PRD-0157</t>
        </is>
      </c>
      <c r="F304" s="8" t="inlineStr">
        <is>
          <t>2</t>
        </is>
      </c>
      <c r="G304" s="9" t="n">
        <v>227.8</v>
      </c>
      <c r="H304" s="8" t="inlineStr">
        <is>
          <t>0.0</t>
        </is>
      </c>
      <c r="I304" s="8" t="inlineStr">
        <is>
          <t>Standard Ground</t>
        </is>
      </c>
      <c r="J304" s="8" t="inlineStr">
        <is>
          <t>Mobile App</t>
        </is>
      </c>
      <c r="K304" s="8" t="inlineStr">
        <is>
          <t>REG-APAC</t>
        </is>
      </c>
    </row>
    <row r="305">
      <c r="A305" s="8" t="inlineStr">
        <is>
          <t>ORD-000146</t>
        </is>
      </c>
      <c r="B305" s="8" t="inlineStr">
        <is>
          <t>2025-04-19</t>
        </is>
      </c>
      <c r="C305" s="8" t="inlineStr">
        <is>
          <t>CUST-05897</t>
        </is>
      </c>
      <c r="D305" s="8" t="inlineStr">
        <is>
          <t>Melissa Campbell</t>
        </is>
      </c>
      <c r="E305" s="8" t="inlineStr">
        <is>
          <t>PRD-0424</t>
        </is>
      </c>
      <c r="F305" s="8" t="inlineStr">
        <is>
          <t>1</t>
        </is>
      </c>
      <c r="G305" s="9" t="n">
        <v>268.72</v>
      </c>
      <c r="H305" s="8" t="inlineStr">
        <is>
          <t>0.05</t>
        </is>
      </c>
      <c r="I305" s="8" t="inlineStr">
        <is>
          <t>Standard Ground</t>
        </is>
      </c>
      <c r="J305" s="8" t="inlineStr">
        <is>
          <t>Mobile App</t>
        </is>
      </c>
      <c r="K305" s="8" t="inlineStr">
        <is>
          <t>REG-APAC</t>
        </is>
      </c>
    </row>
    <row r="306">
      <c r="A306" s="8" t="inlineStr">
        <is>
          <t>ORD-000146</t>
        </is>
      </c>
      <c r="B306" s="8" t="inlineStr">
        <is>
          <t>2025-04-19</t>
        </is>
      </c>
      <c r="C306" s="8" t="inlineStr">
        <is>
          <t>CUST-05897</t>
        </is>
      </c>
      <c r="D306" s="8" t="inlineStr">
        <is>
          <t>Melissa Campbell</t>
        </is>
      </c>
      <c r="E306" s="8" t="inlineStr">
        <is>
          <t>PRD-0290</t>
        </is>
      </c>
      <c r="F306" s="8" t="inlineStr">
        <is>
          <t>3</t>
        </is>
      </c>
      <c r="G306" s="9" t="n">
        <v>404.49</v>
      </c>
      <c r="H306" s="8" t="inlineStr">
        <is>
          <t>0.0</t>
        </is>
      </c>
      <c r="I306" s="8" t="inlineStr">
        <is>
          <t>Standard Ground</t>
        </is>
      </c>
      <c r="J306" s="8" t="inlineStr">
        <is>
          <t>Mobile App</t>
        </is>
      </c>
      <c r="K306" s="8" t="inlineStr">
        <is>
          <t>REG-APAC</t>
        </is>
      </c>
    </row>
    <row r="307">
      <c r="A307" s="8" t="inlineStr">
        <is>
          <t>ORD-000147</t>
        </is>
      </c>
      <c r="B307" s="8" t="inlineStr">
        <is>
          <t>2023-01-13</t>
        </is>
      </c>
      <c r="C307" s="8" t="inlineStr">
        <is>
          <t>CUST-02345</t>
        </is>
      </c>
      <c r="D307" s="8" t="inlineStr">
        <is>
          <t>William Ward</t>
        </is>
      </c>
      <c r="E307" s="8" t="inlineStr">
        <is>
          <t>PRD-0318</t>
        </is>
      </c>
      <c r="F307" s="8" t="inlineStr">
        <is>
          <t>1</t>
        </is>
      </c>
      <c r="G307" s="9" t="n">
        <v>130.98</v>
      </c>
      <c r="H307" s="8" t="inlineStr">
        <is>
          <t>0.2</t>
        </is>
      </c>
      <c r="I307" s="8" t="inlineStr">
        <is>
          <t>Standard Ground</t>
        </is>
      </c>
      <c r="J307" s="8" t="inlineStr">
        <is>
          <t>B2B Portal</t>
        </is>
      </c>
      <c r="K307" s="8" t="inlineStr">
        <is>
          <t>REG-NA</t>
        </is>
      </c>
    </row>
    <row r="308">
      <c r="A308" s="8" t="inlineStr">
        <is>
          <t>ORD-000147</t>
        </is>
      </c>
      <c r="B308" s="8" t="inlineStr">
        <is>
          <t>2023-01-13</t>
        </is>
      </c>
      <c r="C308" s="8" t="inlineStr">
        <is>
          <t>CUST-02345</t>
        </is>
      </c>
      <c r="D308" s="8" t="inlineStr">
        <is>
          <t>William Ward</t>
        </is>
      </c>
      <c r="E308" s="8" t="inlineStr">
        <is>
          <t>PRD-0201</t>
        </is>
      </c>
      <c r="F308" s="8" t="inlineStr">
        <is>
          <t>1</t>
        </is>
      </c>
      <c r="G308" s="9" t="n">
        <v>522.37</v>
      </c>
      <c r="H308" s="8" t="inlineStr">
        <is>
          <t>0.0</t>
        </is>
      </c>
      <c r="I308" s="8" t="inlineStr">
        <is>
          <t>Standard Ground</t>
        </is>
      </c>
      <c r="J308" s="8" t="inlineStr">
        <is>
          <t>B2B Portal</t>
        </is>
      </c>
      <c r="K308" s="8" t="inlineStr">
        <is>
          <t>REG-NA</t>
        </is>
      </c>
    </row>
    <row r="309">
      <c r="A309" s="8" t="inlineStr">
        <is>
          <t>ORD-000148</t>
        </is>
      </c>
      <c r="B309" s="8" t="inlineStr">
        <is>
          <t>2025-12-29</t>
        </is>
      </c>
      <c r="C309" s="8" t="inlineStr">
        <is>
          <t>CUST-01001</t>
        </is>
      </c>
      <c r="D309" s="8" t="inlineStr">
        <is>
          <t>Ronald Martin</t>
        </is>
      </c>
      <c r="E309" s="8" t="inlineStr">
        <is>
          <t>PRD-0379</t>
        </is>
      </c>
      <c r="F309" s="8" t="inlineStr">
        <is>
          <t>1</t>
        </is>
      </c>
      <c r="G309" s="9" t="n">
        <v>626.4</v>
      </c>
      <c r="H309" s="8" t="inlineStr">
        <is>
          <t>0.15</t>
        </is>
      </c>
      <c r="I309" s="8" t="inlineStr">
        <is>
          <t>Express Air</t>
        </is>
      </c>
      <c r="J309" s="8" t="inlineStr">
        <is>
          <t>Mobile App</t>
        </is>
      </c>
      <c r="K309" s="8" t="inlineStr">
        <is>
          <t>REG-APAC</t>
        </is>
      </c>
    </row>
    <row r="310">
      <c r="A310" s="8" t="inlineStr">
        <is>
          <t>ORD-000148</t>
        </is>
      </c>
      <c r="B310" s="8" t="inlineStr">
        <is>
          <t>2025-12-29</t>
        </is>
      </c>
      <c r="C310" s="8" t="inlineStr">
        <is>
          <t>CUST-01001</t>
        </is>
      </c>
      <c r="D310" s="8" t="inlineStr">
        <is>
          <t>Ronald Martin</t>
        </is>
      </c>
      <c r="E310" s="8" t="inlineStr">
        <is>
          <t>PRD-0487</t>
        </is>
      </c>
      <c r="F310" s="8" t="inlineStr">
        <is>
          <t>3</t>
        </is>
      </c>
      <c r="G310" s="9" t="n">
        <v>183.38</v>
      </c>
      <c r="H310" s="8" t="inlineStr">
        <is>
          <t>0.15</t>
        </is>
      </c>
      <c r="I310" s="8" t="inlineStr">
        <is>
          <t>Express Air</t>
        </is>
      </c>
      <c r="J310" s="8" t="inlineStr">
        <is>
          <t>Mobile App</t>
        </is>
      </c>
      <c r="K310" s="8" t="inlineStr">
        <is>
          <t>REG-APAC</t>
        </is>
      </c>
    </row>
    <row r="311">
      <c r="A311" s="8" t="inlineStr">
        <is>
          <t>ORD-000148</t>
        </is>
      </c>
      <c r="B311" s="8" t="inlineStr">
        <is>
          <t>2025-12-29</t>
        </is>
      </c>
      <c r="C311" s="8" t="inlineStr">
        <is>
          <t>CUST-01001</t>
        </is>
      </c>
      <c r="D311" s="8" t="inlineStr">
        <is>
          <t>Ronald Martin</t>
        </is>
      </c>
      <c r="E311" s="8" t="inlineStr">
        <is>
          <t>PRD-0305</t>
        </is>
      </c>
      <c r="F311" s="8" t="inlineStr">
        <is>
          <t>3</t>
        </is>
      </c>
      <c r="G311" s="9" t="n">
        <v>713.99</v>
      </c>
      <c r="H311" s="8" t="inlineStr">
        <is>
          <t>0.1</t>
        </is>
      </c>
      <c r="I311" s="8" t="inlineStr">
        <is>
          <t>Express Air</t>
        </is>
      </c>
      <c r="J311" s="8" t="inlineStr">
        <is>
          <t>Mobile App</t>
        </is>
      </c>
      <c r="K311" s="8" t="inlineStr">
        <is>
          <t>REG-APAC</t>
        </is>
      </c>
    </row>
    <row r="312">
      <c r="A312" s="8" t="inlineStr">
        <is>
          <t>ORD-000149</t>
        </is>
      </c>
      <c r="B312" s="8" t="inlineStr">
        <is>
          <t>2025-03-27</t>
        </is>
      </c>
      <c r="C312" s="8" t="inlineStr">
        <is>
          <t>CUST-01881</t>
        </is>
      </c>
      <c r="D312" s="8" t="inlineStr">
        <is>
          <t>Michael Roberts</t>
        </is>
      </c>
      <c r="E312" s="8" t="inlineStr">
        <is>
          <t>PRD-0074</t>
        </is>
      </c>
      <c r="F312" s="8" t="inlineStr">
        <is>
          <t>1</t>
        </is>
      </c>
      <c r="G312" s="9" t="n">
        <v>405.95</v>
      </c>
      <c r="H312" s="8" t="inlineStr">
        <is>
          <t>5%</t>
        </is>
      </c>
      <c r="I312" s="8" t="inlineStr">
        <is>
          <t>Standard Ground</t>
        </is>
      </c>
      <c r="J312" s="8" t="inlineStr">
        <is>
          <t>Mobile App</t>
        </is>
      </c>
      <c r="K312" s="8" t="inlineStr">
        <is>
          <t>REG-EU</t>
        </is>
      </c>
    </row>
    <row r="313">
      <c r="A313" s="8" t="inlineStr">
        <is>
          <t>ORD-000149</t>
        </is>
      </c>
      <c r="B313" s="8" t="inlineStr">
        <is>
          <t>2025-03-27</t>
        </is>
      </c>
      <c r="C313" s="8" t="inlineStr">
        <is>
          <t>CUST-01881</t>
        </is>
      </c>
      <c r="D313" s="8" t="inlineStr">
        <is>
          <t>Michael Roberts</t>
        </is>
      </c>
      <c r="E313" s="8" t="inlineStr">
        <is>
          <t>PRD-0024</t>
        </is>
      </c>
      <c r="F313" s="8" t="inlineStr">
        <is>
          <t>1</t>
        </is>
      </c>
      <c r="G313" s="9" t="n">
        <v>45.49</v>
      </c>
      <c r="H313" s="8" t="inlineStr">
        <is>
          <t>0.05</t>
        </is>
      </c>
      <c r="I313" s="8" t="inlineStr">
        <is>
          <t>Standard Ground</t>
        </is>
      </c>
      <c r="J313" s="8" t="inlineStr">
        <is>
          <t>Mobile App</t>
        </is>
      </c>
      <c r="K313" s="8" t="inlineStr">
        <is>
          <t>REG-EU</t>
        </is>
      </c>
    </row>
    <row r="314">
      <c r="A314" s="8" t="inlineStr">
        <is>
          <t>ORD-000149</t>
        </is>
      </c>
      <c r="B314" s="8" t="inlineStr">
        <is>
          <t>2025-03-27</t>
        </is>
      </c>
      <c r="C314" s="8" t="inlineStr">
        <is>
          <t>CUST-01881</t>
        </is>
      </c>
      <c r="D314" s="8" t="inlineStr">
        <is>
          <t>Michael Roberts</t>
        </is>
      </c>
      <c r="E314" s="8" t="inlineStr">
        <is>
          <t>PRD-0040</t>
        </is>
      </c>
      <c r="F314" s="8" t="inlineStr">
        <is>
          <t>1</t>
        </is>
      </c>
      <c r="G314" s="9" t="n">
        <v>28.56</v>
      </c>
      <c r="H314" s="8" t="inlineStr">
        <is>
          <t>0.15</t>
        </is>
      </c>
      <c r="I314" s="8" t="inlineStr">
        <is>
          <t>Standard Ground</t>
        </is>
      </c>
      <c r="J314" s="8" t="inlineStr">
        <is>
          <t>Mobile App</t>
        </is>
      </c>
      <c r="K314" s="8" t="inlineStr">
        <is>
          <t>REG-EU</t>
        </is>
      </c>
    </row>
    <row r="315">
      <c r="A315" s="8" t="inlineStr">
        <is>
          <t>ORD-000149</t>
        </is>
      </c>
      <c r="B315" s="8" t="inlineStr">
        <is>
          <t>2025-03-27</t>
        </is>
      </c>
      <c r="C315" s="8" t="inlineStr">
        <is>
          <t>CUST-01881</t>
        </is>
      </c>
      <c r="D315" s="8" t="inlineStr">
        <is>
          <t>Michael Roberts</t>
        </is>
      </c>
      <c r="E315" s="8" t="inlineStr">
        <is>
          <t>PRD-0431</t>
        </is>
      </c>
      <c r="F315" s="8" t="inlineStr">
        <is>
          <t>3</t>
        </is>
      </c>
      <c r="G315" s="9" t="n">
        <v>205.39</v>
      </c>
      <c r="H315" s="8" t="inlineStr">
        <is>
          <t>0.1</t>
        </is>
      </c>
      <c r="I315" s="8" t="inlineStr">
        <is>
          <t>Standard Ground</t>
        </is>
      </c>
      <c r="J315" s="8" t="inlineStr">
        <is>
          <t>Mobile App</t>
        </is>
      </c>
      <c r="K315" s="8" t="inlineStr">
        <is>
          <t>REG-EU</t>
        </is>
      </c>
    </row>
    <row r="316">
      <c r="A316" s="8" t="inlineStr">
        <is>
          <t>ORD-000149</t>
        </is>
      </c>
      <c r="B316" s="8" t="inlineStr">
        <is>
          <t>2025-03-27</t>
        </is>
      </c>
      <c r="C316" s="8" t="inlineStr">
        <is>
          <t>CUST-01881</t>
        </is>
      </c>
      <c r="D316" s="8" t="inlineStr">
        <is>
          <t>Michael Roberts</t>
        </is>
      </c>
      <c r="E316" s="8" t="inlineStr">
        <is>
          <t>PRD-0452</t>
        </is>
      </c>
      <c r="F316" s="8" t="inlineStr">
        <is>
          <t>1</t>
        </is>
      </c>
      <c r="G316" s="9" t="n">
        <v>52.31</v>
      </c>
      <c r="H316" s="8" t="inlineStr">
        <is>
          <t>0.05</t>
        </is>
      </c>
      <c r="I316" s="8" t="inlineStr">
        <is>
          <t>Standard Ground</t>
        </is>
      </c>
      <c r="J316" s="8" t="inlineStr">
        <is>
          <t>Mobile App</t>
        </is>
      </c>
      <c r="K316" s="8" t="inlineStr">
        <is>
          <t>REG-EU</t>
        </is>
      </c>
    </row>
    <row r="317">
      <c r="A317" s="8" t="inlineStr">
        <is>
          <t>ORD-000150</t>
        </is>
      </c>
      <c r="B317" s="8" t="inlineStr">
        <is>
          <t>2023-05-21</t>
        </is>
      </c>
      <c r="C317" s="8" t="inlineStr">
        <is>
          <t>CUST-07918</t>
        </is>
      </c>
      <c r="D317" s="8" t="inlineStr">
        <is>
          <t>Ronald Evans</t>
        </is>
      </c>
      <c r="E317" s="8" t="inlineStr">
        <is>
          <t>PRD-0386</t>
        </is>
      </c>
      <c r="F317" s="8" t="inlineStr">
        <is>
          <t>5</t>
        </is>
      </c>
      <c r="G317" s="9" t="n">
        <v>339.98</v>
      </c>
      <c r="H317" s="8" t="inlineStr">
        <is>
          <t>0.05</t>
        </is>
      </c>
      <c r="I317" s="8" t="inlineStr">
        <is>
          <t>Standard Ground</t>
        </is>
      </c>
      <c r="J317" s="8" t="inlineStr">
        <is>
          <t>B2B Portal</t>
        </is>
      </c>
      <c r="K317" s="8" t="inlineStr">
        <is>
          <t>REG-EU</t>
        </is>
      </c>
    </row>
    <row r="318">
      <c r="A318" s="8" t="inlineStr">
        <is>
          <t>ORD-000150</t>
        </is>
      </c>
      <c r="B318" s="8" t="inlineStr">
        <is>
          <t>2023-05-21</t>
        </is>
      </c>
      <c r="C318" s="8" t="inlineStr">
        <is>
          <t>CUST-07918</t>
        </is>
      </c>
      <c r="D318" s="8" t="inlineStr">
        <is>
          <t>Ronald Evans</t>
        </is>
      </c>
      <c r="E318" s="8" t="inlineStr">
        <is>
          <t>PRD-0246</t>
        </is>
      </c>
      <c r="F318" s="8" t="inlineStr">
        <is>
          <t>1</t>
        </is>
      </c>
      <c r="G318" s="9" t="n">
        <v>1238.92</v>
      </c>
      <c r="H318" s="8" t="inlineStr">
        <is>
          <t>0.25</t>
        </is>
      </c>
      <c r="I318" s="8" t="inlineStr">
        <is>
          <t>Standard Ground</t>
        </is>
      </c>
      <c r="J318" s="8" t="inlineStr">
        <is>
          <t>B2B Portal</t>
        </is>
      </c>
      <c r="K318" s="8" t="inlineStr">
        <is>
          <t>REG-EU</t>
        </is>
      </c>
    </row>
    <row r="319">
      <c r="A319" s="8" t="inlineStr">
        <is>
          <t>ORD-000151</t>
        </is>
      </c>
      <c r="B319" s="8" t="inlineStr">
        <is>
          <t>2024-07-28</t>
        </is>
      </c>
      <c r="C319" s="8" t="inlineStr">
        <is>
          <t>CUST-07950</t>
        </is>
      </c>
      <c r="D319" s="8" t="inlineStr">
        <is>
          <t>Janet Jackson</t>
        </is>
      </c>
      <c r="E319" s="8" t="inlineStr">
        <is>
          <t>PRD-0028</t>
        </is>
      </c>
      <c r="F319" s="8" t="inlineStr">
        <is>
          <t>1</t>
        </is>
      </c>
      <c r="G319" s="9" t="n">
        <v>832.11</v>
      </c>
      <c r="H319" s="8" t="inlineStr">
        <is>
          <t>0.1</t>
        </is>
      </c>
      <c r="I319" s="8" t="inlineStr">
        <is>
          <t>Standard Ground</t>
        </is>
      </c>
      <c r="J319" s="8" t="inlineStr">
        <is>
          <t>Direct Web</t>
        </is>
      </c>
      <c r="K319" s="8" t="inlineStr">
        <is>
          <t>REG-NA</t>
        </is>
      </c>
    </row>
    <row r="320">
      <c r="A320" s="8" t="inlineStr">
        <is>
          <t>ORD-000152</t>
        </is>
      </c>
      <c r="B320" s="8" t="inlineStr">
        <is>
          <t>2023-12-16</t>
        </is>
      </c>
      <c r="C320" s="8" t="inlineStr">
        <is>
          <t>CUST-04082</t>
        </is>
      </c>
      <c r="D320" s="8" t="inlineStr">
        <is>
          <t xml:space="preserve">  angela reyes  </t>
        </is>
      </c>
      <c r="E320" s="8" t="inlineStr">
        <is>
          <t>PRD-0126</t>
        </is>
      </c>
      <c r="F320" s="8" t="inlineStr">
        <is>
          <t>1</t>
        </is>
      </c>
      <c r="G320" s="9" t="n">
        <v>195.24</v>
      </c>
      <c r="H320" s="8" t="inlineStr">
        <is>
          <t>0.0</t>
        </is>
      </c>
      <c r="I320" s="8" t="inlineStr">
        <is>
          <t>Express Air</t>
        </is>
      </c>
      <c r="J320" s="8" t="inlineStr">
        <is>
          <t>Direct Web</t>
        </is>
      </c>
      <c r="K320" s="8" t="inlineStr">
        <is>
          <t>REG-EU</t>
        </is>
      </c>
    </row>
    <row r="321">
      <c r="A321" s="8" t="inlineStr">
        <is>
          <t>ORD-000152</t>
        </is>
      </c>
      <c r="B321" s="8" t="inlineStr">
        <is>
          <t>2023-12-16</t>
        </is>
      </c>
      <c r="C321" s="8" t="inlineStr">
        <is>
          <t>CUST-04082</t>
        </is>
      </c>
      <c r="D321" s="8" t="inlineStr">
        <is>
          <t xml:space="preserve">  angela reyes  </t>
        </is>
      </c>
      <c r="E321" s="8" t="inlineStr">
        <is>
          <t>PRD-0469</t>
        </is>
      </c>
      <c r="F321" s="8" t="inlineStr">
        <is>
          <t>2</t>
        </is>
      </c>
      <c r="G321" s="9" t="n">
        <v>892.14</v>
      </c>
      <c r="H321" s="8" t="inlineStr">
        <is>
          <t>0.0</t>
        </is>
      </c>
      <c r="I321" s="8" t="inlineStr">
        <is>
          <t>Express Air</t>
        </is>
      </c>
      <c r="J321" s="8" t="inlineStr">
        <is>
          <t>Direct Web</t>
        </is>
      </c>
      <c r="K321" s="8" t="inlineStr">
        <is>
          <t>REG-EU</t>
        </is>
      </c>
    </row>
    <row r="322">
      <c r="A322" s="8" t="inlineStr">
        <is>
          <t>ORD-000152</t>
        </is>
      </c>
      <c r="B322" s="8" t="inlineStr">
        <is>
          <t>2023-12-16</t>
        </is>
      </c>
      <c r="C322" s="8" t="inlineStr">
        <is>
          <t>CUST-04082</t>
        </is>
      </c>
      <c r="D322" s="8" t="inlineStr">
        <is>
          <t xml:space="preserve">  angela reyes  </t>
        </is>
      </c>
      <c r="E322" s="8" t="inlineStr">
        <is>
          <t>PRD-0238</t>
        </is>
      </c>
      <c r="F322" s="8" t="inlineStr">
        <is>
          <t>3</t>
        </is>
      </c>
      <c r="G322" s="9" t="n">
        <v>88.5</v>
      </c>
      <c r="H322" s="8" t="inlineStr">
        <is>
          <t>0.0</t>
        </is>
      </c>
      <c r="I322" s="8" t="inlineStr">
        <is>
          <t>Express Air</t>
        </is>
      </c>
      <c r="J322" s="8" t="inlineStr">
        <is>
          <t>Direct Web</t>
        </is>
      </c>
      <c r="K322" s="8" t="inlineStr">
        <is>
          <t>REG-EU</t>
        </is>
      </c>
    </row>
    <row r="323">
      <c r="A323" s="8" t="inlineStr">
        <is>
          <t>ORD-000152</t>
        </is>
      </c>
      <c r="B323" s="8" t="inlineStr">
        <is>
          <t>2023-12-16</t>
        </is>
      </c>
      <c r="C323" s="8" t="inlineStr">
        <is>
          <t>CUST-04082</t>
        </is>
      </c>
      <c r="D323" s="8" t="inlineStr">
        <is>
          <t xml:space="preserve">  angela reyes  </t>
        </is>
      </c>
      <c r="E323" s="8" t="inlineStr">
        <is>
          <t>PRD-0201</t>
        </is>
      </c>
      <c r="F323" s="8" t="inlineStr">
        <is>
          <t>1</t>
        </is>
      </c>
      <c r="G323" s="9" t="n">
        <v>522.37</v>
      </c>
      <c r="H323" s="8" t="inlineStr">
        <is>
          <t>0.0</t>
        </is>
      </c>
      <c r="I323" s="8" t="inlineStr">
        <is>
          <t>Express Air</t>
        </is>
      </c>
      <c r="J323" s="8" t="inlineStr">
        <is>
          <t>Direct Web</t>
        </is>
      </c>
      <c r="K323" s="8" t="inlineStr">
        <is>
          <t>REG-EU</t>
        </is>
      </c>
    </row>
    <row r="324">
      <c r="A324" s="8" t="inlineStr">
        <is>
          <t>ORD-000153</t>
        </is>
      </c>
      <c r="B324" s="8" t="inlineStr">
        <is>
          <t>2025-08-19</t>
        </is>
      </c>
      <c r="C324" s="8" t="inlineStr">
        <is>
          <t>CUST-04109</t>
        </is>
      </c>
      <c r="D324" s="8" t="inlineStr">
        <is>
          <t>Justin Robinson</t>
        </is>
      </c>
      <c r="E324" s="8" t="inlineStr">
        <is>
          <t>PRD-0013</t>
        </is>
      </c>
      <c r="F324" s="8" t="inlineStr">
        <is>
          <t>1</t>
        </is>
      </c>
      <c r="G324" s="9" t="n">
        <v>990.85</v>
      </c>
      <c r="H324" s="8" t="inlineStr">
        <is>
          <t>0.0</t>
        </is>
      </c>
      <c r="I324" s="8" t="inlineStr">
        <is>
          <t>Standard Ground</t>
        </is>
      </c>
      <c r="J324" s="8" t="inlineStr">
        <is>
          <t>Direct Web</t>
        </is>
      </c>
      <c r="K324" s="8" t="inlineStr">
        <is>
          <t>REG-EU</t>
        </is>
      </c>
    </row>
    <row r="325">
      <c r="A325" s="8" t="inlineStr">
        <is>
          <t>ORD-000154</t>
        </is>
      </c>
      <c r="B325" s="8" t="inlineStr">
        <is>
          <t>2025-01-31</t>
        </is>
      </c>
      <c r="C325" s="8" t="inlineStr">
        <is>
          <t>CUST-07231</t>
        </is>
      </c>
      <c r="D325" s="8" t="inlineStr">
        <is>
          <t>Raymond Thompson</t>
        </is>
      </c>
      <c r="E325" s="8" t="inlineStr">
        <is>
          <t>PRD-0358</t>
        </is>
      </c>
      <c r="F325" s="8" t="inlineStr">
        <is>
          <t>1</t>
        </is>
      </c>
      <c r="G325" s="9" t="n">
        <v>795.41</v>
      </c>
      <c r="H325" s="8" t="inlineStr">
        <is>
          <t>0.0</t>
        </is>
      </c>
      <c r="I325" s="8" t="inlineStr">
        <is>
          <t>Same-Day Priority</t>
        </is>
      </c>
      <c r="J325" s="8" t="inlineStr">
        <is>
          <t>Direct Web</t>
        </is>
      </c>
      <c r="K325" s="8" t="inlineStr">
        <is>
          <t>REG-EU</t>
        </is>
      </c>
    </row>
    <row r="326">
      <c r="A326" s="8" t="inlineStr">
        <is>
          <t>ORD-000154</t>
        </is>
      </c>
      <c r="B326" s="8" t="inlineStr">
        <is>
          <t>2025-01-31</t>
        </is>
      </c>
      <c r="C326" s="8" t="inlineStr">
        <is>
          <t>CUST-07231</t>
        </is>
      </c>
      <c r="D326" s="8" t="inlineStr">
        <is>
          <t>Raymond Thompson</t>
        </is>
      </c>
      <c r="E326" s="8" t="inlineStr">
        <is>
          <t>PRD-0243</t>
        </is>
      </c>
      <c r="F326" s="8" t="inlineStr">
        <is>
          <t>2</t>
        </is>
      </c>
      <c r="G326" s="9" t="n">
        <v>510.81</v>
      </c>
      <c r="H326" s="8" t="inlineStr">
        <is>
          <t>0.15</t>
        </is>
      </c>
      <c r="I326" s="8" t="inlineStr">
        <is>
          <t>Same-Day Priority</t>
        </is>
      </c>
      <c r="J326" s="8" t="inlineStr">
        <is>
          <t>Direct Web</t>
        </is>
      </c>
      <c r="K326" s="8" t="inlineStr">
        <is>
          <t>REG-EU</t>
        </is>
      </c>
    </row>
    <row r="327">
      <c r="A327" s="8" t="inlineStr">
        <is>
          <t>ORD-000154</t>
        </is>
      </c>
      <c r="B327" s="8" t="inlineStr">
        <is>
          <t>2025-01-31</t>
        </is>
      </c>
      <c r="C327" s="8" t="inlineStr">
        <is>
          <t>CUST-07231</t>
        </is>
      </c>
      <c r="D327" s="8" t="inlineStr">
        <is>
          <t>Raymond Thompson</t>
        </is>
      </c>
      <c r="E327" s="8" t="inlineStr">
        <is>
          <t>PRD-0088</t>
        </is>
      </c>
      <c r="F327" s="8" t="inlineStr">
        <is>
          <t>2</t>
        </is>
      </c>
      <c r="G327" s="9" t="n">
        <v>952.03</v>
      </c>
      <c r="H327" s="8" t="inlineStr">
        <is>
          <t>0.15</t>
        </is>
      </c>
      <c r="I327" s="8" t="inlineStr">
        <is>
          <t>Same-Day Priority</t>
        </is>
      </c>
      <c r="J327" s="8" t="inlineStr">
        <is>
          <t>Direct Web</t>
        </is>
      </c>
      <c r="K327" s="8" t="inlineStr">
        <is>
          <t>REG-EU</t>
        </is>
      </c>
    </row>
    <row r="328">
      <c r="A328" s="8" t="inlineStr">
        <is>
          <t>ORD-000155</t>
        </is>
      </c>
      <c r="B328" s="8" t="inlineStr">
        <is>
          <t>2024-11-18</t>
        </is>
      </c>
      <c r="C328" s="8" t="inlineStr">
        <is>
          <t>CUST-03511</t>
        </is>
      </c>
      <c r="D328" s="8" t="inlineStr">
        <is>
          <t>Karen Gray</t>
        </is>
      </c>
      <c r="E328" s="8" t="inlineStr">
        <is>
          <t>PRD-0223</t>
        </is>
      </c>
      <c r="F328" s="8" t="inlineStr">
        <is>
          <t>1</t>
        </is>
      </c>
      <c r="G328" s="9" t="n">
        <v>31.04</v>
      </c>
      <c r="H328" s="8" t="inlineStr">
        <is>
          <t>0.05</t>
        </is>
      </c>
      <c r="I328" s="8" t="inlineStr">
        <is>
          <t>Standard Ground</t>
        </is>
      </c>
      <c r="J328" s="8" t="inlineStr">
        <is>
          <t>Mobile App</t>
        </is>
      </c>
      <c r="K328" s="8" t="inlineStr">
        <is>
          <t>REG-APAC</t>
        </is>
      </c>
    </row>
    <row r="329">
      <c r="A329" s="8" t="inlineStr">
        <is>
          <t>ORD-000155</t>
        </is>
      </c>
      <c r="B329" s="8" t="inlineStr">
        <is>
          <t>2024-11-18</t>
        </is>
      </c>
      <c r="C329" s="8" t="inlineStr">
        <is>
          <t>CUST-03511</t>
        </is>
      </c>
      <c r="D329" s="8" t="inlineStr">
        <is>
          <t>Karen Gray</t>
        </is>
      </c>
      <c r="E329" s="8" t="inlineStr">
        <is>
          <t>PRD-0451</t>
        </is>
      </c>
      <c r="F329" s="8" t="inlineStr">
        <is>
          <t>1</t>
        </is>
      </c>
      <c r="G329" s="9" t="n">
        <v>664.9400000000001</v>
      </c>
      <c r="H329" s="8" t="inlineStr">
        <is>
          <t>0.05</t>
        </is>
      </c>
      <c r="I329" s="8" t="inlineStr">
        <is>
          <t>Standard Ground</t>
        </is>
      </c>
      <c r="J329" s="8" t="inlineStr">
        <is>
          <t>Mobile App</t>
        </is>
      </c>
      <c r="K329" s="8" t="inlineStr">
        <is>
          <t>REG-APAC</t>
        </is>
      </c>
    </row>
    <row r="330">
      <c r="A330" s="8" t="inlineStr">
        <is>
          <t>ORD-000155</t>
        </is>
      </c>
      <c r="B330" s="8" t="inlineStr">
        <is>
          <t>2024-11-18</t>
        </is>
      </c>
      <c r="C330" s="8" t="inlineStr">
        <is>
          <t>CUST-03511</t>
        </is>
      </c>
      <c r="D330" s="8" t="inlineStr">
        <is>
          <t>Karen Gray</t>
        </is>
      </c>
      <c r="E330" s="8" t="inlineStr">
        <is>
          <t>PRD-0255</t>
        </is>
      </c>
      <c r="F330" s="8" t="inlineStr">
        <is>
          <t>1</t>
        </is>
      </c>
      <c r="G330" s="9" t="n">
        <v>151.28</v>
      </c>
      <c r="H330" s="8" t="inlineStr">
        <is>
          <t>0.05</t>
        </is>
      </c>
      <c r="I330" s="8" t="inlineStr">
        <is>
          <t>Standard Ground</t>
        </is>
      </c>
      <c r="J330" s="8" t="inlineStr">
        <is>
          <t>Mobile App</t>
        </is>
      </c>
      <c r="K330" s="8" t="inlineStr">
        <is>
          <t>REG-APAC</t>
        </is>
      </c>
    </row>
    <row r="331">
      <c r="A331" s="8" t="inlineStr">
        <is>
          <t>ORD-000156</t>
        </is>
      </c>
      <c r="B331" s="8" t="inlineStr">
        <is>
          <t>2024-04-14</t>
        </is>
      </c>
      <c r="C331" s="8" t="inlineStr">
        <is>
          <t>CUST-05395</t>
        </is>
      </c>
      <c r="D331" s="8" t="inlineStr">
        <is>
          <t>Matthew Diaz</t>
        </is>
      </c>
      <c r="E331" s="8" t="inlineStr">
        <is>
          <t>PRD-0364</t>
        </is>
      </c>
      <c r="F331" s="8" t="inlineStr">
        <is>
          <t>2</t>
        </is>
      </c>
      <c r="G331" s="9" t="n">
        <v>1083.88</v>
      </c>
      <c r="H331" s="8" t="inlineStr">
        <is>
          <t>0.2</t>
        </is>
      </c>
      <c r="I331" s="8" t="inlineStr">
        <is>
          <t>Standard Ground</t>
        </is>
      </c>
      <c r="J331" s="8" t="inlineStr">
        <is>
          <t>Mobile App</t>
        </is>
      </c>
      <c r="K331" s="8" t="inlineStr">
        <is>
          <t>REG-APAC</t>
        </is>
      </c>
    </row>
    <row r="332">
      <c r="A332" s="8" t="inlineStr">
        <is>
          <t>ORD-000156</t>
        </is>
      </c>
      <c r="B332" s="8" t="inlineStr">
        <is>
          <t>2024-04-14</t>
        </is>
      </c>
      <c r="C332" s="8" t="inlineStr">
        <is>
          <t>CUST-05395</t>
        </is>
      </c>
      <c r="D332" s="8" t="inlineStr">
        <is>
          <t>Matthew Diaz</t>
        </is>
      </c>
      <c r="E332" s="8" t="inlineStr">
        <is>
          <t>PRD-0164</t>
        </is>
      </c>
      <c r="F332" s="8" t="inlineStr">
        <is>
          <t>-2</t>
        </is>
      </c>
      <c r="G332" s="9" t="n">
        <v>729.88</v>
      </c>
      <c r="H332" s="8" t="inlineStr">
        <is>
          <t>0.15</t>
        </is>
      </c>
      <c r="I332" s="8" t="inlineStr">
        <is>
          <t>Standard Ground</t>
        </is>
      </c>
      <c r="J332" s="8" t="inlineStr">
        <is>
          <t>Mobile App</t>
        </is>
      </c>
      <c r="K332" s="8" t="inlineStr">
        <is>
          <t>REG-APAC</t>
        </is>
      </c>
    </row>
    <row r="333">
      <c r="A333" s="8" t="inlineStr">
        <is>
          <t>ORD-000156</t>
        </is>
      </c>
      <c r="B333" s="8" t="inlineStr">
        <is>
          <t>2024-04-14</t>
        </is>
      </c>
      <c r="C333" s="8" t="inlineStr">
        <is>
          <t>CUST-05395</t>
        </is>
      </c>
      <c r="D333" s="8" t="inlineStr">
        <is>
          <t>Matthew Diaz</t>
        </is>
      </c>
      <c r="E333" s="8" t="inlineStr">
        <is>
          <t>PRD-0384</t>
        </is>
      </c>
      <c r="F333" s="8" t="inlineStr">
        <is>
          <t>2</t>
        </is>
      </c>
      <c r="G333" s="9" t="n">
        <v>68.18000000000001</v>
      </c>
      <c r="H333" s="8" t="inlineStr">
        <is>
          <t>0.05</t>
        </is>
      </c>
      <c r="I333" s="8" t="inlineStr">
        <is>
          <t>Standard Ground</t>
        </is>
      </c>
      <c r="J333" s="8" t="inlineStr">
        <is>
          <t>Mobile App</t>
        </is>
      </c>
      <c r="K333" s="8" t="inlineStr">
        <is>
          <t>REG-APAC</t>
        </is>
      </c>
    </row>
    <row r="334">
      <c r="A334" s="8" t="inlineStr">
        <is>
          <t>ORD-000157</t>
        </is>
      </c>
      <c r="B334" s="8" t="inlineStr">
        <is>
          <t>2024-04-05</t>
        </is>
      </c>
      <c r="C334" s="8" t="inlineStr">
        <is>
          <t>CUST-01481</t>
        </is>
      </c>
      <c r="D334" s="8" t="inlineStr">
        <is>
          <t>Jennifer Torres</t>
        </is>
      </c>
      <c r="E334" s="8" t="inlineStr">
        <is>
          <t>PRD-0292</t>
        </is>
      </c>
      <c r="F334" s="8" t="inlineStr">
        <is>
          <t>1</t>
        </is>
      </c>
      <c r="G334" s="9" t="n">
        <v>44.76</v>
      </c>
      <c r="H334" s="8" t="inlineStr">
        <is>
          <t>0.05</t>
        </is>
      </c>
      <c r="I334" s="8" t="inlineStr">
        <is>
          <t>Express Air</t>
        </is>
      </c>
      <c r="J334" s="8" t="inlineStr">
        <is>
          <t>Direct Web</t>
        </is>
      </c>
      <c r="K334" s="8" t="inlineStr">
        <is>
          <t>REG-APAC</t>
        </is>
      </c>
    </row>
    <row r="335">
      <c r="A335" s="8" t="inlineStr">
        <is>
          <t>ORD-000158</t>
        </is>
      </c>
      <c r="B335" s="8" t="inlineStr">
        <is>
          <t>2024-05-01</t>
        </is>
      </c>
      <c r="C335" s="8" t="inlineStr">
        <is>
          <t>CUST-00023</t>
        </is>
      </c>
      <c r="D335" s="8" t="inlineStr">
        <is>
          <t xml:space="preserve">  jerry hall  </t>
        </is>
      </c>
      <c r="E335" s="8" t="inlineStr">
        <is>
          <t>PRD-0146</t>
        </is>
      </c>
      <c r="F335" s="8" t="inlineStr">
        <is>
          <t>1</t>
        </is>
      </c>
      <c r="G335" s="9" t="n">
        <v>195.73</v>
      </c>
      <c r="H335" s="8" t="inlineStr">
        <is>
          <t>0.0</t>
        </is>
      </c>
      <c r="I335" s="8" t="inlineStr">
        <is>
          <t>Express Air</t>
        </is>
      </c>
      <c r="J335" s="8" t="inlineStr">
        <is>
          <t>Mobile App</t>
        </is>
      </c>
      <c r="K335" s="8" t="inlineStr">
        <is>
          <t>REG-NA</t>
        </is>
      </c>
    </row>
    <row r="336">
      <c r="A336" s="8" t="inlineStr">
        <is>
          <t>ORD-000159</t>
        </is>
      </c>
      <c r="B336" s="8" t="inlineStr">
        <is>
          <t>2025-08-30</t>
        </is>
      </c>
      <c r="C336" s="8" t="inlineStr">
        <is>
          <t>CUST-05275</t>
        </is>
      </c>
      <c r="D336" s="8" t="inlineStr">
        <is>
          <t>Matthew Sanders</t>
        </is>
      </c>
      <c r="E336" s="8" t="inlineStr">
        <is>
          <t>PRD-0312</t>
        </is>
      </c>
      <c r="F336" s="8" t="inlineStr">
        <is>
          <t>1</t>
        </is>
      </c>
      <c r="G336" s="9" t="n">
        <v>59.31</v>
      </c>
      <c r="H336" s="8" t="inlineStr">
        <is>
          <t>0.1</t>
        </is>
      </c>
      <c r="I336" s="8" t="inlineStr">
        <is>
          <t>Express Air</t>
        </is>
      </c>
      <c r="J336" s="8" t="inlineStr">
        <is>
          <t>Direct Web</t>
        </is>
      </c>
      <c r="K336" s="8" t="inlineStr">
        <is>
          <t>REG-NA</t>
        </is>
      </c>
    </row>
    <row r="337">
      <c r="A337" s="8" t="inlineStr">
        <is>
          <t>ORD-000160</t>
        </is>
      </c>
      <c r="B337" s="8" t="inlineStr">
        <is>
          <t>2025-03-19</t>
        </is>
      </c>
      <c r="C337" s="8" t="inlineStr">
        <is>
          <t>CUST-02855</t>
        </is>
      </c>
      <c r="D337" s="8" t="inlineStr">
        <is>
          <t>Susan Murphy</t>
        </is>
      </c>
      <c r="E337" s="8" t="inlineStr">
        <is>
          <t>PRD-0087</t>
        </is>
      </c>
      <c r="F337" s="8" t="inlineStr">
        <is>
          <t>1</t>
        </is>
      </c>
      <c r="G337" s="9" t="n">
        <v>1103.24</v>
      </c>
      <c r="H337" s="8" t="inlineStr">
        <is>
          <t>0.05</t>
        </is>
      </c>
      <c r="I337" s="8" t="inlineStr">
        <is>
          <t>Standard Ground</t>
        </is>
      </c>
      <c r="J337" s="8" t="inlineStr">
        <is>
          <t>Mobile App</t>
        </is>
      </c>
      <c r="K337" s="8" t="inlineStr">
        <is>
          <t>REG-EU</t>
        </is>
      </c>
    </row>
    <row r="338">
      <c r="A338" s="8" t="inlineStr">
        <is>
          <t>ORD-000160</t>
        </is>
      </c>
      <c r="B338" s="8" t="inlineStr">
        <is>
          <t>2025-03-19</t>
        </is>
      </c>
      <c r="C338" s="8" t="inlineStr">
        <is>
          <t>CUST-02855</t>
        </is>
      </c>
      <c r="D338" s="8" t="inlineStr">
        <is>
          <t>Susan Murphy</t>
        </is>
      </c>
      <c r="E338" s="8" t="inlineStr">
        <is>
          <t>PRD-0450</t>
        </is>
      </c>
      <c r="F338" s="8" t="inlineStr">
        <is>
          <t>1</t>
        </is>
      </c>
      <c r="G338" s="9" t="n">
        <v>646.8099999999999</v>
      </c>
      <c r="H338" s="8" t="inlineStr">
        <is>
          <t>0.05</t>
        </is>
      </c>
      <c r="I338" s="8" t="inlineStr">
        <is>
          <t>Standard Ground</t>
        </is>
      </c>
      <c r="J338" s="8" t="inlineStr">
        <is>
          <t>Mobile App</t>
        </is>
      </c>
      <c r="K338" s="8" t="inlineStr">
        <is>
          <t>REG-EU</t>
        </is>
      </c>
    </row>
    <row r="339">
      <c r="A339" s="8" t="inlineStr">
        <is>
          <t>ORD-000161</t>
        </is>
      </c>
      <c r="B339" s="8" t="inlineStr">
        <is>
          <t>2023-11-05</t>
        </is>
      </c>
      <c r="C339" s="8" t="inlineStr">
        <is>
          <t>CUST-07509</t>
        </is>
      </c>
      <c r="D339" s="8" t="inlineStr">
        <is>
          <t>Elizabeth Price</t>
        </is>
      </c>
      <c r="E339" s="8" t="inlineStr">
        <is>
          <t>PRD-0132</t>
        </is>
      </c>
      <c r="F339" s="8" t="inlineStr">
        <is>
          <t>1</t>
        </is>
      </c>
      <c r="G339" s="9" t="n">
        <v>792.09</v>
      </c>
      <c r="H339" s="8" t="inlineStr">
        <is>
          <t>0.15</t>
        </is>
      </c>
      <c r="I339" s="8" t="inlineStr">
        <is>
          <t>Standard Ground</t>
        </is>
      </c>
      <c r="J339" s="8" t="inlineStr">
        <is>
          <t>B2B Portal</t>
        </is>
      </c>
      <c r="K339" s="8" t="inlineStr">
        <is>
          <t>REG-NA</t>
        </is>
      </c>
    </row>
    <row r="340">
      <c r="A340" s="8" t="inlineStr">
        <is>
          <t>ORD-000161</t>
        </is>
      </c>
      <c r="B340" s="8" t="inlineStr">
        <is>
          <t>2023-11-05</t>
        </is>
      </c>
      <c r="C340" s="8" t="inlineStr">
        <is>
          <t>CUST-07509</t>
        </is>
      </c>
      <c r="D340" s="8" t="inlineStr">
        <is>
          <t>Elizabeth Price</t>
        </is>
      </c>
      <c r="E340" s="8" t="inlineStr">
        <is>
          <t>PRD-0185</t>
        </is>
      </c>
      <c r="F340" s="8" t="inlineStr">
        <is>
          <t>4</t>
        </is>
      </c>
      <c r="G340" s="9" t="n">
        <v>1296.57</v>
      </c>
      <c r="H340" s="8" t="inlineStr">
        <is>
          <t>0.05</t>
        </is>
      </c>
      <c r="I340" s="8" t="inlineStr">
        <is>
          <t>Standard Ground</t>
        </is>
      </c>
      <c r="J340" s="8" t="inlineStr">
        <is>
          <t>B2B Portal</t>
        </is>
      </c>
      <c r="K340" s="8" t="inlineStr">
        <is>
          <t>REG-NA</t>
        </is>
      </c>
    </row>
    <row r="341">
      <c r="A341" s="8" t="inlineStr">
        <is>
          <t>ORD-000162</t>
        </is>
      </c>
      <c r="B341" s="8" t="inlineStr">
        <is>
          <t>2025-06-04</t>
        </is>
      </c>
      <c r="C341" s="8" t="inlineStr">
        <is>
          <t>CUST-01392</t>
        </is>
      </c>
      <c r="D341" s="8" t="inlineStr">
        <is>
          <t>Thomas Garcia</t>
        </is>
      </c>
      <c r="E341" s="8" t="inlineStr">
        <is>
          <t>PRD-0227</t>
        </is>
      </c>
      <c r="F341" s="8" t="inlineStr">
        <is>
          <t>4</t>
        </is>
      </c>
      <c r="G341" s="9" t="n">
        <v>56.13</v>
      </c>
      <c r="H341" s="8" t="inlineStr">
        <is>
          <t>0.0</t>
        </is>
      </c>
      <c r="I341" s="8" t="inlineStr">
        <is>
          <t>Express Air</t>
        </is>
      </c>
      <c r="J341" s="8" t="inlineStr">
        <is>
          <t>Direct Web</t>
        </is>
      </c>
      <c r="K341" s="8" t="inlineStr">
        <is>
          <t>REG-NA</t>
        </is>
      </c>
    </row>
    <row r="342">
      <c r="A342" s="8" t="inlineStr">
        <is>
          <t>ORD-000163</t>
        </is>
      </c>
      <c r="B342" s="8" t="inlineStr">
        <is>
          <t>2023-01-25</t>
        </is>
      </c>
      <c r="C342" s="8" t="inlineStr">
        <is>
          <t>CUST-07043</t>
        </is>
      </c>
      <c r="D342" s="8" t="inlineStr">
        <is>
          <t>Alexander Murphy</t>
        </is>
      </c>
      <c r="E342" s="8" t="inlineStr">
        <is>
          <t>PRD-0289</t>
        </is>
      </c>
      <c r="F342" s="8" t="inlineStr">
        <is>
          <t>1</t>
        </is>
      </c>
      <c r="G342" s="9" t="n">
        <v>579.4</v>
      </c>
      <c r="H342" s="8" t="inlineStr">
        <is>
          <t>0.0</t>
        </is>
      </c>
      <c r="I342" s="8" t="inlineStr">
        <is>
          <t>Express Air</t>
        </is>
      </c>
      <c r="J342" s="8" t="inlineStr">
        <is>
          <t>Mobile App</t>
        </is>
      </c>
      <c r="K342" s="8" t="inlineStr">
        <is>
          <t>REG-NA</t>
        </is>
      </c>
    </row>
    <row r="343">
      <c r="A343" s="8" t="inlineStr">
        <is>
          <t>ORD-000164</t>
        </is>
      </c>
      <c r="B343" s="8" t="inlineStr">
        <is>
          <t>2023-03-14</t>
        </is>
      </c>
      <c r="C343" s="8" t="inlineStr">
        <is>
          <t>CUST-00714</t>
        </is>
      </c>
      <c r="D343" s="8" t="inlineStr">
        <is>
          <t>Justin Campbell</t>
        </is>
      </c>
      <c r="E343" s="8" t="inlineStr">
        <is>
          <t>PRD-0104</t>
        </is>
      </c>
      <c r="F343" s="8" t="inlineStr">
        <is>
          <t>1</t>
        </is>
      </c>
      <c r="G343" s="9" t="n">
        <v>17.28</v>
      </c>
      <c r="H343" s="8" t="inlineStr">
        <is>
          <t>0.0</t>
        </is>
      </c>
      <c r="I343" s="8" t="inlineStr">
        <is>
          <t>Standard Ground</t>
        </is>
      </c>
      <c r="J343" s="8" t="inlineStr">
        <is>
          <t>Direct Web</t>
        </is>
      </c>
      <c r="K343" s="8" t="inlineStr">
        <is>
          <t>REG-NA</t>
        </is>
      </c>
    </row>
    <row r="344">
      <c r="A344" s="8" t="inlineStr">
        <is>
          <t>ORD-000164</t>
        </is>
      </c>
      <c r="B344" s="8" t="inlineStr">
        <is>
          <t>2023-03-14</t>
        </is>
      </c>
      <c r="C344" s="8" t="inlineStr">
        <is>
          <t>CUST-00714</t>
        </is>
      </c>
      <c r="D344" s="8" t="inlineStr">
        <is>
          <t>Justin Campbell</t>
        </is>
      </c>
      <c r="E344" s="8" t="inlineStr">
        <is>
          <t>PRD-0125</t>
        </is>
      </c>
      <c r="F344" s="8" t="inlineStr">
        <is>
          <t>4</t>
        </is>
      </c>
      <c r="G344" s="9" t="n">
        <v>1389.75</v>
      </c>
      <c r="H344" s="8" t="inlineStr">
        <is>
          <t>10%</t>
        </is>
      </c>
      <c r="I344" s="8" t="inlineStr">
        <is>
          <t>Standard Ground</t>
        </is>
      </c>
      <c r="J344" s="8" t="inlineStr">
        <is>
          <t>Direct Web</t>
        </is>
      </c>
      <c r="K344" s="8" t="inlineStr">
        <is>
          <t>REG-NA</t>
        </is>
      </c>
    </row>
    <row r="345">
      <c r="A345" s="8" t="inlineStr">
        <is>
          <t>ORD-000164</t>
        </is>
      </c>
      <c r="B345" s="8" t="inlineStr">
        <is>
          <t>2023-03-14</t>
        </is>
      </c>
      <c r="C345" s="8" t="inlineStr">
        <is>
          <t>CUST-00714</t>
        </is>
      </c>
      <c r="D345" s="8" t="inlineStr">
        <is>
          <t>Justin Campbell</t>
        </is>
      </c>
      <c r="E345" s="8" t="inlineStr">
        <is>
          <t>PRD-0098</t>
        </is>
      </c>
      <c r="F345" s="8" t="inlineStr">
        <is>
          <t>3</t>
        </is>
      </c>
      <c r="G345" s="9" t="n">
        <v>100.75</v>
      </c>
      <c r="H345" s="8" t="inlineStr">
        <is>
          <t>0.05</t>
        </is>
      </c>
      <c r="I345" s="8" t="inlineStr">
        <is>
          <t>Standard Ground</t>
        </is>
      </c>
      <c r="J345" s="8" t="inlineStr">
        <is>
          <t>Direct Web</t>
        </is>
      </c>
      <c r="K345" s="8" t="inlineStr">
        <is>
          <t>REG-NA</t>
        </is>
      </c>
    </row>
    <row r="346">
      <c r="A346" s="8" t="inlineStr">
        <is>
          <t>ORD-000165</t>
        </is>
      </c>
      <c r="B346" s="8" t="inlineStr">
        <is>
          <t>2023-05-20</t>
        </is>
      </c>
      <c r="C346" s="8" t="inlineStr">
        <is>
          <t>CUST-07173</t>
        </is>
      </c>
      <c r="D346" s="8" t="inlineStr">
        <is>
          <t>Anna Patel</t>
        </is>
      </c>
      <c r="E346" s="8" t="inlineStr">
        <is>
          <t>PRD-0211</t>
        </is>
      </c>
      <c r="F346" s="8" t="inlineStr">
        <is>
          <t>2</t>
        </is>
      </c>
      <c r="G346" s="9" t="n">
        <v>28.2</v>
      </c>
      <c r="H346" s="8" t="inlineStr">
        <is>
          <t>0.0</t>
        </is>
      </c>
      <c r="I346" s="8" t="inlineStr">
        <is>
          <t>Same-Day Priority</t>
        </is>
      </c>
      <c r="J346" s="8" t="inlineStr">
        <is>
          <t>Mobile App</t>
        </is>
      </c>
      <c r="K346" s="8" t="inlineStr">
        <is>
          <t>REG-EU</t>
        </is>
      </c>
    </row>
    <row r="347">
      <c r="A347" s="8" t="inlineStr">
        <is>
          <t>ORD-000165</t>
        </is>
      </c>
      <c r="B347" s="8" t="inlineStr">
        <is>
          <t>2023-05-20</t>
        </is>
      </c>
      <c r="C347" s="8" t="inlineStr">
        <is>
          <t>CUST-07173</t>
        </is>
      </c>
      <c r="D347" s="8" t="inlineStr">
        <is>
          <t>Anna Patel</t>
        </is>
      </c>
      <c r="E347" s="8" t="inlineStr">
        <is>
          <t>PRD-0199</t>
        </is>
      </c>
      <c r="F347" s="8" t="inlineStr">
        <is>
          <t>1</t>
        </is>
      </c>
      <c r="G347" s="9" t="n">
        <v>484.59</v>
      </c>
      <c r="H347" s="8" t="inlineStr">
        <is>
          <t>0.15</t>
        </is>
      </c>
      <c r="I347" s="8" t="inlineStr">
        <is>
          <t>Same-Day Priority</t>
        </is>
      </c>
      <c r="J347" s="8" t="inlineStr">
        <is>
          <t>Mobile App</t>
        </is>
      </c>
      <c r="K347" s="8" t="inlineStr">
        <is>
          <t>REG-EU</t>
        </is>
      </c>
    </row>
    <row r="348">
      <c r="A348" s="8" t="inlineStr">
        <is>
          <t>ORD-000166</t>
        </is>
      </c>
      <c r="B348" s="8" t="inlineStr">
        <is>
          <t>2023-07-02</t>
        </is>
      </c>
      <c r="C348" s="8" t="inlineStr">
        <is>
          <t>CUST-04556</t>
        </is>
      </c>
      <c r="D348" s="8" t="inlineStr">
        <is>
          <t xml:space="preserve">  donna jackson  </t>
        </is>
      </c>
      <c r="E348" s="8" t="inlineStr">
        <is>
          <t>PRD-0016</t>
        </is>
      </c>
      <c r="F348" s="8" t="inlineStr">
        <is>
          <t>2</t>
        </is>
      </c>
      <c r="G348" s="9" t="n">
        <v>160.4</v>
      </c>
      <c r="H348" s="8" t="inlineStr">
        <is>
          <t>0.0</t>
        </is>
      </c>
      <c r="I348" s="8" t="inlineStr">
        <is>
          <t>Standard Ground</t>
        </is>
      </c>
      <c r="J348" s="8" t="inlineStr">
        <is>
          <t>Direct Web</t>
        </is>
      </c>
      <c r="K348" s="8" t="inlineStr">
        <is>
          <t>REG-NA</t>
        </is>
      </c>
    </row>
    <row r="349">
      <c r="A349" s="8" t="inlineStr">
        <is>
          <t>ORD-000166</t>
        </is>
      </c>
      <c r="B349" s="8" t="inlineStr">
        <is>
          <t>2023-07-02</t>
        </is>
      </c>
      <c r="C349" s="8" t="inlineStr">
        <is>
          <t>CUST-04556</t>
        </is>
      </c>
      <c r="D349" s="8" t="inlineStr">
        <is>
          <t xml:space="preserve">  donna jackson  </t>
        </is>
      </c>
      <c r="E349" s="8" t="inlineStr">
        <is>
          <t>PRD-0465</t>
        </is>
      </c>
      <c r="F349" s="8" t="inlineStr">
        <is>
          <t>1</t>
        </is>
      </c>
      <c r="G349" s="9" t="n">
        <v>36.72</v>
      </c>
      <c r="H349" s="8" t="inlineStr">
        <is>
          <t>0.1</t>
        </is>
      </c>
      <c r="I349" s="8" t="inlineStr">
        <is>
          <t>Standard Ground</t>
        </is>
      </c>
      <c r="J349" s="8" t="inlineStr">
        <is>
          <t>Direct Web</t>
        </is>
      </c>
      <c r="K349" s="8" t="inlineStr">
        <is>
          <t>REG-NA</t>
        </is>
      </c>
    </row>
    <row r="350">
      <c r="A350" s="8" t="inlineStr">
        <is>
          <t>ORD-000166</t>
        </is>
      </c>
      <c r="B350" s="8" t="inlineStr">
        <is>
          <t>2023-07-02</t>
        </is>
      </c>
      <c r="C350" s="8" t="inlineStr">
        <is>
          <t>CUST-04556</t>
        </is>
      </c>
      <c r="D350" s="8" t="inlineStr">
        <is>
          <t xml:space="preserve">  donna jackson  </t>
        </is>
      </c>
      <c r="E350" s="8" t="inlineStr">
        <is>
          <t>PRD-0315</t>
        </is>
      </c>
      <c r="F350" s="8" t="inlineStr">
        <is>
          <t>1</t>
        </is>
      </c>
      <c r="G350" s="9" t="n">
        <v>916</v>
      </c>
      <c r="H350" s="8" t="inlineStr">
        <is>
          <t>0.0</t>
        </is>
      </c>
      <c r="I350" s="8" t="inlineStr">
        <is>
          <t>Standard Ground</t>
        </is>
      </c>
      <c r="J350" s="8" t="inlineStr">
        <is>
          <t>Direct Web</t>
        </is>
      </c>
      <c r="K350" s="8" t="inlineStr">
        <is>
          <t>REG-NA</t>
        </is>
      </c>
    </row>
    <row r="351">
      <c r="A351" s="8" t="inlineStr">
        <is>
          <t>ORD-000166</t>
        </is>
      </c>
      <c r="B351" s="8" t="inlineStr">
        <is>
          <t>2023-07-02</t>
        </is>
      </c>
      <c r="C351" s="8" t="inlineStr">
        <is>
          <t>CUST-04556</t>
        </is>
      </c>
      <c r="D351" s="8" t="inlineStr">
        <is>
          <t xml:space="preserve">  donna jackson  </t>
        </is>
      </c>
      <c r="E351" s="8" t="inlineStr">
        <is>
          <t>PRD-0407</t>
        </is>
      </c>
      <c r="F351" s="8" t="inlineStr">
        <is>
          <t>1</t>
        </is>
      </c>
      <c r="G351" s="9" t="n">
        <v>515.9299999999999</v>
      </c>
      <c r="H351" s="8" t="inlineStr">
        <is>
          <t>0.15</t>
        </is>
      </c>
      <c r="I351" s="8" t="inlineStr">
        <is>
          <t>Standard Ground</t>
        </is>
      </c>
      <c r="J351" s="8" t="inlineStr">
        <is>
          <t>Direct Web</t>
        </is>
      </c>
      <c r="K351" s="8" t="inlineStr">
        <is>
          <t>REG-NA</t>
        </is>
      </c>
    </row>
    <row r="352">
      <c r="A352" s="8" t="inlineStr">
        <is>
          <t>ORD-000167</t>
        </is>
      </c>
      <c r="B352" s="8" t="inlineStr">
        <is>
          <t>2025-09-06</t>
        </is>
      </c>
      <c r="C352" s="8" t="inlineStr">
        <is>
          <t>CUST-06119</t>
        </is>
      </c>
      <c r="D352" s="8" t="inlineStr">
        <is>
          <t>Margaret Cox</t>
        </is>
      </c>
      <c r="E352" s="8" t="inlineStr">
        <is>
          <t>PRD-0278</t>
        </is>
      </c>
      <c r="F352" s="8" t="inlineStr">
        <is>
          <t>1</t>
        </is>
      </c>
      <c r="G352" s="9" t="n">
        <v>1176.56</v>
      </c>
      <c r="H352" s="8" t="inlineStr">
        <is>
          <t>0.1</t>
        </is>
      </c>
      <c r="I352" s="8" t="inlineStr">
        <is>
          <t>Standard Ground</t>
        </is>
      </c>
      <c r="J352" s="8" t="inlineStr">
        <is>
          <t>Mobile App</t>
        </is>
      </c>
      <c r="K352" s="8" t="inlineStr">
        <is>
          <t>REG-EU</t>
        </is>
      </c>
    </row>
    <row r="353">
      <c r="A353" s="8" t="inlineStr">
        <is>
          <t>ORD-000168</t>
        </is>
      </c>
      <c r="B353" s="8" t="inlineStr">
        <is>
          <t>2025-08-22</t>
        </is>
      </c>
      <c r="C353" s="8" t="inlineStr">
        <is>
          <t>CUST-05981</t>
        </is>
      </c>
      <c r="D353" s="8" t="inlineStr">
        <is>
          <t>Daniel Collins</t>
        </is>
      </c>
      <c r="E353" s="8" t="inlineStr">
        <is>
          <t>PRD-0051</t>
        </is>
      </c>
      <c r="F353" s="8" t="inlineStr">
        <is>
          <t>1</t>
        </is>
      </c>
      <c r="G353" s="9" t="n">
        <v>896.46</v>
      </c>
      <c r="H353" s="8" t="inlineStr">
        <is>
          <t>0.15</t>
        </is>
      </c>
      <c r="I353" s="8" t="inlineStr">
        <is>
          <t>Standard Ground</t>
        </is>
      </c>
      <c r="J353" s="8" t="inlineStr">
        <is>
          <t>B2B Portal</t>
        </is>
      </c>
      <c r="K353" s="8" t="inlineStr">
        <is>
          <t>REG-NA</t>
        </is>
      </c>
    </row>
    <row r="354">
      <c r="A354" s="8" t="inlineStr">
        <is>
          <t>ORD-000169</t>
        </is>
      </c>
      <c r="B354" s="8" t="inlineStr">
        <is>
          <t>2025-09-11</t>
        </is>
      </c>
      <c r="C354" s="8" t="inlineStr">
        <is>
          <t>CUST-02091</t>
        </is>
      </c>
      <c r="D354" s="8" t="inlineStr">
        <is>
          <t>Jack King</t>
        </is>
      </c>
      <c r="E354" s="8" t="inlineStr">
        <is>
          <t>PRD-0285</t>
        </is>
      </c>
      <c r="F354" s="8" t="inlineStr">
        <is>
          <t>1</t>
        </is>
      </c>
      <c r="G354" s="9" t="n">
        <v>269.59</v>
      </c>
      <c r="H354" s="8" t="inlineStr">
        <is>
          <t>0.15</t>
        </is>
      </c>
      <c r="I354" s="8" t="inlineStr">
        <is>
          <t>Standard Ground</t>
        </is>
      </c>
      <c r="J354" s="8" t="inlineStr">
        <is>
          <t>Mobile App</t>
        </is>
      </c>
      <c r="K354" s="8" t="inlineStr">
        <is>
          <t>REG-EU</t>
        </is>
      </c>
    </row>
    <row r="355">
      <c r="A355" s="8" t="inlineStr">
        <is>
          <t>ORD-000169</t>
        </is>
      </c>
      <c r="B355" s="8" t="inlineStr">
        <is>
          <t>2025-09-11</t>
        </is>
      </c>
      <c r="C355" s="8" t="inlineStr">
        <is>
          <t>CUST-02091</t>
        </is>
      </c>
      <c r="D355" s="8" t="inlineStr">
        <is>
          <t>Jack King</t>
        </is>
      </c>
      <c r="E355" s="8" t="inlineStr">
        <is>
          <t>PRD-0341</t>
        </is>
      </c>
      <c r="F355" s="8" t="inlineStr">
        <is>
          <t>8</t>
        </is>
      </c>
      <c r="G355" s="9" t="n">
        <v>26.88</v>
      </c>
      <c r="H355" s="8" t="inlineStr">
        <is>
          <t>0.15</t>
        </is>
      </c>
      <c r="I355" s="8" t="inlineStr">
        <is>
          <t>Standard Ground</t>
        </is>
      </c>
      <c r="J355" s="8" t="inlineStr">
        <is>
          <t>Mobile App</t>
        </is>
      </c>
      <c r="K355" s="8" t="inlineStr">
        <is>
          <t>REG-EU</t>
        </is>
      </c>
    </row>
    <row r="356">
      <c r="A356" s="8" t="inlineStr">
        <is>
          <t>ORD-000169</t>
        </is>
      </c>
      <c r="B356" s="8" t="inlineStr">
        <is>
          <t>2025-09-11</t>
        </is>
      </c>
      <c r="C356" s="8" t="inlineStr">
        <is>
          <t>CUST-02091</t>
        </is>
      </c>
      <c r="D356" s="8" t="inlineStr">
        <is>
          <t>Jack King</t>
        </is>
      </c>
      <c r="E356" s="8" t="inlineStr">
        <is>
          <t>PRD-0264</t>
        </is>
      </c>
      <c r="F356" s="8" t="inlineStr">
        <is>
          <t>1</t>
        </is>
      </c>
      <c r="G356" s="9" t="n">
        <v>705.08</v>
      </c>
      <c r="H356" s="8" t="inlineStr">
        <is>
          <t>0.0</t>
        </is>
      </c>
      <c r="I356" s="8" t="inlineStr">
        <is>
          <t>Standard Ground</t>
        </is>
      </c>
      <c r="J356" s="8" t="inlineStr">
        <is>
          <t>Mobile App</t>
        </is>
      </c>
      <c r="K356" s="8" t="inlineStr">
        <is>
          <t>REG-EU</t>
        </is>
      </c>
    </row>
    <row r="357">
      <c r="A357" s="8" t="inlineStr">
        <is>
          <t>ORD-000169</t>
        </is>
      </c>
      <c r="B357" s="8" t="inlineStr">
        <is>
          <t>2025-09-11</t>
        </is>
      </c>
      <c r="C357" s="8" t="inlineStr">
        <is>
          <t>CUST-02091</t>
        </is>
      </c>
      <c r="D357" s="8" t="inlineStr">
        <is>
          <t>Jack King</t>
        </is>
      </c>
      <c r="E357" s="8" t="inlineStr">
        <is>
          <t>PRD-0452</t>
        </is>
      </c>
      <c r="F357" s="8" t="inlineStr">
        <is>
          <t>3</t>
        </is>
      </c>
      <c r="G357" s="9" t="n">
        <v>52.31</v>
      </c>
      <c r="H357" s="8" t="inlineStr">
        <is>
          <t>0.2</t>
        </is>
      </c>
      <c r="I357" s="8" t="inlineStr">
        <is>
          <t>Standard Ground</t>
        </is>
      </c>
      <c r="J357" s="8" t="inlineStr">
        <is>
          <t>Mobile App</t>
        </is>
      </c>
      <c r="K357" s="8" t="inlineStr">
        <is>
          <t>REG-EU</t>
        </is>
      </c>
    </row>
    <row r="358">
      <c r="A358" s="8" t="inlineStr">
        <is>
          <t>ORD-000169</t>
        </is>
      </c>
      <c r="B358" s="8" t="inlineStr">
        <is>
          <t>2025-09-11</t>
        </is>
      </c>
      <c r="C358" s="8" t="inlineStr">
        <is>
          <t>CUST-02091</t>
        </is>
      </c>
      <c r="D358" s="8" t="inlineStr">
        <is>
          <t>Jack King</t>
        </is>
      </c>
      <c r="E358" s="8" t="inlineStr">
        <is>
          <t>PRD-0407</t>
        </is>
      </c>
      <c r="F358" s="8" t="inlineStr">
        <is>
          <t>2</t>
        </is>
      </c>
      <c r="G358" s="9" t="n">
        <v>515.9299999999999</v>
      </c>
      <c r="H358" s="8" t="inlineStr">
        <is>
          <t>0.0</t>
        </is>
      </c>
      <c r="I358" s="8" t="inlineStr">
        <is>
          <t>Standard Ground</t>
        </is>
      </c>
      <c r="J358" s="8" t="inlineStr">
        <is>
          <t>Mobile App</t>
        </is>
      </c>
      <c r="K358" s="8" t="inlineStr">
        <is>
          <t>REG-EU</t>
        </is>
      </c>
    </row>
    <row r="359">
      <c r="A359" s="8" t="inlineStr">
        <is>
          <t>ORD-000170</t>
        </is>
      </c>
      <c r="B359" s="8" t="inlineStr">
        <is>
          <t>2025-04-15</t>
        </is>
      </c>
      <c r="C359" s="8" t="inlineStr">
        <is>
          <t>CUST-06997</t>
        </is>
      </c>
      <c r="D359" s="8" t="inlineStr">
        <is>
          <t>Rebecca Johnson</t>
        </is>
      </c>
      <c r="E359" s="8" t="inlineStr">
        <is>
          <t>PRD-0454</t>
        </is>
      </c>
      <c r="F359" s="8" t="inlineStr">
        <is>
          <t>3</t>
        </is>
      </c>
      <c r="G359" s="9" t="n">
        <v>745.9400000000001</v>
      </c>
      <c r="H359" s="8" t="inlineStr">
        <is>
          <t>0.1</t>
        </is>
      </c>
      <c r="I359" s="8" t="inlineStr">
        <is>
          <t>Standard Ground</t>
        </is>
      </c>
      <c r="J359" s="8" t="inlineStr">
        <is>
          <t>Mobile App</t>
        </is>
      </c>
      <c r="K359" s="8" t="inlineStr">
        <is>
          <t>REG-APAC</t>
        </is>
      </c>
    </row>
    <row r="360">
      <c r="A360" s="8" t="inlineStr">
        <is>
          <t>ORD-000171</t>
        </is>
      </c>
      <c r="B360" s="8" t="inlineStr">
        <is>
          <t>2024-08-08</t>
        </is>
      </c>
      <c r="C360" s="8" t="inlineStr">
        <is>
          <t>CUST-06623</t>
        </is>
      </c>
      <c r="D360" s="8" t="inlineStr">
        <is>
          <t>Stephen Torres</t>
        </is>
      </c>
      <c r="E360" s="8" t="inlineStr">
        <is>
          <t>PRD-0302</t>
        </is>
      </c>
      <c r="F360" s="8" t="inlineStr">
        <is>
          <t>1</t>
        </is>
      </c>
      <c r="G360" s="9" t="n">
        <v>51.82</v>
      </c>
      <c r="H360" s="8" t="inlineStr">
        <is>
          <t>0.0</t>
        </is>
      </c>
      <c r="I360" s="8" t="inlineStr">
        <is>
          <t>Express Air</t>
        </is>
      </c>
      <c r="J360" s="8" t="inlineStr">
        <is>
          <t>B2B Portal</t>
        </is>
      </c>
      <c r="K360" s="8" t="inlineStr">
        <is>
          <t>REG-NA</t>
        </is>
      </c>
    </row>
    <row r="361">
      <c r="A361" s="8" t="inlineStr">
        <is>
          <t>ORD-000172</t>
        </is>
      </c>
      <c r="B361" s="8" t="inlineStr">
        <is>
          <t>2023-12-31</t>
        </is>
      </c>
      <c r="C361" s="8" t="inlineStr">
        <is>
          <t>CUST-00236</t>
        </is>
      </c>
      <c r="D361" s="8" t="inlineStr">
        <is>
          <t>Benjamin Ross</t>
        </is>
      </c>
      <c r="E361" s="8" t="inlineStr">
        <is>
          <t>PRD-0051</t>
        </is>
      </c>
      <c r="F361" s="8" t="inlineStr">
        <is>
          <t>3</t>
        </is>
      </c>
      <c r="G361" s="9" t="n">
        <v>896.46</v>
      </c>
      <c r="H361" s="8" t="inlineStr">
        <is>
          <t>0.1</t>
        </is>
      </c>
      <c r="I361" s="8" t="inlineStr">
        <is>
          <t>Express Air</t>
        </is>
      </c>
      <c r="J361" s="8" t="inlineStr">
        <is>
          <t>Direct Web</t>
        </is>
      </c>
      <c r="K361" s="8" t="inlineStr">
        <is>
          <t>REG-NA</t>
        </is>
      </c>
    </row>
    <row r="362">
      <c r="A362" s="8" t="inlineStr">
        <is>
          <t>ORD-000172</t>
        </is>
      </c>
      <c r="B362" s="8" t="inlineStr">
        <is>
          <t>2023-12-31</t>
        </is>
      </c>
      <c r="C362" s="8" t="inlineStr">
        <is>
          <t>CUST-00236</t>
        </is>
      </c>
      <c r="D362" s="8" t="inlineStr">
        <is>
          <t>Benjamin Ross</t>
        </is>
      </c>
      <c r="E362" s="8" t="inlineStr">
        <is>
          <t>PRD-0187</t>
        </is>
      </c>
      <c r="F362" s="8" t="inlineStr">
        <is>
          <t>1</t>
        </is>
      </c>
      <c r="G362" s="9" t="n">
        <v>777.1799999999999</v>
      </c>
      <c r="H362" s="8" t="inlineStr">
        <is>
          <t>0.1</t>
        </is>
      </c>
      <c r="I362" s="8" t="inlineStr">
        <is>
          <t>Express Air</t>
        </is>
      </c>
      <c r="J362" s="8" t="inlineStr">
        <is>
          <t>Direct Web</t>
        </is>
      </c>
      <c r="K362" s="8" t="inlineStr">
        <is>
          <t>REG-NA</t>
        </is>
      </c>
    </row>
    <row r="363">
      <c r="A363" s="8" t="inlineStr">
        <is>
          <t>ORD-000172</t>
        </is>
      </c>
      <c r="B363" s="8" t="inlineStr">
        <is>
          <t>2023-12-31</t>
        </is>
      </c>
      <c r="C363" s="8" t="inlineStr">
        <is>
          <t>CUST-00236</t>
        </is>
      </c>
      <c r="D363" s="8" t="inlineStr">
        <is>
          <t>Benjamin Ross</t>
        </is>
      </c>
      <c r="E363" s="8" t="inlineStr">
        <is>
          <t>PRD-0107</t>
        </is>
      </c>
      <c r="F363" s="8" t="inlineStr">
        <is>
          <t>1</t>
        </is>
      </c>
      <c r="G363" s="9" t="n">
        <v>754.95</v>
      </c>
      <c r="H363" s="8" t="inlineStr">
        <is>
          <t>0.0</t>
        </is>
      </c>
      <c r="I363" s="8" t="inlineStr">
        <is>
          <t>Express Air</t>
        </is>
      </c>
      <c r="J363" s="8" t="inlineStr">
        <is>
          <t>Direct Web</t>
        </is>
      </c>
      <c r="K363" s="8" t="inlineStr">
        <is>
          <t>REG-NA</t>
        </is>
      </c>
    </row>
    <row r="364">
      <c r="A364" s="8" t="inlineStr">
        <is>
          <t>ORD-000173</t>
        </is>
      </c>
      <c r="B364" s="8" t="inlineStr">
        <is>
          <t>2025-07-04</t>
        </is>
      </c>
      <c r="C364" s="8" t="inlineStr">
        <is>
          <t>CUST-04275</t>
        </is>
      </c>
      <c r="D364" s="8" t="inlineStr">
        <is>
          <t>Gary Ramirez</t>
        </is>
      </c>
      <c r="E364" s="8" t="inlineStr">
        <is>
          <t>PRD-0151</t>
        </is>
      </c>
      <c r="F364" s="8" t="inlineStr">
        <is>
          <t>1</t>
        </is>
      </c>
      <c r="G364" s="9" t="n">
        <v>643.51</v>
      </c>
      <c r="H364" s="8" t="inlineStr">
        <is>
          <t>0.0</t>
        </is>
      </c>
      <c r="I364" s="8" t="inlineStr">
        <is>
          <t>Standard Ground</t>
        </is>
      </c>
      <c r="J364" s="8" t="inlineStr">
        <is>
          <t>Affiliate Partner</t>
        </is>
      </c>
      <c r="K364" s="8" t="inlineStr">
        <is>
          <t>REG-LATAM</t>
        </is>
      </c>
    </row>
    <row r="365">
      <c r="A365" s="8" t="inlineStr">
        <is>
          <t>ORD-000173</t>
        </is>
      </c>
      <c r="B365" s="8" t="inlineStr">
        <is>
          <t>2025-07-04</t>
        </is>
      </c>
      <c r="C365" s="8" t="inlineStr">
        <is>
          <t>CUST-04275</t>
        </is>
      </c>
      <c r="D365" s="8" t="inlineStr">
        <is>
          <t>Gary Ramirez</t>
        </is>
      </c>
      <c r="E365" s="8" t="inlineStr">
        <is>
          <t>PRD-0453</t>
        </is>
      </c>
      <c r="F365" s="8" t="inlineStr">
        <is>
          <t>1</t>
        </is>
      </c>
      <c r="G365" s="9" t="n">
        <v>54.92</v>
      </c>
      <c r="H365" s="8" t="inlineStr">
        <is>
          <t>0.25</t>
        </is>
      </c>
      <c r="I365" s="8" t="inlineStr">
        <is>
          <t>Standard Ground</t>
        </is>
      </c>
      <c r="J365" s="8" t="inlineStr">
        <is>
          <t>Affiliate Partner</t>
        </is>
      </c>
      <c r="K365" s="8" t="inlineStr">
        <is>
          <t>REG-LATAM</t>
        </is>
      </c>
    </row>
    <row r="366">
      <c r="A366" s="8" t="inlineStr">
        <is>
          <t>ORD-000174</t>
        </is>
      </c>
      <c r="B366" s="8" t="inlineStr">
        <is>
          <t>2025-12-09</t>
        </is>
      </c>
      <c r="C366" s="8" t="inlineStr">
        <is>
          <t>CUST-04260</t>
        </is>
      </c>
      <c r="D366" s="8" t="inlineStr">
        <is>
          <t>Amanda Walker</t>
        </is>
      </c>
      <c r="E366" s="8" t="inlineStr">
        <is>
          <t>PRD-0132</t>
        </is>
      </c>
      <c r="F366" s="8" t="inlineStr">
        <is>
          <t>2</t>
        </is>
      </c>
      <c r="G366" s="9" t="n">
        <v>792.09</v>
      </c>
      <c r="H366" s="8" t="inlineStr">
        <is>
          <t>0.0</t>
        </is>
      </c>
      <c r="I366" s="8" t="inlineStr">
        <is>
          <t>Standard Ground</t>
        </is>
      </c>
      <c r="J366" s="8" t="inlineStr">
        <is>
          <t>B2B Portal</t>
        </is>
      </c>
      <c r="K366" s="8" t="inlineStr">
        <is>
          <t>REG-NA</t>
        </is>
      </c>
    </row>
    <row r="367">
      <c r="A367" s="8" t="inlineStr">
        <is>
          <t>ORD-000174</t>
        </is>
      </c>
      <c r="B367" s="8" t="inlineStr">
        <is>
          <t>2025-12-09</t>
        </is>
      </c>
      <c r="C367" s="8" t="inlineStr">
        <is>
          <t>CUST-04260</t>
        </is>
      </c>
      <c r="D367" s="8" t="inlineStr">
        <is>
          <t>Amanda Walker</t>
        </is>
      </c>
      <c r="E367" s="8" t="inlineStr">
        <is>
          <t>PRD-0042</t>
        </is>
      </c>
      <c r="F367" s="8" t="inlineStr">
        <is>
          <t>1</t>
        </is>
      </c>
      <c r="G367" s="9" t="n">
        <v>758.99</v>
      </c>
      <c r="H367" s="8" t="inlineStr">
        <is>
          <t>0.1</t>
        </is>
      </c>
      <c r="I367" s="8" t="inlineStr">
        <is>
          <t>Standard Ground</t>
        </is>
      </c>
      <c r="J367" s="8" t="inlineStr">
        <is>
          <t>B2B Portal</t>
        </is>
      </c>
      <c r="K367" s="8" t="inlineStr">
        <is>
          <t>REG-NA</t>
        </is>
      </c>
    </row>
    <row r="368">
      <c r="A368" s="8" t="inlineStr">
        <is>
          <t>ORD-000175</t>
        </is>
      </c>
      <c r="B368" s="8" t="inlineStr">
        <is>
          <t>2023-07-16</t>
        </is>
      </c>
      <c r="C368" s="8" t="inlineStr">
        <is>
          <t>CUST-06161</t>
        </is>
      </c>
      <c r="D368" s="8" t="inlineStr">
        <is>
          <t>Justin Morgan</t>
        </is>
      </c>
      <c r="E368" s="8" t="inlineStr">
        <is>
          <t>PRD-0197</t>
        </is>
      </c>
      <c r="F368" s="8" t="inlineStr">
        <is>
          <t>1</t>
        </is>
      </c>
      <c r="G368" s="9" t="n">
        <v>810.85</v>
      </c>
      <c r="H368" s="8" t="inlineStr">
        <is>
          <t>0.05</t>
        </is>
      </c>
      <c r="I368" s="8" t="inlineStr">
        <is>
          <t>Standard Ground</t>
        </is>
      </c>
      <c r="J368" s="8" t="inlineStr">
        <is>
          <t>Affiliate Partner</t>
        </is>
      </c>
      <c r="K368" s="8" t="inlineStr">
        <is>
          <t>REG-NA</t>
        </is>
      </c>
    </row>
    <row r="369">
      <c r="A369" s="8" t="inlineStr">
        <is>
          <t>ORD-000175</t>
        </is>
      </c>
      <c r="B369" s="8" t="inlineStr">
        <is>
          <t>2023-07-16</t>
        </is>
      </c>
      <c r="C369" s="8" t="inlineStr">
        <is>
          <t>CUST-06161</t>
        </is>
      </c>
      <c r="D369" s="8" t="inlineStr">
        <is>
          <t>Justin Morgan</t>
        </is>
      </c>
      <c r="E369" s="8" t="inlineStr">
        <is>
          <t>PRD-0007</t>
        </is>
      </c>
      <c r="F369" s="8" t="inlineStr">
        <is>
          <t>1</t>
        </is>
      </c>
      <c r="G369" s="9" t="n">
        <v>254.43</v>
      </c>
      <c r="H369" s="8" t="inlineStr">
        <is>
          <t>0.05</t>
        </is>
      </c>
      <c r="I369" s="8" t="inlineStr">
        <is>
          <t>Standard Ground</t>
        </is>
      </c>
      <c r="J369" s="8" t="inlineStr">
        <is>
          <t>Affiliate Partner</t>
        </is>
      </c>
      <c r="K369" s="8" t="inlineStr">
        <is>
          <t>REG-NA</t>
        </is>
      </c>
    </row>
    <row r="370">
      <c r="A370" s="8" t="inlineStr">
        <is>
          <t>ORD-000176</t>
        </is>
      </c>
      <c r="B370" s="8" t="inlineStr">
        <is>
          <t>2025-11-15</t>
        </is>
      </c>
      <c r="C370" s="8" t="inlineStr">
        <is>
          <t>CUST-02793</t>
        </is>
      </c>
      <c r="D370" s="8" t="inlineStr">
        <is>
          <t>John Morris</t>
        </is>
      </c>
      <c r="E370" s="8" t="inlineStr">
        <is>
          <t>PRD-0312</t>
        </is>
      </c>
      <c r="F370" s="8" t="inlineStr">
        <is>
          <t>2</t>
        </is>
      </c>
      <c r="G370" s="9" t="n">
        <v>59.31</v>
      </c>
      <c r="H370" s="8" t="inlineStr">
        <is>
          <t>0.15</t>
        </is>
      </c>
      <c r="I370" s="8" t="inlineStr">
        <is>
          <t>Express Air</t>
        </is>
      </c>
      <c r="J370" s="8" t="inlineStr">
        <is>
          <t>Mobile App</t>
        </is>
      </c>
      <c r="K370" s="8" t="inlineStr">
        <is>
          <t>REG-NA</t>
        </is>
      </c>
    </row>
    <row r="371">
      <c r="A371" s="8" t="inlineStr">
        <is>
          <t>ORD-000177</t>
        </is>
      </c>
      <c r="B371" s="8" t="inlineStr">
        <is>
          <t>2024-07-03</t>
        </is>
      </c>
      <c r="C371" s="8" t="inlineStr">
        <is>
          <t>CUST-02412</t>
        </is>
      </c>
      <c r="D371" s="8" t="inlineStr">
        <is>
          <t xml:space="preserve">  alexander stewart  </t>
        </is>
      </c>
      <c r="E371" s="8" t="inlineStr">
        <is>
          <t>PRD-0398</t>
        </is>
      </c>
      <c r="F371" s="8" t="inlineStr">
        <is>
          <t>1</t>
        </is>
      </c>
      <c r="G371" s="9" t="n">
        <v>28.76</v>
      </c>
      <c r="H371" s="8" t="inlineStr">
        <is>
          <t>0.0</t>
        </is>
      </c>
      <c r="I371" s="8" t="inlineStr">
        <is>
          <t>Express Air</t>
        </is>
      </c>
      <c r="J371" s="8" t="inlineStr">
        <is>
          <t>Direct Web</t>
        </is>
      </c>
      <c r="K371" s="8" t="inlineStr">
        <is>
          <t>REG-NA</t>
        </is>
      </c>
    </row>
    <row r="372">
      <c r="A372" s="8" t="inlineStr">
        <is>
          <t>ORD-000177</t>
        </is>
      </c>
      <c r="B372" s="8" t="inlineStr">
        <is>
          <t>2024-07-03</t>
        </is>
      </c>
      <c r="C372" s="8" t="inlineStr">
        <is>
          <t>CUST-02412</t>
        </is>
      </c>
      <c r="D372" s="8" t="inlineStr">
        <is>
          <t xml:space="preserve">  alexander stewart  </t>
        </is>
      </c>
      <c r="E372" s="8" t="inlineStr">
        <is>
          <t>PRD-0089</t>
        </is>
      </c>
      <c r="F372" s="8" t="inlineStr">
        <is>
          <t>2</t>
        </is>
      </c>
      <c r="G372" s="9" t="n">
        <v>638.52</v>
      </c>
      <c r="H372" s="8" t="inlineStr">
        <is>
          <t>0.05</t>
        </is>
      </c>
      <c r="I372" s="8" t="inlineStr">
        <is>
          <t>Express Air</t>
        </is>
      </c>
      <c r="J372" s="8" t="inlineStr">
        <is>
          <t>Direct Web</t>
        </is>
      </c>
      <c r="K372" s="8" t="inlineStr">
        <is>
          <t>REG-NA</t>
        </is>
      </c>
    </row>
    <row r="373">
      <c r="A373" s="8" t="inlineStr">
        <is>
          <t>ORD-000178</t>
        </is>
      </c>
      <c r="B373" s="8" t="inlineStr">
        <is>
          <t>11/18/2023</t>
        </is>
      </c>
      <c r="C373" s="8" t="inlineStr">
        <is>
          <t>CUST-02240</t>
        </is>
      </c>
      <c r="D373" s="8" t="inlineStr">
        <is>
          <t>Joseph Baker</t>
        </is>
      </c>
      <c r="E373" s="8" t="inlineStr">
        <is>
          <t>PRD-0160</t>
        </is>
      </c>
      <c r="F373" s="8" t="inlineStr">
        <is>
          <t>3</t>
        </is>
      </c>
      <c r="G373" s="9" t="n">
        <v>1076.82</v>
      </c>
      <c r="H373" s="8" t="inlineStr">
        <is>
          <t>15%</t>
        </is>
      </c>
      <c r="I373" s="8" t="inlineStr">
        <is>
          <t>Express Air</t>
        </is>
      </c>
      <c r="J373" s="8" t="inlineStr">
        <is>
          <t>Direct Web</t>
        </is>
      </c>
      <c r="K373" s="8" t="inlineStr">
        <is>
          <t>REG-APAC</t>
        </is>
      </c>
    </row>
    <row r="374">
      <c r="A374" s="8" t="inlineStr">
        <is>
          <t>ORD-000179</t>
        </is>
      </c>
      <c r="B374" s="8" t="inlineStr">
        <is>
          <t>2025-11-15</t>
        </is>
      </c>
      <c r="C374" s="8" t="inlineStr">
        <is>
          <t>CUST-00001</t>
        </is>
      </c>
      <c r="D374" s="8" t="inlineStr">
        <is>
          <t>Gary Watson</t>
        </is>
      </c>
      <c r="E374" s="8" t="inlineStr">
        <is>
          <t>PRD-0414</t>
        </is>
      </c>
      <c r="F374" s="8" t="inlineStr">
        <is>
          <t>3</t>
        </is>
      </c>
      <c r="G374" s="9" t="n">
        <v>101.77</v>
      </c>
      <c r="H374" s="8" t="inlineStr">
        <is>
          <t>0.0</t>
        </is>
      </c>
      <c r="I374" s="8" t="inlineStr">
        <is>
          <t>Standard Ground</t>
        </is>
      </c>
      <c r="J374" s="8" t="inlineStr">
        <is>
          <t>Direct Web</t>
        </is>
      </c>
      <c r="K374" s="8" t="inlineStr">
        <is>
          <t>REG-APAC</t>
        </is>
      </c>
    </row>
    <row r="375">
      <c r="A375" s="8" t="inlineStr">
        <is>
          <t>ORD-000180</t>
        </is>
      </c>
      <c r="B375" s="8" t="inlineStr">
        <is>
          <t>2024-12-13</t>
        </is>
      </c>
      <c r="C375" s="8" t="inlineStr">
        <is>
          <t>CUST-02141</t>
        </is>
      </c>
      <c r="D375" s="8" t="inlineStr">
        <is>
          <t>Gregory Parker</t>
        </is>
      </c>
      <c r="E375" s="8" t="inlineStr">
        <is>
          <t>PRD-0167</t>
        </is>
      </c>
      <c r="F375" s="8" t="inlineStr">
        <is>
          <t>4</t>
        </is>
      </c>
      <c r="G375" s="9" t="n">
        <v>606.8099999999999</v>
      </c>
      <c r="H375" s="8" t="inlineStr">
        <is>
          <t>0.0</t>
        </is>
      </c>
      <c r="I375" s="8" t="inlineStr">
        <is>
          <t>Standard Ground</t>
        </is>
      </c>
      <c r="J375" s="8" t="inlineStr">
        <is>
          <t>Affiliate Partner</t>
        </is>
      </c>
      <c r="K375" s="8" t="inlineStr">
        <is>
          <t>REG-EU</t>
        </is>
      </c>
    </row>
    <row r="376">
      <c r="A376" s="8" t="inlineStr">
        <is>
          <t>ORD-000180</t>
        </is>
      </c>
      <c r="B376" s="8" t="inlineStr">
        <is>
          <t>2024-12-13</t>
        </is>
      </c>
      <c r="C376" s="8" t="inlineStr">
        <is>
          <t>CUST-02141</t>
        </is>
      </c>
      <c r="D376" s="8" t="inlineStr">
        <is>
          <t>Gregory Parker</t>
        </is>
      </c>
      <c r="E376" s="8" t="inlineStr">
        <is>
          <t>PRD-0429</t>
        </is>
      </c>
      <c r="F376" s="8" t="inlineStr">
        <is>
          <t>1</t>
        </is>
      </c>
      <c r="G376" s="9" t="n">
        <v>790.21</v>
      </c>
      <c r="H376" s="8" t="inlineStr">
        <is>
          <t>0.25</t>
        </is>
      </c>
      <c r="I376" s="8" t="inlineStr">
        <is>
          <t>Standard Ground</t>
        </is>
      </c>
      <c r="J376" s="8" t="inlineStr">
        <is>
          <t>Affiliate Partner</t>
        </is>
      </c>
      <c r="K376" s="8" t="inlineStr">
        <is>
          <t>REG-EU</t>
        </is>
      </c>
    </row>
    <row r="377">
      <c r="A377" s="8" t="inlineStr">
        <is>
          <t>ORD-000181</t>
        </is>
      </c>
      <c r="B377" s="8" t="inlineStr">
        <is>
          <t>2023-03-26</t>
        </is>
      </c>
      <c r="C377" s="8" t="inlineStr">
        <is>
          <t>CUST-01219</t>
        </is>
      </c>
      <c r="D377" s="8" t="inlineStr">
        <is>
          <t>Alexander Diaz</t>
        </is>
      </c>
      <c r="E377" s="8" t="inlineStr">
        <is>
          <t>PRD-0151</t>
        </is>
      </c>
      <c r="F377" s="8" t="inlineStr">
        <is>
          <t>2</t>
        </is>
      </c>
      <c r="G377" s="9" t="n">
        <v>643.51</v>
      </c>
      <c r="H377" s="8" t="inlineStr">
        <is>
          <t>0.0</t>
        </is>
      </c>
      <c r="I377" s="8" t="inlineStr">
        <is>
          <t>Same-Day Priority</t>
        </is>
      </c>
      <c r="J377" s="8" t="inlineStr">
        <is>
          <t>Affiliate Partner</t>
        </is>
      </c>
      <c r="K377" s="8" t="inlineStr">
        <is>
          <t>REG-NA</t>
        </is>
      </c>
    </row>
    <row r="378">
      <c r="A378" s="8" t="inlineStr">
        <is>
          <t>ORD-000181</t>
        </is>
      </c>
      <c r="B378" s="8" t="inlineStr">
        <is>
          <t>2023-03-26</t>
        </is>
      </c>
      <c r="C378" s="8" t="inlineStr">
        <is>
          <t>CUST-01219</t>
        </is>
      </c>
      <c r="D378" s="8" t="inlineStr">
        <is>
          <t>Alexander Diaz</t>
        </is>
      </c>
      <c r="E378" s="8" t="inlineStr">
        <is>
          <t>PRD-0051</t>
        </is>
      </c>
      <c r="F378" s="8" t="inlineStr">
        <is>
          <t>1</t>
        </is>
      </c>
      <c r="G378" s="9" t="n">
        <v>896.46</v>
      </c>
      <c r="H378" s="8" t="inlineStr">
        <is>
          <t>0.1</t>
        </is>
      </c>
      <c r="I378" s="8" t="inlineStr">
        <is>
          <t>Same-Day Priority</t>
        </is>
      </c>
      <c r="J378" s="8" t="inlineStr">
        <is>
          <t>Affiliate Partner</t>
        </is>
      </c>
      <c r="K378" s="8" t="inlineStr">
        <is>
          <t>REG-NA</t>
        </is>
      </c>
    </row>
    <row r="379">
      <c r="A379" s="8" t="inlineStr">
        <is>
          <t>ORD-000181</t>
        </is>
      </c>
      <c r="B379" s="8" t="inlineStr">
        <is>
          <t>2023-03-26</t>
        </is>
      </c>
      <c r="C379" s="8" t="inlineStr">
        <is>
          <t>CUST-01219</t>
        </is>
      </c>
      <c r="D379" s="8" t="inlineStr">
        <is>
          <t>Alexander Diaz</t>
        </is>
      </c>
      <c r="E379" s="8" t="inlineStr">
        <is>
          <t>PRD-0090</t>
        </is>
      </c>
      <c r="F379" s="8" t="inlineStr">
        <is>
          <t>1</t>
        </is>
      </c>
      <c r="G379" s="9" t="n">
        <v>761.86</v>
      </c>
      <c r="H379" s="8" t="inlineStr">
        <is>
          <t>0.0</t>
        </is>
      </c>
      <c r="I379" s="8" t="inlineStr">
        <is>
          <t>Same-Day Priority</t>
        </is>
      </c>
      <c r="J379" s="8" t="inlineStr">
        <is>
          <t>Affiliate Partner</t>
        </is>
      </c>
      <c r="K379" s="8" t="inlineStr">
        <is>
          <t>REG-NA</t>
        </is>
      </c>
    </row>
    <row r="380">
      <c r="A380" s="8" t="inlineStr">
        <is>
          <t>ORD-000181</t>
        </is>
      </c>
      <c r="B380" s="8" t="inlineStr">
        <is>
          <t>2023-03-26</t>
        </is>
      </c>
      <c r="C380" s="8" t="inlineStr">
        <is>
          <t>CUST-01219</t>
        </is>
      </c>
      <c r="D380" s="8" t="inlineStr">
        <is>
          <t>Alexander Diaz</t>
        </is>
      </c>
      <c r="E380" s="8" t="inlineStr">
        <is>
          <t>PRD-0474</t>
        </is>
      </c>
      <c r="F380" s="8" t="inlineStr">
        <is>
          <t>1</t>
        </is>
      </c>
      <c r="G380" s="9" t="n">
        <v>86.79000000000001</v>
      </c>
      <c r="H380" s="8" t="inlineStr">
        <is>
          <t>0.0</t>
        </is>
      </c>
      <c r="I380" s="8" t="inlineStr">
        <is>
          <t>Same-Day Priority</t>
        </is>
      </c>
      <c r="J380" s="8" t="inlineStr">
        <is>
          <t>Affiliate Partner</t>
        </is>
      </c>
      <c r="K380" s="8" t="inlineStr">
        <is>
          <t>REG-NA</t>
        </is>
      </c>
    </row>
    <row r="381">
      <c r="A381" s="8" t="inlineStr">
        <is>
          <t>ORD-000182</t>
        </is>
      </c>
      <c r="B381" s="8" t="inlineStr">
        <is>
          <t>2025-11-16</t>
        </is>
      </c>
      <c r="C381" s="8" t="inlineStr">
        <is>
          <t>CUST-06677</t>
        </is>
      </c>
      <c r="D381" s="8" t="inlineStr">
        <is>
          <t>Justin Baker</t>
        </is>
      </c>
      <c r="E381" s="8" t="inlineStr">
        <is>
          <t>PRD-0381</t>
        </is>
      </c>
      <c r="F381" s="8" t="inlineStr">
        <is>
          <t>2</t>
        </is>
      </c>
      <c r="G381" s="9" t="n">
        <v>321.45</v>
      </c>
      <c r="H381" s="8" t="inlineStr">
        <is>
          <t>0.1</t>
        </is>
      </c>
      <c r="I381" s="8" t="inlineStr">
        <is>
          <t>Express Air</t>
        </is>
      </c>
      <c r="J381" s="8" t="inlineStr">
        <is>
          <t>Direct Web</t>
        </is>
      </c>
      <c r="K381" s="8" t="inlineStr">
        <is>
          <t>REG-NA</t>
        </is>
      </c>
    </row>
    <row r="382">
      <c r="A382" s="8" t="inlineStr">
        <is>
          <t>ORD-000183</t>
        </is>
      </c>
      <c r="B382" s="8" t="inlineStr">
        <is>
          <t>2024-11-24</t>
        </is>
      </c>
      <c r="C382" s="8" t="inlineStr">
        <is>
          <t>CUST-07797</t>
        </is>
      </c>
      <c r="D382" s="8" t="inlineStr">
        <is>
          <t>Deborah Jackson</t>
        </is>
      </c>
      <c r="E382" s="8" t="inlineStr">
        <is>
          <t>PRD-0012</t>
        </is>
      </c>
      <c r="F382" s="8" t="inlineStr">
        <is>
          <t>1</t>
        </is>
      </c>
      <c r="G382" s="9" t="n">
        <v>583.3099999999999</v>
      </c>
      <c r="H382" s="8" t="inlineStr">
        <is>
          <t>0.0</t>
        </is>
      </c>
      <c r="I382" s="8" t="inlineStr">
        <is>
          <t>Standard Ground</t>
        </is>
      </c>
      <c r="J382" s="8" t="inlineStr">
        <is>
          <t>Direct Web</t>
        </is>
      </c>
      <c r="K382" s="8" t="inlineStr">
        <is>
          <t>REG-LATAM</t>
        </is>
      </c>
    </row>
    <row r="383">
      <c r="A383" s="8" t="inlineStr">
        <is>
          <t>ORD-000184</t>
        </is>
      </c>
      <c r="B383" s="8" t="inlineStr">
        <is>
          <t>2024-09-11</t>
        </is>
      </c>
      <c r="C383" s="8" t="inlineStr">
        <is>
          <t>CUST-00006</t>
        </is>
      </c>
      <c r="D383" s="8" t="inlineStr">
        <is>
          <t xml:space="preserve">  ruth hernandez  </t>
        </is>
      </c>
      <c r="E383" s="8" t="inlineStr">
        <is>
          <t>PRD-0296</t>
        </is>
      </c>
      <c r="F383" s="8" t="inlineStr">
        <is>
          <t>1</t>
        </is>
      </c>
      <c r="G383" s="9" t="n">
        <v>52.93</v>
      </c>
      <c r="H383" s="8" t="inlineStr">
        <is>
          <t>0.0</t>
        </is>
      </c>
      <c r="I383" s="8" t="inlineStr">
        <is>
          <t>Standard Ground</t>
        </is>
      </c>
      <c r="J383" s="8" t="inlineStr">
        <is>
          <t>Direct Web</t>
        </is>
      </c>
      <c r="K383" s="8" t="inlineStr">
        <is>
          <t>REG-NA</t>
        </is>
      </c>
    </row>
    <row r="384">
      <c r="A384" s="8" t="inlineStr">
        <is>
          <t>ORD-000185</t>
        </is>
      </c>
      <c r="B384" s="8" t="inlineStr">
        <is>
          <t>2025-03-02</t>
        </is>
      </c>
      <c r="C384" s="8" t="inlineStr">
        <is>
          <t>CUST-07198</t>
        </is>
      </c>
      <c r="D384" s="8" t="inlineStr">
        <is>
          <t>Alexander Gonzalez</t>
        </is>
      </c>
      <c r="E384" s="8" t="inlineStr">
        <is>
          <t>PRD-0118</t>
        </is>
      </c>
      <c r="F384" s="8" t="inlineStr">
        <is>
          <t>1</t>
        </is>
      </c>
      <c r="G384" s="9" t="n">
        <v>513.16</v>
      </c>
      <c r="H384" s="8" t="inlineStr">
        <is>
          <t>0.0</t>
        </is>
      </c>
      <c r="I384" s="8" t="inlineStr">
        <is>
          <t>Standard Ground</t>
        </is>
      </c>
      <c r="J384" s="8" t="inlineStr">
        <is>
          <t>Direct Web</t>
        </is>
      </c>
      <c r="K384" s="8" t="inlineStr">
        <is>
          <t>REG-LATAM</t>
        </is>
      </c>
    </row>
    <row r="385">
      <c r="A385" s="8" t="inlineStr">
        <is>
          <t>ORD-000185</t>
        </is>
      </c>
      <c r="B385" s="8" t="inlineStr">
        <is>
          <t>2025-03-02</t>
        </is>
      </c>
      <c r="C385" s="8" t="inlineStr">
        <is>
          <t>CUST-07198</t>
        </is>
      </c>
      <c r="D385" s="8" t="inlineStr">
        <is>
          <t>Alexander Gonzalez</t>
        </is>
      </c>
      <c r="E385" s="8" t="inlineStr">
        <is>
          <t>PRD-0426</t>
        </is>
      </c>
      <c r="F385" s="8" t="inlineStr">
        <is>
          <t>-2</t>
        </is>
      </c>
      <c r="G385" s="9" t="n">
        <v>51.71</v>
      </c>
      <c r="H385" s="8" t="inlineStr">
        <is>
          <t>0.25</t>
        </is>
      </c>
      <c r="I385" s="8" t="inlineStr">
        <is>
          <t>Standard Ground</t>
        </is>
      </c>
      <c r="J385" s="8" t="inlineStr">
        <is>
          <t>Direct Web</t>
        </is>
      </c>
      <c r="K385" s="8" t="inlineStr">
        <is>
          <t>REG-LATAM</t>
        </is>
      </c>
    </row>
    <row r="386">
      <c r="A386" s="8" t="inlineStr">
        <is>
          <t>ORD-000185</t>
        </is>
      </c>
      <c r="B386" s="8" t="inlineStr">
        <is>
          <t>2025-03-02</t>
        </is>
      </c>
      <c r="C386" s="8" t="inlineStr">
        <is>
          <t>CUST-07198</t>
        </is>
      </c>
      <c r="D386" s="8" t="inlineStr">
        <is>
          <t>Alexander Gonzalez</t>
        </is>
      </c>
      <c r="E386" s="8" t="inlineStr">
        <is>
          <t>PRD-0493</t>
        </is>
      </c>
      <c r="F386" s="8" t="inlineStr">
        <is>
          <t>2</t>
        </is>
      </c>
      <c r="G386" s="9" t="n">
        <v>502.97</v>
      </c>
      <c r="H386" s="8" t="inlineStr">
        <is>
          <t>0.0</t>
        </is>
      </c>
      <c r="I386" s="8" t="inlineStr">
        <is>
          <t>Standard Ground</t>
        </is>
      </c>
      <c r="J386" s="8" t="inlineStr">
        <is>
          <t>Direct Web</t>
        </is>
      </c>
      <c r="K386" s="8" t="inlineStr">
        <is>
          <t>REG-LATAM</t>
        </is>
      </c>
    </row>
    <row r="387">
      <c r="A387" s="8" t="inlineStr">
        <is>
          <t>ORD-000185</t>
        </is>
      </c>
      <c r="B387" s="8" t="inlineStr">
        <is>
          <t>2025-03-02</t>
        </is>
      </c>
      <c r="C387" s="8" t="inlineStr">
        <is>
          <t>CUST-07198</t>
        </is>
      </c>
      <c r="D387" s="8" t="inlineStr">
        <is>
          <t>Alexander Gonzalez</t>
        </is>
      </c>
      <c r="E387" s="8" t="inlineStr">
        <is>
          <t>PRD-0279</t>
        </is>
      </c>
      <c r="F387" s="8" t="inlineStr">
        <is>
          <t>2</t>
        </is>
      </c>
      <c r="G387" s="9" t="n">
        <v>783.46</v>
      </c>
      <c r="H387" s="8" t="inlineStr">
        <is>
          <t>0.05</t>
        </is>
      </c>
      <c r="I387" s="8" t="inlineStr">
        <is>
          <t>Standard Ground</t>
        </is>
      </c>
      <c r="J387" s="8" t="inlineStr">
        <is>
          <t>Direct Web</t>
        </is>
      </c>
      <c r="K387" s="8" t="inlineStr">
        <is>
          <t>REG-LATAM</t>
        </is>
      </c>
    </row>
    <row r="388">
      <c r="A388" s="8" t="inlineStr">
        <is>
          <t>ORD-000186</t>
        </is>
      </c>
      <c r="B388" s="8" t="inlineStr">
        <is>
          <t>2025-03-28</t>
        </is>
      </c>
      <c r="C388" s="8" t="inlineStr">
        <is>
          <t>CUST-04697</t>
        </is>
      </c>
      <c r="D388" s="8" t="inlineStr">
        <is>
          <t>Stephanie Wilson</t>
        </is>
      </c>
      <c r="E388" s="8" t="inlineStr">
        <is>
          <t>PRD-0178</t>
        </is>
      </c>
      <c r="F388" s="8" t="inlineStr">
        <is>
          <t>1</t>
        </is>
      </c>
      <c r="G388" s="9" t="n">
        <v>9.07</v>
      </c>
      <c r="H388" s="8" t="inlineStr">
        <is>
          <t>0.0</t>
        </is>
      </c>
      <c r="I388" s="8" t="inlineStr">
        <is>
          <t>Standard Ground</t>
        </is>
      </c>
      <c r="J388" s="8" t="inlineStr">
        <is>
          <t>Direct Web</t>
        </is>
      </c>
      <c r="K388" s="8" t="inlineStr">
        <is>
          <t>REG-EU</t>
        </is>
      </c>
    </row>
    <row r="389">
      <c r="A389" s="8" t="inlineStr">
        <is>
          <t>ORD-000187</t>
        </is>
      </c>
      <c r="B389" s="8" t="inlineStr">
        <is>
          <t>2023-05-25</t>
        </is>
      </c>
      <c r="C389" s="8" t="inlineStr">
        <is>
          <t>CUST-03519</t>
        </is>
      </c>
      <c r="D389" s="8" t="inlineStr">
        <is>
          <t>Karen Roberts</t>
        </is>
      </c>
      <c r="E389" s="8" t="inlineStr">
        <is>
          <t>PRD-0005</t>
        </is>
      </c>
      <c r="F389" s="8" t="inlineStr">
        <is>
          <t>3</t>
        </is>
      </c>
      <c r="G389" s="9" t="n">
        <v>148.59</v>
      </c>
      <c r="H389" s="8" t="inlineStr">
        <is>
          <t>0.15</t>
        </is>
      </c>
      <c r="I389" s="8" t="inlineStr">
        <is>
          <t>Express Air</t>
        </is>
      </c>
      <c r="J389" s="8" t="inlineStr">
        <is>
          <t>Mobile App</t>
        </is>
      </c>
      <c r="K389" s="8" t="inlineStr">
        <is>
          <t>REG-NA</t>
        </is>
      </c>
    </row>
    <row r="390">
      <c r="A390" s="8" t="inlineStr">
        <is>
          <t>ORD-000187</t>
        </is>
      </c>
      <c r="B390" s="8" t="inlineStr">
        <is>
          <t>2023-05-25</t>
        </is>
      </c>
      <c r="C390" s="8" t="inlineStr">
        <is>
          <t>CUST-03519</t>
        </is>
      </c>
      <c r="D390" s="8" t="inlineStr">
        <is>
          <t>Karen Roberts</t>
        </is>
      </c>
      <c r="E390" s="8" t="inlineStr">
        <is>
          <t>PRD-0270</t>
        </is>
      </c>
      <c r="F390" s="8" t="inlineStr">
        <is>
          <t>1</t>
        </is>
      </c>
      <c r="G390" s="9" t="n">
        <v>137.1</v>
      </c>
      <c r="H390" s="8" t="inlineStr">
        <is>
          <t>0.05</t>
        </is>
      </c>
      <c r="I390" s="8" t="inlineStr">
        <is>
          <t>Express Air</t>
        </is>
      </c>
      <c r="J390" s="8" t="inlineStr">
        <is>
          <t>Mobile App</t>
        </is>
      </c>
      <c r="K390" s="8" t="inlineStr">
        <is>
          <t>REG-NA</t>
        </is>
      </c>
    </row>
    <row r="391">
      <c r="A391" s="8" t="inlineStr">
        <is>
          <t>ORD-000188</t>
        </is>
      </c>
      <c r="B391" s="8" t="inlineStr">
        <is>
          <t>2023-08-29</t>
        </is>
      </c>
      <c r="C391" s="8" t="inlineStr">
        <is>
          <t>CUST-05274</t>
        </is>
      </c>
      <c r="D391" s="8" t="inlineStr">
        <is>
          <t>Sandra Smith</t>
        </is>
      </c>
      <c r="E391" s="8" t="inlineStr">
        <is>
          <t>PRD-0030</t>
        </is>
      </c>
      <c r="F391" s="8" t="inlineStr">
        <is>
          <t>2</t>
        </is>
      </c>
      <c r="G391" s="9" t="n">
        <v>298.29</v>
      </c>
      <c r="H391" s="8" t="inlineStr">
        <is>
          <t>0.15</t>
        </is>
      </c>
      <c r="I391" s="8" t="inlineStr">
        <is>
          <t>Standard Ground</t>
        </is>
      </c>
      <c r="J391" s="8" t="inlineStr">
        <is>
          <t>Mobile App</t>
        </is>
      </c>
      <c r="K391" s="8" t="inlineStr">
        <is>
          <t>REG-NA</t>
        </is>
      </c>
    </row>
    <row r="392">
      <c r="A392" s="8" t="inlineStr">
        <is>
          <t>ORD-000189</t>
        </is>
      </c>
      <c r="B392" s="8" t="inlineStr">
        <is>
          <t>2025-02-10</t>
        </is>
      </c>
      <c r="C392" s="8" t="inlineStr">
        <is>
          <t>CUST-05395</t>
        </is>
      </c>
      <c r="D392" s="8" t="inlineStr">
        <is>
          <t>Matthew Diaz</t>
        </is>
      </c>
      <c r="E392" s="8" t="inlineStr">
        <is>
          <t>PRD-0025</t>
        </is>
      </c>
      <c r="F392" s="8" t="inlineStr">
        <is>
          <t>2</t>
        </is>
      </c>
      <c r="G392" s="9" t="n">
        <v>537.5700000000001</v>
      </c>
      <c r="H392" s="8" t="inlineStr">
        <is>
          <t>0.1</t>
        </is>
      </c>
      <c r="I392" s="8" t="inlineStr">
        <is>
          <t>Standard Ground</t>
        </is>
      </c>
      <c r="J392" s="8" t="inlineStr">
        <is>
          <t>B2B Portal</t>
        </is>
      </c>
      <c r="K392" s="8" t="inlineStr">
        <is>
          <t>REG-APAC</t>
        </is>
      </c>
    </row>
    <row r="393">
      <c r="A393" s="8" t="inlineStr">
        <is>
          <t>ORD-000189</t>
        </is>
      </c>
      <c r="B393" s="8" t="inlineStr">
        <is>
          <t>2025-02-10</t>
        </is>
      </c>
      <c r="C393" s="8" t="inlineStr">
        <is>
          <t>CUST-05395</t>
        </is>
      </c>
      <c r="D393" s="8" t="inlineStr">
        <is>
          <t>Matthew Diaz</t>
        </is>
      </c>
      <c r="E393" s="8" t="inlineStr">
        <is>
          <t>PRD-0332</t>
        </is>
      </c>
      <c r="F393" s="8" t="inlineStr">
        <is>
          <t>1</t>
        </is>
      </c>
      <c r="G393" s="9" t="n">
        <v>82.03</v>
      </c>
      <c r="H393" s="8" t="inlineStr">
        <is>
          <t>0.15</t>
        </is>
      </c>
      <c r="I393" s="8" t="inlineStr">
        <is>
          <t>Standard Ground</t>
        </is>
      </c>
      <c r="J393" s="8" t="inlineStr">
        <is>
          <t>B2B Portal</t>
        </is>
      </c>
      <c r="K393" s="8" t="inlineStr">
        <is>
          <t>REG-APAC</t>
        </is>
      </c>
    </row>
    <row r="394">
      <c r="A394" s="8" t="inlineStr">
        <is>
          <t>ORD-000189</t>
        </is>
      </c>
      <c r="B394" s="8" t="inlineStr">
        <is>
          <t>2025-02-10</t>
        </is>
      </c>
      <c r="C394" s="8" t="inlineStr">
        <is>
          <t>CUST-05395</t>
        </is>
      </c>
      <c r="D394" s="8" t="inlineStr">
        <is>
          <t>Matthew Diaz</t>
        </is>
      </c>
      <c r="E394" s="8" t="inlineStr">
        <is>
          <t>PRD-0267</t>
        </is>
      </c>
      <c r="F394" s="8" t="inlineStr">
        <is>
          <t>1</t>
        </is>
      </c>
      <c r="G394" s="9" t="n">
        <v>187.7</v>
      </c>
      <c r="H394" s="8" t="inlineStr">
        <is>
          <t>0.2</t>
        </is>
      </c>
      <c r="I394" s="8" t="inlineStr">
        <is>
          <t>Standard Ground</t>
        </is>
      </c>
      <c r="J394" s="8" t="inlineStr">
        <is>
          <t>B2B Portal</t>
        </is>
      </c>
      <c r="K394" s="8" t="inlineStr">
        <is>
          <t>REG-APAC</t>
        </is>
      </c>
    </row>
    <row r="395">
      <c r="A395" s="8" t="inlineStr">
        <is>
          <t>ORD-000189</t>
        </is>
      </c>
      <c r="B395" s="8" t="inlineStr">
        <is>
          <t>2025-02-10</t>
        </is>
      </c>
      <c r="C395" s="8" t="inlineStr">
        <is>
          <t>CUST-05395</t>
        </is>
      </c>
      <c r="D395" s="8" t="inlineStr">
        <is>
          <t>Matthew Diaz</t>
        </is>
      </c>
      <c r="E395" s="8" t="inlineStr">
        <is>
          <t>PRD-0424</t>
        </is>
      </c>
      <c r="F395" s="8" t="inlineStr">
        <is>
          <t>1</t>
        </is>
      </c>
      <c r="G395" s="9" t="n">
        <v>268.72</v>
      </c>
      <c r="H395" s="8" t="inlineStr">
        <is>
          <t>0.1</t>
        </is>
      </c>
      <c r="I395" s="8" t="inlineStr">
        <is>
          <t>Standard Ground</t>
        </is>
      </c>
      <c r="J395" s="8" t="inlineStr">
        <is>
          <t>B2B Portal</t>
        </is>
      </c>
      <c r="K395" s="8" t="inlineStr">
        <is>
          <t>REG-APAC</t>
        </is>
      </c>
    </row>
    <row r="396">
      <c r="A396" s="8" t="inlineStr">
        <is>
          <t>ORD-000189</t>
        </is>
      </c>
      <c r="B396" s="8" t="inlineStr">
        <is>
          <t>2025-02-10</t>
        </is>
      </c>
      <c r="C396" s="8" t="inlineStr">
        <is>
          <t>CUST-05395</t>
        </is>
      </c>
      <c r="D396" s="8" t="inlineStr">
        <is>
          <t>Matthew Diaz</t>
        </is>
      </c>
      <c r="E396" s="8" t="inlineStr">
        <is>
          <t>PRD-0167</t>
        </is>
      </c>
      <c r="F396" s="8" t="inlineStr">
        <is>
          <t>1</t>
        </is>
      </c>
      <c r="G396" s="9" t="n">
        <v>606.8099999999999</v>
      </c>
      <c r="H396" s="8" t="inlineStr">
        <is>
          <t>0.15</t>
        </is>
      </c>
      <c r="I396" s="8" t="inlineStr">
        <is>
          <t>Standard Ground</t>
        </is>
      </c>
      <c r="J396" s="8" t="inlineStr">
        <is>
          <t>B2B Portal</t>
        </is>
      </c>
      <c r="K396" s="8" t="inlineStr">
        <is>
          <t>REG-APAC</t>
        </is>
      </c>
    </row>
    <row r="397">
      <c r="A397" s="8" t="inlineStr">
        <is>
          <t>ORD-000190</t>
        </is>
      </c>
      <c r="B397" s="8" t="inlineStr">
        <is>
          <t>2024-12-20</t>
        </is>
      </c>
      <c r="C397" s="8" t="inlineStr">
        <is>
          <t>CUST-04793</t>
        </is>
      </c>
      <c r="D397" s="8" t="inlineStr">
        <is>
          <t>Tyler Nguyen</t>
        </is>
      </c>
      <c r="E397" s="8" t="inlineStr">
        <is>
          <t>PRD-0094</t>
        </is>
      </c>
      <c r="F397" s="8" t="inlineStr">
        <is>
          <t>10</t>
        </is>
      </c>
      <c r="G397" s="9" t="n">
        <v>282.3</v>
      </c>
      <c r="H397" s="8" t="inlineStr">
        <is>
          <t>0.05</t>
        </is>
      </c>
      <c r="I397" s="8" t="inlineStr">
        <is>
          <t>Standard Ground</t>
        </is>
      </c>
      <c r="J397" s="8" t="inlineStr">
        <is>
          <t>Direct Web</t>
        </is>
      </c>
      <c r="K397" s="8" t="inlineStr">
        <is>
          <t>REG-NA</t>
        </is>
      </c>
    </row>
    <row r="398">
      <c r="A398" s="8" t="inlineStr">
        <is>
          <t>ORD-000190</t>
        </is>
      </c>
      <c r="B398" s="8" t="inlineStr">
        <is>
          <t>2024-12-20</t>
        </is>
      </c>
      <c r="C398" s="8" t="inlineStr">
        <is>
          <t>CUST-04793</t>
        </is>
      </c>
      <c r="D398" s="8" t="inlineStr">
        <is>
          <t>Tyler Nguyen</t>
        </is>
      </c>
      <c r="E398" s="8" t="inlineStr">
        <is>
          <t>PRD-0220</t>
        </is>
      </c>
      <c r="F398" s="8" t="inlineStr">
        <is>
          <t>1</t>
        </is>
      </c>
      <c r="G398" s="9" t="n">
        <v>472.5</v>
      </c>
      <c r="H398" s="8" t="inlineStr">
        <is>
          <t>0.15</t>
        </is>
      </c>
      <c r="I398" s="8" t="inlineStr">
        <is>
          <t>Standard Ground</t>
        </is>
      </c>
      <c r="J398" s="8" t="inlineStr">
        <is>
          <t>Direct Web</t>
        </is>
      </c>
      <c r="K398" s="8" t="inlineStr">
        <is>
          <t>REG-NA</t>
        </is>
      </c>
    </row>
    <row r="399">
      <c r="A399" s="8" t="inlineStr">
        <is>
          <t>ORD-000191</t>
        </is>
      </c>
      <c r="B399" s="8" t="inlineStr">
        <is>
          <t>2023-09-19</t>
        </is>
      </c>
      <c r="C399" s="8" t="inlineStr">
        <is>
          <t>CUST-05166</t>
        </is>
      </c>
      <c r="D399" s="8" t="inlineStr">
        <is>
          <t>Ruth Morales</t>
        </is>
      </c>
      <c r="E399" s="8" t="inlineStr">
        <is>
          <t>PRD-0107</t>
        </is>
      </c>
      <c r="F399" s="8" t="inlineStr">
        <is>
          <t>3</t>
        </is>
      </c>
      <c r="G399" s="9" t="n">
        <v>754.95</v>
      </c>
      <c r="H399" s="8" t="inlineStr">
        <is>
          <t>0%</t>
        </is>
      </c>
      <c r="I399" s="8" t="inlineStr">
        <is>
          <t>Standard Ground</t>
        </is>
      </c>
      <c r="J399" s="8" t="inlineStr">
        <is>
          <t>Mobile App</t>
        </is>
      </c>
      <c r="K399" s="8" t="inlineStr">
        <is>
          <t>REG-LATAM</t>
        </is>
      </c>
    </row>
    <row r="400">
      <c r="A400" s="8" t="inlineStr">
        <is>
          <t>ORD-000191</t>
        </is>
      </c>
      <c r="B400" s="8" t="inlineStr">
        <is>
          <t>2023-09-19</t>
        </is>
      </c>
      <c r="C400" s="8" t="inlineStr">
        <is>
          <t>CUST-05166</t>
        </is>
      </c>
      <c r="D400" s="8" t="inlineStr">
        <is>
          <t>Ruth Morales</t>
        </is>
      </c>
      <c r="E400" s="8" t="inlineStr">
        <is>
          <t>PRD-0486</t>
        </is>
      </c>
      <c r="F400" s="8" t="inlineStr">
        <is>
          <t>2</t>
        </is>
      </c>
      <c r="G400" s="9" t="n">
        <v>499.02</v>
      </c>
      <c r="H400" s="8" t="inlineStr">
        <is>
          <t>0.0</t>
        </is>
      </c>
      <c r="I400" s="8" t="inlineStr">
        <is>
          <t>Standard Ground</t>
        </is>
      </c>
      <c r="J400" s="8" t="inlineStr">
        <is>
          <t>Mobile App</t>
        </is>
      </c>
      <c r="K400" s="8" t="inlineStr">
        <is>
          <t>REG-LATAM</t>
        </is>
      </c>
    </row>
    <row r="401">
      <c r="A401" s="8" t="inlineStr">
        <is>
          <t>ORD-000192</t>
        </is>
      </c>
      <c r="B401" s="8" t="inlineStr">
        <is>
          <t>2023-03-04</t>
        </is>
      </c>
      <c r="C401" s="8" t="inlineStr">
        <is>
          <t>CUST-01186</t>
        </is>
      </c>
      <c r="D401" s="8" t="inlineStr">
        <is>
          <t>Mary Rodriguez</t>
        </is>
      </c>
      <c r="E401" s="8" t="inlineStr">
        <is>
          <t>PRD-0109</t>
        </is>
      </c>
      <c r="F401" s="8" t="inlineStr">
        <is>
          <t>1</t>
        </is>
      </c>
      <c r="G401" s="9" t="n">
        <v>53.86</v>
      </c>
      <c r="H401" s="8" t="inlineStr">
        <is>
          <t>0.1</t>
        </is>
      </c>
      <c r="I401" s="8" t="inlineStr">
        <is>
          <t>Standard Ground</t>
        </is>
      </c>
      <c r="J401" s="8" t="inlineStr">
        <is>
          <t>Mobile App</t>
        </is>
      </c>
      <c r="K401" s="8" t="inlineStr">
        <is>
          <t>REG-LATAM</t>
        </is>
      </c>
    </row>
    <row r="402">
      <c r="A402" s="8" t="inlineStr">
        <is>
          <t>ORD-000193</t>
        </is>
      </c>
      <c r="B402" s="8" t="inlineStr">
        <is>
          <t>2023-06-28</t>
        </is>
      </c>
      <c r="C402" s="8" t="inlineStr">
        <is>
          <t>CUST-02999</t>
        </is>
      </c>
      <c r="D402" s="8" t="inlineStr">
        <is>
          <t>Gregory Ward</t>
        </is>
      </c>
      <c r="E402" s="8" t="inlineStr">
        <is>
          <t>PRD-0072</t>
        </is>
      </c>
      <c r="F402" s="8" t="inlineStr">
        <is>
          <t>10</t>
        </is>
      </c>
      <c r="G402" s="9" t="n">
        <v>548.35</v>
      </c>
      <c r="H402" s="8" t="inlineStr">
        <is>
          <t>0.05</t>
        </is>
      </c>
      <c r="I402" s="8" t="inlineStr">
        <is>
          <t>Express Air</t>
        </is>
      </c>
      <c r="J402" s="8" t="inlineStr">
        <is>
          <t>Direct Web</t>
        </is>
      </c>
      <c r="K402" s="8" t="inlineStr">
        <is>
          <t>REG-EU</t>
        </is>
      </c>
    </row>
    <row r="403">
      <c r="A403" s="8" t="inlineStr">
        <is>
          <t>ORD-000194</t>
        </is>
      </c>
      <c r="B403" s="8" t="inlineStr">
        <is>
          <t>2023-11-20</t>
        </is>
      </c>
      <c r="C403" s="8" t="inlineStr">
        <is>
          <t>CUST-02632</t>
        </is>
      </c>
      <c r="D403" s="8" t="inlineStr">
        <is>
          <t>Nicholas Phillips</t>
        </is>
      </c>
      <c r="E403" s="8" t="inlineStr">
        <is>
          <t>PRD-0387</t>
        </is>
      </c>
      <c r="F403" s="8" t="inlineStr">
        <is>
          <t>2</t>
        </is>
      </c>
      <c r="G403" s="9" t="n">
        <v>123.3</v>
      </c>
      <c r="H403" s="8" t="inlineStr">
        <is>
          <t>0.15</t>
        </is>
      </c>
      <c r="I403" s="8" t="inlineStr">
        <is>
          <t>Same-Day Priority</t>
        </is>
      </c>
      <c r="J403" s="8" t="inlineStr">
        <is>
          <t>Mobile App</t>
        </is>
      </c>
      <c r="K403" s="8" t="inlineStr">
        <is>
          <t>REG-APAC</t>
        </is>
      </c>
    </row>
    <row r="404">
      <c r="A404" s="8" t="inlineStr">
        <is>
          <t>ORD-000194</t>
        </is>
      </c>
      <c r="B404" s="8" t="inlineStr">
        <is>
          <t>2023-11-20</t>
        </is>
      </c>
      <c r="C404" s="8" t="inlineStr">
        <is>
          <t>CUST-02632</t>
        </is>
      </c>
      <c r="D404" s="8" t="inlineStr">
        <is>
          <t>Nicholas Phillips</t>
        </is>
      </c>
      <c r="E404" s="8" t="inlineStr">
        <is>
          <t>PRD-0113</t>
        </is>
      </c>
      <c r="F404" s="8" t="inlineStr">
        <is>
          <t>1</t>
        </is>
      </c>
      <c r="G404" s="9" t="n">
        <v>70.09</v>
      </c>
      <c r="H404" s="8" t="inlineStr">
        <is>
          <t>0.3</t>
        </is>
      </c>
      <c r="I404" s="8" t="inlineStr">
        <is>
          <t>Same-Day Priority</t>
        </is>
      </c>
      <c r="J404" s="8" t="inlineStr">
        <is>
          <t>Mobile App</t>
        </is>
      </c>
      <c r="K404" s="8" t="inlineStr">
        <is>
          <t>REG-APAC</t>
        </is>
      </c>
    </row>
    <row r="405">
      <c r="A405" s="8" t="inlineStr">
        <is>
          <t>ORD-000195</t>
        </is>
      </c>
      <c r="B405" s="8" t="inlineStr">
        <is>
          <t>2025-06-12</t>
        </is>
      </c>
      <c r="C405" s="8" t="inlineStr">
        <is>
          <t>CUST-07327</t>
        </is>
      </c>
      <c r="D405" s="8" t="inlineStr">
        <is>
          <t>Daniel Ruiz</t>
        </is>
      </c>
      <c r="E405" s="8" t="inlineStr">
        <is>
          <t>PRD-0126</t>
        </is>
      </c>
      <c r="F405" s="8" t="inlineStr">
        <is>
          <t>1</t>
        </is>
      </c>
      <c r="G405" s="9" t="n">
        <v>195.24</v>
      </c>
      <c r="H405" s="8" t="inlineStr">
        <is>
          <t>0%</t>
        </is>
      </c>
      <c r="I405" s="8" t="inlineStr">
        <is>
          <t>Same-Day Priority</t>
        </is>
      </c>
      <c r="J405" s="8" t="inlineStr">
        <is>
          <t>Mobile App</t>
        </is>
      </c>
      <c r="K405" s="8" t="inlineStr">
        <is>
          <t>REG-APAC</t>
        </is>
      </c>
    </row>
    <row r="406">
      <c r="A406" s="8" t="inlineStr">
        <is>
          <t>ORD-000196</t>
        </is>
      </c>
      <c r="B406" s="8" t="inlineStr">
        <is>
          <t>2023-11-18</t>
        </is>
      </c>
      <c r="C406" s="8" t="inlineStr">
        <is>
          <t>CUST-04031</t>
        </is>
      </c>
      <c r="D406" s="8" t="inlineStr">
        <is>
          <t>Catherine Nelson</t>
        </is>
      </c>
      <c r="E406" s="8" t="inlineStr">
        <is>
          <t>PRD-0316</t>
        </is>
      </c>
      <c r="F406" s="8" t="inlineStr">
        <is>
          <t>1</t>
        </is>
      </c>
      <c r="G406" s="9" t="n">
        <v>575.96</v>
      </c>
      <c r="H406" s="8" t="inlineStr">
        <is>
          <t>0.0</t>
        </is>
      </c>
      <c r="I406" s="8" t="inlineStr">
        <is>
          <t>Standard Ground</t>
        </is>
      </c>
      <c r="J406" s="8" t="inlineStr">
        <is>
          <t>Direct Web</t>
        </is>
      </c>
      <c r="K406" s="8" t="inlineStr">
        <is>
          <t>REG-LATAM</t>
        </is>
      </c>
    </row>
    <row r="407">
      <c r="A407" s="8" t="inlineStr">
        <is>
          <t>ORD-000196</t>
        </is>
      </c>
      <c r="B407" s="8" t="inlineStr">
        <is>
          <t>2023-11-18</t>
        </is>
      </c>
      <c r="C407" s="8" t="inlineStr">
        <is>
          <t>CUST-04031</t>
        </is>
      </c>
      <c r="D407" s="8" t="inlineStr">
        <is>
          <t>Catherine Nelson</t>
        </is>
      </c>
      <c r="E407" s="8" t="inlineStr">
        <is>
          <t>PRD-0037</t>
        </is>
      </c>
      <c r="F407" s="8" t="inlineStr">
        <is>
          <t>1</t>
        </is>
      </c>
      <c r="G407" s="9" t="n">
        <v>499.93</v>
      </c>
      <c r="H407" s="8" t="inlineStr">
        <is>
          <t>0.1</t>
        </is>
      </c>
      <c r="I407" s="8" t="inlineStr">
        <is>
          <t>Standard Ground</t>
        </is>
      </c>
      <c r="J407" s="8" t="inlineStr">
        <is>
          <t>Direct Web</t>
        </is>
      </c>
      <c r="K407" s="8" t="inlineStr">
        <is>
          <t>REG-LATAM</t>
        </is>
      </c>
    </row>
    <row r="408">
      <c r="A408" s="8" t="inlineStr">
        <is>
          <t>ORD-000196</t>
        </is>
      </c>
      <c r="B408" s="8" t="inlineStr">
        <is>
          <t>2023-11-18</t>
        </is>
      </c>
      <c r="C408" s="8" t="inlineStr">
        <is>
          <t>CUST-04031</t>
        </is>
      </c>
      <c r="D408" s="8" t="inlineStr">
        <is>
          <t>Catherine Nelson</t>
        </is>
      </c>
      <c r="E408" s="8" t="inlineStr">
        <is>
          <t>PRD-0441</t>
        </is>
      </c>
      <c r="F408" s="8" t="inlineStr">
        <is>
          <t>1</t>
        </is>
      </c>
      <c r="G408" s="9" t="n">
        <v>1128.16</v>
      </c>
      <c r="H408" s="8" t="inlineStr">
        <is>
          <t>0.2</t>
        </is>
      </c>
      <c r="I408" s="8" t="inlineStr">
        <is>
          <t>Standard Ground</t>
        </is>
      </c>
      <c r="J408" s="8" t="inlineStr">
        <is>
          <t>Direct Web</t>
        </is>
      </c>
      <c r="K408" s="8" t="inlineStr">
        <is>
          <t>REG-LATAM</t>
        </is>
      </c>
    </row>
    <row r="409">
      <c r="A409" s="8" t="inlineStr">
        <is>
          <t>ORD-000196</t>
        </is>
      </c>
      <c r="B409" s="8" t="inlineStr">
        <is>
          <t>2023-11-18</t>
        </is>
      </c>
      <c r="C409" s="8" t="inlineStr">
        <is>
          <t>CUST-04031</t>
        </is>
      </c>
      <c r="D409" s="8" t="inlineStr">
        <is>
          <t>Catherine Nelson</t>
        </is>
      </c>
      <c r="E409" s="8" t="inlineStr">
        <is>
          <t>PRD-0208</t>
        </is>
      </c>
      <c r="F409" s="8" t="inlineStr">
        <is>
          <t>4</t>
        </is>
      </c>
      <c r="G409" s="9" t="n">
        <v>47.15</v>
      </c>
      <c r="H409" s="8" t="inlineStr">
        <is>
          <t>0.15</t>
        </is>
      </c>
      <c r="I409" s="8" t="inlineStr">
        <is>
          <t>Standard Ground</t>
        </is>
      </c>
      <c r="J409" s="8" t="inlineStr">
        <is>
          <t>Direct Web</t>
        </is>
      </c>
      <c r="K409" s="8" t="inlineStr">
        <is>
          <t>REG-LATAM</t>
        </is>
      </c>
    </row>
    <row r="410">
      <c r="A410" s="8" t="inlineStr">
        <is>
          <t>ORD-000196</t>
        </is>
      </c>
      <c r="B410" s="8" t="inlineStr">
        <is>
          <t>2023-11-18</t>
        </is>
      </c>
      <c r="C410" s="8" t="inlineStr">
        <is>
          <t>CUST-04031</t>
        </is>
      </c>
      <c r="D410" s="8" t="inlineStr">
        <is>
          <t>Catherine Nelson</t>
        </is>
      </c>
      <c r="E410" s="8" t="inlineStr">
        <is>
          <t>PRD-0165</t>
        </is>
      </c>
      <c r="F410" s="8" t="inlineStr">
        <is>
          <t>2</t>
        </is>
      </c>
      <c r="G410" s="9" t="n">
        <v>37.4</v>
      </c>
      <c r="H410" s="8" t="inlineStr">
        <is>
          <t>0.1</t>
        </is>
      </c>
      <c r="I410" s="8" t="inlineStr">
        <is>
          <t>Standard Ground</t>
        </is>
      </c>
      <c r="J410" s="8" t="inlineStr">
        <is>
          <t>Direct Web</t>
        </is>
      </c>
      <c r="K410" s="8" t="inlineStr">
        <is>
          <t>REG-LATAM</t>
        </is>
      </c>
    </row>
    <row r="411">
      <c r="A411" s="8" t="inlineStr">
        <is>
          <t>ORD-000197</t>
        </is>
      </c>
      <c r="B411" s="8" t="inlineStr">
        <is>
          <t>2025-08-26</t>
        </is>
      </c>
      <c r="C411" s="8" t="inlineStr">
        <is>
          <t>CUST-07135</t>
        </is>
      </c>
      <c r="D411" s="8" t="inlineStr">
        <is>
          <t>Mark Nguyen</t>
        </is>
      </c>
      <c r="E411" s="8" t="inlineStr">
        <is>
          <t>PRD-0247</t>
        </is>
      </c>
      <c r="F411" s="8" t="inlineStr">
        <is>
          <t>1</t>
        </is>
      </c>
      <c r="G411" s="9" t="n">
        <v>878.4</v>
      </c>
      <c r="H411" s="8" t="inlineStr">
        <is>
          <t>0.2</t>
        </is>
      </c>
      <c r="I411" s="8" t="inlineStr">
        <is>
          <t>Standard Ground</t>
        </is>
      </c>
      <c r="J411" s="8" t="inlineStr">
        <is>
          <t>Direct Web</t>
        </is>
      </c>
      <c r="K411" s="8" t="inlineStr">
        <is>
          <t>REG-NA</t>
        </is>
      </c>
    </row>
    <row r="412">
      <c r="A412" s="8" t="inlineStr">
        <is>
          <t>ORD-000197</t>
        </is>
      </c>
      <c r="B412" s="8" t="inlineStr">
        <is>
          <t>2025-08-26</t>
        </is>
      </c>
      <c r="C412" s="8" t="inlineStr">
        <is>
          <t>CUST-07135</t>
        </is>
      </c>
      <c r="D412" s="8" t="inlineStr">
        <is>
          <t>Mark Nguyen</t>
        </is>
      </c>
      <c r="E412" s="8" t="inlineStr">
        <is>
          <t>PRD-0360</t>
        </is>
      </c>
      <c r="F412" s="8" t="inlineStr">
        <is>
          <t>1</t>
        </is>
      </c>
      <c r="G412" s="9" t="n">
        <v>465.92</v>
      </c>
      <c r="H412" s="8" t="inlineStr">
        <is>
          <t>0.2</t>
        </is>
      </c>
      <c r="I412" s="8" t="inlineStr">
        <is>
          <t>Standard Ground</t>
        </is>
      </c>
      <c r="J412" s="8" t="inlineStr">
        <is>
          <t>Direct Web</t>
        </is>
      </c>
      <c r="K412" s="8" t="inlineStr">
        <is>
          <t>REG-NA</t>
        </is>
      </c>
    </row>
    <row r="413">
      <c r="A413" s="8" t="inlineStr">
        <is>
          <t>ORD-000198</t>
        </is>
      </c>
      <c r="B413" s="8" t="inlineStr">
        <is>
          <t>2023-09-27</t>
        </is>
      </c>
      <c r="C413" s="8" t="inlineStr">
        <is>
          <t>CUST-07482</t>
        </is>
      </c>
      <c r="D413" s="8" t="inlineStr">
        <is>
          <t>Jonathan Mitchell</t>
        </is>
      </c>
      <c r="E413" s="8" t="inlineStr">
        <is>
          <t>PRD-0353</t>
        </is>
      </c>
      <c r="F413" s="8" t="inlineStr">
        <is>
          <t>1</t>
        </is>
      </c>
      <c r="G413" s="9" t="n">
        <v>438.24</v>
      </c>
      <c r="H413" s="8" t="inlineStr">
        <is>
          <t>0.1</t>
        </is>
      </c>
      <c r="I413" s="8" t="inlineStr">
        <is>
          <t>Standard Ground</t>
        </is>
      </c>
      <c r="J413" s="8" t="inlineStr">
        <is>
          <t>B2B Portal</t>
        </is>
      </c>
      <c r="K413" s="8" t="inlineStr">
        <is>
          <t>REG-NA</t>
        </is>
      </c>
    </row>
    <row r="414">
      <c r="A414" s="8" t="inlineStr">
        <is>
          <t>ORD-000199</t>
        </is>
      </c>
      <c r="B414" s="8" t="inlineStr">
        <is>
          <t>2023-02-17</t>
        </is>
      </c>
      <c r="C414" s="8" t="inlineStr">
        <is>
          <t>CUST-04013</t>
        </is>
      </c>
      <c r="D414" s="8" t="inlineStr">
        <is>
          <t>Andrew Ramirez</t>
        </is>
      </c>
      <c r="E414" s="8" t="inlineStr">
        <is>
          <t>PRD-0014</t>
        </is>
      </c>
      <c r="F414" s="8" t="inlineStr">
        <is>
          <t>1</t>
        </is>
      </c>
      <c r="G414" s="9" t="n">
        <v>958.87</v>
      </c>
      <c r="H414" s="8" t="inlineStr">
        <is>
          <t>0.25</t>
        </is>
      </c>
      <c r="I414" s="8" t="inlineStr">
        <is>
          <t>Express Air</t>
        </is>
      </c>
      <c r="J414" s="8" t="inlineStr">
        <is>
          <t>Mobile App</t>
        </is>
      </c>
      <c r="K414" s="8" t="inlineStr">
        <is>
          <t>REG-NA</t>
        </is>
      </c>
    </row>
    <row r="415">
      <c r="A415" s="8" t="inlineStr">
        <is>
          <t>ORD-000200</t>
        </is>
      </c>
      <c r="B415" s="8" t="inlineStr">
        <is>
          <t>2023-10-08</t>
        </is>
      </c>
      <c r="C415" s="8" t="inlineStr">
        <is>
          <t>CUST-06273</t>
        </is>
      </c>
      <c r="D415" s="8" t="inlineStr">
        <is>
          <t>Margaret Johnson</t>
        </is>
      </c>
      <c r="E415" s="8" t="inlineStr">
        <is>
          <t>PRD-0042</t>
        </is>
      </c>
      <c r="F415" s="8" t="inlineStr">
        <is>
          <t>1</t>
        </is>
      </c>
      <c r="G415" s="9" t="n">
        <v>758.99</v>
      </c>
      <c r="H415" s="8" t="inlineStr">
        <is>
          <t>0.0</t>
        </is>
      </c>
      <c r="I415" s="8" t="inlineStr">
        <is>
          <t>Freight</t>
        </is>
      </c>
      <c r="J415" s="8" t="inlineStr">
        <is>
          <t>Direct Web</t>
        </is>
      </c>
      <c r="K415" s="8" t="inlineStr">
        <is>
          <t>REG-NA</t>
        </is>
      </c>
    </row>
    <row r="416">
      <c r="A416" s="8" t="inlineStr">
        <is>
          <t>ORD-000200</t>
        </is>
      </c>
      <c r="B416" s="8" t="inlineStr">
        <is>
          <t>2023-10-08</t>
        </is>
      </c>
      <c r="C416" s="8" t="inlineStr">
        <is>
          <t>CUST-06273</t>
        </is>
      </c>
      <c r="D416" s="8" t="inlineStr">
        <is>
          <t>Margaret Johnson</t>
        </is>
      </c>
      <c r="E416" s="8" t="inlineStr">
        <is>
          <t>PRD-0229</t>
        </is>
      </c>
      <c r="F416" s="8" t="inlineStr">
        <is>
          <t>1</t>
        </is>
      </c>
      <c r="G416" s="9" t="n">
        <v>31.96</v>
      </c>
      <c r="H416" s="8" t="inlineStr">
        <is>
          <t>0.1</t>
        </is>
      </c>
      <c r="I416" s="8" t="inlineStr">
        <is>
          <t>Freight</t>
        </is>
      </c>
      <c r="J416" s="8" t="inlineStr">
        <is>
          <t>Direct Web</t>
        </is>
      </c>
      <c r="K416" s="8" t="inlineStr">
        <is>
          <t>REG-NA</t>
        </is>
      </c>
    </row>
    <row r="417">
      <c r="A417" s="8" t="inlineStr">
        <is>
          <t>ORD-000200</t>
        </is>
      </c>
      <c r="B417" s="8" t="inlineStr">
        <is>
          <t>2023-10-08</t>
        </is>
      </c>
      <c r="C417" s="8" t="inlineStr">
        <is>
          <t>CUST-06273</t>
        </is>
      </c>
      <c r="D417" s="8" t="inlineStr">
        <is>
          <t>Margaret Johnson</t>
        </is>
      </c>
      <c r="E417" s="8" t="inlineStr">
        <is>
          <t>PRD-0423</t>
        </is>
      </c>
      <c r="F417" s="8" t="inlineStr">
        <is>
          <t>1</t>
        </is>
      </c>
      <c r="G417" s="9" t="n">
        <v>922.78</v>
      </c>
      <c r="H417" s="8" t="inlineStr">
        <is>
          <t>0.05</t>
        </is>
      </c>
      <c r="I417" s="8" t="inlineStr">
        <is>
          <t>Freight</t>
        </is>
      </c>
      <c r="J417" s="8" t="inlineStr">
        <is>
          <t>Direct Web</t>
        </is>
      </c>
      <c r="K417" s="8" t="inlineStr">
        <is>
          <t>REG-NA</t>
        </is>
      </c>
    </row>
    <row r="418">
      <c r="A418" s="8" t="inlineStr">
        <is>
          <t>ORD-000201</t>
        </is>
      </c>
      <c r="B418" s="8" t="inlineStr">
        <is>
          <t>2025-06-21</t>
        </is>
      </c>
      <c r="C418" s="8" t="inlineStr">
        <is>
          <t>CUST-03573</t>
        </is>
      </c>
      <c r="D418" s="8" t="inlineStr">
        <is>
          <t>John Gonzalez</t>
        </is>
      </c>
      <c r="E418" s="8" t="inlineStr">
        <is>
          <t>PRD-0497</t>
        </is>
      </c>
      <c r="F418" s="8" t="inlineStr">
        <is>
          <t>8</t>
        </is>
      </c>
      <c r="G418" s="9" t="n">
        <v>620.15</v>
      </c>
      <c r="H418" s="8" t="inlineStr">
        <is>
          <t>0.05</t>
        </is>
      </c>
      <c r="I418" s="8" t="inlineStr">
        <is>
          <t>Express Air</t>
        </is>
      </c>
      <c r="J418" s="8" t="inlineStr">
        <is>
          <t>Mobile App</t>
        </is>
      </c>
      <c r="K418" s="8" t="inlineStr">
        <is>
          <t>REG-LATAM</t>
        </is>
      </c>
    </row>
    <row r="419">
      <c r="A419" s="8" t="inlineStr">
        <is>
          <t>ORD-000202</t>
        </is>
      </c>
      <c r="B419" s="8" t="inlineStr">
        <is>
          <t>2024-01-07</t>
        </is>
      </c>
      <c r="C419" s="8" t="inlineStr">
        <is>
          <t>CUST-00933</t>
        </is>
      </c>
      <c r="D419" s="8" t="inlineStr">
        <is>
          <t>Jennifer James</t>
        </is>
      </c>
      <c r="E419" s="8" t="inlineStr">
        <is>
          <t>PRD-0374</t>
        </is>
      </c>
      <c r="F419" s="8" t="inlineStr">
        <is>
          <t>1</t>
        </is>
      </c>
      <c r="G419" s="9" t="n">
        <v>549.09</v>
      </c>
      <c r="H419" s="8" t="inlineStr">
        <is>
          <t>0.1</t>
        </is>
      </c>
      <c r="I419" s="8" t="inlineStr">
        <is>
          <t>Express Air</t>
        </is>
      </c>
      <c r="J419" s="8" t="inlineStr">
        <is>
          <t>Mobile App</t>
        </is>
      </c>
      <c r="K419" s="8" t="inlineStr">
        <is>
          <t>REG-NA</t>
        </is>
      </c>
    </row>
    <row r="420">
      <c r="A420" s="8" t="inlineStr">
        <is>
          <t>ORD-000203</t>
        </is>
      </c>
      <c r="B420" s="8" t="inlineStr">
        <is>
          <t>2023-11-14</t>
        </is>
      </c>
      <c r="C420" s="8" t="inlineStr">
        <is>
          <t>CUST-03384</t>
        </is>
      </c>
      <c r="D420" s="8" t="inlineStr">
        <is>
          <t>Margaret Lopez</t>
        </is>
      </c>
      <c r="E420" s="8" t="inlineStr">
        <is>
          <t>PRD-0176</t>
        </is>
      </c>
      <c r="F420" s="8" t="inlineStr">
        <is>
          <t>1</t>
        </is>
      </c>
      <c r="G420" s="9" t="n">
        <v>18.25</v>
      </c>
      <c r="H420" s="8" t="inlineStr">
        <is>
          <t>0.1</t>
        </is>
      </c>
      <c r="I420" s="8" t="inlineStr">
        <is>
          <t>Standard Ground</t>
        </is>
      </c>
      <c r="J420" s="8" t="inlineStr">
        <is>
          <t>B2B Portal</t>
        </is>
      </c>
      <c r="K420" s="8" t="inlineStr">
        <is>
          <t>REG-LATAM</t>
        </is>
      </c>
    </row>
    <row r="421">
      <c r="A421" s="8" t="inlineStr">
        <is>
          <t>ORD-000203</t>
        </is>
      </c>
      <c r="B421" s="8" t="inlineStr">
        <is>
          <t>2023-11-14</t>
        </is>
      </c>
      <c r="C421" s="8" t="inlineStr">
        <is>
          <t>CUST-03384</t>
        </is>
      </c>
      <c r="D421" s="8" t="inlineStr">
        <is>
          <t>Margaret Lopez</t>
        </is>
      </c>
      <c r="E421" s="8" t="inlineStr">
        <is>
          <t>PRD-0258</t>
        </is>
      </c>
      <c r="F421" s="8" t="inlineStr">
        <is>
          <t>1</t>
        </is>
      </c>
      <c r="G421" s="9" t="n">
        <v>636.27</v>
      </c>
      <c r="H421" s="8" t="inlineStr">
        <is>
          <t>0.0</t>
        </is>
      </c>
      <c r="I421" s="8" t="inlineStr">
        <is>
          <t>Standard Ground</t>
        </is>
      </c>
      <c r="J421" s="8" t="inlineStr">
        <is>
          <t>B2B Portal</t>
        </is>
      </c>
      <c r="K421" s="8" t="inlineStr">
        <is>
          <t>REG-LATAM</t>
        </is>
      </c>
    </row>
    <row r="422">
      <c r="A422" s="8" t="inlineStr">
        <is>
          <t>ORD-000204</t>
        </is>
      </c>
      <c r="B422" s="8" t="inlineStr">
        <is>
          <t>2024-12-21</t>
        </is>
      </c>
      <c r="C422" s="8" t="inlineStr">
        <is>
          <t>CUST-03548</t>
        </is>
      </c>
      <c r="D422" s="8" t="inlineStr">
        <is>
          <t>Margaret Lee</t>
        </is>
      </c>
      <c r="E422" s="8" t="inlineStr">
        <is>
          <t>PRD-0416</t>
        </is>
      </c>
      <c r="F422" s="8" t="inlineStr">
        <is>
          <t>2</t>
        </is>
      </c>
      <c r="G422" s="9" t="n">
        <v>39.54</v>
      </c>
      <c r="H422" s="8" t="inlineStr">
        <is>
          <t>0%</t>
        </is>
      </c>
      <c r="I422" s="8" t="inlineStr">
        <is>
          <t>Express Air</t>
        </is>
      </c>
      <c r="J422" s="8" t="inlineStr">
        <is>
          <t>Mobile App</t>
        </is>
      </c>
      <c r="K422" s="8" t="inlineStr">
        <is>
          <t>REG-LATAM</t>
        </is>
      </c>
    </row>
    <row r="423">
      <c r="A423" s="8" t="inlineStr">
        <is>
          <t>ORD-000205</t>
        </is>
      </c>
      <c r="B423" s="8" t="inlineStr">
        <is>
          <t>2024-02-13</t>
        </is>
      </c>
      <c r="C423" s="8" t="inlineStr">
        <is>
          <t>CUST-04208</t>
        </is>
      </c>
      <c r="D423" s="8" t="inlineStr">
        <is>
          <t>Nicole Price</t>
        </is>
      </c>
      <c r="E423" s="8" t="inlineStr">
        <is>
          <t>PRD-0226</t>
        </is>
      </c>
      <c r="F423" s="8" t="inlineStr">
        <is>
          <t>1</t>
        </is>
      </c>
      <c r="G423" s="9" t="n">
        <v>849.36</v>
      </c>
      <c r="H423" s="8" t="inlineStr">
        <is>
          <t>0.05</t>
        </is>
      </c>
      <c r="I423" s="8" t="inlineStr">
        <is>
          <t>Standard Ground</t>
        </is>
      </c>
      <c r="J423" s="8" t="inlineStr">
        <is>
          <t>Affiliate Partner</t>
        </is>
      </c>
      <c r="K423" s="8" t="inlineStr">
        <is>
          <t>REG-NA</t>
        </is>
      </c>
    </row>
    <row r="424">
      <c r="A424" s="8" t="inlineStr">
        <is>
          <t>ORD-000205</t>
        </is>
      </c>
      <c r="B424" s="8" t="inlineStr">
        <is>
          <t>2024-02-13</t>
        </is>
      </c>
      <c r="C424" s="8" t="inlineStr">
        <is>
          <t>CUST-04208</t>
        </is>
      </c>
      <c r="D424" s="8" t="inlineStr">
        <is>
          <t>Nicole Price</t>
        </is>
      </c>
      <c r="E424" s="8" t="inlineStr">
        <is>
          <t>PRD-0303</t>
        </is>
      </c>
      <c r="F424" s="8" t="inlineStr">
        <is>
          <t>1</t>
        </is>
      </c>
      <c r="G424" s="9" t="n">
        <v>61.92</v>
      </c>
      <c r="H424" s="8" t="inlineStr">
        <is>
          <t>0.1</t>
        </is>
      </c>
      <c r="I424" s="8" t="inlineStr">
        <is>
          <t>Standard Ground</t>
        </is>
      </c>
      <c r="J424" s="8" t="inlineStr">
        <is>
          <t>Affiliate Partner</t>
        </is>
      </c>
      <c r="K424" s="8" t="inlineStr">
        <is>
          <t>REG-NA</t>
        </is>
      </c>
    </row>
    <row r="425">
      <c r="A425" s="8" t="inlineStr">
        <is>
          <t>ORD-000206</t>
        </is>
      </c>
      <c r="B425" s="8" t="inlineStr">
        <is>
          <t>2024-03-17</t>
        </is>
      </c>
      <c r="C425" s="8" t="inlineStr"/>
      <c r="D425" s="8" t="inlineStr"/>
      <c r="E425" s="8" t="inlineStr">
        <is>
          <t>PRD-0186</t>
        </is>
      </c>
      <c r="F425" s="8" t="inlineStr">
        <is>
          <t>1</t>
        </is>
      </c>
      <c r="G425" s="9" t="n">
        <v>39.22</v>
      </c>
      <c r="H425" s="8" t="inlineStr">
        <is>
          <t>0.0</t>
        </is>
      </c>
      <c r="I425" s="8" t="inlineStr">
        <is>
          <t>Standard Ground</t>
        </is>
      </c>
      <c r="J425" s="8" t="inlineStr">
        <is>
          <t>Direct Web</t>
        </is>
      </c>
      <c r="K425" s="8" t="inlineStr"/>
    </row>
    <row r="426">
      <c r="A426" s="8" t="inlineStr">
        <is>
          <t>ORD-000206</t>
        </is>
      </c>
      <c r="B426" s="8" t="inlineStr">
        <is>
          <t>2024-03-17</t>
        </is>
      </c>
      <c r="C426" s="8" t="inlineStr"/>
      <c r="D426" s="8" t="inlineStr"/>
      <c r="E426" s="8" t="inlineStr">
        <is>
          <t>PRD-0282</t>
        </is>
      </c>
      <c r="F426" s="8" t="inlineStr">
        <is>
          <t>2</t>
        </is>
      </c>
      <c r="G426" s="9" t="n">
        <v>48.43</v>
      </c>
      <c r="H426" s="8" t="inlineStr">
        <is>
          <t>0.1</t>
        </is>
      </c>
      <c r="I426" s="8" t="inlineStr">
        <is>
          <t>Standard Ground</t>
        </is>
      </c>
      <c r="J426" s="8" t="inlineStr">
        <is>
          <t>Direct Web</t>
        </is>
      </c>
      <c r="K426" s="8" t="inlineStr"/>
    </row>
    <row r="427">
      <c r="A427" s="8" t="inlineStr">
        <is>
          <t>ORD-000207</t>
        </is>
      </c>
      <c r="B427" s="8" t="inlineStr">
        <is>
          <t>2025-02-23</t>
        </is>
      </c>
      <c r="C427" s="8" t="inlineStr">
        <is>
          <t>CUST-05650</t>
        </is>
      </c>
      <c r="D427" s="8" t="inlineStr">
        <is>
          <t>Samuel Hernandez</t>
        </is>
      </c>
      <c r="E427" s="8" t="inlineStr">
        <is>
          <t>PRD-0336</t>
        </is>
      </c>
      <c r="F427" s="8" t="inlineStr">
        <is>
          <t>1</t>
        </is>
      </c>
      <c r="G427" s="9" t="n">
        <v>216.76</v>
      </c>
      <c r="H427" s="8" t="inlineStr">
        <is>
          <t>0.15</t>
        </is>
      </c>
      <c r="I427" s="8" t="inlineStr">
        <is>
          <t>Standard Ground</t>
        </is>
      </c>
      <c r="J427" s="8" t="inlineStr">
        <is>
          <t>Direct Web</t>
        </is>
      </c>
      <c r="K427" s="8" t="inlineStr">
        <is>
          <t>REG-EU</t>
        </is>
      </c>
    </row>
    <row r="428">
      <c r="A428" s="8" t="inlineStr">
        <is>
          <t>ORD-000208</t>
        </is>
      </c>
      <c r="B428" s="8" t="inlineStr">
        <is>
          <t>2025-11-19</t>
        </is>
      </c>
      <c r="C428" s="8" t="inlineStr">
        <is>
          <t>CUST-06484</t>
        </is>
      </c>
      <c r="D428" s="8" t="inlineStr">
        <is>
          <t>Raymond Lopez</t>
        </is>
      </c>
      <c r="E428" s="8" t="inlineStr">
        <is>
          <t>PRD-0372</t>
        </is>
      </c>
      <c r="F428" s="8" t="inlineStr">
        <is>
          <t>1</t>
        </is>
      </c>
      <c r="G428" s="9" t="n">
        <v>519.61</v>
      </c>
      <c r="H428" s="8" t="inlineStr">
        <is>
          <t>0.25</t>
        </is>
      </c>
      <c r="I428" s="8" t="inlineStr">
        <is>
          <t>Express Air</t>
        </is>
      </c>
      <c r="J428" s="8" t="inlineStr">
        <is>
          <t>Direct Web</t>
        </is>
      </c>
      <c r="K428" s="8" t="inlineStr">
        <is>
          <t>REG-EU</t>
        </is>
      </c>
    </row>
    <row r="429">
      <c r="A429" s="8" t="inlineStr">
        <is>
          <t>ORD-000209</t>
        </is>
      </c>
      <c r="B429" s="8" t="inlineStr">
        <is>
          <t>2024-05-26</t>
        </is>
      </c>
      <c r="C429" s="8" t="inlineStr">
        <is>
          <t>CUST-01252</t>
        </is>
      </c>
      <c r="D429" s="8" t="inlineStr">
        <is>
          <t>Sharon Bailey</t>
        </is>
      </c>
      <c r="E429" s="8" t="inlineStr">
        <is>
          <t>PRD-0305</t>
        </is>
      </c>
      <c r="F429" s="8" t="inlineStr">
        <is>
          <t>1</t>
        </is>
      </c>
      <c r="G429" s="9" t="n">
        <v>713.99</v>
      </c>
      <c r="H429" s="8" t="inlineStr">
        <is>
          <t>0.0</t>
        </is>
      </c>
      <c r="I429" s="8" t="inlineStr">
        <is>
          <t>Standard Ground</t>
        </is>
      </c>
      <c r="J429" s="8" t="inlineStr">
        <is>
          <t>Direct Web</t>
        </is>
      </c>
      <c r="K429" s="8" t="inlineStr">
        <is>
          <t>REG-APAC</t>
        </is>
      </c>
    </row>
    <row r="430">
      <c r="A430" s="8" t="inlineStr">
        <is>
          <t>ORD-000209</t>
        </is>
      </c>
      <c r="B430" s="8" t="inlineStr">
        <is>
          <t>2024-05-26</t>
        </is>
      </c>
      <c r="C430" s="8" t="inlineStr">
        <is>
          <t>CUST-01252</t>
        </is>
      </c>
      <c r="D430" s="8" t="inlineStr">
        <is>
          <t>Sharon Bailey</t>
        </is>
      </c>
      <c r="E430" s="8" t="inlineStr">
        <is>
          <t>PRD-0346</t>
        </is>
      </c>
      <c r="F430" s="8" t="inlineStr">
        <is>
          <t>1</t>
        </is>
      </c>
      <c r="G430" s="9" t="n">
        <v>61.49</v>
      </c>
      <c r="H430" s="8" t="inlineStr">
        <is>
          <t>0.0</t>
        </is>
      </c>
      <c r="I430" s="8" t="inlineStr">
        <is>
          <t>Standard Ground</t>
        </is>
      </c>
      <c r="J430" s="8" t="inlineStr">
        <is>
          <t>Direct Web</t>
        </is>
      </c>
      <c r="K430" s="8" t="inlineStr">
        <is>
          <t>REG-APAC</t>
        </is>
      </c>
    </row>
    <row r="431">
      <c r="A431" s="8" t="inlineStr">
        <is>
          <t>ORD-000210</t>
        </is>
      </c>
      <c r="B431" s="8" t="inlineStr">
        <is>
          <t>2025-09-19</t>
        </is>
      </c>
      <c r="C431" s="8" t="inlineStr"/>
      <c r="D431" s="8" t="inlineStr"/>
      <c r="E431" s="8" t="inlineStr">
        <is>
          <t>PRD-0475</t>
        </is>
      </c>
      <c r="F431" s="8" t="inlineStr">
        <is>
          <t>2</t>
        </is>
      </c>
      <c r="G431" s="9" t="n">
        <v>61.15</v>
      </c>
      <c r="H431" s="8" t="inlineStr">
        <is>
          <t>0.0</t>
        </is>
      </c>
      <c r="I431" s="8" t="inlineStr">
        <is>
          <t>Standard Ground</t>
        </is>
      </c>
      <c r="J431" s="8" t="inlineStr">
        <is>
          <t>Direct Web</t>
        </is>
      </c>
      <c r="K431" s="8" t="inlineStr"/>
    </row>
    <row r="432">
      <c r="A432" s="8" t="inlineStr">
        <is>
          <t>ORD-000210</t>
        </is>
      </c>
      <c r="B432" s="8" t="inlineStr">
        <is>
          <t>2025-09-19</t>
        </is>
      </c>
      <c r="C432" s="8" t="inlineStr"/>
      <c r="D432" s="8" t="inlineStr"/>
      <c r="E432" s="8" t="inlineStr">
        <is>
          <t>PRD-0264</t>
        </is>
      </c>
      <c r="F432" s="8" t="inlineStr">
        <is>
          <t>2</t>
        </is>
      </c>
      <c r="G432" s="9" t="n">
        <v>705.08</v>
      </c>
      <c r="H432" s="8" t="inlineStr">
        <is>
          <t>0.05</t>
        </is>
      </c>
      <c r="I432" s="8" t="inlineStr">
        <is>
          <t>Standard Ground</t>
        </is>
      </c>
      <c r="J432" s="8" t="inlineStr">
        <is>
          <t>Direct Web</t>
        </is>
      </c>
      <c r="K432" s="8" t="inlineStr"/>
    </row>
    <row r="433">
      <c r="A433" s="8" t="inlineStr">
        <is>
          <t>ORD-000210</t>
        </is>
      </c>
      <c r="B433" s="8" t="inlineStr">
        <is>
          <t>2025-09-19</t>
        </is>
      </c>
      <c r="C433" s="8" t="inlineStr"/>
      <c r="D433" s="8" t="inlineStr"/>
      <c r="E433" s="8" t="inlineStr">
        <is>
          <t>PRD-0301</t>
        </is>
      </c>
      <c r="F433" s="8" t="inlineStr">
        <is>
          <t>2</t>
        </is>
      </c>
      <c r="G433" s="9" t="n">
        <v>528.29</v>
      </c>
      <c r="H433" s="8" t="inlineStr">
        <is>
          <t>0.1</t>
        </is>
      </c>
      <c r="I433" s="8" t="inlineStr">
        <is>
          <t>Standard Ground</t>
        </is>
      </c>
      <c r="J433" s="8" t="inlineStr">
        <is>
          <t>Direct Web</t>
        </is>
      </c>
      <c r="K433" s="8" t="inlineStr"/>
    </row>
    <row r="434">
      <c r="A434" s="8" t="inlineStr">
        <is>
          <t>ORD-000210</t>
        </is>
      </c>
      <c r="B434" s="8" t="inlineStr">
        <is>
          <t>2025-09-19</t>
        </is>
      </c>
      <c r="C434" s="8" t="inlineStr"/>
      <c r="D434" s="8" t="inlineStr"/>
      <c r="E434" s="8" t="inlineStr">
        <is>
          <t>PRD-0497</t>
        </is>
      </c>
      <c r="F434" s="8" t="inlineStr">
        <is>
          <t>1</t>
        </is>
      </c>
      <c r="G434" s="9" t="n">
        <v>620.15</v>
      </c>
      <c r="H434" s="8" t="inlineStr">
        <is>
          <t>0.05</t>
        </is>
      </c>
      <c r="I434" s="8" t="inlineStr">
        <is>
          <t>Standard Ground</t>
        </is>
      </c>
      <c r="J434" s="8" t="inlineStr">
        <is>
          <t>Direct Web</t>
        </is>
      </c>
      <c r="K434" s="8" t="inlineStr"/>
    </row>
    <row r="435">
      <c r="A435" s="8" t="inlineStr">
        <is>
          <t>ORD-000211</t>
        </is>
      </c>
      <c r="B435" s="8" t="inlineStr">
        <is>
          <t>2025-11-01</t>
        </is>
      </c>
      <c r="C435" s="8" t="inlineStr">
        <is>
          <t>CUST-01869</t>
        </is>
      </c>
      <c r="D435" s="8" t="inlineStr">
        <is>
          <t>Sarah Robinson</t>
        </is>
      </c>
      <c r="E435" s="8" t="inlineStr">
        <is>
          <t>PRD-0418</t>
        </is>
      </c>
      <c r="F435" s="8" t="inlineStr">
        <is>
          <t>1</t>
        </is>
      </c>
      <c r="G435" s="9" t="n">
        <v>287.35</v>
      </c>
      <c r="H435" s="8" t="inlineStr">
        <is>
          <t>20%</t>
        </is>
      </c>
      <c r="I435" s="8" t="inlineStr">
        <is>
          <t>Standard Ground</t>
        </is>
      </c>
      <c r="J435" s="8" t="inlineStr">
        <is>
          <t>Mobile App</t>
        </is>
      </c>
      <c r="K435" s="8" t="inlineStr">
        <is>
          <t>REG-NA</t>
        </is>
      </c>
    </row>
    <row r="436">
      <c r="A436" s="8" t="inlineStr">
        <is>
          <t>ORD-000211</t>
        </is>
      </c>
      <c r="B436" s="8" t="inlineStr">
        <is>
          <t>2025-11-01</t>
        </is>
      </c>
      <c r="C436" s="8" t="inlineStr">
        <is>
          <t>CUST-01869</t>
        </is>
      </c>
      <c r="D436" s="8" t="inlineStr">
        <is>
          <t>Sarah Robinson</t>
        </is>
      </c>
      <c r="E436" s="8" t="inlineStr">
        <is>
          <t>PRD-0376</t>
        </is>
      </c>
      <c r="F436" s="8" t="inlineStr">
        <is>
          <t>2</t>
        </is>
      </c>
      <c r="G436" s="9" t="n">
        <v>219.88</v>
      </c>
      <c r="H436" s="8" t="inlineStr">
        <is>
          <t>0.0</t>
        </is>
      </c>
      <c r="I436" s="8" t="inlineStr">
        <is>
          <t>Standard Ground</t>
        </is>
      </c>
      <c r="J436" s="8" t="inlineStr">
        <is>
          <t>Mobile App</t>
        </is>
      </c>
      <c r="K436" s="8" t="inlineStr">
        <is>
          <t>REG-NA</t>
        </is>
      </c>
    </row>
    <row r="437">
      <c r="A437" s="8" t="inlineStr">
        <is>
          <t>ORD-000211</t>
        </is>
      </c>
      <c r="B437" s="8" t="inlineStr">
        <is>
          <t>2025-11-01</t>
        </is>
      </c>
      <c r="C437" s="8" t="inlineStr">
        <is>
          <t>CUST-01869</t>
        </is>
      </c>
      <c r="D437" s="8" t="inlineStr">
        <is>
          <t>Sarah Robinson</t>
        </is>
      </c>
      <c r="E437" s="8" t="inlineStr">
        <is>
          <t>PRD-0294</t>
        </is>
      </c>
      <c r="F437" s="8" t="inlineStr">
        <is>
          <t>2</t>
        </is>
      </c>
      <c r="G437" s="9" t="n">
        <v>159.21</v>
      </c>
      <c r="H437" s="8" t="inlineStr">
        <is>
          <t>5%</t>
        </is>
      </c>
      <c r="I437" s="8" t="inlineStr">
        <is>
          <t>Standard Ground</t>
        </is>
      </c>
      <c r="J437" s="8" t="inlineStr">
        <is>
          <t>Mobile App</t>
        </is>
      </c>
      <c r="K437" s="8" t="inlineStr">
        <is>
          <t>REG-NA</t>
        </is>
      </c>
    </row>
    <row r="438">
      <c r="A438" s="8" t="inlineStr">
        <is>
          <t>ORD-000212</t>
        </is>
      </c>
      <c r="B438" s="8" t="inlineStr">
        <is>
          <t>2023-08-04</t>
        </is>
      </c>
      <c r="C438" s="8" t="inlineStr">
        <is>
          <t>CUST-01367</t>
        </is>
      </c>
      <c r="D438" s="8" t="inlineStr">
        <is>
          <t>Gary Sanchez</t>
        </is>
      </c>
      <c r="E438" s="8" t="inlineStr">
        <is>
          <t>PRD-0171</t>
        </is>
      </c>
      <c r="F438" s="8" t="inlineStr">
        <is>
          <t>1</t>
        </is>
      </c>
      <c r="G438" s="9" t="n">
        <v>143.61</v>
      </c>
      <c r="H438" s="8" t="inlineStr">
        <is>
          <t>0.0</t>
        </is>
      </c>
      <c r="I438" s="8" t="inlineStr">
        <is>
          <t>Freight</t>
        </is>
      </c>
      <c r="J438" s="8" t="inlineStr">
        <is>
          <t>Affiliate Partner</t>
        </is>
      </c>
      <c r="K438" s="8" t="inlineStr">
        <is>
          <t>REG-APAC</t>
        </is>
      </c>
    </row>
    <row r="439">
      <c r="A439" s="8" t="inlineStr">
        <is>
          <t>ORD-000213</t>
        </is>
      </c>
      <c r="B439" s="8" t="inlineStr">
        <is>
          <t>2024-11-12</t>
        </is>
      </c>
      <c r="C439" s="8" t="inlineStr">
        <is>
          <t>CUST-07855</t>
        </is>
      </c>
      <c r="D439" s="8" t="inlineStr">
        <is>
          <t>Christine Cook</t>
        </is>
      </c>
      <c r="E439" s="8" t="inlineStr">
        <is>
          <t>PRD-0258</t>
        </is>
      </c>
      <c r="F439" s="8" t="inlineStr">
        <is>
          <t>1</t>
        </is>
      </c>
      <c r="G439" s="9" t="n">
        <v>636.27</v>
      </c>
      <c r="H439" s="8" t="inlineStr">
        <is>
          <t>0.25</t>
        </is>
      </c>
      <c r="I439" s="8" t="inlineStr">
        <is>
          <t>Express Air</t>
        </is>
      </c>
      <c r="J439" s="8" t="inlineStr">
        <is>
          <t>Direct Web</t>
        </is>
      </c>
      <c r="K439" s="8" t="inlineStr">
        <is>
          <t>REG-NA</t>
        </is>
      </c>
    </row>
    <row r="440">
      <c r="A440" s="8" t="inlineStr">
        <is>
          <t>ORD-000213</t>
        </is>
      </c>
      <c r="B440" s="8" t="inlineStr">
        <is>
          <t>2024-11-12</t>
        </is>
      </c>
      <c r="C440" s="8" t="inlineStr">
        <is>
          <t>CUST-07855</t>
        </is>
      </c>
      <c r="D440" s="8" t="inlineStr">
        <is>
          <t>Christine Cook</t>
        </is>
      </c>
      <c r="E440" s="8" t="inlineStr">
        <is>
          <t>PRD-0222</t>
        </is>
      </c>
      <c r="F440" s="8" t="inlineStr">
        <is>
          <t>1</t>
        </is>
      </c>
      <c r="G440" s="9" t="n">
        <v>748.03</v>
      </c>
      <c r="H440" s="8" t="inlineStr">
        <is>
          <t>0.05</t>
        </is>
      </c>
      <c r="I440" s="8" t="inlineStr">
        <is>
          <t>Express Air</t>
        </is>
      </c>
      <c r="J440" s="8" t="inlineStr">
        <is>
          <t>Direct Web</t>
        </is>
      </c>
      <c r="K440" s="8" t="inlineStr">
        <is>
          <t>REG-NA</t>
        </is>
      </c>
    </row>
    <row r="441">
      <c r="A441" s="8" t="inlineStr">
        <is>
          <t>ORD-000214</t>
        </is>
      </c>
      <c r="B441" s="8" t="inlineStr">
        <is>
          <t>2025-12-30</t>
        </is>
      </c>
      <c r="C441" s="8" t="inlineStr">
        <is>
          <t>CUST-00969</t>
        </is>
      </c>
      <c r="D441" s="8" t="inlineStr">
        <is>
          <t>Nicholas Gomez</t>
        </is>
      </c>
      <c r="E441" s="8" t="inlineStr">
        <is>
          <t>PRD-0044</t>
        </is>
      </c>
      <c r="F441" s="8" t="inlineStr">
        <is>
          <t>2</t>
        </is>
      </c>
      <c r="G441" s="9" t="n">
        <v>24.94</v>
      </c>
      <c r="H441" s="8" t="inlineStr">
        <is>
          <t>0.0</t>
        </is>
      </c>
      <c r="I441" s="8" t="inlineStr">
        <is>
          <t>Freight</t>
        </is>
      </c>
      <c r="J441" s="8" t="inlineStr">
        <is>
          <t>Mobile App</t>
        </is>
      </c>
      <c r="K441" s="8" t="inlineStr">
        <is>
          <t>REG-NA</t>
        </is>
      </c>
    </row>
    <row r="442">
      <c r="A442" s="8" t="inlineStr">
        <is>
          <t>ORD-000214</t>
        </is>
      </c>
      <c r="B442" s="8" t="inlineStr">
        <is>
          <t>2025-12-30</t>
        </is>
      </c>
      <c r="C442" s="8" t="inlineStr">
        <is>
          <t>CUST-00969</t>
        </is>
      </c>
      <c r="D442" s="8" t="inlineStr">
        <is>
          <t>Nicholas Gomez</t>
        </is>
      </c>
      <c r="E442" s="8" t="inlineStr">
        <is>
          <t>PRD-0066</t>
        </is>
      </c>
      <c r="F442" s="8" t="inlineStr">
        <is>
          <t>1</t>
        </is>
      </c>
      <c r="G442" s="9" t="n">
        <v>976.53</v>
      </c>
      <c r="H442" s="8" t="inlineStr">
        <is>
          <t>0.0</t>
        </is>
      </c>
      <c r="I442" s="8" t="inlineStr">
        <is>
          <t>Freight</t>
        </is>
      </c>
      <c r="J442" s="8" t="inlineStr">
        <is>
          <t>Mobile App</t>
        </is>
      </c>
      <c r="K442" s="8" t="inlineStr">
        <is>
          <t>REG-NA</t>
        </is>
      </c>
    </row>
    <row r="443">
      <c r="A443" s="8" t="inlineStr">
        <is>
          <t>ORD-000214</t>
        </is>
      </c>
      <c r="B443" s="8" t="inlineStr">
        <is>
          <t>2025-12-30</t>
        </is>
      </c>
      <c r="C443" s="8" t="inlineStr">
        <is>
          <t>CUST-00969</t>
        </is>
      </c>
      <c r="D443" s="8" t="inlineStr">
        <is>
          <t>Nicholas Gomez</t>
        </is>
      </c>
      <c r="E443" s="8" t="inlineStr">
        <is>
          <t>PRD-0499</t>
        </is>
      </c>
      <c r="F443" s="8" t="inlineStr">
        <is>
          <t>1</t>
        </is>
      </c>
      <c r="G443" s="9" t="n">
        <v>1089.27</v>
      </c>
      <c r="H443" s="8" t="inlineStr">
        <is>
          <t>0.15</t>
        </is>
      </c>
      <c r="I443" s="8" t="inlineStr">
        <is>
          <t>Freight</t>
        </is>
      </c>
      <c r="J443" s="8" t="inlineStr">
        <is>
          <t>Mobile App</t>
        </is>
      </c>
      <c r="K443" s="8" t="inlineStr">
        <is>
          <t>REG-NA</t>
        </is>
      </c>
    </row>
    <row r="444">
      <c r="A444" s="8" t="inlineStr">
        <is>
          <t>ORD-000214</t>
        </is>
      </c>
      <c r="B444" s="8" t="inlineStr">
        <is>
          <t>2025-12-30</t>
        </is>
      </c>
      <c r="C444" s="8" t="inlineStr">
        <is>
          <t>CUST-00969</t>
        </is>
      </c>
      <c r="D444" s="8" t="inlineStr">
        <is>
          <t>Nicholas Gomez</t>
        </is>
      </c>
      <c r="E444" s="8" t="inlineStr">
        <is>
          <t>PRD-0068</t>
        </is>
      </c>
      <c r="F444" s="8" t="inlineStr">
        <is>
          <t>1</t>
        </is>
      </c>
      <c r="G444" s="9" t="n">
        <v>1340.27</v>
      </c>
      <c r="H444" s="8" t="inlineStr">
        <is>
          <t>0.0</t>
        </is>
      </c>
      <c r="I444" s="8" t="inlineStr">
        <is>
          <t>Freight</t>
        </is>
      </c>
      <c r="J444" s="8" t="inlineStr">
        <is>
          <t>Mobile App</t>
        </is>
      </c>
      <c r="K444" s="8" t="inlineStr">
        <is>
          <t>REG-NA</t>
        </is>
      </c>
    </row>
    <row r="445">
      <c r="A445" s="8" t="inlineStr">
        <is>
          <t>ORD-000214</t>
        </is>
      </c>
      <c r="B445" s="8" t="inlineStr">
        <is>
          <t>2025-12-30</t>
        </is>
      </c>
      <c r="C445" s="8" t="inlineStr">
        <is>
          <t>CUST-00969</t>
        </is>
      </c>
      <c r="D445" s="8" t="inlineStr">
        <is>
          <t>Nicholas Gomez</t>
        </is>
      </c>
      <c r="E445" s="8" t="inlineStr">
        <is>
          <t>PRD-0167</t>
        </is>
      </c>
      <c r="F445" s="8" t="inlineStr">
        <is>
          <t>2</t>
        </is>
      </c>
      <c r="G445" s="9" t="n">
        <v>606.8099999999999</v>
      </c>
      <c r="H445" s="8" t="inlineStr">
        <is>
          <t>0.0</t>
        </is>
      </c>
      <c r="I445" s="8" t="inlineStr">
        <is>
          <t>Freight</t>
        </is>
      </c>
      <c r="J445" s="8" t="inlineStr">
        <is>
          <t>Mobile App</t>
        </is>
      </c>
      <c r="K445" s="8" t="inlineStr">
        <is>
          <t>REG-NA</t>
        </is>
      </c>
    </row>
    <row r="446">
      <c r="A446" s="8" t="inlineStr">
        <is>
          <t>ORD-000215</t>
        </is>
      </c>
      <c r="B446" s="8" t="inlineStr">
        <is>
          <t>2023-08-18</t>
        </is>
      </c>
      <c r="C446" s="8" t="inlineStr">
        <is>
          <t>CUST-07558</t>
        </is>
      </c>
      <c r="D446" s="8" t="inlineStr">
        <is>
          <t>Frank Ross</t>
        </is>
      </c>
      <c r="E446" s="8" t="inlineStr">
        <is>
          <t>PRD-0167</t>
        </is>
      </c>
      <c r="F446" s="8" t="inlineStr">
        <is>
          <t>1</t>
        </is>
      </c>
      <c r="G446" s="9" t="n">
        <v>606.8099999999999</v>
      </c>
      <c r="H446" s="8" t="inlineStr">
        <is>
          <t>0.2</t>
        </is>
      </c>
      <c r="I446" s="8" t="inlineStr">
        <is>
          <t>Express Air</t>
        </is>
      </c>
      <c r="J446" s="8" t="inlineStr">
        <is>
          <t>Direct Web</t>
        </is>
      </c>
      <c r="K446" s="8" t="inlineStr">
        <is>
          <t>REG-NA</t>
        </is>
      </c>
    </row>
    <row r="447">
      <c r="A447" s="8" t="inlineStr">
        <is>
          <t>ORD-000216</t>
        </is>
      </c>
      <c r="B447" s="8" t="inlineStr">
        <is>
          <t>2023-10-22</t>
        </is>
      </c>
      <c r="C447" s="8" t="inlineStr">
        <is>
          <t>CUST-05587</t>
        </is>
      </c>
      <c r="D447" s="8" t="inlineStr">
        <is>
          <t>Edward Hernandez</t>
        </is>
      </c>
      <c r="E447" s="8" t="inlineStr">
        <is>
          <t>PRD-0167</t>
        </is>
      </c>
      <c r="F447" s="8" t="inlineStr">
        <is>
          <t>3</t>
        </is>
      </c>
      <c r="G447" s="9" t="n">
        <v>606.8099999999999</v>
      </c>
      <c r="H447" s="8" t="inlineStr">
        <is>
          <t>0.0</t>
        </is>
      </c>
      <c r="I447" s="8" t="inlineStr">
        <is>
          <t>Standard Ground</t>
        </is>
      </c>
      <c r="J447" s="8" t="inlineStr">
        <is>
          <t>Direct Web</t>
        </is>
      </c>
      <c r="K447" s="8" t="inlineStr">
        <is>
          <t>REG-EU</t>
        </is>
      </c>
    </row>
    <row r="448">
      <c r="A448" s="8" t="inlineStr">
        <is>
          <t>ORD-000216</t>
        </is>
      </c>
      <c r="B448" s="8" t="inlineStr">
        <is>
          <t>2023-10-22</t>
        </is>
      </c>
      <c r="C448" s="8" t="inlineStr">
        <is>
          <t>CUST-05587</t>
        </is>
      </c>
      <c r="D448" s="8" t="inlineStr">
        <is>
          <t>Edward Hernandez</t>
        </is>
      </c>
      <c r="E448" s="8" t="inlineStr">
        <is>
          <t>PRD-0298</t>
        </is>
      </c>
      <c r="F448" s="8" t="inlineStr">
        <is>
          <t>1</t>
        </is>
      </c>
      <c r="G448" s="9" t="n">
        <v>1013.11</v>
      </c>
      <c r="H448" s="8" t="inlineStr">
        <is>
          <t>0.0</t>
        </is>
      </c>
      <c r="I448" s="8" t="inlineStr">
        <is>
          <t>Standard Ground</t>
        </is>
      </c>
      <c r="J448" s="8" t="inlineStr">
        <is>
          <t>Direct Web</t>
        </is>
      </c>
      <c r="K448" s="8" t="inlineStr">
        <is>
          <t>REG-EU</t>
        </is>
      </c>
    </row>
    <row r="449">
      <c r="A449" s="8" t="inlineStr">
        <is>
          <t>ORD-000216</t>
        </is>
      </c>
      <c r="B449" s="8" t="inlineStr">
        <is>
          <t>2023-10-22</t>
        </is>
      </c>
      <c r="C449" s="8" t="inlineStr">
        <is>
          <t>CUST-05587</t>
        </is>
      </c>
      <c r="D449" s="8" t="inlineStr">
        <is>
          <t>Edward Hernandez</t>
        </is>
      </c>
      <c r="E449" s="8" t="inlineStr">
        <is>
          <t>PRD-0162</t>
        </is>
      </c>
      <c r="F449" s="8" t="inlineStr">
        <is>
          <t>2</t>
        </is>
      </c>
      <c r="G449" s="9" t="n">
        <v>192.43</v>
      </c>
      <c r="H449" s="8" t="inlineStr">
        <is>
          <t>0.0</t>
        </is>
      </c>
      <c r="I449" s="8" t="inlineStr">
        <is>
          <t>Standard Ground</t>
        </is>
      </c>
      <c r="J449" s="8" t="inlineStr">
        <is>
          <t>Direct Web</t>
        </is>
      </c>
      <c r="K449" s="8" t="inlineStr">
        <is>
          <t>REG-EU</t>
        </is>
      </c>
    </row>
    <row r="450">
      <c r="A450" s="8" t="inlineStr">
        <is>
          <t>ORD-000216</t>
        </is>
      </c>
      <c r="B450" s="8" t="inlineStr">
        <is>
          <t>2023-10-22</t>
        </is>
      </c>
      <c r="C450" s="8" t="inlineStr">
        <is>
          <t>CUST-05587</t>
        </is>
      </c>
      <c r="D450" s="8" t="inlineStr">
        <is>
          <t>Edward Hernandez</t>
        </is>
      </c>
      <c r="E450" s="8" t="inlineStr">
        <is>
          <t>PRD-0054</t>
        </is>
      </c>
      <c r="F450" s="8" t="inlineStr">
        <is>
          <t>1</t>
        </is>
      </c>
      <c r="G450" s="9" t="n">
        <v>873.8</v>
      </c>
      <c r="H450" s="8" t="inlineStr">
        <is>
          <t>0.0</t>
        </is>
      </c>
      <c r="I450" s="8" t="inlineStr">
        <is>
          <t>Standard Ground</t>
        </is>
      </c>
      <c r="J450" s="8" t="inlineStr">
        <is>
          <t>Direct Web</t>
        </is>
      </c>
      <c r="K450" s="8" t="inlineStr">
        <is>
          <t>REG-EU</t>
        </is>
      </c>
    </row>
    <row r="451">
      <c r="A451" s="8" t="inlineStr">
        <is>
          <t>ORD-000217</t>
        </is>
      </c>
      <c r="B451" s="8" t="inlineStr">
        <is>
          <t>2024-10-04</t>
        </is>
      </c>
      <c r="C451" s="8" t="inlineStr">
        <is>
          <t>CUST-05228</t>
        </is>
      </c>
      <c r="D451" s="8" t="inlineStr">
        <is>
          <t>Nancy Ross</t>
        </is>
      </c>
      <c r="E451" s="8" t="inlineStr">
        <is>
          <t>PRD-0341</t>
        </is>
      </c>
      <c r="F451" s="8" t="inlineStr">
        <is>
          <t>1</t>
        </is>
      </c>
      <c r="G451" s="9" t="n">
        <v>26.88</v>
      </c>
      <c r="H451" s="8" t="inlineStr">
        <is>
          <t>0.1</t>
        </is>
      </c>
      <c r="I451" s="8" t="inlineStr">
        <is>
          <t>Express Air</t>
        </is>
      </c>
      <c r="J451" s="8" t="inlineStr">
        <is>
          <t>Mobile App</t>
        </is>
      </c>
      <c r="K451" s="8" t="inlineStr">
        <is>
          <t>REG-NA</t>
        </is>
      </c>
    </row>
    <row r="452">
      <c r="A452" s="8" t="inlineStr">
        <is>
          <t>ORD-000217</t>
        </is>
      </c>
      <c r="B452" s="8" t="inlineStr">
        <is>
          <t>2024-10-04</t>
        </is>
      </c>
      <c r="C452" s="8" t="inlineStr">
        <is>
          <t>CUST-05228</t>
        </is>
      </c>
      <c r="D452" s="8" t="inlineStr">
        <is>
          <t>Nancy Ross</t>
        </is>
      </c>
      <c r="E452" s="8" t="inlineStr">
        <is>
          <t>PRD-0365</t>
        </is>
      </c>
      <c r="F452" s="8" t="inlineStr">
        <is>
          <t>1</t>
        </is>
      </c>
      <c r="G452" s="9" t="n">
        <v>81.7</v>
      </c>
      <c r="H452" s="8" t="inlineStr">
        <is>
          <t>0.0</t>
        </is>
      </c>
      <c r="I452" s="8" t="inlineStr">
        <is>
          <t>Express Air</t>
        </is>
      </c>
      <c r="J452" s="8" t="inlineStr">
        <is>
          <t>Mobile App</t>
        </is>
      </c>
      <c r="K452" s="8" t="inlineStr">
        <is>
          <t>REG-NA</t>
        </is>
      </c>
    </row>
    <row r="453">
      <c r="A453" s="8" t="inlineStr">
        <is>
          <t>ORD-000218</t>
        </is>
      </c>
      <c r="B453" s="8" t="inlineStr">
        <is>
          <t>2025-03-07</t>
        </is>
      </c>
      <c r="C453" s="8" t="inlineStr">
        <is>
          <t>CUST-01195</t>
        </is>
      </c>
      <c r="D453" s="8" t="inlineStr">
        <is>
          <t>Diane Lopez</t>
        </is>
      </c>
      <c r="E453" s="8" t="inlineStr">
        <is>
          <t>PRD-0241</t>
        </is>
      </c>
      <c r="F453" s="8" t="inlineStr">
        <is>
          <t>1</t>
        </is>
      </c>
      <c r="G453" s="9" t="n">
        <v>91.47</v>
      </c>
      <c r="H453" s="8" t="inlineStr">
        <is>
          <t>0.1</t>
        </is>
      </c>
      <c r="I453" s="8" t="inlineStr">
        <is>
          <t>Standard Ground</t>
        </is>
      </c>
      <c r="J453" s="8" t="inlineStr">
        <is>
          <t>B2B Portal</t>
        </is>
      </c>
      <c r="K453" s="8" t="inlineStr">
        <is>
          <t>REG-NA</t>
        </is>
      </c>
    </row>
    <row r="454">
      <c r="A454" s="8" t="inlineStr">
        <is>
          <t>ORD-000219</t>
        </is>
      </c>
      <c r="B454" s="8" t="inlineStr">
        <is>
          <t>2025-01-11</t>
        </is>
      </c>
      <c r="C454" s="8" t="inlineStr">
        <is>
          <t>CUST-01940</t>
        </is>
      </c>
      <c r="D454" s="8" t="inlineStr">
        <is>
          <t>Ruth Long</t>
        </is>
      </c>
      <c r="E454" s="8" t="inlineStr">
        <is>
          <t>PRD-0189</t>
        </is>
      </c>
      <c r="F454" s="8" t="inlineStr">
        <is>
          <t>1</t>
        </is>
      </c>
      <c r="G454" s="9" t="n">
        <v>526.66</v>
      </c>
      <c r="H454" s="8" t="inlineStr">
        <is>
          <t>0.15</t>
        </is>
      </c>
      <c r="I454" s="8" t="inlineStr">
        <is>
          <t>Freight</t>
        </is>
      </c>
      <c r="J454" s="8" t="inlineStr">
        <is>
          <t>Mobile App</t>
        </is>
      </c>
      <c r="K454" s="8" t="inlineStr">
        <is>
          <t>REG-APAC</t>
        </is>
      </c>
    </row>
    <row r="455">
      <c r="A455" s="8" t="inlineStr">
        <is>
          <t>ORD-000219</t>
        </is>
      </c>
      <c r="B455" s="8" t="inlineStr">
        <is>
          <t>2025-01-11</t>
        </is>
      </c>
      <c r="C455" s="8" t="inlineStr">
        <is>
          <t>CUST-01940</t>
        </is>
      </c>
      <c r="D455" s="8" t="inlineStr">
        <is>
          <t>Ruth Long</t>
        </is>
      </c>
      <c r="E455" s="8" t="inlineStr">
        <is>
          <t>PRD-0179</t>
        </is>
      </c>
      <c r="F455" s="8" t="inlineStr">
        <is>
          <t>1</t>
        </is>
      </c>
      <c r="G455" s="9" t="n">
        <v>409.29</v>
      </c>
      <c r="H455" s="8" t="inlineStr">
        <is>
          <t>0.05</t>
        </is>
      </c>
      <c r="I455" s="8" t="inlineStr">
        <is>
          <t>Freight</t>
        </is>
      </c>
      <c r="J455" s="8" t="inlineStr">
        <is>
          <t>Mobile App</t>
        </is>
      </c>
      <c r="K455" s="8" t="inlineStr">
        <is>
          <t>REG-APAC</t>
        </is>
      </c>
    </row>
    <row r="456">
      <c r="A456" s="8" t="inlineStr">
        <is>
          <t>ORD-000219</t>
        </is>
      </c>
      <c r="B456" s="8" t="inlineStr">
        <is>
          <t>2025-01-11</t>
        </is>
      </c>
      <c r="C456" s="8" t="inlineStr">
        <is>
          <t>CUST-01940</t>
        </is>
      </c>
      <c r="D456" s="8" t="inlineStr">
        <is>
          <t>Ruth Long</t>
        </is>
      </c>
      <c r="E456" s="8" t="inlineStr">
        <is>
          <t>PRD-0189</t>
        </is>
      </c>
      <c r="F456" s="8" t="inlineStr">
        <is>
          <t>1</t>
        </is>
      </c>
      <c r="G456" s="9" t="n">
        <v>526.66</v>
      </c>
      <c r="H456" s="8" t="inlineStr">
        <is>
          <t>0.0</t>
        </is>
      </c>
      <c r="I456" s="8" t="inlineStr">
        <is>
          <t>Freight</t>
        </is>
      </c>
      <c r="J456" s="8" t="inlineStr">
        <is>
          <t>Mobile App</t>
        </is>
      </c>
      <c r="K456" s="8" t="inlineStr">
        <is>
          <t>REG-APAC</t>
        </is>
      </c>
    </row>
    <row r="457">
      <c r="A457" s="8" t="inlineStr">
        <is>
          <t>ORD-000219</t>
        </is>
      </c>
      <c r="B457" s="8" t="inlineStr">
        <is>
          <t>2025-01-11</t>
        </is>
      </c>
      <c r="C457" s="8" t="inlineStr">
        <is>
          <t>CUST-01940</t>
        </is>
      </c>
      <c r="D457" s="8" t="inlineStr">
        <is>
          <t>Ruth Long</t>
        </is>
      </c>
      <c r="E457" s="8" t="inlineStr">
        <is>
          <t>PRD-0410</t>
        </is>
      </c>
      <c r="F457" s="8" t="inlineStr">
        <is>
          <t>1</t>
        </is>
      </c>
      <c r="G457" s="9" t="n">
        <v>13.14</v>
      </c>
      <c r="H457" s="8" t="inlineStr">
        <is>
          <t>0.1</t>
        </is>
      </c>
      <c r="I457" s="8" t="inlineStr">
        <is>
          <t>Freight</t>
        </is>
      </c>
      <c r="J457" s="8" t="inlineStr">
        <is>
          <t>Mobile App</t>
        </is>
      </c>
      <c r="K457" s="8" t="inlineStr">
        <is>
          <t>REG-APAC</t>
        </is>
      </c>
    </row>
    <row r="458">
      <c r="A458" s="8" t="inlineStr">
        <is>
          <t>ORD-000220</t>
        </is>
      </c>
      <c r="B458" s="8" t="inlineStr">
        <is>
          <t>2024-11-08</t>
        </is>
      </c>
      <c r="C458" s="8" t="inlineStr">
        <is>
          <t>CUST-03292</t>
        </is>
      </c>
      <c r="D458" s="8" t="inlineStr">
        <is>
          <t>Jonathan Nelson</t>
        </is>
      </c>
      <c r="E458" s="8" t="inlineStr">
        <is>
          <t>PRD-0344</t>
        </is>
      </c>
      <c r="F458" s="8" t="inlineStr">
        <is>
          <t>5</t>
        </is>
      </c>
      <c r="G458" s="9" t="n">
        <v>337.02</v>
      </c>
      <c r="H458" s="8" t="inlineStr">
        <is>
          <t>0%</t>
        </is>
      </c>
      <c r="I458" s="8" t="inlineStr">
        <is>
          <t>Express Air</t>
        </is>
      </c>
      <c r="J458" s="8" t="inlineStr">
        <is>
          <t>B2B Portal</t>
        </is>
      </c>
      <c r="K458" s="8" t="inlineStr">
        <is>
          <t>REG-EU</t>
        </is>
      </c>
    </row>
    <row r="459">
      <c r="A459" s="8" t="inlineStr">
        <is>
          <t>ORD-000220</t>
        </is>
      </c>
      <c r="B459" s="8" t="inlineStr">
        <is>
          <t>2024-11-08</t>
        </is>
      </c>
      <c r="C459" s="8" t="inlineStr">
        <is>
          <t>CUST-03292</t>
        </is>
      </c>
      <c r="D459" s="8" t="inlineStr">
        <is>
          <t>Jonathan Nelson</t>
        </is>
      </c>
      <c r="E459" s="8" t="inlineStr">
        <is>
          <t>PRD-0444</t>
        </is>
      </c>
      <c r="F459" s="8" t="inlineStr">
        <is>
          <t>10</t>
        </is>
      </c>
      <c r="G459" s="9" t="n">
        <v>11.24</v>
      </c>
      <c r="H459" s="8" t="inlineStr">
        <is>
          <t>0.05</t>
        </is>
      </c>
      <c r="I459" s="8" t="inlineStr">
        <is>
          <t>Express Air</t>
        </is>
      </c>
      <c r="J459" s="8" t="inlineStr">
        <is>
          <t>B2B Portal</t>
        </is>
      </c>
      <c r="K459" s="8" t="inlineStr">
        <is>
          <t>REG-EU</t>
        </is>
      </c>
    </row>
    <row r="460">
      <c r="A460" s="8" t="inlineStr">
        <is>
          <t>ORD-000221</t>
        </is>
      </c>
      <c r="B460" s="8" t="inlineStr">
        <is>
          <t>2025-05-05</t>
        </is>
      </c>
      <c r="C460" s="8" t="inlineStr">
        <is>
          <t>CUST-05007</t>
        </is>
      </c>
      <c r="D460" s="8" t="inlineStr">
        <is>
          <t>George Long</t>
        </is>
      </c>
      <c r="E460" s="8" t="inlineStr">
        <is>
          <t>PRD-0491</t>
        </is>
      </c>
      <c r="F460" s="8" t="inlineStr">
        <is>
          <t>2</t>
        </is>
      </c>
      <c r="G460" s="9" t="n">
        <v>39.93</v>
      </c>
      <c r="H460" s="8" t="inlineStr">
        <is>
          <t>0.05</t>
        </is>
      </c>
      <c r="I460" s="8" t="inlineStr">
        <is>
          <t>Express Air</t>
        </is>
      </c>
      <c r="J460" s="8" t="inlineStr">
        <is>
          <t>Affiliate Partner</t>
        </is>
      </c>
      <c r="K460" s="8" t="inlineStr">
        <is>
          <t>REG-EU</t>
        </is>
      </c>
    </row>
    <row r="461">
      <c r="A461" s="8" t="inlineStr">
        <is>
          <t>ORD-000221</t>
        </is>
      </c>
      <c r="B461" s="8" t="inlineStr">
        <is>
          <t>2025-05-05</t>
        </is>
      </c>
      <c r="C461" s="8" t="inlineStr">
        <is>
          <t>CUST-05007</t>
        </is>
      </c>
      <c r="D461" s="8" t="inlineStr">
        <is>
          <t>George Long</t>
        </is>
      </c>
      <c r="E461" s="8" t="inlineStr">
        <is>
          <t>PRD-0234</t>
        </is>
      </c>
      <c r="F461" s="8" t="inlineStr">
        <is>
          <t>2</t>
        </is>
      </c>
      <c r="G461" s="9" t="n">
        <v>608.75</v>
      </c>
      <c r="H461" s="8" t="inlineStr">
        <is>
          <t>0.0</t>
        </is>
      </c>
      <c r="I461" s="8" t="inlineStr">
        <is>
          <t>Express Air</t>
        </is>
      </c>
      <c r="J461" s="8" t="inlineStr">
        <is>
          <t>Affiliate Partner</t>
        </is>
      </c>
      <c r="K461" s="8" t="inlineStr">
        <is>
          <t>REG-EU</t>
        </is>
      </c>
    </row>
    <row r="462">
      <c r="A462" s="8" t="inlineStr">
        <is>
          <t>ORD-000222</t>
        </is>
      </c>
      <c r="B462" s="8" t="inlineStr">
        <is>
          <t>2023-09-21</t>
        </is>
      </c>
      <c r="C462" s="8" t="inlineStr">
        <is>
          <t>CUST-06510</t>
        </is>
      </c>
      <c r="D462" s="8" t="inlineStr">
        <is>
          <t>Sarah Kim</t>
        </is>
      </c>
      <c r="E462" s="8" t="inlineStr">
        <is>
          <t>PRD-0017</t>
        </is>
      </c>
      <c r="F462" s="8" t="inlineStr">
        <is>
          <t>1</t>
        </is>
      </c>
      <c r="G462" s="9" t="n">
        <v>931.16</v>
      </c>
      <c r="H462" s="8" t="inlineStr">
        <is>
          <t>0.0</t>
        </is>
      </c>
      <c r="I462" s="8" t="inlineStr">
        <is>
          <t>Same-Day Priority</t>
        </is>
      </c>
      <c r="J462" s="8" t="inlineStr">
        <is>
          <t>Direct Web</t>
        </is>
      </c>
      <c r="K462" s="8" t="inlineStr">
        <is>
          <t>REG-LATAM</t>
        </is>
      </c>
    </row>
    <row r="463">
      <c r="A463" s="8" t="inlineStr">
        <is>
          <t>ORD-000223</t>
        </is>
      </c>
      <c r="B463" s="8" t="inlineStr">
        <is>
          <t>2025-12-22</t>
        </is>
      </c>
      <c r="C463" s="8" t="inlineStr">
        <is>
          <t>CUST-00925</t>
        </is>
      </c>
      <c r="D463" s="8" t="inlineStr">
        <is>
          <t>Samuel Rodriguez</t>
        </is>
      </c>
      <c r="E463" s="8" t="inlineStr">
        <is>
          <t>PRD-0019</t>
        </is>
      </c>
      <c r="F463" s="8" t="inlineStr">
        <is>
          <t>2</t>
        </is>
      </c>
      <c r="G463" s="9" t="n">
        <v>444.46</v>
      </c>
      <c r="H463" s="8" t="inlineStr">
        <is>
          <t>0.1</t>
        </is>
      </c>
      <c r="I463" s="8" t="inlineStr">
        <is>
          <t>Standard Ground</t>
        </is>
      </c>
      <c r="J463" s="8" t="inlineStr">
        <is>
          <t>Direct Web</t>
        </is>
      </c>
      <c r="K463" s="8" t="inlineStr">
        <is>
          <t>REG-NA</t>
        </is>
      </c>
    </row>
    <row r="464">
      <c r="A464" s="8" t="inlineStr">
        <is>
          <t>ORD-000224</t>
        </is>
      </c>
      <c r="B464" s="8" t="inlineStr">
        <is>
          <t>2024-11-17</t>
        </is>
      </c>
      <c r="C464" s="8" t="inlineStr">
        <is>
          <t>CUST-00672</t>
        </is>
      </c>
      <c r="D464" s="8" t="inlineStr">
        <is>
          <t>Michelle Lee</t>
        </is>
      </c>
      <c r="E464" s="8" t="inlineStr">
        <is>
          <t>PRD-0103</t>
        </is>
      </c>
      <c r="F464" s="8" t="inlineStr">
        <is>
          <t>1</t>
        </is>
      </c>
      <c r="G464" s="9" t="n">
        <v>33.68</v>
      </c>
      <c r="H464" s="8" t="inlineStr">
        <is>
          <t>0.05</t>
        </is>
      </c>
      <c r="I464" s="8" t="inlineStr">
        <is>
          <t>Same-Day Priority</t>
        </is>
      </c>
      <c r="J464" s="8" t="inlineStr">
        <is>
          <t>Direct Web</t>
        </is>
      </c>
      <c r="K464" s="8" t="inlineStr">
        <is>
          <t>REG-NA</t>
        </is>
      </c>
    </row>
    <row r="465">
      <c r="A465" s="8" t="inlineStr">
        <is>
          <t>ORD-000225</t>
        </is>
      </c>
      <c r="B465" s="8" t="inlineStr">
        <is>
          <t>2023-05-13</t>
        </is>
      </c>
      <c r="C465" s="8" t="inlineStr">
        <is>
          <t>CUST-04092</t>
        </is>
      </c>
      <c r="D465" s="8" t="inlineStr">
        <is>
          <t>Scott Martin</t>
        </is>
      </c>
      <c r="E465" s="8" t="inlineStr">
        <is>
          <t>PRD-0158</t>
        </is>
      </c>
      <c r="F465" s="8" t="inlineStr">
        <is>
          <t>10</t>
        </is>
      </c>
      <c r="G465" s="9" t="n">
        <v>68.3</v>
      </c>
      <c r="H465" s="8" t="inlineStr">
        <is>
          <t>0.05</t>
        </is>
      </c>
      <c r="I465" s="8" t="inlineStr">
        <is>
          <t>Same-Day Priority</t>
        </is>
      </c>
      <c r="J465" s="8" t="inlineStr">
        <is>
          <t>Direct Web</t>
        </is>
      </c>
      <c r="K465" s="8" t="inlineStr">
        <is>
          <t>REG-NA</t>
        </is>
      </c>
    </row>
    <row r="466">
      <c r="A466" s="8" t="inlineStr">
        <is>
          <t>ORD-000226</t>
        </is>
      </c>
      <c r="B466" s="8" t="inlineStr">
        <is>
          <t>2023-10-01</t>
        </is>
      </c>
      <c r="C466" s="8" t="inlineStr">
        <is>
          <t>CUST-07574</t>
        </is>
      </c>
      <c r="D466" s="8" t="inlineStr">
        <is>
          <t>Angela Martinez</t>
        </is>
      </c>
      <c r="E466" s="8" t="inlineStr">
        <is>
          <t>PRD-0114</t>
        </is>
      </c>
      <c r="F466" s="8" t="inlineStr">
        <is>
          <t>1</t>
        </is>
      </c>
      <c r="G466" s="9" t="n">
        <v>49.56</v>
      </c>
      <c r="H466" s="8" t="inlineStr">
        <is>
          <t>0.15</t>
        </is>
      </c>
      <c r="I466" s="8" t="inlineStr">
        <is>
          <t>Standard Ground</t>
        </is>
      </c>
      <c r="J466" s="8" t="inlineStr">
        <is>
          <t>B2B Portal</t>
        </is>
      </c>
      <c r="K466" s="8" t="inlineStr">
        <is>
          <t>REG-LATAM</t>
        </is>
      </c>
    </row>
    <row r="467">
      <c r="A467" s="8" t="inlineStr">
        <is>
          <t>ORD-000227</t>
        </is>
      </c>
      <c r="B467" s="8" t="inlineStr">
        <is>
          <t>2024-07-25</t>
        </is>
      </c>
      <c r="C467" s="8" t="inlineStr">
        <is>
          <t>CUST-00798</t>
        </is>
      </c>
      <c r="D467" s="8" t="inlineStr">
        <is>
          <t>Frank Edwards</t>
        </is>
      </c>
      <c r="E467" s="8" t="inlineStr">
        <is>
          <t>PRD-0377</t>
        </is>
      </c>
      <c r="F467" s="8" t="inlineStr">
        <is>
          <t>1</t>
        </is>
      </c>
      <c r="G467" s="9" t="n">
        <v>961.48</v>
      </c>
      <c r="H467" s="8" t="inlineStr">
        <is>
          <t>0.05</t>
        </is>
      </c>
      <c r="I467" s="8" t="inlineStr">
        <is>
          <t>Express Air</t>
        </is>
      </c>
      <c r="J467" s="8" t="inlineStr">
        <is>
          <t>Direct Web</t>
        </is>
      </c>
      <c r="K467" s="8" t="inlineStr">
        <is>
          <t>REG-EU</t>
        </is>
      </c>
    </row>
    <row r="468">
      <c r="A468" s="8" t="inlineStr">
        <is>
          <t>ORD-000227</t>
        </is>
      </c>
      <c r="B468" s="8" t="inlineStr">
        <is>
          <t>2024-07-25</t>
        </is>
      </c>
      <c r="C468" s="8" t="inlineStr">
        <is>
          <t>CUST-00798</t>
        </is>
      </c>
      <c r="D468" s="8" t="inlineStr">
        <is>
          <t>Frank Edwards</t>
        </is>
      </c>
      <c r="E468" s="8" t="inlineStr">
        <is>
          <t>PRD-0033</t>
        </is>
      </c>
      <c r="F468" s="8" t="inlineStr">
        <is>
          <t>1</t>
        </is>
      </c>
      <c r="G468" s="9" t="n">
        <v>87.68000000000001</v>
      </c>
      <c r="H468" s="8" t="inlineStr">
        <is>
          <t>0.25</t>
        </is>
      </c>
      <c r="I468" s="8" t="inlineStr">
        <is>
          <t>Express Air</t>
        </is>
      </c>
      <c r="J468" s="8" t="inlineStr">
        <is>
          <t>Direct Web</t>
        </is>
      </c>
      <c r="K468" s="8" t="inlineStr">
        <is>
          <t>REG-EU</t>
        </is>
      </c>
    </row>
    <row r="469">
      <c r="A469" s="8" t="inlineStr">
        <is>
          <t>ORD-000228</t>
        </is>
      </c>
      <c r="B469" s="8" t="inlineStr">
        <is>
          <t>2025-11-16</t>
        </is>
      </c>
      <c r="C469" s="8" t="inlineStr">
        <is>
          <t>CUST-06255</t>
        </is>
      </c>
      <c r="D469" s="8" t="inlineStr">
        <is>
          <t>Barbara Gray</t>
        </is>
      </c>
      <c r="E469" s="8" t="inlineStr">
        <is>
          <t>PRD-0225</t>
        </is>
      </c>
      <c r="F469" s="8" t="inlineStr">
        <is>
          <t>1</t>
        </is>
      </c>
      <c r="G469" s="9" t="n">
        <v>266.58</v>
      </c>
      <c r="H469" s="8" t="inlineStr">
        <is>
          <t>0.05</t>
        </is>
      </c>
      <c r="I469" s="8" t="inlineStr">
        <is>
          <t>Standard Ground</t>
        </is>
      </c>
      <c r="J469" s="8" t="inlineStr">
        <is>
          <t>B2B Portal</t>
        </is>
      </c>
      <c r="K469" s="8" t="inlineStr">
        <is>
          <t>REG-EU</t>
        </is>
      </c>
    </row>
    <row r="470">
      <c r="A470" s="8" t="inlineStr">
        <is>
          <t>ORD-000229</t>
        </is>
      </c>
      <c r="B470" s="8" t="inlineStr">
        <is>
          <t>2023-09-12</t>
        </is>
      </c>
      <c r="C470" s="8" t="inlineStr">
        <is>
          <t>CUST-03506</t>
        </is>
      </c>
      <c r="D470" s="8" t="inlineStr">
        <is>
          <t>Elizabeth Green</t>
        </is>
      </c>
      <c r="E470" s="8" t="inlineStr">
        <is>
          <t>PRD-0040</t>
        </is>
      </c>
      <c r="F470" s="8" t="inlineStr">
        <is>
          <t>-1</t>
        </is>
      </c>
      <c r="G470" s="9" t="n">
        <v>28.56</v>
      </c>
      <c r="H470" s="8" t="inlineStr">
        <is>
          <t>0.05</t>
        </is>
      </c>
      <c r="I470" s="8" t="inlineStr">
        <is>
          <t>Standard Ground</t>
        </is>
      </c>
      <c r="J470" s="8" t="inlineStr">
        <is>
          <t>Direct Web</t>
        </is>
      </c>
      <c r="K470" s="8" t="inlineStr">
        <is>
          <t>REG-NA</t>
        </is>
      </c>
    </row>
    <row r="471">
      <c r="A471" s="8" t="inlineStr">
        <is>
          <t>ORD-000229</t>
        </is>
      </c>
      <c r="B471" s="8" t="inlineStr">
        <is>
          <t>2023-09-12</t>
        </is>
      </c>
      <c r="C471" s="8" t="inlineStr">
        <is>
          <t>CUST-03506</t>
        </is>
      </c>
      <c r="D471" s="8" t="inlineStr">
        <is>
          <t>Elizabeth Green</t>
        </is>
      </c>
      <c r="E471" s="8" t="inlineStr">
        <is>
          <t>PRD-0424</t>
        </is>
      </c>
      <c r="F471" s="8" t="inlineStr">
        <is>
          <t>2</t>
        </is>
      </c>
      <c r="G471" s="9" t="n">
        <v>268.72</v>
      </c>
      <c r="H471" s="8" t="inlineStr">
        <is>
          <t>0.2</t>
        </is>
      </c>
      <c r="I471" s="8" t="inlineStr">
        <is>
          <t>Standard Ground</t>
        </is>
      </c>
      <c r="J471" s="8" t="inlineStr">
        <is>
          <t>Direct Web</t>
        </is>
      </c>
      <c r="K471" s="8" t="inlineStr">
        <is>
          <t>REG-NA</t>
        </is>
      </c>
    </row>
    <row r="472">
      <c r="A472" s="8" t="inlineStr">
        <is>
          <t>ORD-000229</t>
        </is>
      </c>
      <c r="B472" s="8" t="inlineStr">
        <is>
          <t>2023-09-12</t>
        </is>
      </c>
      <c r="C472" s="8" t="inlineStr">
        <is>
          <t>CUST-03506</t>
        </is>
      </c>
      <c r="D472" s="8" t="inlineStr">
        <is>
          <t>Elizabeth Green</t>
        </is>
      </c>
      <c r="E472" s="8" t="inlineStr">
        <is>
          <t>PRD-0144</t>
        </is>
      </c>
      <c r="F472" s="8" t="inlineStr">
        <is>
          <t>1</t>
        </is>
      </c>
      <c r="G472" s="9" t="n">
        <v>20.45</v>
      </c>
      <c r="H472" s="8" t="inlineStr">
        <is>
          <t>0.15</t>
        </is>
      </c>
      <c r="I472" s="8" t="inlineStr">
        <is>
          <t>Standard Ground</t>
        </is>
      </c>
      <c r="J472" s="8" t="inlineStr">
        <is>
          <t>Direct Web</t>
        </is>
      </c>
      <c r="K472" s="8" t="inlineStr">
        <is>
          <t>REG-NA</t>
        </is>
      </c>
    </row>
    <row r="473">
      <c r="A473" s="8" t="inlineStr">
        <is>
          <t>ORD-000230</t>
        </is>
      </c>
      <c r="B473" s="8" t="inlineStr">
        <is>
          <t>2023-11-01</t>
        </is>
      </c>
      <c r="C473" s="8" t="inlineStr">
        <is>
          <t>CUST-05069</t>
        </is>
      </c>
      <c r="D473" s="8" t="inlineStr">
        <is>
          <t>Benjamin Reyes</t>
        </is>
      </c>
      <c r="E473" s="8" t="inlineStr">
        <is>
          <t>PRD-0020</t>
        </is>
      </c>
      <c r="F473" s="8" t="inlineStr">
        <is>
          <t>1</t>
        </is>
      </c>
      <c r="G473" s="9" t="n">
        <v>22.42</v>
      </c>
      <c r="H473" s="8" t="inlineStr">
        <is>
          <t>0.1</t>
        </is>
      </c>
      <c r="I473" s="8" t="inlineStr">
        <is>
          <t>Standard Ground</t>
        </is>
      </c>
      <c r="J473" s="8" t="inlineStr">
        <is>
          <t>B2B Portal</t>
        </is>
      </c>
      <c r="K473" s="8" t="inlineStr">
        <is>
          <t>REG-NA</t>
        </is>
      </c>
    </row>
    <row r="474">
      <c r="A474" s="8" t="inlineStr">
        <is>
          <t>ORD-000230</t>
        </is>
      </c>
      <c r="B474" s="8" t="inlineStr">
        <is>
          <t>2023-11-01</t>
        </is>
      </c>
      <c r="C474" s="8" t="inlineStr">
        <is>
          <t>CUST-05069</t>
        </is>
      </c>
      <c r="D474" s="8" t="inlineStr">
        <is>
          <t>Benjamin Reyes</t>
        </is>
      </c>
      <c r="E474" s="8" t="inlineStr">
        <is>
          <t>PRD-0119</t>
        </is>
      </c>
      <c r="F474" s="8" t="inlineStr">
        <is>
          <t>2</t>
        </is>
      </c>
      <c r="G474" s="9" t="n">
        <v>11.35</v>
      </c>
      <c r="H474" s="8" t="inlineStr">
        <is>
          <t>0.05</t>
        </is>
      </c>
      <c r="I474" s="8" t="inlineStr">
        <is>
          <t>Standard Ground</t>
        </is>
      </c>
      <c r="J474" s="8" t="inlineStr">
        <is>
          <t>B2B Portal</t>
        </is>
      </c>
      <c r="K474" s="8" t="inlineStr">
        <is>
          <t>REG-NA</t>
        </is>
      </c>
    </row>
    <row r="475">
      <c r="A475" s="8" t="inlineStr">
        <is>
          <t>ORD-000231</t>
        </is>
      </c>
      <c r="B475" s="8" t="inlineStr">
        <is>
          <t>2024-01-09</t>
        </is>
      </c>
      <c r="C475" s="8" t="inlineStr">
        <is>
          <t>CUST-05246</t>
        </is>
      </c>
      <c r="D475" s="8" t="inlineStr">
        <is>
          <t>Lisa Morris</t>
        </is>
      </c>
      <c r="E475" s="8" t="inlineStr">
        <is>
          <t>PRD-0067</t>
        </is>
      </c>
      <c r="F475" s="8" t="inlineStr">
        <is>
          <t>1</t>
        </is>
      </c>
      <c r="G475" s="9" t="n">
        <v>30.04</v>
      </c>
      <c r="H475" s="8" t="inlineStr">
        <is>
          <t>0.0</t>
        </is>
      </c>
      <c r="I475" s="8" t="inlineStr">
        <is>
          <t>Standard Ground</t>
        </is>
      </c>
      <c r="J475" s="8" t="inlineStr">
        <is>
          <t>Direct Web</t>
        </is>
      </c>
      <c r="K475" s="8" t="inlineStr">
        <is>
          <t>REG-EU</t>
        </is>
      </c>
    </row>
    <row r="476">
      <c r="A476" s="8" t="inlineStr">
        <is>
          <t>ORD-000232</t>
        </is>
      </c>
      <c r="B476" s="8" t="inlineStr">
        <is>
          <t>2024-11-10</t>
        </is>
      </c>
      <c r="C476" s="8" t="inlineStr">
        <is>
          <t>CUST-00186</t>
        </is>
      </c>
      <c r="D476" s="8" t="inlineStr">
        <is>
          <t>Jerry Gonzalez</t>
        </is>
      </c>
      <c r="E476" s="8" t="inlineStr">
        <is>
          <t>PRD-0202</t>
        </is>
      </c>
      <c r="F476" s="8" t="inlineStr">
        <is>
          <t>1</t>
        </is>
      </c>
      <c r="G476" s="9" t="n">
        <v>43.87</v>
      </c>
      <c r="H476" s="8" t="inlineStr">
        <is>
          <t>0.05</t>
        </is>
      </c>
      <c r="I476" s="8" t="inlineStr">
        <is>
          <t>Freight</t>
        </is>
      </c>
      <c r="J476" s="8" t="inlineStr">
        <is>
          <t>B2B Portal</t>
        </is>
      </c>
      <c r="K476" s="8" t="inlineStr">
        <is>
          <t>REG-NA</t>
        </is>
      </c>
    </row>
    <row r="477">
      <c r="A477" s="8" t="inlineStr">
        <is>
          <t>ORD-000232</t>
        </is>
      </c>
      <c r="B477" s="8" t="inlineStr">
        <is>
          <t>2024-11-10</t>
        </is>
      </c>
      <c r="C477" s="8" t="inlineStr">
        <is>
          <t>CUST-00186</t>
        </is>
      </c>
      <c r="D477" s="8" t="inlineStr">
        <is>
          <t>Jerry Gonzalez</t>
        </is>
      </c>
      <c r="E477" s="8" t="inlineStr">
        <is>
          <t>PRD-0067</t>
        </is>
      </c>
      <c r="F477" s="8" t="inlineStr">
        <is>
          <t>1</t>
        </is>
      </c>
      <c r="G477" s="9" t="n">
        <v>30.04</v>
      </c>
      <c r="H477" s="8" t="inlineStr">
        <is>
          <t>0.2</t>
        </is>
      </c>
      <c r="I477" s="8" t="inlineStr">
        <is>
          <t>Freight</t>
        </is>
      </c>
      <c r="J477" s="8" t="inlineStr">
        <is>
          <t>B2B Portal</t>
        </is>
      </c>
      <c r="K477" s="8" t="inlineStr">
        <is>
          <t>REG-NA</t>
        </is>
      </c>
    </row>
    <row r="478">
      <c r="A478" s="8" t="inlineStr">
        <is>
          <t>ORD-000232</t>
        </is>
      </c>
      <c r="B478" s="8" t="inlineStr">
        <is>
          <t>2024-11-10</t>
        </is>
      </c>
      <c r="C478" s="8" t="inlineStr">
        <is>
          <t>CUST-00186</t>
        </is>
      </c>
      <c r="D478" s="8" t="inlineStr">
        <is>
          <t>Jerry Gonzalez</t>
        </is>
      </c>
      <c r="E478" s="8" t="inlineStr">
        <is>
          <t>PRD-0333</t>
        </is>
      </c>
      <c r="F478" s="8" t="inlineStr">
        <is>
          <t>1</t>
        </is>
      </c>
      <c r="G478" s="9" t="n">
        <v>71.70999999999999</v>
      </c>
      <c r="H478" s="8" t="inlineStr">
        <is>
          <t>0.1</t>
        </is>
      </c>
      <c r="I478" s="8" t="inlineStr">
        <is>
          <t>Freight</t>
        </is>
      </c>
      <c r="J478" s="8" t="inlineStr">
        <is>
          <t>B2B Portal</t>
        </is>
      </c>
      <c r="K478" s="8" t="inlineStr">
        <is>
          <t>REG-NA</t>
        </is>
      </c>
    </row>
    <row r="479">
      <c r="A479" s="8" t="inlineStr">
        <is>
          <t>ORD-000232</t>
        </is>
      </c>
      <c r="B479" s="8" t="inlineStr">
        <is>
          <t>2024-11-10</t>
        </is>
      </c>
      <c r="C479" s="8" t="inlineStr">
        <is>
          <t>CUST-00186</t>
        </is>
      </c>
      <c r="D479" s="8" t="inlineStr">
        <is>
          <t>Jerry Gonzalez</t>
        </is>
      </c>
      <c r="E479" s="8" t="inlineStr">
        <is>
          <t>PRD-0063</t>
        </is>
      </c>
      <c r="F479" s="8" t="inlineStr">
        <is>
          <t>4</t>
        </is>
      </c>
      <c r="G479" s="9" t="n">
        <v>62.68</v>
      </c>
      <c r="H479" s="8" t="inlineStr">
        <is>
          <t>0.0</t>
        </is>
      </c>
      <c r="I479" s="8" t="inlineStr">
        <is>
          <t>Freight</t>
        </is>
      </c>
      <c r="J479" s="8" t="inlineStr">
        <is>
          <t>B2B Portal</t>
        </is>
      </c>
      <c r="K479" s="8" t="inlineStr">
        <is>
          <t>REG-NA</t>
        </is>
      </c>
    </row>
    <row r="480">
      <c r="A480" s="8" t="inlineStr">
        <is>
          <t>ORD-000233</t>
        </is>
      </c>
      <c r="B480" s="8" t="inlineStr">
        <is>
          <t>2024-07-16</t>
        </is>
      </c>
      <c r="C480" s="8" t="inlineStr">
        <is>
          <t>CUST-01954</t>
        </is>
      </c>
      <c r="D480" s="8" t="inlineStr">
        <is>
          <t xml:space="preserve">  timothy bennett  </t>
        </is>
      </c>
      <c r="E480" s="8" t="inlineStr">
        <is>
          <t>PRD-0238</t>
        </is>
      </c>
      <c r="F480" s="8" t="inlineStr">
        <is>
          <t>3</t>
        </is>
      </c>
      <c r="G480" s="9" t="n">
        <v>88.5</v>
      </c>
      <c r="H480" s="8" t="inlineStr">
        <is>
          <t>0.2</t>
        </is>
      </c>
      <c r="I480" s="8" t="inlineStr">
        <is>
          <t>Standard Ground</t>
        </is>
      </c>
      <c r="J480" s="8" t="inlineStr">
        <is>
          <t>Direct Web</t>
        </is>
      </c>
      <c r="K480" s="8" t="inlineStr">
        <is>
          <t>REG-NA</t>
        </is>
      </c>
    </row>
    <row r="481">
      <c r="A481" s="8" t="inlineStr">
        <is>
          <t>ORD-000233</t>
        </is>
      </c>
      <c r="B481" s="8" t="inlineStr">
        <is>
          <t>2024-07-16</t>
        </is>
      </c>
      <c r="C481" s="8" t="inlineStr">
        <is>
          <t>CUST-01954</t>
        </is>
      </c>
      <c r="D481" s="8" t="inlineStr">
        <is>
          <t xml:space="preserve">  timothy bennett  </t>
        </is>
      </c>
      <c r="E481" s="8" t="inlineStr">
        <is>
          <t>PRD-0112</t>
        </is>
      </c>
      <c r="F481" s="8" t="inlineStr">
        <is>
          <t>1</t>
        </is>
      </c>
      <c r="G481" s="9" t="n">
        <v>54.82</v>
      </c>
      <c r="H481" s="8" t="inlineStr">
        <is>
          <t>0.05</t>
        </is>
      </c>
      <c r="I481" s="8" t="inlineStr">
        <is>
          <t>Standard Ground</t>
        </is>
      </c>
      <c r="J481" s="8" t="inlineStr">
        <is>
          <t>Direct Web</t>
        </is>
      </c>
      <c r="K481" s="8" t="inlineStr">
        <is>
          <t>REG-NA</t>
        </is>
      </c>
    </row>
    <row r="482">
      <c r="A482" s="8" t="inlineStr">
        <is>
          <t>ORD-000233</t>
        </is>
      </c>
      <c r="B482" s="8" t="inlineStr">
        <is>
          <t>2024-07-16</t>
        </is>
      </c>
      <c r="C482" s="8" t="inlineStr">
        <is>
          <t>CUST-01954</t>
        </is>
      </c>
      <c r="D482" s="8" t="inlineStr">
        <is>
          <t xml:space="preserve">  timothy bennett  </t>
        </is>
      </c>
      <c r="E482" s="8" t="inlineStr">
        <is>
          <t>PRD-0246</t>
        </is>
      </c>
      <c r="F482" s="8" t="inlineStr">
        <is>
          <t>2</t>
        </is>
      </c>
      <c r="G482" s="9" t="n">
        <v>1238.92</v>
      </c>
      <c r="H482" s="8" t="inlineStr">
        <is>
          <t>0.05</t>
        </is>
      </c>
      <c r="I482" s="8" t="inlineStr">
        <is>
          <t>Standard Ground</t>
        </is>
      </c>
      <c r="J482" s="8" t="inlineStr">
        <is>
          <t>Direct Web</t>
        </is>
      </c>
      <c r="K482" s="8" t="inlineStr">
        <is>
          <t>REG-NA</t>
        </is>
      </c>
    </row>
    <row r="483">
      <c r="A483" s="8" t="inlineStr">
        <is>
          <t>ORD-000234</t>
        </is>
      </c>
      <c r="B483" s="8" t="inlineStr">
        <is>
          <t>2025-08-08</t>
        </is>
      </c>
      <c r="C483" s="8" t="inlineStr">
        <is>
          <t>CUST-01786</t>
        </is>
      </c>
      <c r="D483" s="8" t="inlineStr">
        <is>
          <t>Laura Morales</t>
        </is>
      </c>
      <c r="E483" s="8" t="inlineStr">
        <is>
          <t>PRD-0312</t>
        </is>
      </c>
      <c r="F483" s="8" t="inlineStr">
        <is>
          <t>1</t>
        </is>
      </c>
      <c r="G483" s="9" t="n">
        <v>59.31</v>
      </c>
      <c r="H483" s="8" t="inlineStr">
        <is>
          <t>0%</t>
        </is>
      </c>
      <c r="I483" s="8" t="inlineStr">
        <is>
          <t>Express Air</t>
        </is>
      </c>
      <c r="J483" s="8" t="inlineStr">
        <is>
          <t>Direct Web</t>
        </is>
      </c>
      <c r="K483" s="8" t="inlineStr">
        <is>
          <t>REG-EU</t>
        </is>
      </c>
    </row>
    <row r="484">
      <c r="A484" s="8" t="inlineStr">
        <is>
          <t>ORD-000234</t>
        </is>
      </c>
      <c r="B484" s="8" t="inlineStr">
        <is>
          <t>2025-08-08</t>
        </is>
      </c>
      <c r="C484" s="8" t="inlineStr">
        <is>
          <t>CUST-01786</t>
        </is>
      </c>
      <c r="D484" s="8" t="inlineStr">
        <is>
          <t>Laura Morales</t>
        </is>
      </c>
      <c r="E484" s="8" t="inlineStr">
        <is>
          <t>PRD-0243</t>
        </is>
      </c>
      <c r="F484" s="8" t="inlineStr">
        <is>
          <t>1</t>
        </is>
      </c>
      <c r="G484" s="9" t="n">
        <v>510.81</v>
      </c>
      <c r="H484" s="8" t="inlineStr">
        <is>
          <t>0.0</t>
        </is>
      </c>
      <c r="I484" s="8" t="inlineStr">
        <is>
          <t>Express Air</t>
        </is>
      </c>
      <c r="J484" s="8" t="inlineStr">
        <is>
          <t>Direct Web</t>
        </is>
      </c>
      <c r="K484" s="8" t="inlineStr">
        <is>
          <t>REG-EU</t>
        </is>
      </c>
    </row>
    <row r="485">
      <c r="A485" s="8" t="inlineStr">
        <is>
          <t>ORD-000234</t>
        </is>
      </c>
      <c r="B485" s="8" t="inlineStr">
        <is>
          <t>2025-08-08</t>
        </is>
      </c>
      <c r="C485" s="8" t="inlineStr">
        <is>
          <t>CUST-01786</t>
        </is>
      </c>
      <c r="D485" s="8" t="inlineStr">
        <is>
          <t>Laura Morales</t>
        </is>
      </c>
      <c r="E485" s="8" t="inlineStr">
        <is>
          <t>PRD-0451</t>
        </is>
      </c>
      <c r="F485" s="8" t="inlineStr">
        <is>
          <t>3</t>
        </is>
      </c>
      <c r="G485" s="9" t="n">
        <v>664.9400000000001</v>
      </c>
      <c r="H485" s="8" t="inlineStr">
        <is>
          <t>0.3</t>
        </is>
      </c>
      <c r="I485" s="8" t="inlineStr">
        <is>
          <t>Express Air</t>
        </is>
      </c>
      <c r="J485" s="8" t="inlineStr">
        <is>
          <t>Direct Web</t>
        </is>
      </c>
      <c r="K485" s="8" t="inlineStr">
        <is>
          <t>REG-EU</t>
        </is>
      </c>
    </row>
    <row r="486">
      <c r="A486" s="8" t="inlineStr">
        <is>
          <t>ORD-000235</t>
        </is>
      </c>
      <c r="B486" s="8" t="inlineStr">
        <is>
          <t>2024-04-27</t>
        </is>
      </c>
      <c r="C486" s="8" t="inlineStr">
        <is>
          <t>CUST-01084</t>
        </is>
      </c>
      <c r="D486" s="8" t="inlineStr">
        <is>
          <t>Aaron Jackson</t>
        </is>
      </c>
      <c r="E486" s="8" t="inlineStr">
        <is>
          <t>PRD-0193</t>
        </is>
      </c>
      <c r="F486" s="8" t="inlineStr">
        <is>
          <t>1</t>
        </is>
      </c>
      <c r="G486" s="9" t="n">
        <v>791.5</v>
      </c>
      <c r="H486" s="8" t="inlineStr">
        <is>
          <t>0.0</t>
        </is>
      </c>
      <c r="I486" s="8" t="inlineStr">
        <is>
          <t>Express Air</t>
        </is>
      </c>
      <c r="J486" s="8" t="inlineStr">
        <is>
          <t>Direct Web</t>
        </is>
      </c>
      <c r="K486" s="8" t="inlineStr">
        <is>
          <t>REG-APAC</t>
        </is>
      </c>
    </row>
    <row r="487">
      <c r="A487" s="8" t="inlineStr">
        <is>
          <t>ORD-000236</t>
        </is>
      </c>
      <c r="B487" s="8" t="inlineStr">
        <is>
          <t>30-04-2023</t>
        </is>
      </c>
      <c r="C487" s="8" t="inlineStr">
        <is>
          <t>CUST-01346</t>
        </is>
      </c>
      <c r="D487" s="8" t="inlineStr">
        <is>
          <t>Jessica Martin</t>
        </is>
      </c>
      <c r="E487" s="8" t="inlineStr">
        <is>
          <t>PRD-0315</t>
        </is>
      </c>
      <c r="F487" s="8" t="inlineStr">
        <is>
          <t>1</t>
        </is>
      </c>
      <c r="G487" s="9" t="n">
        <v>916</v>
      </c>
      <c r="H487" s="8" t="inlineStr">
        <is>
          <t>0.05</t>
        </is>
      </c>
      <c r="I487" s="8" t="inlineStr">
        <is>
          <t>Same-Day Priority</t>
        </is>
      </c>
      <c r="J487" s="8" t="inlineStr">
        <is>
          <t>Mobile App</t>
        </is>
      </c>
      <c r="K487" s="8" t="inlineStr">
        <is>
          <t>REG-NA</t>
        </is>
      </c>
    </row>
    <row r="488">
      <c r="A488" s="8" t="inlineStr">
        <is>
          <t>ORD-000237</t>
        </is>
      </c>
      <c r="B488" s="8" t="inlineStr">
        <is>
          <t>2023-10-02</t>
        </is>
      </c>
      <c r="C488" s="8" t="inlineStr">
        <is>
          <t>CUST-02940</t>
        </is>
      </c>
      <c r="D488" s="8" t="inlineStr">
        <is>
          <t>Ruth Green</t>
        </is>
      </c>
      <c r="E488" s="8" t="inlineStr">
        <is>
          <t>PRD-0380</t>
        </is>
      </c>
      <c r="F488" s="8" t="inlineStr">
        <is>
          <t>1</t>
        </is>
      </c>
      <c r="G488" s="9" t="n">
        <v>141.11</v>
      </c>
      <c r="H488" s="8" t="inlineStr">
        <is>
          <t>0.05</t>
        </is>
      </c>
      <c r="I488" s="8" t="inlineStr">
        <is>
          <t>Standard Ground</t>
        </is>
      </c>
      <c r="J488" s="8" t="inlineStr">
        <is>
          <t>Direct Web</t>
        </is>
      </c>
      <c r="K488" s="8" t="inlineStr">
        <is>
          <t>REG-EU</t>
        </is>
      </c>
    </row>
    <row r="489">
      <c r="A489" s="8" t="inlineStr">
        <is>
          <t>ORD-000237</t>
        </is>
      </c>
      <c r="B489" s="8" t="inlineStr">
        <is>
          <t>2023-10-02</t>
        </is>
      </c>
      <c r="C489" s="8" t="inlineStr">
        <is>
          <t>CUST-02940</t>
        </is>
      </c>
      <c r="D489" s="8" t="inlineStr">
        <is>
          <t>Ruth Green</t>
        </is>
      </c>
      <c r="E489" s="8" t="inlineStr">
        <is>
          <t>PRD-0258</t>
        </is>
      </c>
      <c r="F489" s="8" t="inlineStr">
        <is>
          <t>1</t>
        </is>
      </c>
      <c r="G489" s="9" t="n">
        <v>636.27</v>
      </c>
      <c r="H489" s="8" t="inlineStr">
        <is>
          <t>0.2</t>
        </is>
      </c>
      <c r="I489" s="8" t="inlineStr">
        <is>
          <t>Standard Ground</t>
        </is>
      </c>
      <c r="J489" s="8" t="inlineStr">
        <is>
          <t>Direct Web</t>
        </is>
      </c>
      <c r="K489" s="8" t="inlineStr">
        <is>
          <t>REG-EU</t>
        </is>
      </c>
    </row>
    <row r="490">
      <c r="A490" s="8" t="inlineStr">
        <is>
          <t>ORD-000237</t>
        </is>
      </c>
      <c r="B490" s="8" t="inlineStr">
        <is>
          <t>2023-10-02</t>
        </is>
      </c>
      <c r="C490" s="8" t="inlineStr">
        <is>
          <t>CUST-02940</t>
        </is>
      </c>
      <c r="D490" s="8" t="inlineStr">
        <is>
          <t>Ruth Green</t>
        </is>
      </c>
      <c r="E490" s="8" t="inlineStr">
        <is>
          <t>PRD-0483</t>
        </is>
      </c>
      <c r="F490" s="8" t="inlineStr">
        <is>
          <t>1</t>
        </is>
      </c>
      <c r="G490" s="9" t="n">
        <v>50.97</v>
      </c>
      <c r="H490" s="8" t="inlineStr">
        <is>
          <t>0.0</t>
        </is>
      </c>
      <c r="I490" s="8" t="inlineStr">
        <is>
          <t>Standard Ground</t>
        </is>
      </c>
      <c r="J490" s="8" t="inlineStr">
        <is>
          <t>Direct Web</t>
        </is>
      </c>
      <c r="K490" s="8" t="inlineStr">
        <is>
          <t>REG-EU</t>
        </is>
      </c>
    </row>
    <row r="491">
      <c r="A491" s="8" t="inlineStr">
        <is>
          <t>ORD-000237</t>
        </is>
      </c>
      <c r="B491" s="8" t="inlineStr">
        <is>
          <t>2023-10-02</t>
        </is>
      </c>
      <c r="C491" s="8" t="inlineStr">
        <is>
          <t>CUST-02940</t>
        </is>
      </c>
      <c r="D491" s="8" t="inlineStr">
        <is>
          <t>Ruth Green</t>
        </is>
      </c>
      <c r="E491" s="8" t="inlineStr">
        <is>
          <t>PRD-0262</t>
        </is>
      </c>
      <c r="F491" s="8" t="inlineStr">
        <is>
          <t>1</t>
        </is>
      </c>
      <c r="G491" s="9" t="n">
        <v>621.74</v>
      </c>
      <c r="H491" s="8" t="inlineStr">
        <is>
          <t>0.05</t>
        </is>
      </c>
      <c r="I491" s="8" t="inlineStr">
        <is>
          <t>Standard Ground</t>
        </is>
      </c>
      <c r="J491" s="8" t="inlineStr">
        <is>
          <t>Direct Web</t>
        </is>
      </c>
      <c r="K491" s="8" t="inlineStr">
        <is>
          <t>REG-EU</t>
        </is>
      </c>
    </row>
    <row r="492">
      <c r="A492" s="8" t="inlineStr">
        <is>
          <t>ORD-000237</t>
        </is>
      </c>
      <c r="B492" s="8" t="inlineStr">
        <is>
          <t>2023-10-02</t>
        </is>
      </c>
      <c r="C492" s="8" t="inlineStr">
        <is>
          <t>CUST-02940</t>
        </is>
      </c>
      <c r="D492" s="8" t="inlineStr">
        <is>
          <t>Ruth Green</t>
        </is>
      </c>
      <c r="E492" s="8" t="inlineStr">
        <is>
          <t>PRD-0438</t>
        </is>
      </c>
      <c r="F492" s="8" t="inlineStr">
        <is>
          <t>1</t>
        </is>
      </c>
      <c r="G492" s="9" t="n">
        <v>981</v>
      </c>
      <c r="H492" s="8" t="inlineStr">
        <is>
          <t>0.1</t>
        </is>
      </c>
      <c r="I492" s="8" t="inlineStr">
        <is>
          <t>Standard Ground</t>
        </is>
      </c>
      <c r="J492" s="8" t="inlineStr">
        <is>
          <t>Direct Web</t>
        </is>
      </c>
      <c r="K492" s="8" t="inlineStr">
        <is>
          <t>REG-EU</t>
        </is>
      </c>
    </row>
    <row r="493">
      <c r="A493" s="8" t="inlineStr">
        <is>
          <t>ORD-000238</t>
        </is>
      </c>
      <c r="B493" s="8" t="inlineStr">
        <is>
          <t>2025-01-04</t>
        </is>
      </c>
      <c r="C493" s="8" t="inlineStr">
        <is>
          <t>CUST-00423</t>
        </is>
      </c>
      <c r="D493" s="8" t="inlineStr">
        <is>
          <t>Jeffrey Gray</t>
        </is>
      </c>
      <c r="E493" s="8" t="inlineStr">
        <is>
          <t>PRD-0073</t>
        </is>
      </c>
      <c r="F493" s="8" t="inlineStr">
        <is>
          <t>1</t>
        </is>
      </c>
      <c r="G493" s="9" t="n">
        <v>508.7</v>
      </c>
      <c r="H493" s="8" t="inlineStr">
        <is>
          <t>0.0</t>
        </is>
      </c>
      <c r="I493" s="8" t="inlineStr">
        <is>
          <t>Express Air</t>
        </is>
      </c>
      <c r="J493" s="8" t="inlineStr">
        <is>
          <t>Mobile App</t>
        </is>
      </c>
      <c r="K493" s="8" t="inlineStr">
        <is>
          <t>REG-NA</t>
        </is>
      </c>
    </row>
    <row r="494">
      <c r="A494" s="8" t="inlineStr">
        <is>
          <t>ORD-000238</t>
        </is>
      </c>
      <c r="B494" s="8" t="inlineStr">
        <is>
          <t>2025-01-04</t>
        </is>
      </c>
      <c r="C494" s="8" t="inlineStr">
        <is>
          <t>CUST-00423</t>
        </is>
      </c>
      <c r="D494" s="8" t="inlineStr">
        <is>
          <t>Jeffrey Gray</t>
        </is>
      </c>
      <c r="E494" s="8" t="inlineStr">
        <is>
          <t>PRD-0260</t>
        </is>
      </c>
      <c r="F494" s="8" t="inlineStr">
        <is>
          <t>1</t>
        </is>
      </c>
      <c r="G494" s="9" t="n">
        <v>13.65</v>
      </c>
      <c r="H494" s="8" t="inlineStr">
        <is>
          <t>0.25</t>
        </is>
      </c>
      <c r="I494" s="8" t="inlineStr">
        <is>
          <t>Express Air</t>
        </is>
      </c>
      <c r="J494" s="8" t="inlineStr">
        <is>
          <t>Mobile App</t>
        </is>
      </c>
      <c r="K494" s="8" t="inlineStr">
        <is>
          <t>REG-NA</t>
        </is>
      </c>
    </row>
    <row r="495">
      <c r="A495" s="8" t="inlineStr">
        <is>
          <t>ORD-000239</t>
        </is>
      </c>
      <c r="B495" s="8" t="inlineStr">
        <is>
          <t>2025-05-15</t>
        </is>
      </c>
      <c r="C495" s="8" t="inlineStr">
        <is>
          <t>CUST-03181</t>
        </is>
      </c>
      <c r="D495" s="8" t="inlineStr">
        <is>
          <t>Angela Flores</t>
        </is>
      </c>
      <c r="E495" s="8" t="inlineStr">
        <is>
          <t>PRD-0026</t>
        </is>
      </c>
      <c r="F495" s="8" t="inlineStr">
        <is>
          <t>3</t>
        </is>
      </c>
      <c r="G495" s="9" t="n">
        <v>469.49</v>
      </c>
      <c r="H495" s="8" t="inlineStr">
        <is>
          <t>0.0</t>
        </is>
      </c>
      <c r="I495" s="8" t="inlineStr">
        <is>
          <t>Standard Ground</t>
        </is>
      </c>
      <c r="J495" s="8" t="inlineStr">
        <is>
          <t>Direct Web</t>
        </is>
      </c>
      <c r="K495" s="8" t="inlineStr">
        <is>
          <t>REG-APAC</t>
        </is>
      </c>
    </row>
    <row r="496">
      <c r="A496" s="8" t="inlineStr">
        <is>
          <t>ORD-000240</t>
        </is>
      </c>
      <c r="B496" s="8" t="inlineStr">
        <is>
          <t>2023-03-05</t>
        </is>
      </c>
      <c r="C496" s="8" t="inlineStr">
        <is>
          <t>CUST-06155</t>
        </is>
      </c>
      <c r="D496" s="8" t="inlineStr">
        <is>
          <t>Sandra Turner</t>
        </is>
      </c>
      <c r="E496" s="8" t="inlineStr">
        <is>
          <t>PRD-0300</t>
        </is>
      </c>
      <c r="F496" s="8" t="inlineStr">
        <is>
          <t>2</t>
        </is>
      </c>
      <c r="G496" s="9" t="n">
        <v>1041.76</v>
      </c>
      <c r="H496" s="8" t="inlineStr">
        <is>
          <t>0.05</t>
        </is>
      </c>
      <c r="I496" s="8" t="inlineStr">
        <is>
          <t>Express Air</t>
        </is>
      </c>
      <c r="J496" s="8" t="inlineStr">
        <is>
          <t>Direct Web</t>
        </is>
      </c>
      <c r="K496" s="8" t="inlineStr">
        <is>
          <t>REG-NA</t>
        </is>
      </c>
    </row>
    <row r="497">
      <c r="A497" s="8" t="inlineStr">
        <is>
          <t>ORD-000241</t>
        </is>
      </c>
      <c r="B497" s="8" t="inlineStr">
        <is>
          <t>2025-03-24</t>
        </is>
      </c>
      <c r="C497" s="8" t="inlineStr">
        <is>
          <t>CUST-00890</t>
        </is>
      </c>
      <c r="D497" s="8" t="inlineStr">
        <is>
          <t>Daniel Johnson</t>
        </is>
      </c>
      <c r="E497" s="8" t="inlineStr">
        <is>
          <t>PRD-0121</t>
        </is>
      </c>
      <c r="F497" s="8" t="inlineStr">
        <is>
          <t>1</t>
        </is>
      </c>
      <c r="G497" s="9" t="n">
        <v>420.86</v>
      </c>
      <c r="H497" s="8" t="inlineStr">
        <is>
          <t>0.0</t>
        </is>
      </c>
      <c r="I497" s="8" t="inlineStr">
        <is>
          <t>Standard Ground</t>
        </is>
      </c>
      <c r="J497" s="8" t="inlineStr">
        <is>
          <t>Direct Web</t>
        </is>
      </c>
      <c r="K497" s="8" t="inlineStr">
        <is>
          <t>REG-APAC</t>
        </is>
      </c>
    </row>
    <row r="498">
      <c r="A498" s="8" t="inlineStr">
        <is>
          <t>ORD-000241</t>
        </is>
      </c>
      <c r="B498" s="8" t="inlineStr">
        <is>
          <t>2025-03-24</t>
        </is>
      </c>
      <c r="C498" s="8" t="inlineStr">
        <is>
          <t>CUST-00890</t>
        </is>
      </c>
      <c r="D498" s="8" t="inlineStr">
        <is>
          <t>Daniel Johnson</t>
        </is>
      </c>
      <c r="E498" s="8" t="inlineStr">
        <is>
          <t>PRD-0112</t>
        </is>
      </c>
      <c r="F498" s="8" t="inlineStr">
        <is>
          <t>1</t>
        </is>
      </c>
      <c r="G498" s="9" t="n">
        <v>54.82</v>
      </c>
      <c r="H498" s="8" t="inlineStr">
        <is>
          <t>0.05</t>
        </is>
      </c>
      <c r="I498" s="8" t="inlineStr">
        <is>
          <t>Standard Ground</t>
        </is>
      </c>
      <c r="J498" s="8" t="inlineStr">
        <is>
          <t>Direct Web</t>
        </is>
      </c>
      <c r="K498" s="8" t="inlineStr">
        <is>
          <t>REG-APAC</t>
        </is>
      </c>
    </row>
    <row r="499">
      <c r="A499" s="8" t="inlineStr">
        <is>
          <t>ORD-000241</t>
        </is>
      </c>
      <c r="B499" s="8" t="inlineStr">
        <is>
          <t>2025-03-24</t>
        </is>
      </c>
      <c r="C499" s="8" t="inlineStr">
        <is>
          <t>CUST-00890</t>
        </is>
      </c>
      <c r="D499" s="8" t="inlineStr">
        <is>
          <t>Daniel Johnson</t>
        </is>
      </c>
      <c r="E499" s="8" t="inlineStr">
        <is>
          <t>PRD-0500</t>
        </is>
      </c>
      <c r="F499" s="8" t="inlineStr">
        <is>
          <t>2</t>
        </is>
      </c>
      <c r="G499" s="9" t="n">
        <v>27.13</v>
      </c>
      <c r="H499" s="8" t="inlineStr">
        <is>
          <t>0.0</t>
        </is>
      </c>
      <c r="I499" s="8" t="inlineStr">
        <is>
          <t>Standard Ground</t>
        </is>
      </c>
      <c r="J499" s="8" t="inlineStr">
        <is>
          <t>Direct Web</t>
        </is>
      </c>
      <c r="K499" s="8" t="inlineStr">
        <is>
          <t>REG-APAC</t>
        </is>
      </c>
    </row>
    <row r="500">
      <c r="A500" s="8" t="inlineStr">
        <is>
          <t>ORD-000242</t>
        </is>
      </c>
      <c r="B500" s="8" t="inlineStr">
        <is>
          <t>2024-12-17</t>
        </is>
      </c>
      <c r="C500" s="8" t="inlineStr">
        <is>
          <t>CUST-01838</t>
        </is>
      </c>
      <c r="D500" s="8" t="inlineStr">
        <is>
          <t>Katherine Walker</t>
        </is>
      </c>
      <c r="E500" s="8" t="inlineStr">
        <is>
          <t>PRD-0338</t>
        </is>
      </c>
      <c r="F500" s="8" t="inlineStr">
        <is>
          <t>1</t>
        </is>
      </c>
      <c r="G500" s="9" t="n">
        <v>76.98999999999999</v>
      </c>
      <c r="H500" s="8" t="inlineStr">
        <is>
          <t>0.0</t>
        </is>
      </c>
      <c r="I500" s="8" t="inlineStr">
        <is>
          <t>Express Air</t>
        </is>
      </c>
      <c r="J500" s="8" t="inlineStr">
        <is>
          <t>Direct Web</t>
        </is>
      </c>
      <c r="K500" s="8" t="inlineStr">
        <is>
          <t>REG-APAC</t>
        </is>
      </c>
    </row>
    <row r="501">
      <c r="A501" s="8" t="inlineStr">
        <is>
          <t>ORD-000243</t>
        </is>
      </c>
      <c r="B501" s="8" t="inlineStr">
        <is>
          <t>2025-05-23</t>
        </is>
      </c>
      <c r="C501" s="8" t="inlineStr">
        <is>
          <t>CUST-05427</t>
        </is>
      </c>
      <c r="D501" s="8" t="inlineStr">
        <is>
          <t xml:space="preserve">  eric torres  </t>
        </is>
      </c>
      <c r="E501" s="8" t="inlineStr">
        <is>
          <t>PRD-0375</t>
        </is>
      </c>
      <c r="F501" s="8" t="inlineStr">
        <is>
          <t>5</t>
        </is>
      </c>
      <c r="G501" s="9" t="n">
        <v>141.42</v>
      </c>
      <c r="H501" s="8" t="inlineStr">
        <is>
          <t>0.05</t>
        </is>
      </c>
      <c r="I501" s="8" t="inlineStr">
        <is>
          <t>Standard Ground</t>
        </is>
      </c>
      <c r="J501" s="8" t="inlineStr">
        <is>
          <t>Direct Web</t>
        </is>
      </c>
      <c r="K501" s="8" t="inlineStr">
        <is>
          <t>REG-APAC</t>
        </is>
      </c>
    </row>
    <row r="502">
      <c r="A502" s="8" t="inlineStr">
        <is>
          <t>ORD-000243</t>
        </is>
      </c>
      <c r="B502" s="8" t="inlineStr">
        <is>
          <t>2025-05-23</t>
        </is>
      </c>
      <c r="C502" s="8" t="inlineStr">
        <is>
          <t>CUST-05427</t>
        </is>
      </c>
      <c r="D502" s="8" t="inlineStr">
        <is>
          <t xml:space="preserve">  eric torres  </t>
        </is>
      </c>
      <c r="E502" s="8" t="inlineStr">
        <is>
          <t>PRD-0475</t>
        </is>
      </c>
      <c r="F502" s="8" t="inlineStr">
        <is>
          <t>5</t>
        </is>
      </c>
      <c r="G502" s="9" t="n">
        <v>61.15</v>
      </c>
      <c r="H502" s="8" t="inlineStr">
        <is>
          <t>0.0</t>
        </is>
      </c>
      <c r="I502" s="8" t="inlineStr">
        <is>
          <t>Standard Ground</t>
        </is>
      </c>
      <c r="J502" s="8" t="inlineStr">
        <is>
          <t>Direct Web</t>
        </is>
      </c>
      <c r="K502" s="8" t="inlineStr">
        <is>
          <t>REG-APAC</t>
        </is>
      </c>
    </row>
    <row r="503">
      <c r="A503" s="8" t="inlineStr">
        <is>
          <t>ORD-000244</t>
        </is>
      </c>
      <c r="B503" s="8" t="inlineStr">
        <is>
          <t>2024-05-13</t>
        </is>
      </c>
      <c r="C503" s="8" t="inlineStr">
        <is>
          <t>CUST-00580</t>
        </is>
      </c>
      <c r="D503" s="8" t="inlineStr">
        <is>
          <t>Justin Ward</t>
        </is>
      </c>
      <c r="E503" s="8" t="inlineStr">
        <is>
          <t>PRD-0375</t>
        </is>
      </c>
      <c r="F503" s="8" t="inlineStr">
        <is>
          <t>1</t>
        </is>
      </c>
      <c r="G503" s="9" t="n">
        <v>141.42</v>
      </c>
      <c r="H503" s="8" t="inlineStr">
        <is>
          <t>0.25</t>
        </is>
      </c>
      <c r="I503" s="8" t="inlineStr">
        <is>
          <t>Standard Ground</t>
        </is>
      </c>
      <c r="J503" s="8" t="inlineStr">
        <is>
          <t>Mobile App</t>
        </is>
      </c>
      <c r="K503" s="8" t="inlineStr">
        <is>
          <t>REG-APAC</t>
        </is>
      </c>
    </row>
    <row r="504">
      <c r="A504" s="8" t="inlineStr">
        <is>
          <t>ORD-000244</t>
        </is>
      </c>
      <c r="B504" s="8" t="inlineStr">
        <is>
          <t>2024-05-13</t>
        </is>
      </c>
      <c r="C504" s="8" t="inlineStr">
        <is>
          <t>CUST-00580</t>
        </is>
      </c>
      <c r="D504" s="8" t="inlineStr">
        <is>
          <t>Justin Ward</t>
        </is>
      </c>
      <c r="E504" s="8" t="inlineStr">
        <is>
          <t>PRD-0395</t>
        </is>
      </c>
      <c r="F504" s="8" t="inlineStr">
        <is>
          <t>2</t>
        </is>
      </c>
      <c r="G504" s="9" t="n">
        <v>875.5700000000001</v>
      </c>
      <c r="H504" s="8" t="inlineStr">
        <is>
          <t>0.0</t>
        </is>
      </c>
      <c r="I504" s="8" t="inlineStr">
        <is>
          <t>Standard Ground</t>
        </is>
      </c>
      <c r="J504" s="8" t="inlineStr">
        <is>
          <t>Mobile App</t>
        </is>
      </c>
      <c r="K504" s="8" t="inlineStr">
        <is>
          <t>REG-APAC</t>
        </is>
      </c>
    </row>
    <row r="505">
      <c r="A505" s="8" t="inlineStr">
        <is>
          <t>ORD-000245</t>
        </is>
      </c>
      <c r="B505" s="8" t="inlineStr">
        <is>
          <t>2023-08-24</t>
        </is>
      </c>
      <c r="C505" s="8" t="inlineStr">
        <is>
          <t>CUST-06454</t>
        </is>
      </c>
      <c r="D505" s="8" t="inlineStr">
        <is>
          <t>Janet Morgan</t>
        </is>
      </c>
      <c r="E505" s="8" t="inlineStr">
        <is>
          <t>PRD-0073</t>
        </is>
      </c>
      <c r="F505" s="8" t="inlineStr">
        <is>
          <t>1</t>
        </is>
      </c>
      <c r="G505" s="9" t="n">
        <v>508.7</v>
      </c>
      <c r="H505" s="8" t="inlineStr">
        <is>
          <t>0.0</t>
        </is>
      </c>
      <c r="I505" s="8" t="inlineStr">
        <is>
          <t>Standard Ground</t>
        </is>
      </c>
      <c r="J505" s="8" t="inlineStr">
        <is>
          <t>Mobile App</t>
        </is>
      </c>
      <c r="K505" s="8" t="inlineStr">
        <is>
          <t>REG-APAC</t>
        </is>
      </c>
    </row>
    <row r="506">
      <c r="A506" s="8" t="inlineStr">
        <is>
          <t>ORD-000245</t>
        </is>
      </c>
      <c r="B506" s="8" t="inlineStr">
        <is>
          <t>2023-08-24</t>
        </is>
      </c>
      <c r="C506" s="8" t="inlineStr">
        <is>
          <t>CUST-06454</t>
        </is>
      </c>
      <c r="D506" s="8" t="inlineStr">
        <is>
          <t>Janet Morgan</t>
        </is>
      </c>
      <c r="E506" s="8" t="inlineStr">
        <is>
          <t>PRD-0116</t>
        </is>
      </c>
      <c r="F506" s="8" t="inlineStr">
        <is>
          <t>2</t>
        </is>
      </c>
      <c r="G506" s="9" t="n">
        <v>177.13</v>
      </c>
      <c r="H506" s="8" t="inlineStr">
        <is>
          <t>0.2</t>
        </is>
      </c>
      <c r="I506" s="8" t="inlineStr">
        <is>
          <t>Standard Ground</t>
        </is>
      </c>
      <c r="J506" s="8" t="inlineStr">
        <is>
          <t>Mobile App</t>
        </is>
      </c>
      <c r="K506" s="8" t="inlineStr">
        <is>
          <t>REG-APAC</t>
        </is>
      </c>
    </row>
    <row r="507">
      <c r="A507" s="8" t="inlineStr">
        <is>
          <t>ORD-000245</t>
        </is>
      </c>
      <c r="B507" s="8" t="inlineStr">
        <is>
          <t>2023-08-24</t>
        </is>
      </c>
      <c r="C507" s="8" t="inlineStr">
        <is>
          <t>CUST-06454</t>
        </is>
      </c>
      <c r="D507" s="8" t="inlineStr">
        <is>
          <t>Janet Morgan</t>
        </is>
      </c>
      <c r="E507" s="8" t="inlineStr">
        <is>
          <t>PRD-0435</t>
        </is>
      </c>
      <c r="F507" s="8" t="inlineStr">
        <is>
          <t>4</t>
        </is>
      </c>
      <c r="G507" s="9" t="n">
        <v>446.59</v>
      </c>
      <c r="H507" s="8" t="inlineStr">
        <is>
          <t>0.0</t>
        </is>
      </c>
      <c r="I507" s="8" t="inlineStr">
        <is>
          <t>Standard Ground</t>
        </is>
      </c>
      <c r="J507" s="8" t="inlineStr">
        <is>
          <t>Mobile App</t>
        </is>
      </c>
      <c r="K507" s="8" t="inlineStr">
        <is>
          <t>REG-APAC</t>
        </is>
      </c>
    </row>
    <row r="508">
      <c r="A508" s="8" t="inlineStr">
        <is>
          <t>ORD-000245</t>
        </is>
      </c>
      <c r="B508" s="8" t="inlineStr">
        <is>
          <t>2023-08-24</t>
        </is>
      </c>
      <c r="C508" s="8" t="inlineStr">
        <is>
          <t>CUST-06454</t>
        </is>
      </c>
      <c r="D508" s="8" t="inlineStr">
        <is>
          <t>Janet Morgan</t>
        </is>
      </c>
      <c r="E508" s="8" t="inlineStr">
        <is>
          <t>PRD-0041</t>
        </is>
      </c>
      <c r="F508" s="8" t="inlineStr">
        <is>
          <t>3</t>
        </is>
      </c>
      <c r="G508" s="9" t="n">
        <v>71.67</v>
      </c>
      <c r="H508" s="8" t="inlineStr">
        <is>
          <t>0.05</t>
        </is>
      </c>
      <c r="I508" s="8" t="inlineStr">
        <is>
          <t>Standard Ground</t>
        </is>
      </c>
      <c r="J508" s="8" t="inlineStr">
        <is>
          <t>Mobile App</t>
        </is>
      </c>
      <c r="K508" s="8" t="inlineStr">
        <is>
          <t>REG-APAC</t>
        </is>
      </c>
    </row>
    <row r="509">
      <c r="A509" s="8" t="inlineStr">
        <is>
          <t>ORD-000246</t>
        </is>
      </c>
      <c r="B509" s="8" t="inlineStr">
        <is>
          <t>2023-08-13</t>
        </is>
      </c>
      <c r="C509" s="8" t="inlineStr">
        <is>
          <t>CUST-04603</t>
        </is>
      </c>
      <c r="D509" s="8" t="inlineStr">
        <is>
          <t>Ryan Hill</t>
        </is>
      </c>
      <c r="E509" s="8" t="inlineStr">
        <is>
          <t>PRD-0081</t>
        </is>
      </c>
      <c r="F509" s="8" t="inlineStr">
        <is>
          <t>1</t>
        </is>
      </c>
      <c r="G509" s="9" t="n">
        <v>62.94</v>
      </c>
      <c r="H509" s="8" t="inlineStr">
        <is>
          <t>0.2</t>
        </is>
      </c>
      <c r="I509" s="8" t="inlineStr">
        <is>
          <t>Standard Ground</t>
        </is>
      </c>
      <c r="J509" s="8" t="inlineStr">
        <is>
          <t>B2B Portal</t>
        </is>
      </c>
      <c r="K509" s="8" t="inlineStr">
        <is>
          <t>REG-APAC</t>
        </is>
      </c>
    </row>
    <row r="510">
      <c r="A510" s="8" t="inlineStr">
        <is>
          <t>ORD-000247</t>
        </is>
      </c>
      <c r="B510" s="8" t="inlineStr">
        <is>
          <t>2024-05-15</t>
        </is>
      </c>
      <c r="C510" s="8" t="inlineStr">
        <is>
          <t>CUST-05266</t>
        </is>
      </c>
      <c r="D510" s="8" t="inlineStr">
        <is>
          <t>Kathleen Thomas</t>
        </is>
      </c>
      <c r="E510" s="8" t="inlineStr">
        <is>
          <t>PRD-0474</t>
        </is>
      </c>
      <c r="F510" s="8" t="inlineStr">
        <is>
          <t>2</t>
        </is>
      </c>
      <c r="G510" s="9" t="n">
        <v>86.79000000000001</v>
      </c>
      <c r="H510" s="8" t="inlineStr">
        <is>
          <t>0.05</t>
        </is>
      </c>
      <c r="I510" s="8" t="inlineStr">
        <is>
          <t>Express Air</t>
        </is>
      </c>
      <c r="J510" s="8" t="inlineStr">
        <is>
          <t>Direct Web</t>
        </is>
      </c>
      <c r="K510" s="8" t="inlineStr">
        <is>
          <t>REG-NA</t>
        </is>
      </c>
    </row>
    <row r="511">
      <c r="A511" s="8" t="inlineStr">
        <is>
          <t>ORD-000247</t>
        </is>
      </c>
      <c r="B511" s="8" t="inlineStr">
        <is>
          <t>2024-05-15</t>
        </is>
      </c>
      <c r="C511" s="8" t="inlineStr">
        <is>
          <t>CUST-05266</t>
        </is>
      </c>
      <c r="D511" s="8" t="inlineStr">
        <is>
          <t>Kathleen Thomas</t>
        </is>
      </c>
      <c r="E511" s="8" t="inlineStr">
        <is>
          <t>PRD-0192</t>
        </is>
      </c>
      <c r="F511" s="8" t="inlineStr">
        <is>
          <t>1</t>
        </is>
      </c>
      <c r="G511" s="9" t="n">
        <v>26.26</v>
      </c>
      <c r="H511" s="8" t="inlineStr">
        <is>
          <t>0.1</t>
        </is>
      </c>
      <c r="I511" s="8" t="inlineStr">
        <is>
          <t>Express Air</t>
        </is>
      </c>
      <c r="J511" s="8" t="inlineStr">
        <is>
          <t>Direct Web</t>
        </is>
      </c>
      <c r="K511" s="8" t="inlineStr">
        <is>
          <t>REG-NA</t>
        </is>
      </c>
    </row>
    <row r="512">
      <c r="A512" s="8" t="inlineStr">
        <is>
          <t>ORD-000248</t>
        </is>
      </c>
      <c r="B512" s="8" t="inlineStr">
        <is>
          <t>2024-05-24</t>
        </is>
      </c>
      <c r="C512" s="8" t="inlineStr">
        <is>
          <t>CUST-00002</t>
        </is>
      </c>
      <c r="D512" s="8" t="inlineStr">
        <is>
          <t>George Gray</t>
        </is>
      </c>
      <c r="E512" s="8" t="inlineStr">
        <is>
          <t>PRD-0407</t>
        </is>
      </c>
      <c r="F512" s="8" t="inlineStr">
        <is>
          <t>2</t>
        </is>
      </c>
      <c r="G512" s="9" t="n">
        <v>515.9299999999999</v>
      </c>
      <c r="H512" s="8" t="inlineStr">
        <is>
          <t>0.15</t>
        </is>
      </c>
      <c r="I512" s="8" t="inlineStr">
        <is>
          <t>Standard Ground</t>
        </is>
      </c>
      <c r="J512" s="8" t="inlineStr">
        <is>
          <t>Direct Web</t>
        </is>
      </c>
      <c r="K512" s="8" t="inlineStr">
        <is>
          <t>REG-EU</t>
        </is>
      </c>
    </row>
    <row r="513">
      <c r="A513" s="8" t="inlineStr">
        <is>
          <t>ORD-000248</t>
        </is>
      </c>
      <c r="B513" s="8" t="inlineStr">
        <is>
          <t>2024-05-24</t>
        </is>
      </c>
      <c r="C513" s="8" t="inlineStr">
        <is>
          <t>CUST-00002</t>
        </is>
      </c>
      <c r="D513" s="8" t="inlineStr">
        <is>
          <t>George Gray</t>
        </is>
      </c>
      <c r="E513" s="8" t="inlineStr">
        <is>
          <t>PRD-0168</t>
        </is>
      </c>
      <c r="F513" s="8" t="inlineStr">
        <is>
          <t>1</t>
        </is>
      </c>
      <c r="G513" s="9" t="n">
        <v>597.34</v>
      </c>
      <c r="H513" s="8" t="inlineStr">
        <is>
          <t>0.0</t>
        </is>
      </c>
      <c r="I513" s="8" t="inlineStr">
        <is>
          <t>Standard Ground</t>
        </is>
      </c>
      <c r="J513" s="8" t="inlineStr">
        <is>
          <t>Direct Web</t>
        </is>
      </c>
      <c r="K513" s="8" t="inlineStr">
        <is>
          <t>REG-EU</t>
        </is>
      </c>
    </row>
    <row r="514">
      <c r="A514" s="8" t="inlineStr">
        <is>
          <t>ORD-000248</t>
        </is>
      </c>
      <c r="B514" s="8" t="inlineStr">
        <is>
          <t>2024-05-24</t>
        </is>
      </c>
      <c r="C514" s="8" t="inlineStr">
        <is>
          <t>CUST-00002</t>
        </is>
      </c>
      <c r="D514" s="8" t="inlineStr">
        <is>
          <t>George Gray</t>
        </is>
      </c>
      <c r="E514" s="8" t="inlineStr">
        <is>
          <t>PRD-0175</t>
        </is>
      </c>
      <c r="F514" s="8" t="inlineStr">
        <is>
          <t>2</t>
        </is>
      </c>
      <c r="G514" s="9" t="n">
        <v>884.72</v>
      </c>
      <c r="H514" s="8" t="inlineStr">
        <is>
          <t>0.2</t>
        </is>
      </c>
      <c r="I514" s="8" t="inlineStr">
        <is>
          <t>Standard Ground</t>
        </is>
      </c>
      <c r="J514" s="8" t="inlineStr">
        <is>
          <t>Direct Web</t>
        </is>
      </c>
      <c r="K514" s="8" t="inlineStr">
        <is>
          <t>REG-EU</t>
        </is>
      </c>
    </row>
    <row r="515">
      <c r="A515" s="8" t="inlineStr">
        <is>
          <t>ORD-000248</t>
        </is>
      </c>
      <c r="B515" s="8" t="inlineStr">
        <is>
          <t>2024-05-24</t>
        </is>
      </c>
      <c r="C515" s="8" t="inlineStr">
        <is>
          <t>CUST-00002</t>
        </is>
      </c>
      <c r="D515" s="8" t="inlineStr">
        <is>
          <t>George Gray</t>
        </is>
      </c>
      <c r="E515" s="8" t="inlineStr">
        <is>
          <t>PRD-0069</t>
        </is>
      </c>
      <c r="F515" s="8" t="inlineStr">
        <is>
          <t>1</t>
        </is>
      </c>
      <c r="G515" s="9" t="n">
        <v>58.36</v>
      </c>
      <c r="H515" s="8" t="inlineStr">
        <is>
          <t>0.05</t>
        </is>
      </c>
      <c r="I515" s="8" t="inlineStr">
        <is>
          <t>Standard Ground</t>
        </is>
      </c>
      <c r="J515" s="8" t="inlineStr">
        <is>
          <t>Direct Web</t>
        </is>
      </c>
      <c r="K515" s="8" t="inlineStr">
        <is>
          <t>REG-EU</t>
        </is>
      </c>
    </row>
    <row r="516">
      <c r="A516" s="8" t="inlineStr">
        <is>
          <t>ORD-000248</t>
        </is>
      </c>
      <c r="B516" s="8" t="inlineStr">
        <is>
          <t>2024-05-24</t>
        </is>
      </c>
      <c r="C516" s="8" t="inlineStr">
        <is>
          <t>CUST-00002</t>
        </is>
      </c>
      <c r="D516" s="8" t="inlineStr">
        <is>
          <t>George Gray</t>
        </is>
      </c>
      <c r="E516" s="8" t="inlineStr">
        <is>
          <t>PRD-0086</t>
        </is>
      </c>
      <c r="F516" s="8" t="inlineStr">
        <is>
          <t>1</t>
        </is>
      </c>
      <c r="G516" s="9" t="n">
        <v>996.2</v>
      </c>
      <c r="H516" s="8" t="inlineStr">
        <is>
          <t>0.0</t>
        </is>
      </c>
      <c r="I516" s="8" t="inlineStr">
        <is>
          <t>Standard Ground</t>
        </is>
      </c>
      <c r="J516" s="8" t="inlineStr">
        <is>
          <t>Direct Web</t>
        </is>
      </c>
      <c r="K516" s="8" t="inlineStr">
        <is>
          <t>REG-EU</t>
        </is>
      </c>
    </row>
    <row r="517">
      <c r="A517" s="8" t="inlineStr">
        <is>
          <t>ORD-000249</t>
        </is>
      </c>
      <c r="B517" s="8" t="inlineStr">
        <is>
          <t>2023-06-28</t>
        </is>
      </c>
      <c r="C517" s="8" t="inlineStr">
        <is>
          <t>CUST-02641</t>
        </is>
      </c>
      <c r="D517" s="8" t="inlineStr">
        <is>
          <t>Robert Long</t>
        </is>
      </c>
      <c r="E517" s="8" t="inlineStr">
        <is>
          <t>PRD-0376</t>
        </is>
      </c>
      <c r="F517" s="8" t="inlineStr">
        <is>
          <t>2</t>
        </is>
      </c>
      <c r="G517" s="9" t="n">
        <v>219.88</v>
      </c>
      <c r="H517" s="8" t="inlineStr">
        <is>
          <t>0.15</t>
        </is>
      </c>
      <c r="I517" s="8" t="inlineStr">
        <is>
          <t>Standard Ground</t>
        </is>
      </c>
      <c r="J517" s="8" t="inlineStr">
        <is>
          <t>Affiliate Partner</t>
        </is>
      </c>
      <c r="K517" s="8" t="inlineStr">
        <is>
          <t>REG-EU</t>
        </is>
      </c>
    </row>
    <row r="518">
      <c r="A518" s="8" t="inlineStr">
        <is>
          <t>ORD-000249</t>
        </is>
      </c>
      <c r="B518" s="8" t="inlineStr">
        <is>
          <t>2023-06-28</t>
        </is>
      </c>
      <c r="C518" s="8" t="inlineStr">
        <is>
          <t>CUST-02641</t>
        </is>
      </c>
      <c r="D518" s="8" t="inlineStr">
        <is>
          <t>Robert Long</t>
        </is>
      </c>
      <c r="E518" s="8" t="inlineStr">
        <is>
          <t>PRD-0347</t>
        </is>
      </c>
      <c r="F518" s="8" t="inlineStr">
        <is>
          <t>-3</t>
        </is>
      </c>
      <c r="G518" s="9" t="n">
        <v>197.61</v>
      </c>
      <c r="H518" s="8" t="inlineStr">
        <is>
          <t>0.05</t>
        </is>
      </c>
      <c r="I518" s="8" t="inlineStr">
        <is>
          <t>Standard Ground</t>
        </is>
      </c>
      <c r="J518" s="8" t="inlineStr">
        <is>
          <t>Affiliate Partner</t>
        </is>
      </c>
      <c r="K518" s="8" t="inlineStr">
        <is>
          <t>REG-EU</t>
        </is>
      </c>
    </row>
    <row r="519">
      <c r="A519" s="8" t="inlineStr">
        <is>
          <t>ORD-000250</t>
        </is>
      </c>
      <c r="B519" s="8" t="inlineStr">
        <is>
          <t>2025-03-30</t>
        </is>
      </c>
      <c r="C519" s="8" t="inlineStr">
        <is>
          <t>CUST-04370</t>
        </is>
      </c>
      <c r="D519" s="8" t="inlineStr">
        <is>
          <t>Brian Hill</t>
        </is>
      </c>
      <c r="E519" s="8" t="inlineStr">
        <is>
          <t>PRD-0315</t>
        </is>
      </c>
      <c r="F519" s="8" t="inlineStr">
        <is>
          <t>5</t>
        </is>
      </c>
      <c r="G519" s="9" t="n">
        <v>916</v>
      </c>
      <c r="H519" s="8" t="inlineStr">
        <is>
          <t>0.1</t>
        </is>
      </c>
      <c r="I519" s="8" t="inlineStr">
        <is>
          <t>Express Air</t>
        </is>
      </c>
      <c r="J519" s="8" t="inlineStr">
        <is>
          <t>B2B Portal</t>
        </is>
      </c>
      <c r="K519" s="8" t="inlineStr">
        <is>
          <t>REG-NA</t>
        </is>
      </c>
    </row>
    <row r="520">
      <c r="A520" s="8" t="inlineStr">
        <is>
          <t>ORD-000250</t>
        </is>
      </c>
      <c r="B520" s="8" t="inlineStr">
        <is>
          <t>2025-03-30</t>
        </is>
      </c>
      <c r="C520" s="8" t="inlineStr">
        <is>
          <t>CUST-04370</t>
        </is>
      </c>
      <c r="D520" s="8" t="inlineStr">
        <is>
          <t>Brian Hill</t>
        </is>
      </c>
      <c r="E520" s="8" t="inlineStr">
        <is>
          <t>PRD-0322</t>
        </is>
      </c>
      <c r="F520" s="8" t="inlineStr">
        <is>
          <t>8</t>
        </is>
      </c>
      <c r="G520" s="9" t="n">
        <v>1239.4</v>
      </c>
      <c r="H520" s="8" t="inlineStr">
        <is>
          <t>0.15</t>
        </is>
      </c>
      <c r="I520" s="8" t="inlineStr">
        <is>
          <t>Express Air</t>
        </is>
      </c>
      <c r="J520" s="8" t="inlineStr">
        <is>
          <t>B2B Portal</t>
        </is>
      </c>
      <c r="K520" s="8" t="inlineStr">
        <is>
          <t>REG-NA</t>
        </is>
      </c>
    </row>
    <row r="521">
      <c r="A521" s="8" t="inlineStr">
        <is>
          <t>ORD-000251</t>
        </is>
      </c>
      <c r="B521" s="8" t="inlineStr">
        <is>
          <t>2023-04-16</t>
        </is>
      </c>
      <c r="C521" s="8" t="inlineStr">
        <is>
          <t>CUST-04591</t>
        </is>
      </c>
      <c r="D521" s="8" t="inlineStr">
        <is>
          <t>Rebecca Sanders</t>
        </is>
      </c>
      <c r="E521" s="8" t="inlineStr">
        <is>
          <t>PRD-0305</t>
        </is>
      </c>
      <c r="F521" s="8" t="inlineStr">
        <is>
          <t>1</t>
        </is>
      </c>
      <c r="G521" s="9" t="n">
        <v>713.99</v>
      </c>
      <c r="H521" s="8" t="inlineStr">
        <is>
          <t>0.0</t>
        </is>
      </c>
      <c r="I521" s="8" t="inlineStr">
        <is>
          <t>Freight</t>
        </is>
      </c>
      <c r="J521" s="8" t="inlineStr">
        <is>
          <t>Mobile App</t>
        </is>
      </c>
      <c r="K521" s="8" t="inlineStr">
        <is>
          <t>REG-EU</t>
        </is>
      </c>
    </row>
    <row r="522">
      <c r="A522" s="8" t="inlineStr">
        <is>
          <t>ORD-000252</t>
        </is>
      </c>
      <c r="B522" s="8" t="inlineStr">
        <is>
          <t>29-12-2024</t>
        </is>
      </c>
      <c r="C522" s="8" t="inlineStr">
        <is>
          <t>CUST-07979</t>
        </is>
      </c>
      <c r="D522" s="8" t="inlineStr">
        <is>
          <t>Andrew Lewis</t>
        </is>
      </c>
      <c r="E522" s="8" t="inlineStr">
        <is>
          <t>PRD-0265</t>
        </is>
      </c>
      <c r="F522" s="8" t="inlineStr">
        <is>
          <t>3</t>
        </is>
      </c>
      <c r="G522" s="9" t="n">
        <v>426.8</v>
      </c>
      <c r="H522" s="8" t="inlineStr">
        <is>
          <t>0.05</t>
        </is>
      </c>
      <c r="I522" s="8" t="inlineStr">
        <is>
          <t>Standard Ground</t>
        </is>
      </c>
      <c r="J522" s="8" t="inlineStr">
        <is>
          <t>Direct Web</t>
        </is>
      </c>
      <c r="K522" s="8" t="inlineStr">
        <is>
          <t>REG-LATAM</t>
        </is>
      </c>
    </row>
    <row r="523">
      <c r="A523" s="8" t="inlineStr">
        <is>
          <t>ORD-000252</t>
        </is>
      </c>
      <c r="B523" s="8" t="inlineStr">
        <is>
          <t>29-12-2024</t>
        </is>
      </c>
      <c r="C523" s="8" t="inlineStr">
        <is>
          <t>CUST-07979</t>
        </is>
      </c>
      <c r="D523" s="8" t="inlineStr">
        <is>
          <t>Andrew Lewis</t>
        </is>
      </c>
      <c r="E523" s="8" t="inlineStr">
        <is>
          <t>PRD-0274</t>
        </is>
      </c>
      <c r="F523" s="8" t="inlineStr">
        <is>
          <t>5</t>
        </is>
      </c>
      <c r="G523" s="9" t="n">
        <v>74.98999999999999</v>
      </c>
      <c r="H523" s="8" t="inlineStr">
        <is>
          <t>0.15</t>
        </is>
      </c>
      <c r="I523" s="8" t="inlineStr">
        <is>
          <t>Standard Ground</t>
        </is>
      </c>
      <c r="J523" s="8" t="inlineStr">
        <is>
          <t>Direct Web</t>
        </is>
      </c>
      <c r="K523" s="8" t="inlineStr">
        <is>
          <t>REG-LATAM</t>
        </is>
      </c>
    </row>
    <row r="524">
      <c r="A524" s="8" t="inlineStr">
        <is>
          <t>ORD-000252</t>
        </is>
      </c>
      <c r="B524" s="8" t="inlineStr">
        <is>
          <t>29-12-2024</t>
        </is>
      </c>
      <c r="C524" s="8" t="inlineStr">
        <is>
          <t>CUST-07979</t>
        </is>
      </c>
      <c r="D524" s="8" t="inlineStr">
        <is>
          <t>Andrew Lewis</t>
        </is>
      </c>
      <c r="E524" s="8" t="inlineStr">
        <is>
          <t>PRD-0139</t>
        </is>
      </c>
      <c r="F524" s="8" t="inlineStr">
        <is>
          <t>5</t>
        </is>
      </c>
      <c r="G524" s="9" t="n">
        <v>402.87</v>
      </c>
      <c r="H524" s="8" t="inlineStr">
        <is>
          <t>0.2</t>
        </is>
      </c>
      <c r="I524" s="8" t="inlineStr">
        <is>
          <t>Standard Ground</t>
        </is>
      </c>
      <c r="J524" s="8" t="inlineStr">
        <is>
          <t>Direct Web</t>
        </is>
      </c>
      <c r="K524" s="8" t="inlineStr">
        <is>
          <t>REG-LATAM</t>
        </is>
      </c>
    </row>
    <row r="525">
      <c r="A525" s="8" t="inlineStr">
        <is>
          <t>ORD-000252</t>
        </is>
      </c>
      <c r="B525" s="8" t="inlineStr">
        <is>
          <t>29-12-2024</t>
        </is>
      </c>
      <c r="C525" s="8" t="inlineStr">
        <is>
          <t>CUST-07979</t>
        </is>
      </c>
      <c r="D525" s="8" t="inlineStr">
        <is>
          <t>Andrew Lewis</t>
        </is>
      </c>
      <c r="E525" s="8" t="inlineStr">
        <is>
          <t>PRD-0056</t>
        </is>
      </c>
      <c r="F525" s="8" t="inlineStr">
        <is>
          <t>2</t>
        </is>
      </c>
      <c r="G525" s="9" t="n">
        <v>243.62</v>
      </c>
      <c r="H525" s="8" t="inlineStr">
        <is>
          <t>0.05</t>
        </is>
      </c>
      <c r="I525" s="8" t="inlineStr">
        <is>
          <t>Standard Ground</t>
        </is>
      </c>
      <c r="J525" s="8" t="inlineStr">
        <is>
          <t>Direct Web</t>
        </is>
      </c>
      <c r="K525" s="8" t="inlineStr">
        <is>
          <t>REG-LATAM</t>
        </is>
      </c>
    </row>
    <row r="526">
      <c r="A526" s="8" t="inlineStr">
        <is>
          <t>ORD-000253</t>
        </is>
      </c>
      <c r="B526" s="8" t="inlineStr">
        <is>
          <t>2025-09-01</t>
        </is>
      </c>
      <c r="C526" s="8" t="inlineStr">
        <is>
          <t>CUST-01912</t>
        </is>
      </c>
      <c r="D526" s="8" t="inlineStr">
        <is>
          <t>Charles Gray</t>
        </is>
      </c>
      <c r="E526" s="8" t="inlineStr">
        <is>
          <t>PRD-0083</t>
        </is>
      </c>
      <c r="F526" s="8" t="inlineStr">
        <is>
          <t>1</t>
        </is>
      </c>
      <c r="G526" s="9" t="n">
        <v>73.41</v>
      </c>
      <c r="H526" s="8" t="inlineStr">
        <is>
          <t>0.1</t>
        </is>
      </c>
      <c r="I526" s="8" t="inlineStr">
        <is>
          <t>Express Air</t>
        </is>
      </c>
      <c r="J526" s="8" t="inlineStr">
        <is>
          <t>Direct Web</t>
        </is>
      </c>
      <c r="K526" s="8" t="inlineStr">
        <is>
          <t>REG-APAC</t>
        </is>
      </c>
    </row>
    <row r="527">
      <c r="A527" s="8" t="inlineStr">
        <is>
          <t>ORD-000254</t>
        </is>
      </c>
      <c r="B527" s="8" t="inlineStr">
        <is>
          <t>2024-01-04</t>
        </is>
      </c>
      <c r="C527" s="8" t="inlineStr">
        <is>
          <t>CUST-06572</t>
        </is>
      </c>
      <c r="D527" s="8" t="inlineStr">
        <is>
          <t>Diane Perez</t>
        </is>
      </c>
      <c r="E527" s="8" t="inlineStr">
        <is>
          <t>PRD-0441</t>
        </is>
      </c>
      <c r="F527" s="8" t="inlineStr">
        <is>
          <t>1</t>
        </is>
      </c>
      <c r="G527" s="9" t="n">
        <v>1128.16</v>
      </c>
      <c r="H527" s="8" t="inlineStr">
        <is>
          <t>0.0</t>
        </is>
      </c>
      <c r="I527" s="8" t="inlineStr">
        <is>
          <t>Standard Ground</t>
        </is>
      </c>
      <c r="J527" s="8" t="inlineStr">
        <is>
          <t>Affiliate Partner</t>
        </is>
      </c>
      <c r="K527" s="8" t="inlineStr">
        <is>
          <t>REG-EU</t>
        </is>
      </c>
    </row>
    <row r="528">
      <c r="A528" s="8" t="inlineStr">
        <is>
          <t>ORD-000255</t>
        </is>
      </c>
      <c r="B528" s="8" t="inlineStr">
        <is>
          <t>2024-06-11</t>
        </is>
      </c>
      <c r="C528" s="8" t="inlineStr">
        <is>
          <t>CUST-01909</t>
        </is>
      </c>
      <c r="D528" s="8" t="inlineStr">
        <is>
          <t>George Lewis</t>
        </is>
      </c>
      <c r="E528" s="8" t="inlineStr">
        <is>
          <t>PRD-0065</t>
        </is>
      </c>
      <c r="F528" s="8" t="inlineStr">
        <is>
          <t>1</t>
        </is>
      </c>
      <c r="G528" s="9" t="n">
        <v>184.25</v>
      </c>
      <c r="H528" s="8" t="inlineStr">
        <is>
          <t>0.0</t>
        </is>
      </c>
      <c r="I528" s="8" t="inlineStr">
        <is>
          <t>Standard Ground</t>
        </is>
      </c>
      <c r="J528" s="8" t="inlineStr">
        <is>
          <t>Mobile App</t>
        </is>
      </c>
      <c r="K528" s="8" t="inlineStr">
        <is>
          <t>REG-LATAM</t>
        </is>
      </c>
    </row>
    <row r="529">
      <c r="A529" s="8" t="inlineStr">
        <is>
          <t>ORD-000256</t>
        </is>
      </c>
      <c r="B529" s="8" t="inlineStr">
        <is>
          <t>2023-03-21</t>
        </is>
      </c>
      <c r="C529" s="8" t="inlineStr">
        <is>
          <t>CUST-01718</t>
        </is>
      </c>
      <c r="D529" s="8" t="inlineStr">
        <is>
          <t>Emma Torres</t>
        </is>
      </c>
      <c r="E529" s="8" t="inlineStr">
        <is>
          <t>PRD-0044</t>
        </is>
      </c>
      <c r="F529" s="8" t="inlineStr">
        <is>
          <t>5</t>
        </is>
      </c>
      <c r="G529" s="9" t="n">
        <v>24.94</v>
      </c>
      <c r="H529" s="8" t="inlineStr">
        <is>
          <t>0.0</t>
        </is>
      </c>
      <c r="I529" s="8" t="inlineStr">
        <is>
          <t>Standard Ground</t>
        </is>
      </c>
      <c r="J529" s="8" t="inlineStr">
        <is>
          <t>Direct Web</t>
        </is>
      </c>
      <c r="K529" s="8" t="inlineStr">
        <is>
          <t>REG-LATAM</t>
        </is>
      </c>
    </row>
    <row r="530">
      <c r="A530" s="8" t="inlineStr">
        <is>
          <t>ORD-000256</t>
        </is>
      </c>
      <c r="B530" s="8" t="inlineStr">
        <is>
          <t>2023-03-21</t>
        </is>
      </c>
      <c r="C530" s="8" t="inlineStr">
        <is>
          <t>CUST-01718</t>
        </is>
      </c>
      <c r="D530" s="8" t="inlineStr">
        <is>
          <t>Emma Torres</t>
        </is>
      </c>
      <c r="E530" s="8" t="inlineStr">
        <is>
          <t>PRD-0398</t>
        </is>
      </c>
      <c r="F530" s="8" t="inlineStr">
        <is>
          <t>3</t>
        </is>
      </c>
      <c r="G530" s="9" t="n">
        <v>28.76</v>
      </c>
      <c r="H530" s="8" t="inlineStr">
        <is>
          <t>0.1</t>
        </is>
      </c>
      <c r="I530" s="8" t="inlineStr">
        <is>
          <t>Standard Ground</t>
        </is>
      </c>
      <c r="J530" s="8" t="inlineStr">
        <is>
          <t>Direct Web</t>
        </is>
      </c>
      <c r="K530" s="8" t="inlineStr">
        <is>
          <t>REG-LATAM</t>
        </is>
      </c>
    </row>
    <row r="531">
      <c r="A531" s="8" t="inlineStr">
        <is>
          <t>ORD-000256</t>
        </is>
      </c>
      <c r="B531" s="8" t="inlineStr">
        <is>
          <t>2023-03-21</t>
        </is>
      </c>
      <c r="C531" s="8" t="inlineStr">
        <is>
          <t>CUST-01718</t>
        </is>
      </c>
      <c r="D531" s="8" t="inlineStr">
        <is>
          <t>Emma Torres</t>
        </is>
      </c>
      <c r="E531" s="8" t="inlineStr">
        <is>
          <t>PRD-0033</t>
        </is>
      </c>
      <c r="F531" s="8" t="inlineStr">
        <is>
          <t>5</t>
        </is>
      </c>
      <c r="G531" s="9" t="n">
        <v>87.68000000000001</v>
      </c>
      <c r="H531" s="8" t="inlineStr">
        <is>
          <t>0.0</t>
        </is>
      </c>
      <c r="I531" s="8" t="inlineStr">
        <is>
          <t>Standard Ground</t>
        </is>
      </c>
      <c r="J531" s="8" t="inlineStr">
        <is>
          <t>Direct Web</t>
        </is>
      </c>
      <c r="K531" s="8" t="inlineStr">
        <is>
          <t>REG-LATAM</t>
        </is>
      </c>
    </row>
    <row r="532">
      <c r="A532" s="8" t="inlineStr">
        <is>
          <t>ORD-000256</t>
        </is>
      </c>
      <c r="B532" s="8" t="inlineStr">
        <is>
          <t>2023-03-21</t>
        </is>
      </c>
      <c r="C532" s="8" t="inlineStr">
        <is>
          <t>CUST-01718</t>
        </is>
      </c>
      <c r="D532" s="8" t="inlineStr">
        <is>
          <t>Emma Torres</t>
        </is>
      </c>
      <c r="E532" s="8" t="inlineStr">
        <is>
          <t>PRD-0067</t>
        </is>
      </c>
      <c r="F532" s="8" t="inlineStr">
        <is>
          <t>2</t>
        </is>
      </c>
      <c r="G532" s="9" t="n">
        <v>30.04</v>
      </c>
      <c r="H532" s="8" t="inlineStr">
        <is>
          <t>0.15</t>
        </is>
      </c>
      <c r="I532" s="8" t="inlineStr">
        <is>
          <t>Standard Ground</t>
        </is>
      </c>
      <c r="J532" s="8" t="inlineStr">
        <is>
          <t>Direct Web</t>
        </is>
      </c>
      <c r="K532" s="8" t="inlineStr">
        <is>
          <t>REG-LATAM</t>
        </is>
      </c>
    </row>
    <row r="533">
      <c r="A533" s="8" t="inlineStr">
        <is>
          <t>ORD-000257</t>
        </is>
      </c>
      <c r="B533" s="8" t="inlineStr">
        <is>
          <t>2023-05-05</t>
        </is>
      </c>
      <c r="C533" s="8" t="inlineStr">
        <is>
          <t>CUST-04970</t>
        </is>
      </c>
      <c r="D533" s="8" t="inlineStr">
        <is>
          <t>Patrick Edwards</t>
        </is>
      </c>
      <c r="E533" s="8" t="inlineStr">
        <is>
          <t>PRD-0229</t>
        </is>
      </c>
      <c r="F533" s="8" t="inlineStr">
        <is>
          <t>1</t>
        </is>
      </c>
      <c r="G533" s="9" t="n">
        <v>31.96</v>
      </c>
      <c r="H533" s="8" t="inlineStr">
        <is>
          <t>0.1</t>
        </is>
      </c>
      <c r="I533" s="8" t="inlineStr">
        <is>
          <t>Express Air</t>
        </is>
      </c>
      <c r="J533" s="8" t="inlineStr">
        <is>
          <t>Mobile App</t>
        </is>
      </c>
      <c r="K533" s="8" t="inlineStr">
        <is>
          <t>REG-APAC</t>
        </is>
      </c>
    </row>
    <row r="534">
      <c r="A534" s="8" t="inlineStr">
        <is>
          <t>ORD-000257</t>
        </is>
      </c>
      <c r="B534" s="8" t="inlineStr">
        <is>
          <t>2023-05-05</t>
        </is>
      </c>
      <c r="C534" s="8" t="inlineStr">
        <is>
          <t>CUST-04970</t>
        </is>
      </c>
      <c r="D534" s="8" t="inlineStr">
        <is>
          <t>Patrick Edwards</t>
        </is>
      </c>
      <c r="E534" s="8" t="inlineStr">
        <is>
          <t>PRD-0221</t>
        </is>
      </c>
      <c r="F534" s="8" t="inlineStr">
        <is>
          <t>1</t>
        </is>
      </c>
      <c r="G534" s="9" t="n">
        <v>7.79</v>
      </c>
      <c r="H534" s="8" t="inlineStr">
        <is>
          <t>0.15</t>
        </is>
      </c>
      <c r="I534" s="8" t="inlineStr">
        <is>
          <t>Express Air</t>
        </is>
      </c>
      <c r="J534" s="8" t="inlineStr">
        <is>
          <t>Mobile App</t>
        </is>
      </c>
      <c r="K534" s="8" t="inlineStr">
        <is>
          <t>REG-APAC</t>
        </is>
      </c>
    </row>
    <row r="535">
      <c r="A535" s="8" t="inlineStr">
        <is>
          <t>ORD-000257</t>
        </is>
      </c>
      <c r="B535" s="8" t="inlineStr">
        <is>
          <t>2023-05-05</t>
        </is>
      </c>
      <c r="C535" s="8" t="inlineStr">
        <is>
          <t>CUST-04970</t>
        </is>
      </c>
      <c r="D535" s="8" t="inlineStr">
        <is>
          <t>Patrick Edwards</t>
        </is>
      </c>
      <c r="E535" s="8" t="inlineStr">
        <is>
          <t>PRD-0252</t>
        </is>
      </c>
      <c r="F535" s="8" t="inlineStr">
        <is>
          <t>1</t>
        </is>
      </c>
      <c r="G535" s="9" t="n">
        <v>332.85</v>
      </c>
      <c r="H535" s="8" t="inlineStr">
        <is>
          <t>0.0</t>
        </is>
      </c>
      <c r="I535" s="8" t="inlineStr">
        <is>
          <t>Express Air</t>
        </is>
      </c>
      <c r="J535" s="8" t="inlineStr">
        <is>
          <t>Mobile App</t>
        </is>
      </c>
      <c r="K535" s="8" t="inlineStr">
        <is>
          <t>REG-APAC</t>
        </is>
      </c>
    </row>
    <row r="536">
      <c r="A536" s="8" t="inlineStr">
        <is>
          <t>ORD-000258</t>
        </is>
      </c>
      <c r="B536" s="8" t="inlineStr">
        <is>
          <t>2023-05-30</t>
        </is>
      </c>
      <c r="C536" s="8" t="inlineStr">
        <is>
          <t>CUST-02596</t>
        </is>
      </c>
      <c r="D536" s="8" t="inlineStr">
        <is>
          <t>Stephanie Jones</t>
        </is>
      </c>
      <c r="E536" s="8" t="inlineStr">
        <is>
          <t>PRD-0061</t>
        </is>
      </c>
      <c r="F536" s="8" t="inlineStr">
        <is>
          <t>1</t>
        </is>
      </c>
      <c r="G536" s="9" t="n">
        <v>394.62</v>
      </c>
      <c r="H536" s="8" t="inlineStr">
        <is>
          <t>0.1</t>
        </is>
      </c>
      <c r="I536" s="8" t="inlineStr">
        <is>
          <t>Standard Ground</t>
        </is>
      </c>
      <c r="J536" s="8" t="inlineStr">
        <is>
          <t>Mobile App</t>
        </is>
      </c>
      <c r="K536" s="8" t="inlineStr">
        <is>
          <t>REG-NA</t>
        </is>
      </c>
    </row>
    <row r="537">
      <c r="A537" s="8" t="inlineStr">
        <is>
          <t>ORD-000259</t>
        </is>
      </c>
      <c r="B537" s="8" t="inlineStr">
        <is>
          <t>2024-12-17</t>
        </is>
      </c>
      <c r="C537" s="8" t="inlineStr">
        <is>
          <t>CUST-00992</t>
        </is>
      </c>
      <c r="D537" s="8" t="inlineStr">
        <is>
          <t>James Walker</t>
        </is>
      </c>
      <c r="E537" s="8" t="inlineStr">
        <is>
          <t>PRD-0326</t>
        </is>
      </c>
      <c r="F537" s="8" t="inlineStr">
        <is>
          <t>1</t>
        </is>
      </c>
      <c r="G537" s="9" t="n">
        <v>886.1</v>
      </c>
      <c r="H537" s="8" t="inlineStr">
        <is>
          <t>0.25</t>
        </is>
      </c>
      <c r="I537" s="8" t="inlineStr">
        <is>
          <t>Express Air</t>
        </is>
      </c>
      <c r="J537" s="8" t="inlineStr">
        <is>
          <t>Direct Web</t>
        </is>
      </c>
      <c r="K537" s="8" t="inlineStr">
        <is>
          <t>REG-APAC</t>
        </is>
      </c>
    </row>
    <row r="538">
      <c r="A538" s="8" t="inlineStr">
        <is>
          <t>ORD-000260</t>
        </is>
      </c>
      <c r="B538" s="8" t="inlineStr">
        <is>
          <t>2025-03-26</t>
        </is>
      </c>
      <c r="C538" s="8" t="inlineStr">
        <is>
          <t>CUST-00285</t>
        </is>
      </c>
      <c r="D538" s="8" t="inlineStr">
        <is>
          <t>Lisa Patel</t>
        </is>
      </c>
      <c r="E538" s="8" t="inlineStr">
        <is>
          <t>PRD-0147</t>
        </is>
      </c>
      <c r="F538" s="8" t="inlineStr">
        <is>
          <t>4</t>
        </is>
      </c>
      <c r="G538" s="9" t="n">
        <v>544.0700000000001</v>
      </c>
      <c r="H538" s="8" t="inlineStr">
        <is>
          <t>0.25</t>
        </is>
      </c>
      <c r="I538" s="8" t="inlineStr">
        <is>
          <t>Standard Ground</t>
        </is>
      </c>
      <c r="J538" s="8" t="inlineStr">
        <is>
          <t>Direct Web</t>
        </is>
      </c>
      <c r="K538" s="8" t="inlineStr">
        <is>
          <t>REG-NA</t>
        </is>
      </c>
    </row>
    <row r="539">
      <c r="A539" s="8" t="inlineStr">
        <is>
          <t>ORD-000261</t>
        </is>
      </c>
      <c r="B539" s="8" t="inlineStr">
        <is>
          <t>2025-01-03</t>
        </is>
      </c>
      <c r="C539" s="8" t="inlineStr">
        <is>
          <t>CUST-03774</t>
        </is>
      </c>
      <c r="D539" s="8" t="inlineStr">
        <is>
          <t>Patrick Hall</t>
        </is>
      </c>
      <c r="E539" s="8" t="inlineStr">
        <is>
          <t>PRD-0484</t>
        </is>
      </c>
      <c r="F539" s="8" t="inlineStr">
        <is>
          <t>2</t>
        </is>
      </c>
      <c r="G539" s="9" t="n">
        <v>33.81</v>
      </c>
      <c r="H539" s="8" t="inlineStr">
        <is>
          <t>0.1</t>
        </is>
      </c>
      <c r="I539" s="8" t="inlineStr">
        <is>
          <t>Express Air</t>
        </is>
      </c>
      <c r="J539" s="8" t="inlineStr">
        <is>
          <t>Mobile App</t>
        </is>
      </c>
      <c r="K539" s="8" t="inlineStr">
        <is>
          <t>REG-APAC</t>
        </is>
      </c>
    </row>
    <row r="540">
      <c r="A540" s="8" t="inlineStr">
        <is>
          <t>ORD-000261</t>
        </is>
      </c>
      <c r="B540" s="8" t="inlineStr">
        <is>
          <t>2025-01-03</t>
        </is>
      </c>
      <c r="C540" s="8" t="inlineStr">
        <is>
          <t>CUST-03774</t>
        </is>
      </c>
      <c r="D540" s="8" t="inlineStr">
        <is>
          <t>Patrick Hall</t>
        </is>
      </c>
      <c r="E540" s="8" t="inlineStr">
        <is>
          <t>PRD-0464</t>
        </is>
      </c>
      <c r="F540" s="8" t="inlineStr">
        <is>
          <t>1</t>
        </is>
      </c>
      <c r="G540" s="9" t="n">
        <v>21.08</v>
      </c>
      <c r="H540" s="8" t="inlineStr">
        <is>
          <t>20%</t>
        </is>
      </c>
      <c r="I540" s="8" t="inlineStr">
        <is>
          <t>Express Air</t>
        </is>
      </c>
      <c r="J540" s="8" t="inlineStr">
        <is>
          <t>Mobile App</t>
        </is>
      </c>
      <c r="K540" s="8" t="inlineStr">
        <is>
          <t>REG-APAC</t>
        </is>
      </c>
    </row>
    <row r="541">
      <c r="A541" s="8" t="inlineStr">
        <is>
          <t>ORD-000262</t>
        </is>
      </c>
      <c r="B541" s="8" t="inlineStr">
        <is>
          <t>2025-07-06</t>
        </is>
      </c>
      <c r="C541" s="8" t="inlineStr">
        <is>
          <t>CUST-01541</t>
        </is>
      </c>
      <c r="D541" s="8" t="inlineStr">
        <is>
          <t xml:space="preserve">  mark brooks  </t>
        </is>
      </c>
      <c r="E541" s="8" t="inlineStr">
        <is>
          <t>PRD-0411</t>
        </is>
      </c>
      <c r="F541" s="8" t="inlineStr">
        <is>
          <t>4</t>
        </is>
      </c>
      <c r="G541" s="9" t="n">
        <v>126.22</v>
      </c>
      <c r="H541" s="8" t="inlineStr">
        <is>
          <t>0.0</t>
        </is>
      </c>
      <c r="I541" s="8" t="inlineStr">
        <is>
          <t>Standard Ground</t>
        </is>
      </c>
      <c r="J541" s="8" t="inlineStr">
        <is>
          <t>B2B Portal</t>
        </is>
      </c>
      <c r="K541" s="8" t="inlineStr">
        <is>
          <t>REG-APAC</t>
        </is>
      </c>
    </row>
    <row r="542">
      <c r="A542" s="8" t="inlineStr">
        <is>
          <t>ORD-000262</t>
        </is>
      </c>
      <c r="B542" s="8" t="inlineStr">
        <is>
          <t>2025-07-06</t>
        </is>
      </c>
      <c r="C542" s="8" t="inlineStr">
        <is>
          <t>CUST-01541</t>
        </is>
      </c>
      <c r="D542" s="8" t="inlineStr">
        <is>
          <t xml:space="preserve">  mark brooks  </t>
        </is>
      </c>
      <c r="E542" s="8" t="inlineStr">
        <is>
          <t>PRD-0063</t>
        </is>
      </c>
      <c r="F542" s="8" t="inlineStr">
        <is>
          <t>1</t>
        </is>
      </c>
      <c r="G542" s="9" t="n">
        <v>62.68</v>
      </c>
      <c r="H542" s="8" t="inlineStr">
        <is>
          <t>0.1</t>
        </is>
      </c>
      <c r="I542" s="8" t="inlineStr">
        <is>
          <t>Standard Ground</t>
        </is>
      </c>
      <c r="J542" s="8" t="inlineStr">
        <is>
          <t>B2B Portal</t>
        </is>
      </c>
      <c r="K542" s="8" t="inlineStr">
        <is>
          <t>REG-APAC</t>
        </is>
      </c>
    </row>
    <row r="543">
      <c r="A543" s="8" t="inlineStr">
        <is>
          <t>ORD-000263</t>
        </is>
      </c>
      <c r="B543" s="8" t="inlineStr">
        <is>
          <t>2023-03-18</t>
        </is>
      </c>
      <c r="C543" s="8" t="inlineStr">
        <is>
          <t>CUST-03847</t>
        </is>
      </c>
      <c r="D543" s="8" t="inlineStr">
        <is>
          <t>Gary Watson</t>
        </is>
      </c>
      <c r="E543" s="8" t="inlineStr">
        <is>
          <t>PRD-0493</t>
        </is>
      </c>
      <c r="F543" s="8" t="inlineStr">
        <is>
          <t>3</t>
        </is>
      </c>
      <c r="G543" s="9" t="n">
        <v>502.97</v>
      </c>
      <c r="H543" s="8" t="inlineStr">
        <is>
          <t>0.1</t>
        </is>
      </c>
      <c r="I543" s="8" t="inlineStr">
        <is>
          <t>Express Air</t>
        </is>
      </c>
      <c r="J543" s="8" t="inlineStr">
        <is>
          <t>Direct Web</t>
        </is>
      </c>
      <c r="K543" s="8" t="inlineStr">
        <is>
          <t>REG-NA</t>
        </is>
      </c>
    </row>
    <row r="544">
      <c r="A544" s="8" t="inlineStr">
        <is>
          <t>ORD-000263</t>
        </is>
      </c>
      <c r="B544" s="8" t="inlineStr">
        <is>
          <t>2023-03-18</t>
        </is>
      </c>
      <c r="C544" s="8" t="inlineStr">
        <is>
          <t>CUST-03847</t>
        </is>
      </c>
      <c r="D544" s="8" t="inlineStr">
        <is>
          <t>Gary Watson</t>
        </is>
      </c>
      <c r="E544" s="8" t="inlineStr">
        <is>
          <t>PRD-0371</t>
        </is>
      </c>
      <c r="F544" s="8" t="inlineStr">
        <is>
          <t>1</t>
        </is>
      </c>
      <c r="G544" s="9" t="n">
        <v>41.78</v>
      </c>
      <c r="H544" s="8" t="inlineStr">
        <is>
          <t>0.0</t>
        </is>
      </c>
      <c r="I544" s="8" t="inlineStr">
        <is>
          <t>Express Air</t>
        </is>
      </c>
      <c r="J544" s="8" t="inlineStr">
        <is>
          <t>Direct Web</t>
        </is>
      </c>
      <c r="K544" s="8" t="inlineStr">
        <is>
          <t>REG-NA</t>
        </is>
      </c>
    </row>
    <row r="545">
      <c r="A545" s="8" t="inlineStr">
        <is>
          <t>ORD-000264</t>
        </is>
      </c>
      <c r="B545" s="8" t="inlineStr">
        <is>
          <t>2024-03-14</t>
        </is>
      </c>
      <c r="C545" s="8" t="inlineStr">
        <is>
          <t>CUST-05179</t>
        </is>
      </c>
      <c r="D545" s="8" t="inlineStr">
        <is>
          <t>Scott Gonzalez</t>
        </is>
      </c>
      <c r="E545" s="8" t="inlineStr">
        <is>
          <t>PRD-0330</t>
        </is>
      </c>
      <c r="F545" s="8" t="inlineStr">
        <is>
          <t>3</t>
        </is>
      </c>
      <c r="G545" s="9" t="n">
        <v>36.63</v>
      </c>
      <c r="H545" s="8" t="inlineStr">
        <is>
          <t>0.0</t>
        </is>
      </c>
      <c r="I545" s="8" t="inlineStr">
        <is>
          <t>Standard Ground</t>
        </is>
      </c>
      <c r="J545" s="8" t="inlineStr">
        <is>
          <t>Mobile App</t>
        </is>
      </c>
      <c r="K545" s="8" t="inlineStr">
        <is>
          <t>REG-LATAM</t>
        </is>
      </c>
    </row>
    <row r="546">
      <c r="A546" s="8" t="inlineStr">
        <is>
          <t>ORD-000264</t>
        </is>
      </c>
      <c r="B546" s="8" t="inlineStr">
        <is>
          <t>2024-03-14</t>
        </is>
      </c>
      <c r="C546" s="8" t="inlineStr">
        <is>
          <t>CUST-05179</t>
        </is>
      </c>
      <c r="D546" s="8" t="inlineStr">
        <is>
          <t>Scott Gonzalez</t>
        </is>
      </c>
      <c r="E546" s="8" t="inlineStr">
        <is>
          <t>PRD-0286</t>
        </is>
      </c>
      <c r="F546" s="8" t="inlineStr">
        <is>
          <t>1</t>
        </is>
      </c>
      <c r="G546" s="9" t="n">
        <v>232.89</v>
      </c>
      <c r="H546" s="8" t="inlineStr">
        <is>
          <t>0.25</t>
        </is>
      </c>
      <c r="I546" s="8" t="inlineStr">
        <is>
          <t>Standard Ground</t>
        </is>
      </c>
      <c r="J546" s="8" t="inlineStr">
        <is>
          <t>Mobile App</t>
        </is>
      </c>
      <c r="K546" s="8" t="inlineStr">
        <is>
          <t>REG-LATAM</t>
        </is>
      </c>
    </row>
    <row r="547">
      <c r="A547" s="8" t="inlineStr">
        <is>
          <t>ORD-000264</t>
        </is>
      </c>
      <c r="B547" s="8" t="inlineStr">
        <is>
          <t>2024-03-14</t>
        </is>
      </c>
      <c r="C547" s="8" t="inlineStr">
        <is>
          <t>CUST-05179</t>
        </is>
      </c>
      <c r="D547" s="8" t="inlineStr">
        <is>
          <t>Scott Gonzalez</t>
        </is>
      </c>
      <c r="E547" s="8" t="inlineStr">
        <is>
          <t>PRD-0307</t>
        </is>
      </c>
      <c r="F547" s="8" t="inlineStr">
        <is>
          <t>1</t>
        </is>
      </c>
      <c r="G547" s="9" t="n">
        <v>762.88</v>
      </c>
      <c r="H547" s="8" t="inlineStr">
        <is>
          <t>0.0</t>
        </is>
      </c>
      <c r="I547" s="8" t="inlineStr">
        <is>
          <t>Standard Ground</t>
        </is>
      </c>
      <c r="J547" s="8" t="inlineStr">
        <is>
          <t>Mobile App</t>
        </is>
      </c>
      <c r="K547" s="8" t="inlineStr">
        <is>
          <t>REG-LATAM</t>
        </is>
      </c>
    </row>
    <row r="548">
      <c r="A548" s="8" t="inlineStr">
        <is>
          <t>ORD-000264</t>
        </is>
      </c>
      <c r="B548" s="8" t="inlineStr">
        <is>
          <t>2024-03-14</t>
        </is>
      </c>
      <c r="C548" s="8" t="inlineStr">
        <is>
          <t>CUST-05179</t>
        </is>
      </c>
      <c r="D548" s="8" t="inlineStr">
        <is>
          <t>Scott Gonzalez</t>
        </is>
      </c>
      <c r="E548" s="8" t="inlineStr">
        <is>
          <t>PRD-0285</t>
        </is>
      </c>
      <c r="F548" s="8" t="inlineStr">
        <is>
          <t>3</t>
        </is>
      </c>
      <c r="G548" s="9" t="n">
        <v>269.59</v>
      </c>
      <c r="H548" s="8" t="inlineStr">
        <is>
          <t>0.0</t>
        </is>
      </c>
      <c r="I548" s="8" t="inlineStr">
        <is>
          <t>Standard Ground</t>
        </is>
      </c>
      <c r="J548" s="8" t="inlineStr">
        <is>
          <t>Mobile App</t>
        </is>
      </c>
      <c r="K548" s="8" t="inlineStr">
        <is>
          <t>REG-LATAM</t>
        </is>
      </c>
    </row>
    <row r="549">
      <c r="A549" s="8" t="inlineStr">
        <is>
          <t>ORD-000265</t>
        </is>
      </c>
      <c r="B549" s="8" t="inlineStr">
        <is>
          <t>2023-05-18</t>
        </is>
      </c>
      <c r="C549" s="8" t="inlineStr">
        <is>
          <t>CUST-06457</t>
        </is>
      </c>
      <c r="D549" s="8" t="inlineStr">
        <is>
          <t>Rachel Cooper</t>
        </is>
      </c>
      <c r="E549" s="8" t="inlineStr">
        <is>
          <t>PRD-0349</t>
        </is>
      </c>
      <c r="F549" s="8" t="inlineStr">
        <is>
          <t>2</t>
        </is>
      </c>
      <c r="G549" s="9" t="n">
        <v>70.33</v>
      </c>
      <c r="H549" s="8" t="inlineStr">
        <is>
          <t>0.0</t>
        </is>
      </c>
      <c r="I549" s="8" t="inlineStr">
        <is>
          <t>Standard Ground</t>
        </is>
      </c>
      <c r="J549" s="8" t="inlineStr">
        <is>
          <t>Direct Web</t>
        </is>
      </c>
      <c r="K549" s="8" t="inlineStr">
        <is>
          <t>REG-EU</t>
        </is>
      </c>
    </row>
    <row r="550">
      <c r="A550" s="8" t="inlineStr">
        <is>
          <t>ORD-000265</t>
        </is>
      </c>
      <c r="B550" s="8" t="inlineStr">
        <is>
          <t>2023-05-18</t>
        </is>
      </c>
      <c r="C550" s="8" t="inlineStr">
        <is>
          <t>CUST-06457</t>
        </is>
      </c>
      <c r="D550" s="8" t="inlineStr">
        <is>
          <t>Rachel Cooper</t>
        </is>
      </c>
      <c r="E550" s="8" t="inlineStr">
        <is>
          <t>PRD-0341</t>
        </is>
      </c>
      <c r="F550" s="8" t="inlineStr">
        <is>
          <t>2</t>
        </is>
      </c>
      <c r="G550" s="9" t="n">
        <v>26.88</v>
      </c>
      <c r="H550" s="8" t="inlineStr">
        <is>
          <t>0.05</t>
        </is>
      </c>
      <c r="I550" s="8" t="inlineStr">
        <is>
          <t>Standard Ground</t>
        </is>
      </c>
      <c r="J550" s="8" t="inlineStr">
        <is>
          <t>Direct Web</t>
        </is>
      </c>
      <c r="K550" s="8" t="inlineStr">
        <is>
          <t>REG-EU</t>
        </is>
      </c>
    </row>
    <row r="551">
      <c r="A551" s="8" t="inlineStr">
        <is>
          <t>ORD-000266</t>
        </is>
      </c>
      <c r="B551" s="8" t="inlineStr">
        <is>
          <t>2023-06-21</t>
        </is>
      </c>
      <c r="C551" s="8" t="inlineStr">
        <is>
          <t>CUST-01832</t>
        </is>
      </c>
      <c r="D551" s="8" t="inlineStr">
        <is>
          <t>Katherine Rogers</t>
        </is>
      </c>
      <c r="E551" s="8" t="inlineStr">
        <is>
          <t>PRD-0354</t>
        </is>
      </c>
      <c r="F551" s="8" t="inlineStr">
        <is>
          <t>2</t>
        </is>
      </c>
      <c r="G551" s="9" t="n">
        <v>70.98999999999999</v>
      </c>
      <c r="H551" s="8" t="inlineStr">
        <is>
          <t>0.0</t>
        </is>
      </c>
      <c r="I551" s="8" t="inlineStr">
        <is>
          <t>Standard Ground</t>
        </is>
      </c>
      <c r="J551" s="8" t="inlineStr">
        <is>
          <t>Mobile App</t>
        </is>
      </c>
      <c r="K551" s="8" t="inlineStr">
        <is>
          <t>REG-LATAM</t>
        </is>
      </c>
    </row>
    <row r="552">
      <c r="A552" s="8" t="inlineStr">
        <is>
          <t>ORD-000267</t>
        </is>
      </c>
      <c r="B552" s="8" t="inlineStr">
        <is>
          <t>2024-08-10</t>
        </is>
      </c>
      <c r="C552" s="8" t="inlineStr">
        <is>
          <t>CUST-04662</t>
        </is>
      </c>
      <c r="D552" s="8" t="inlineStr">
        <is>
          <t>Sharon Ward</t>
        </is>
      </c>
      <c r="E552" s="8" t="inlineStr">
        <is>
          <t>PRD-0308</t>
        </is>
      </c>
      <c r="F552" s="8" t="inlineStr">
        <is>
          <t>2</t>
        </is>
      </c>
      <c r="G552" s="9" t="n">
        <v>61.03</v>
      </c>
      <c r="H552" s="8" t="inlineStr">
        <is>
          <t>0.0</t>
        </is>
      </c>
      <c r="I552" s="8" t="inlineStr">
        <is>
          <t>Standard Ground</t>
        </is>
      </c>
      <c r="J552" s="8" t="inlineStr">
        <is>
          <t>Direct Web</t>
        </is>
      </c>
      <c r="K552" s="8" t="inlineStr">
        <is>
          <t>REG-EU</t>
        </is>
      </c>
    </row>
    <row r="553">
      <c r="A553" s="8" t="inlineStr">
        <is>
          <t>ORD-000267</t>
        </is>
      </c>
      <c r="B553" s="8" t="inlineStr">
        <is>
          <t>2024-08-10</t>
        </is>
      </c>
      <c r="C553" s="8" t="inlineStr">
        <is>
          <t>CUST-04662</t>
        </is>
      </c>
      <c r="D553" s="8" t="inlineStr">
        <is>
          <t>Sharon Ward</t>
        </is>
      </c>
      <c r="E553" s="8" t="inlineStr">
        <is>
          <t>PRD-0454</t>
        </is>
      </c>
      <c r="F553" s="8" t="inlineStr">
        <is>
          <t>1</t>
        </is>
      </c>
      <c r="G553" s="9" t="n">
        <v>745.9400000000001</v>
      </c>
      <c r="H553" s="8" t="inlineStr">
        <is>
          <t>0.0</t>
        </is>
      </c>
      <c r="I553" s="8" t="inlineStr">
        <is>
          <t>Standard Ground</t>
        </is>
      </c>
      <c r="J553" s="8" t="inlineStr">
        <is>
          <t>Direct Web</t>
        </is>
      </c>
      <c r="K553" s="8" t="inlineStr">
        <is>
          <t>REG-EU</t>
        </is>
      </c>
    </row>
    <row r="554">
      <c r="A554" s="8" t="inlineStr">
        <is>
          <t>ORD-000268</t>
        </is>
      </c>
      <c r="B554" s="8" t="inlineStr">
        <is>
          <t>2023-05-28</t>
        </is>
      </c>
      <c r="C554" s="8" t="inlineStr">
        <is>
          <t>CUST-04548</t>
        </is>
      </c>
      <c r="D554" s="8" t="inlineStr">
        <is>
          <t>Alexander Baker</t>
        </is>
      </c>
      <c r="E554" s="8" t="inlineStr">
        <is>
          <t>PRD-0151</t>
        </is>
      </c>
      <c r="F554" s="8" t="inlineStr">
        <is>
          <t>2</t>
        </is>
      </c>
      <c r="G554" s="9" t="n">
        <v>643.51</v>
      </c>
      <c r="H554" s="8" t="inlineStr">
        <is>
          <t>0.1</t>
        </is>
      </c>
      <c r="I554" s="8" t="inlineStr">
        <is>
          <t>Standard Ground</t>
        </is>
      </c>
      <c r="J554" s="8" t="inlineStr">
        <is>
          <t>Mobile App</t>
        </is>
      </c>
      <c r="K554" s="8" t="inlineStr">
        <is>
          <t>REG-APAC</t>
        </is>
      </c>
    </row>
    <row r="555">
      <c r="A555" s="8" t="inlineStr">
        <is>
          <t>ORD-000268</t>
        </is>
      </c>
      <c r="B555" s="8" t="inlineStr">
        <is>
          <t>2023-05-28</t>
        </is>
      </c>
      <c r="C555" s="8" t="inlineStr">
        <is>
          <t>CUST-04548</t>
        </is>
      </c>
      <c r="D555" s="8" t="inlineStr">
        <is>
          <t>Alexander Baker</t>
        </is>
      </c>
      <c r="E555" s="8" t="inlineStr">
        <is>
          <t>PRD-0253</t>
        </is>
      </c>
      <c r="F555" s="8" t="inlineStr">
        <is>
          <t>2</t>
        </is>
      </c>
      <c r="G555" s="9" t="n">
        <v>514.9400000000001</v>
      </c>
      <c r="H555" s="8" t="inlineStr">
        <is>
          <t>0.2</t>
        </is>
      </c>
      <c r="I555" s="8" t="inlineStr">
        <is>
          <t>Standard Ground</t>
        </is>
      </c>
      <c r="J555" s="8" t="inlineStr">
        <is>
          <t>Mobile App</t>
        </is>
      </c>
      <c r="K555" s="8" t="inlineStr">
        <is>
          <t>REG-APAC</t>
        </is>
      </c>
    </row>
    <row r="556">
      <c r="A556" s="8" t="inlineStr">
        <is>
          <t>ORD-000268</t>
        </is>
      </c>
      <c r="B556" s="8" t="inlineStr">
        <is>
          <t>2023-05-28</t>
        </is>
      </c>
      <c r="C556" s="8" t="inlineStr">
        <is>
          <t>CUST-04548</t>
        </is>
      </c>
      <c r="D556" s="8" t="inlineStr">
        <is>
          <t>Alexander Baker</t>
        </is>
      </c>
      <c r="E556" s="8" t="inlineStr">
        <is>
          <t>PRD-0249</t>
        </is>
      </c>
      <c r="F556" s="8" t="inlineStr">
        <is>
          <t>1</t>
        </is>
      </c>
      <c r="G556" s="9" t="n">
        <v>69.31999999999999</v>
      </c>
      <c r="H556" s="8" t="inlineStr">
        <is>
          <t>0.05</t>
        </is>
      </c>
      <c r="I556" s="8" t="inlineStr">
        <is>
          <t>Standard Ground</t>
        </is>
      </c>
      <c r="J556" s="8" t="inlineStr">
        <is>
          <t>Mobile App</t>
        </is>
      </c>
      <c r="K556" s="8" t="inlineStr">
        <is>
          <t>REG-APAC</t>
        </is>
      </c>
    </row>
    <row r="557">
      <c r="A557" s="8" t="inlineStr">
        <is>
          <t>ORD-000268</t>
        </is>
      </c>
      <c r="B557" s="8" t="inlineStr">
        <is>
          <t>2023-05-28</t>
        </is>
      </c>
      <c r="C557" s="8" t="inlineStr">
        <is>
          <t>CUST-04548</t>
        </is>
      </c>
      <c r="D557" s="8" t="inlineStr">
        <is>
          <t>Alexander Baker</t>
        </is>
      </c>
      <c r="E557" s="8" t="inlineStr">
        <is>
          <t>PRD-0166</t>
        </is>
      </c>
      <c r="F557" s="8" t="inlineStr">
        <is>
          <t>4</t>
        </is>
      </c>
      <c r="G557" s="9" t="n">
        <v>173.5</v>
      </c>
      <c r="H557" s="8" t="inlineStr">
        <is>
          <t>0.05</t>
        </is>
      </c>
      <c r="I557" s="8" t="inlineStr">
        <is>
          <t>Standard Ground</t>
        </is>
      </c>
      <c r="J557" s="8" t="inlineStr">
        <is>
          <t>Mobile App</t>
        </is>
      </c>
      <c r="K557" s="8" t="inlineStr">
        <is>
          <t>REG-APAC</t>
        </is>
      </c>
    </row>
    <row r="558">
      <c r="A558" s="8" t="inlineStr">
        <is>
          <t>ORD-000269</t>
        </is>
      </c>
      <c r="B558" s="8" t="inlineStr">
        <is>
          <t>2025-02-16</t>
        </is>
      </c>
      <c r="C558" s="8" t="inlineStr">
        <is>
          <t>CUST-05617</t>
        </is>
      </c>
      <c r="D558" s="8" t="inlineStr">
        <is>
          <t>Jennifer Morgan</t>
        </is>
      </c>
      <c r="E558" s="8" t="inlineStr">
        <is>
          <t>PRD-0489</t>
        </is>
      </c>
      <c r="F558" s="8" t="inlineStr">
        <is>
          <t>1</t>
        </is>
      </c>
      <c r="G558" s="9" t="n">
        <v>61.45</v>
      </c>
      <c r="H558" s="8" t="inlineStr">
        <is>
          <t>0.0</t>
        </is>
      </c>
      <c r="I558" s="8" t="inlineStr">
        <is>
          <t>Standard Ground</t>
        </is>
      </c>
      <c r="J558" s="8" t="inlineStr">
        <is>
          <t>Direct Web</t>
        </is>
      </c>
      <c r="K558" s="8" t="inlineStr">
        <is>
          <t>REG-EU</t>
        </is>
      </c>
    </row>
    <row r="559">
      <c r="A559" s="8" t="inlineStr">
        <is>
          <t>ORD-000269</t>
        </is>
      </c>
      <c r="B559" s="8" t="inlineStr">
        <is>
          <t>2025-02-16</t>
        </is>
      </c>
      <c r="C559" s="8" t="inlineStr">
        <is>
          <t>CUST-05617</t>
        </is>
      </c>
      <c r="D559" s="8" t="inlineStr">
        <is>
          <t>Jennifer Morgan</t>
        </is>
      </c>
      <c r="E559" s="8" t="inlineStr">
        <is>
          <t>PRD-0239</t>
        </is>
      </c>
      <c r="F559" s="8" t="inlineStr">
        <is>
          <t>1</t>
        </is>
      </c>
      <c r="G559" s="9" t="n">
        <v>302.56</v>
      </c>
      <c r="H559" s="8" t="inlineStr">
        <is>
          <t>0.05</t>
        </is>
      </c>
      <c r="I559" s="8" t="inlineStr">
        <is>
          <t>Standard Ground</t>
        </is>
      </c>
      <c r="J559" s="8" t="inlineStr">
        <is>
          <t>Direct Web</t>
        </is>
      </c>
      <c r="K559" s="8" t="inlineStr">
        <is>
          <t>REG-EU</t>
        </is>
      </c>
    </row>
    <row r="560">
      <c r="A560" s="8" t="inlineStr">
        <is>
          <t>ORD-000270</t>
        </is>
      </c>
      <c r="B560" s="8" t="inlineStr">
        <is>
          <t>2023-12-23</t>
        </is>
      </c>
      <c r="C560" s="8" t="inlineStr">
        <is>
          <t>CUST-05006</t>
        </is>
      </c>
      <c r="D560" s="8" t="inlineStr">
        <is>
          <t>Carolyn Ross</t>
        </is>
      </c>
      <c r="E560" s="8" t="inlineStr">
        <is>
          <t>PRD-0383</t>
        </is>
      </c>
      <c r="F560" s="8" t="inlineStr">
        <is>
          <t>8</t>
        </is>
      </c>
      <c r="G560" s="9" t="n">
        <v>752.8099999999999</v>
      </c>
      <c r="H560" s="8" t="inlineStr">
        <is>
          <t>0.05</t>
        </is>
      </c>
      <c r="I560" s="8" t="inlineStr">
        <is>
          <t>Standard Ground</t>
        </is>
      </c>
      <c r="J560" s="8" t="inlineStr">
        <is>
          <t>Affiliate Partner</t>
        </is>
      </c>
      <c r="K560" s="8" t="inlineStr">
        <is>
          <t>REG-NA</t>
        </is>
      </c>
    </row>
    <row r="561">
      <c r="A561" s="8" t="inlineStr">
        <is>
          <t>ORD-000271</t>
        </is>
      </c>
      <c r="B561" s="8" t="inlineStr">
        <is>
          <t>2023-10-21</t>
        </is>
      </c>
      <c r="C561" s="8" t="inlineStr">
        <is>
          <t>CUST-02517</t>
        </is>
      </c>
      <c r="D561" s="8" t="inlineStr">
        <is>
          <t>Laura Thomas</t>
        </is>
      </c>
      <c r="E561" s="8" t="inlineStr">
        <is>
          <t>PRD-0499</t>
        </is>
      </c>
      <c r="F561" s="8" t="inlineStr">
        <is>
          <t>3</t>
        </is>
      </c>
      <c r="G561" s="9" t="n">
        <v>1089.27</v>
      </c>
      <c r="H561" s="8" t="inlineStr">
        <is>
          <t>0.05</t>
        </is>
      </c>
      <c r="I561" s="8" t="inlineStr">
        <is>
          <t>Standard Ground</t>
        </is>
      </c>
      <c r="J561" s="8" t="inlineStr">
        <is>
          <t>Direct Web</t>
        </is>
      </c>
      <c r="K561" s="8" t="inlineStr">
        <is>
          <t>REG-LATAM</t>
        </is>
      </c>
    </row>
    <row r="562">
      <c r="A562" s="8" t="inlineStr">
        <is>
          <t>ORD-000272</t>
        </is>
      </c>
      <c r="B562" s="8" t="inlineStr">
        <is>
          <t>2023-04-23</t>
        </is>
      </c>
      <c r="C562" s="8" t="inlineStr">
        <is>
          <t>CUST-00123</t>
        </is>
      </c>
      <c r="D562" s="8" t="inlineStr">
        <is>
          <t>Elizabeth Brooks</t>
        </is>
      </c>
      <c r="E562" s="8" t="inlineStr">
        <is>
          <t>PRD-0056</t>
        </is>
      </c>
      <c r="F562" s="8" t="inlineStr">
        <is>
          <t>1</t>
        </is>
      </c>
      <c r="G562" s="9" t="n">
        <v>243.62</v>
      </c>
      <c r="H562" s="8" t="inlineStr">
        <is>
          <t>0.15</t>
        </is>
      </c>
      <c r="I562" s="8" t="inlineStr">
        <is>
          <t>Standard Ground</t>
        </is>
      </c>
      <c r="J562" s="8" t="inlineStr">
        <is>
          <t>Mobile App</t>
        </is>
      </c>
      <c r="K562" s="8" t="inlineStr">
        <is>
          <t>REG-APAC</t>
        </is>
      </c>
    </row>
    <row r="563">
      <c r="A563" s="8" t="inlineStr">
        <is>
          <t>ORD-000273</t>
        </is>
      </c>
      <c r="B563" s="8" t="inlineStr">
        <is>
          <t>2023-05-20</t>
        </is>
      </c>
      <c r="C563" s="8" t="inlineStr">
        <is>
          <t>CUST-00264</t>
        </is>
      </c>
      <c r="D563" s="8" t="inlineStr">
        <is>
          <t>Robert Rodriguez</t>
        </is>
      </c>
      <c r="E563" s="8" t="inlineStr">
        <is>
          <t>PRD-0324</t>
        </is>
      </c>
      <c r="F563" s="8" t="inlineStr">
        <is>
          <t>1</t>
        </is>
      </c>
      <c r="G563" s="9" t="n">
        <v>229.24</v>
      </c>
      <c r="H563" s="8" t="inlineStr">
        <is>
          <t>0.0</t>
        </is>
      </c>
      <c r="I563" s="8" t="inlineStr">
        <is>
          <t>Same-Day Priority</t>
        </is>
      </c>
      <c r="J563" s="8" t="inlineStr">
        <is>
          <t>Mobile App</t>
        </is>
      </c>
      <c r="K563" s="8" t="inlineStr">
        <is>
          <t>REG-NA</t>
        </is>
      </c>
    </row>
    <row r="564">
      <c r="A564" s="8" t="inlineStr">
        <is>
          <t>ORD-000274</t>
        </is>
      </c>
      <c r="B564" s="8" t="inlineStr">
        <is>
          <t>2023-05-22</t>
        </is>
      </c>
      <c r="C564" s="8" t="inlineStr">
        <is>
          <t>CUST-05470</t>
        </is>
      </c>
      <c r="D564" s="8" t="inlineStr">
        <is>
          <t>Gary Chavez</t>
        </is>
      </c>
      <c r="E564" s="8" t="inlineStr">
        <is>
          <t>PRD-0227</t>
        </is>
      </c>
      <c r="F564" s="8" t="inlineStr">
        <is>
          <t>1</t>
        </is>
      </c>
      <c r="G564" s="9" t="n">
        <v>56.13</v>
      </c>
      <c r="H564" s="8" t="inlineStr">
        <is>
          <t>0.0</t>
        </is>
      </c>
      <c r="I564" s="8" t="inlineStr">
        <is>
          <t>Same-Day Priority</t>
        </is>
      </c>
      <c r="J564" s="8" t="inlineStr">
        <is>
          <t>Mobile App</t>
        </is>
      </c>
      <c r="K564" s="8" t="inlineStr">
        <is>
          <t>REG-APAC</t>
        </is>
      </c>
    </row>
    <row r="565">
      <c r="A565" s="8" t="inlineStr">
        <is>
          <t>ORD-000274</t>
        </is>
      </c>
      <c r="B565" s="8" t="inlineStr">
        <is>
          <t>2023-05-22</t>
        </is>
      </c>
      <c r="C565" s="8" t="inlineStr">
        <is>
          <t>CUST-05470</t>
        </is>
      </c>
      <c r="D565" s="8" t="inlineStr">
        <is>
          <t>Gary Chavez</t>
        </is>
      </c>
      <c r="E565" s="8" t="inlineStr">
        <is>
          <t>PRD-0304</t>
        </is>
      </c>
      <c r="F565" s="8" t="inlineStr">
        <is>
          <t>1</t>
        </is>
      </c>
      <c r="G565" s="9" t="n">
        <v>489.86</v>
      </c>
      <c r="H565" s="8" t="inlineStr">
        <is>
          <t>0.2</t>
        </is>
      </c>
      <c r="I565" s="8" t="inlineStr">
        <is>
          <t>Same-Day Priority</t>
        </is>
      </c>
      <c r="J565" s="8" t="inlineStr">
        <is>
          <t>Mobile App</t>
        </is>
      </c>
      <c r="K565" s="8" t="inlineStr">
        <is>
          <t>REG-APAC</t>
        </is>
      </c>
    </row>
    <row r="566">
      <c r="A566" s="8" t="inlineStr">
        <is>
          <t>ORD-000274</t>
        </is>
      </c>
      <c r="B566" s="8" t="inlineStr">
        <is>
          <t>2023-05-22</t>
        </is>
      </c>
      <c r="C566" s="8" t="inlineStr">
        <is>
          <t>CUST-05470</t>
        </is>
      </c>
      <c r="D566" s="8" t="inlineStr">
        <is>
          <t>Gary Chavez</t>
        </is>
      </c>
      <c r="E566" s="8" t="inlineStr">
        <is>
          <t>PRD-0447</t>
        </is>
      </c>
      <c r="F566" s="8" t="inlineStr">
        <is>
          <t>1</t>
        </is>
      </c>
      <c r="G566" s="9" t="n">
        <v>65.02</v>
      </c>
      <c r="H566" s="8" t="inlineStr">
        <is>
          <t>0.0</t>
        </is>
      </c>
      <c r="I566" s="8" t="inlineStr">
        <is>
          <t>Same-Day Priority</t>
        </is>
      </c>
      <c r="J566" s="8" t="inlineStr">
        <is>
          <t>Mobile App</t>
        </is>
      </c>
      <c r="K566" s="8" t="inlineStr">
        <is>
          <t>REG-APAC</t>
        </is>
      </c>
    </row>
    <row r="567">
      <c r="A567" s="8" t="inlineStr">
        <is>
          <t>ORD-000275</t>
        </is>
      </c>
      <c r="B567" s="8" t="inlineStr">
        <is>
          <t>2023-01-23</t>
        </is>
      </c>
      <c r="C567" s="8" t="inlineStr">
        <is>
          <t>CUST-04256</t>
        </is>
      </c>
      <c r="D567" s="8" t="inlineStr">
        <is>
          <t>Stephanie Myers</t>
        </is>
      </c>
      <c r="E567" s="8" t="inlineStr">
        <is>
          <t>PRD-0296</t>
        </is>
      </c>
      <c r="F567" s="8" t="inlineStr">
        <is>
          <t>1</t>
        </is>
      </c>
      <c r="G567" s="9" t="n">
        <v>52.93</v>
      </c>
      <c r="H567" s="8" t="inlineStr">
        <is>
          <t>0.1</t>
        </is>
      </c>
      <c r="I567" s="8" t="inlineStr">
        <is>
          <t>Express Air</t>
        </is>
      </c>
      <c r="J567" s="8" t="inlineStr">
        <is>
          <t>Direct Web</t>
        </is>
      </c>
      <c r="K567" s="8" t="inlineStr">
        <is>
          <t>REG-NA</t>
        </is>
      </c>
    </row>
    <row r="568">
      <c r="A568" s="8" t="inlineStr">
        <is>
          <t>ORD-000276</t>
        </is>
      </c>
      <c r="B568" s="8" t="inlineStr">
        <is>
          <t>2025-04-05</t>
        </is>
      </c>
      <c r="C568" s="8" t="inlineStr">
        <is>
          <t>CUST-04031</t>
        </is>
      </c>
      <c r="D568" s="8" t="inlineStr">
        <is>
          <t>Catherine Nelson</t>
        </is>
      </c>
      <c r="E568" s="8" t="inlineStr">
        <is>
          <t>PRD-0465</t>
        </is>
      </c>
      <c r="F568" s="8" t="inlineStr">
        <is>
          <t>1</t>
        </is>
      </c>
      <c r="G568" s="9" t="n">
        <v>36.72</v>
      </c>
      <c r="H568" s="8" t="inlineStr">
        <is>
          <t>0.05</t>
        </is>
      </c>
      <c r="I568" s="8" t="inlineStr">
        <is>
          <t>Freight</t>
        </is>
      </c>
      <c r="J568" s="8" t="inlineStr">
        <is>
          <t>Mobile App</t>
        </is>
      </c>
      <c r="K568" s="8" t="inlineStr">
        <is>
          <t>REG-LATAM</t>
        </is>
      </c>
    </row>
    <row r="569">
      <c r="A569" s="8" t="inlineStr">
        <is>
          <t>ORD-000277</t>
        </is>
      </c>
      <c r="B569" s="8" t="inlineStr">
        <is>
          <t>2023-08-11</t>
        </is>
      </c>
      <c r="C569" s="8" t="inlineStr">
        <is>
          <t>CUST-04338</t>
        </is>
      </c>
      <c r="D569" s="8" t="inlineStr">
        <is>
          <t>Kimberly Sanchez</t>
        </is>
      </c>
      <c r="E569" s="8" t="inlineStr">
        <is>
          <t>PRD-0091</t>
        </is>
      </c>
      <c r="F569" s="8" t="inlineStr">
        <is>
          <t>1</t>
        </is>
      </c>
      <c r="G569" s="9" t="n">
        <v>57.04</v>
      </c>
      <c r="H569" s="8" t="inlineStr">
        <is>
          <t>0.0</t>
        </is>
      </c>
      <c r="I569" s="8" t="inlineStr">
        <is>
          <t>Same-Day Priority</t>
        </is>
      </c>
      <c r="J569" s="8" t="inlineStr">
        <is>
          <t>Direct Web</t>
        </is>
      </c>
      <c r="K569" s="8" t="inlineStr">
        <is>
          <t>REG-EU</t>
        </is>
      </c>
    </row>
    <row r="570">
      <c r="A570" s="8" t="inlineStr">
        <is>
          <t>ORD-000277</t>
        </is>
      </c>
      <c r="B570" s="8" t="inlineStr">
        <is>
          <t>2023-08-11</t>
        </is>
      </c>
      <c r="C570" s="8" t="inlineStr">
        <is>
          <t>CUST-04338</t>
        </is>
      </c>
      <c r="D570" s="8" t="inlineStr">
        <is>
          <t>Kimberly Sanchez</t>
        </is>
      </c>
      <c r="E570" s="8" t="inlineStr">
        <is>
          <t>PRD-0039</t>
        </is>
      </c>
      <c r="F570" s="8" t="inlineStr">
        <is>
          <t>1</t>
        </is>
      </c>
      <c r="G570" s="9" t="n">
        <v>1365.37</v>
      </c>
      <c r="H570" s="8" t="inlineStr">
        <is>
          <t>0.1</t>
        </is>
      </c>
      <c r="I570" s="8" t="inlineStr">
        <is>
          <t>Same-Day Priority</t>
        </is>
      </c>
      <c r="J570" s="8" t="inlineStr">
        <is>
          <t>Direct Web</t>
        </is>
      </c>
      <c r="K570" s="8" t="inlineStr">
        <is>
          <t>REG-EU</t>
        </is>
      </c>
    </row>
    <row r="571">
      <c r="A571" s="8" t="inlineStr">
        <is>
          <t>ORD-000278</t>
        </is>
      </c>
      <c r="B571" s="8" t="inlineStr">
        <is>
          <t>2023-11-30</t>
        </is>
      </c>
      <c r="C571" s="8" t="inlineStr">
        <is>
          <t>CUST-05010</t>
        </is>
      </c>
      <c r="D571" s="8" t="inlineStr">
        <is>
          <t>Gregory Jimenez</t>
        </is>
      </c>
      <c r="E571" s="8" t="inlineStr">
        <is>
          <t>PRD-0488</t>
        </is>
      </c>
      <c r="F571" s="8" t="inlineStr">
        <is>
          <t>3</t>
        </is>
      </c>
      <c r="G571" s="9" t="n">
        <v>54.77</v>
      </c>
      <c r="H571" s="8" t="inlineStr">
        <is>
          <t>0.0</t>
        </is>
      </c>
      <c r="I571" s="8" t="inlineStr">
        <is>
          <t>Standard Ground</t>
        </is>
      </c>
      <c r="J571" s="8" t="inlineStr">
        <is>
          <t>Affiliate Partner</t>
        </is>
      </c>
      <c r="K571" s="8" t="inlineStr">
        <is>
          <t>REG-EU</t>
        </is>
      </c>
    </row>
    <row r="572">
      <c r="A572" s="8" t="inlineStr">
        <is>
          <t>ORD-000278</t>
        </is>
      </c>
      <c r="B572" s="8" t="inlineStr">
        <is>
          <t>2023-11-30</t>
        </is>
      </c>
      <c r="C572" s="8" t="inlineStr">
        <is>
          <t>CUST-05010</t>
        </is>
      </c>
      <c r="D572" s="8" t="inlineStr">
        <is>
          <t>Gregory Jimenez</t>
        </is>
      </c>
      <c r="E572" s="8" t="inlineStr">
        <is>
          <t>PRD-0040</t>
        </is>
      </c>
      <c r="F572" s="8" t="inlineStr">
        <is>
          <t>1</t>
        </is>
      </c>
      <c r="G572" s="9" t="n">
        <v>28.56</v>
      </c>
      <c r="H572" s="8" t="inlineStr">
        <is>
          <t>0.0</t>
        </is>
      </c>
      <c r="I572" s="8" t="inlineStr">
        <is>
          <t>Standard Ground</t>
        </is>
      </c>
      <c r="J572" s="8" t="inlineStr">
        <is>
          <t>Affiliate Partner</t>
        </is>
      </c>
      <c r="K572" s="8" t="inlineStr">
        <is>
          <t>REG-EU</t>
        </is>
      </c>
    </row>
    <row r="573">
      <c r="A573" s="8" t="inlineStr">
        <is>
          <t>ORD-000279</t>
        </is>
      </c>
      <c r="B573" s="8" t="inlineStr">
        <is>
          <t>2025-02-18</t>
        </is>
      </c>
      <c r="C573" s="8" t="inlineStr">
        <is>
          <t>CUST-07807</t>
        </is>
      </c>
      <c r="D573" s="8" t="inlineStr">
        <is>
          <t>Janet Miller</t>
        </is>
      </c>
      <c r="E573" s="8" t="inlineStr">
        <is>
          <t>PRD-0144</t>
        </is>
      </c>
      <c r="F573" s="8" t="inlineStr">
        <is>
          <t>1</t>
        </is>
      </c>
      <c r="G573" s="9" t="n">
        <v>20.45</v>
      </c>
      <c r="H573" s="8" t="inlineStr">
        <is>
          <t>0.25</t>
        </is>
      </c>
      <c r="I573" s="8" t="inlineStr">
        <is>
          <t>Standard Ground</t>
        </is>
      </c>
      <c r="J573" s="8" t="inlineStr">
        <is>
          <t>Direct Web</t>
        </is>
      </c>
      <c r="K573" s="8" t="inlineStr">
        <is>
          <t>REG-EU</t>
        </is>
      </c>
    </row>
    <row r="574">
      <c r="A574" s="8" t="inlineStr">
        <is>
          <t>ORD-000279</t>
        </is>
      </c>
      <c r="B574" s="8" t="inlineStr">
        <is>
          <t>2025-02-18</t>
        </is>
      </c>
      <c r="C574" s="8" t="inlineStr">
        <is>
          <t>CUST-07807</t>
        </is>
      </c>
      <c r="D574" s="8" t="inlineStr">
        <is>
          <t>Janet Miller</t>
        </is>
      </c>
      <c r="E574" s="8" t="inlineStr">
        <is>
          <t>PRD-0207</t>
        </is>
      </c>
      <c r="F574" s="8" t="inlineStr">
        <is>
          <t>2</t>
        </is>
      </c>
      <c r="G574" s="9" t="n">
        <v>1025.22</v>
      </c>
      <c r="H574" s="8" t="inlineStr">
        <is>
          <t>5%</t>
        </is>
      </c>
      <c r="I574" s="8" t="inlineStr">
        <is>
          <t>Standard Ground</t>
        </is>
      </c>
      <c r="J574" s="8" t="inlineStr">
        <is>
          <t>Direct Web</t>
        </is>
      </c>
      <c r="K574" s="8" t="inlineStr">
        <is>
          <t>REG-EU</t>
        </is>
      </c>
    </row>
    <row r="575">
      <c r="A575" s="8" t="inlineStr">
        <is>
          <t>ORD-000280</t>
        </is>
      </c>
      <c r="B575" s="8" t="inlineStr">
        <is>
          <t>2025-06-09</t>
        </is>
      </c>
      <c r="C575" s="8" t="inlineStr">
        <is>
          <t>CUST-03068</t>
        </is>
      </c>
      <c r="D575" s="8" t="inlineStr">
        <is>
          <t>Ashley Lee</t>
        </is>
      </c>
      <c r="E575" s="8" t="inlineStr">
        <is>
          <t>PRD-0270</t>
        </is>
      </c>
      <c r="F575" s="8" t="inlineStr">
        <is>
          <t>4</t>
        </is>
      </c>
      <c r="G575" s="9" t="n">
        <v>137.1</v>
      </c>
      <c r="H575" s="8" t="inlineStr">
        <is>
          <t>0.05</t>
        </is>
      </c>
      <c r="I575" s="8" t="inlineStr">
        <is>
          <t>Standard Ground</t>
        </is>
      </c>
      <c r="J575" s="8" t="inlineStr">
        <is>
          <t>Direct Web</t>
        </is>
      </c>
      <c r="K575" s="8" t="inlineStr">
        <is>
          <t>REG-NA</t>
        </is>
      </c>
    </row>
    <row r="576">
      <c r="A576" s="8" t="inlineStr">
        <is>
          <t>ORD-000280</t>
        </is>
      </c>
      <c r="B576" s="8" t="inlineStr">
        <is>
          <t>2025-06-09</t>
        </is>
      </c>
      <c r="C576" s="8" t="inlineStr">
        <is>
          <t>CUST-03068</t>
        </is>
      </c>
      <c r="D576" s="8" t="inlineStr">
        <is>
          <t>Ashley Lee</t>
        </is>
      </c>
      <c r="E576" s="8" t="inlineStr">
        <is>
          <t>PRD-0206</t>
        </is>
      </c>
      <c r="F576" s="8" t="inlineStr">
        <is>
          <t>3</t>
        </is>
      </c>
      <c r="G576" s="9" t="n">
        <v>672.37</v>
      </c>
      <c r="H576" s="8" t="inlineStr">
        <is>
          <t>0.0</t>
        </is>
      </c>
      <c r="I576" s="8" t="inlineStr">
        <is>
          <t>Standard Ground</t>
        </is>
      </c>
      <c r="J576" s="8" t="inlineStr">
        <is>
          <t>Direct Web</t>
        </is>
      </c>
      <c r="K576" s="8" t="inlineStr">
        <is>
          <t>REG-NA</t>
        </is>
      </c>
    </row>
    <row r="577">
      <c r="A577" s="8" t="inlineStr">
        <is>
          <t>ORD-000281</t>
        </is>
      </c>
      <c r="B577" s="8" t="inlineStr">
        <is>
          <t>2025-12-24</t>
        </is>
      </c>
      <c r="C577" s="8" t="inlineStr"/>
      <c r="D577" s="8" t="inlineStr"/>
      <c r="E577" s="8" t="inlineStr">
        <is>
          <t>PRD-0265</t>
        </is>
      </c>
      <c r="F577" s="8" t="inlineStr">
        <is>
          <t>1</t>
        </is>
      </c>
      <c r="G577" s="9" t="n">
        <v>426.8</v>
      </c>
      <c r="H577" s="8" t="inlineStr">
        <is>
          <t>0.0</t>
        </is>
      </c>
      <c r="I577" s="8" t="inlineStr">
        <is>
          <t>Same-Day Priority</t>
        </is>
      </c>
      <c r="J577" s="8" t="inlineStr">
        <is>
          <t>Affiliate Partner</t>
        </is>
      </c>
      <c r="K577" s="8" t="inlineStr"/>
    </row>
    <row r="578">
      <c r="A578" s="8" t="inlineStr">
        <is>
          <t>ORD-000282</t>
        </is>
      </c>
      <c r="B578" s="8" t="inlineStr">
        <is>
          <t>2024-12-17</t>
        </is>
      </c>
      <c r="C578" s="8" t="inlineStr">
        <is>
          <t>CUST-06008</t>
        </is>
      </c>
      <c r="D578" s="8" t="inlineStr">
        <is>
          <t>Benjamin Clark</t>
        </is>
      </c>
      <c r="E578" s="8" t="inlineStr">
        <is>
          <t>PRD-0332</t>
        </is>
      </c>
      <c r="F578" s="8" t="inlineStr">
        <is>
          <t>1</t>
        </is>
      </c>
      <c r="G578" s="9" t="n">
        <v>82.03</v>
      </c>
      <c r="H578" s="8" t="inlineStr">
        <is>
          <t>0.15</t>
        </is>
      </c>
      <c r="I578" s="8" t="inlineStr">
        <is>
          <t>Standard Ground</t>
        </is>
      </c>
      <c r="J578" s="8" t="inlineStr">
        <is>
          <t>Mobile App</t>
        </is>
      </c>
      <c r="K578" s="8" t="inlineStr">
        <is>
          <t>REG-APAC</t>
        </is>
      </c>
    </row>
    <row r="579">
      <c r="A579" s="8" t="inlineStr">
        <is>
          <t>ORD-000282</t>
        </is>
      </c>
      <c r="B579" s="8" t="inlineStr">
        <is>
          <t>2024-12-17</t>
        </is>
      </c>
      <c r="C579" s="8" t="inlineStr">
        <is>
          <t>CUST-06008</t>
        </is>
      </c>
      <c r="D579" s="8" t="inlineStr">
        <is>
          <t>Benjamin Clark</t>
        </is>
      </c>
      <c r="E579" s="8" t="inlineStr">
        <is>
          <t>PRD-0043</t>
        </is>
      </c>
      <c r="F579" s="8" t="inlineStr">
        <is>
          <t>1</t>
        </is>
      </c>
      <c r="G579" s="9" t="n">
        <v>174.44</v>
      </c>
      <c r="H579" s="8" t="inlineStr">
        <is>
          <t>0.0</t>
        </is>
      </c>
      <c r="I579" s="8" t="inlineStr">
        <is>
          <t>Standard Ground</t>
        </is>
      </c>
      <c r="J579" s="8" t="inlineStr">
        <is>
          <t>Mobile App</t>
        </is>
      </c>
      <c r="K579" s="8" t="inlineStr">
        <is>
          <t>REG-APAC</t>
        </is>
      </c>
    </row>
    <row r="580">
      <c r="A580" s="8" t="inlineStr">
        <is>
          <t>ORD-000282</t>
        </is>
      </c>
      <c r="B580" s="8" t="inlineStr">
        <is>
          <t>2024-12-17</t>
        </is>
      </c>
      <c r="C580" s="8" t="inlineStr">
        <is>
          <t>CUST-06008</t>
        </is>
      </c>
      <c r="D580" s="8" t="inlineStr">
        <is>
          <t>Benjamin Clark</t>
        </is>
      </c>
      <c r="E580" s="8" t="inlineStr">
        <is>
          <t>PRD-0172</t>
        </is>
      </c>
      <c r="F580" s="8" t="inlineStr">
        <is>
          <t>1</t>
        </is>
      </c>
      <c r="G580" s="9" t="n">
        <v>132.43</v>
      </c>
      <c r="H580" s="8" t="inlineStr">
        <is>
          <t>0.0</t>
        </is>
      </c>
      <c r="I580" s="8" t="inlineStr">
        <is>
          <t>Standard Ground</t>
        </is>
      </c>
      <c r="J580" s="8" t="inlineStr">
        <is>
          <t>Mobile App</t>
        </is>
      </c>
      <c r="K580" s="8" t="inlineStr">
        <is>
          <t>REG-APAC</t>
        </is>
      </c>
    </row>
    <row r="581">
      <c r="A581" s="8" t="inlineStr">
        <is>
          <t>ORD-000282</t>
        </is>
      </c>
      <c r="B581" s="8" t="inlineStr">
        <is>
          <t>2024-12-17</t>
        </is>
      </c>
      <c r="C581" s="8" t="inlineStr">
        <is>
          <t>CUST-06008</t>
        </is>
      </c>
      <c r="D581" s="8" t="inlineStr">
        <is>
          <t>Benjamin Clark</t>
        </is>
      </c>
      <c r="E581" s="8" t="inlineStr">
        <is>
          <t>PRD-0419</t>
        </is>
      </c>
      <c r="F581" s="8" t="inlineStr">
        <is>
          <t>2</t>
        </is>
      </c>
      <c r="G581" s="9" t="n">
        <v>113.66</v>
      </c>
      <c r="H581" s="8" t="inlineStr">
        <is>
          <t>0.25</t>
        </is>
      </c>
      <c r="I581" s="8" t="inlineStr">
        <is>
          <t>Standard Ground</t>
        </is>
      </c>
      <c r="J581" s="8" t="inlineStr">
        <is>
          <t>Mobile App</t>
        </is>
      </c>
      <c r="K581" s="8" t="inlineStr">
        <is>
          <t>REG-APAC</t>
        </is>
      </c>
    </row>
    <row r="582">
      <c r="A582" s="8" t="inlineStr">
        <is>
          <t>ORD-000283</t>
        </is>
      </c>
      <c r="B582" s="8" t="inlineStr">
        <is>
          <t>2025-05-09</t>
        </is>
      </c>
      <c r="C582" s="8" t="inlineStr">
        <is>
          <t>CUST-07454</t>
        </is>
      </c>
      <c r="D582" s="8" t="inlineStr">
        <is>
          <t>Kevin Morris</t>
        </is>
      </c>
      <c r="E582" s="8" t="inlineStr">
        <is>
          <t>PRD-0497</t>
        </is>
      </c>
      <c r="F582" s="8" t="inlineStr">
        <is>
          <t>5</t>
        </is>
      </c>
      <c r="G582" s="9" t="n">
        <v>620.15</v>
      </c>
      <c r="H582" s="8" t="inlineStr">
        <is>
          <t>0.0</t>
        </is>
      </c>
      <c r="I582" s="8" t="inlineStr">
        <is>
          <t>Standard Ground</t>
        </is>
      </c>
      <c r="J582" s="8" t="inlineStr">
        <is>
          <t>Direct Web</t>
        </is>
      </c>
      <c r="K582" s="8" t="inlineStr">
        <is>
          <t>REG-NA</t>
        </is>
      </c>
    </row>
    <row r="583">
      <c r="A583" s="8" t="inlineStr">
        <is>
          <t>ORD-000283</t>
        </is>
      </c>
      <c r="B583" s="8" t="inlineStr">
        <is>
          <t>2025-05-09</t>
        </is>
      </c>
      <c r="C583" s="8" t="inlineStr">
        <is>
          <t>CUST-07454</t>
        </is>
      </c>
      <c r="D583" s="8" t="inlineStr">
        <is>
          <t>Kevin Morris</t>
        </is>
      </c>
      <c r="E583" s="8" t="inlineStr">
        <is>
          <t>PRD-0084</t>
        </is>
      </c>
      <c r="F583" s="8" t="inlineStr">
        <is>
          <t>10</t>
        </is>
      </c>
      <c r="G583" s="9" t="n">
        <v>72.68000000000001</v>
      </c>
      <c r="H583" s="8" t="inlineStr">
        <is>
          <t>0.15</t>
        </is>
      </c>
      <c r="I583" s="8" t="inlineStr">
        <is>
          <t>Standard Ground</t>
        </is>
      </c>
      <c r="J583" s="8" t="inlineStr">
        <is>
          <t>Direct Web</t>
        </is>
      </c>
      <c r="K583" s="8" t="inlineStr">
        <is>
          <t>REG-NA</t>
        </is>
      </c>
    </row>
    <row r="584">
      <c r="A584" s="8" t="inlineStr">
        <is>
          <t>ORD-000284</t>
        </is>
      </c>
      <c r="B584" s="8" t="inlineStr">
        <is>
          <t>2023-09-29</t>
        </is>
      </c>
      <c r="C584" s="8" t="inlineStr">
        <is>
          <t>CUST-01127</t>
        </is>
      </c>
      <c r="D584" s="8" t="inlineStr">
        <is>
          <t>Diane Lopez</t>
        </is>
      </c>
      <c r="E584" s="8" t="inlineStr">
        <is>
          <t>PRD-0095</t>
        </is>
      </c>
      <c r="F584" s="8" t="inlineStr">
        <is>
          <t>3</t>
        </is>
      </c>
      <c r="G584" s="9" t="n">
        <v>477.87</v>
      </c>
      <c r="H584" s="8" t="inlineStr">
        <is>
          <t>0.0</t>
        </is>
      </c>
      <c r="I584" s="8" t="inlineStr">
        <is>
          <t>Standard Ground</t>
        </is>
      </c>
      <c r="J584" s="8" t="inlineStr">
        <is>
          <t>Mobile App</t>
        </is>
      </c>
      <c r="K584" s="8" t="inlineStr">
        <is>
          <t>REG-NA</t>
        </is>
      </c>
    </row>
    <row r="585">
      <c r="A585" s="8" t="inlineStr">
        <is>
          <t>ORD-000285</t>
        </is>
      </c>
      <c r="B585" s="8" t="inlineStr">
        <is>
          <t>2023-12-17</t>
        </is>
      </c>
      <c r="C585" s="8" t="inlineStr">
        <is>
          <t>CUST-05980</t>
        </is>
      </c>
      <c r="D585" s="8" t="inlineStr">
        <is>
          <t>Patricia Hall</t>
        </is>
      </c>
      <c r="E585" s="8" t="inlineStr">
        <is>
          <t>PRD-0400</t>
        </is>
      </c>
      <c r="F585" s="8" t="inlineStr">
        <is>
          <t>4</t>
        </is>
      </c>
      <c r="G585" s="9" t="n">
        <v>409.11</v>
      </c>
      <c r="H585" s="8" t="inlineStr">
        <is>
          <t>0.05</t>
        </is>
      </c>
      <c r="I585" s="8" t="inlineStr">
        <is>
          <t>Standard Ground</t>
        </is>
      </c>
      <c r="J585" s="8" t="inlineStr">
        <is>
          <t>Direct Web</t>
        </is>
      </c>
      <c r="K585" s="8" t="inlineStr">
        <is>
          <t>REG-APAC</t>
        </is>
      </c>
    </row>
    <row r="586">
      <c r="A586" s="8" t="inlineStr">
        <is>
          <t>ORD-000285</t>
        </is>
      </c>
      <c r="B586" s="8" t="inlineStr">
        <is>
          <t>2023-12-17</t>
        </is>
      </c>
      <c r="C586" s="8" t="inlineStr">
        <is>
          <t>CUST-05980</t>
        </is>
      </c>
      <c r="D586" s="8" t="inlineStr">
        <is>
          <t>Patricia Hall</t>
        </is>
      </c>
      <c r="E586" s="8" t="inlineStr">
        <is>
          <t>PRD-0092</t>
        </is>
      </c>
      <c r="F586" s="8" t="inlineStr">
        <is>
          <t>4</t>
        </is>
      </c>
      <c r="G586" s="9" t="n">
        <v>63.9</v>
      </c>
      <c r="H586" s="8" t="inlineStr">
        <is>
          <t>0.1</t>
        </is>
      </c>
      <c r="I586" s="8" t="inlineStr">
        <is>
          <t>Standard Ground</t>
        </is>
      </c>
      <c r="J586" s="8" t="inlineStr">
        <is>
          <t>Direct Web</t>
        </is>
      </c>
      <c r="K586" s="8" t="inlineStr">
        <is>
          <t>REG-APAC</t>
        </is>
      </c>
    </row>
    <row r="587">
      <c r="A587" s="8" t="inlineStr">
        <is>
          <t>ORD-000285</t>
        </is>
      </c>
      <c r="B587" s="8" t="inlineStr">
        <is>
          <t>2023-12-17</t>
        </is>
      </c>
      <c r="C587" s="8" t="inlineStr">
        <is>
          <t>CUST-05980</t>
        </is>
      </c>
      <c r="D587" s="8" t="inlineStr">
        <is>
          <t>Patricia Hall</t>
        </is>
      </c>
      <c r="E587" s="8" t="inlineStr">
        <is>
          <t>PRD-0405</t>
        </is>
      </c>
      <c r="F587" s="8" t="inlineStr">
        <is>
          <t>1</t>
        </is>
      </c>
      <c r="G587" s="9" t="n">
        <v>29.36</v>
      </c>
      <c r="H587" s="8" t="inlineStr">
        <is>
          <t>0.0</t>
        </is>
      </c>
      <c r="I587" s="8" t="inlineStr">
        <is>
          <t>Standard Ground</t>
        </is>
      </c>
      <c r="J587" s="8" t="inlineStr">
        <is>
          <t>Direct Web</t>
        </is>
      </c>
      <c r="K587" s="8" t="inlineStr">
        <is>
          <t>REG-APAC</t>
        </is>
      </c>
    </row>
    <row r="588">
      <c r="A588" s="8" t="inlineStr">
        <is>
          <t>ORD-000286</t>
        </is>
      </c>
      <c r="B588" s="8" t="inlineStr">
        <is>
          <t>2025-06-27</t>
        </is>
      </c>
      <c r="C588" s="8" t="inlineStr">
        <is>
          <t>CUST-07688</t>
        </is>
      </c>
      <c r="D588" s="8" t="inlineStr">
        <is>
          <t>Thomas Parker</t>
        </is>
      </c>
      <c r="E588" s="8" t="inlineStr">
        <is>
          <t>PRD-0018</t>
        </is>
      </c>
      <c r="F588" s="8" t="inlineStr">
        <is>
          <t>1</t>
        </is>
      </c>
      <c r="G588" s="9" t="n">
        <v>75.52</v>
      </c>
      <c r="H588" s="8" t="inlineStr">
        <is>
          <t>0.2</t>
        </is>
      </c>
      <c r="I588" s="8" t="inlineStr">
        <is>
          <t>Same-Day Priority</t>
        </is>
      </c>
      <c r="J588" s="8" t="inlineStr">
        <is>
          <t>Direct Web</t>
        </is>
      </c>
      <c r="K588" s="8" t="inlineStr">
        <is>
          <t>REG-EU</t>
        </is>
      </c>
    </row>
    <row r="589">
      <c r="A589" s="8" t="inlineStr">
        <is>
          <t>ORD-000286</t>
        </is>
      </c>
      <c r="B589" s="8" t="inlineStr">
        <is>
          <t>2025-06-27</t>
        </is>
      </c>
      <c r="C589" s="8" t="inlineStr">
        <is>
          <t>CUST-07688</t>
        </is>
      </c>
      <c r="D589" s="8" t="inlineStr">
        <is>
          <t>Thomas Parker</t>
        </is>
      </c>
      <c r="E589" s="8" t="inlineStr">
        <is>
          <t>PRD-0268</t>
        </is>
      </c>
      <c r="F589" s="8" t="inlineStr">
        <is>
          <t>1</t>
        </is>
      </c>
      <c r="G589" s="9" t="n">
        <v>69.90000000000001</v>
      </c>
      <c r="H589" s="8" t="inlineStr">
        <is>
          <t>0.05</t>
        </is>
      </c>
      <c r="I589" s="8" t="inlineStr">
        <is>
          <t>Same-Day Priority</t>
        </is>
      </c>
      <c r="J589" s="8" t="inlineStr">
        <is>
          <t>Direct Web</t>
        </is>
      </c>
      <c r="K589" s="8" t="inlineStr">
        <is>
          <t>REG-EU</t>
        </is>
      </c>
    </row>
    <row r="590">
      <c r="A590" s="8" t="inlineStr">
        <is>
          <t>ORD-000286</t>
        </is>
      </c>
      <c r="B590" s="8" t="inlineStr">
        <is>
          <t>2025-06-27</t>
        </is>
      </c>
      <c r="C590" s="8" t="inlineStr">
        <is>
          <t>CUST-07688</t>
        </is>
      </c>
      <c r="D590" s="8" t="inlineStr">
        <is>
          <t>Thomas Parker</t>
        </is>
      </c>
      <c r="E590" s="8" t="inlineStr">
        <is>
          <t>PRD-0316</t>
        </is>
      </c>
      <c r="F590" s="8" t="inlineStr">
        <is>
          <t>1</t>
        </is>
      </c>
      <c r="G590" s="9" t="n">
        <v>575.96</v>
      </c>
      <c r="H590" s="8" t="inlineStr">
        <is>
          <t>0.15</t>
        </is>
      </c>
      <c r="I590" s="8" t="inlineStr">
        <is>
          <t>Same-Day Priority</t>
        </is>
      </c>
      <c r="J590" s="8" t="inlineStr">
        <is>
          <t>Direct Web</t>
        </is>
      </c>
      <c r="K590" s="8" t="inlineStr">
        <is>
          <t>REG-EU</t>
        </is>
      </c>
    </row>
    <row r="591">
      <c r="A591" s="8" t="inlineStr">
        <is>
          <t>ORD-000286</t>
        </is>
      </c>
      <c r="B591" s="8" t="inlineStr">
        <is>
          <t>2025-06-27</t>
        </is>
      </c>
      <c r="C591" s="8" t="inlineStr">
        <is>
          <t>CUST-07688</t>
        </is>
      </c>
      <c r="D591" s="8" t="inlineStr">
        <is>
          <t>Thomas Parker</t>
        </is>
      </c>
      <c r="E591" s="8" t="inlineStr">
        <is>
          <t>PRD-0142</t>
        </is>
      </c>
      <c r="F591" s="8" t="inlineStr">
        <is>
          <t>4</t>
        </is>
      </c>
      <c r="G591" s="9" t="n">
        <v>44.6</v>
      </c>
      <c r="H591" s="8" t="inlineStr">
        <is>
          <t>0.1</t>
        </is>
      </c>
      <c r="I591" s="8" t="inlineStr">
        <is>
          <t>Same-Day Priority</t>
        </is>
      </c>
      <c r="J591" s="8" t="inlineStr">
        <is>
          <t>Direct Web</t>
        </is>
      </c>
      <c r="K591" s="8" t="inlineStr">
        <is>
          <t>REG-EU</t>
        </is>
      </c>
    </row>
    <row r="592">
      <c r="A592" s="8" t="inlineStr">
        <is>
          <t>ORD-000287</t>
        </is>
      </c>
      <c r="B592" s="8" t="inlineStr">
        <is>
          <t>2025-12-11</t>
        </is>
      </c>
      <c r="C592" s="8" t="inlineStr">
        <is>
          <t>CUST-03426</t>
        </is>
      </c>
      <c r="D592" s="8" t="inlineStr">
        <is>
          <t>Donna Scott</t>
        </is>
      </c>
      <c r="E592" s="8" t="inlineStr">
        <is>
          <t>PRD-0107</t>
        </is>
      </c>
      <c r="F592" s="8" t="inlineStr">
        <is>
          <t>1</t>
        </is>
      </c>
      <c r="G592" s="9" t="n">
        <v>754.95</v>
      </c>
      <c r="H592" s="8" t="inlineStr">
        <is>
          <t>0.05</t>
        </is>
      </c>
      <c r="I592" s="8" t="inlineStr">
        <is>
          <t>Standard Ground</t>
        </is>
      </c>
      <c r="J592" s="8" t="inlineStr">
        <is>
          <t>Affiliate Partner</t>
        </is>
      </c>
      <c r="K592" s="8" t="inlineStr">
        <is>
          <t>REG-NA</t>
        </is>
      </c>
    </row>
    <row r="593">
      <c r="A593" s="8" t="inlineStr">
        <is>
          <t>ORD-000288</t>
        </is>
      </c>
      <c r="B593" s="8" t="inlineStr">
        <is>
          <t>2025-11-24</t>
        </is>
      </c>
      <c r="C593" s="8" t="inlineStr">
        <is>
          <t>CUST-05549</t>
        </is>
      </c>
      <c r="D593" s="8" t="inlineStr">
        <is>
          <t>Stephen Gray</t>
        </is>
      </c>
      <c r="E593" s="8" t="inlineStr">
        <is>
          <t>PRD-0480</t>
        </is>
      </c>
      <c r="F593" s="8" t="inlineStr">
        <is>
          <t>4</t>
        </is>
      </c>
      <c r="G593" s="9" t="n">
        <v>122.63</v>
      </c>
      <c r="H593" s="8" t="inlineStr">
        <is>
          <t>0.1</t>
        </is>
      </c>
      <c r="I593" s="8" t="inlineStr">
        <is>
          <t>Standard Ground</t>
        </is>
      </c>
      <c r="J593" s="8" t="inlineStr">
        <is>
          <t>Direct Web</t>
        </is>
      </c>
      <c r="K593" s="8" t="inlineStr">
        <is>
          <t>REG-EU</t>
        </is>
      </c>
    </row>
    <row r="594">
      <c r="A594" s="8" t="inlineStr">
        <is>
          <t>ORD-000289</t>
        </is>
      </c>
      <c r="B594" s="8" t="inlineStr">
        <is>
          <t>2024-06-14</t>
        </is>
      </c>
      <c r="C594" s="8" t="inlineStr">
        <is>
          <t>CUST-03545</t>
        </is>
      </c>
      <c r="D594" s="8" t="inlineStr">
        <is>
          <t>Debra Ramos</t>
        </is>
      </c>
      <c r="E594" s="8" t="inlineStr">
        <is>
          <t>PRD-0364</t>
        </is>
      </c>
      <c r="F594" s="8" t="inlineStr">
        <is>
          <t>2</t>
        </is>
      </c>
      <c r="G594" s="9" t="n">
        <v>1083.88</v>
      </c>
      <c r="H594" s="8" t="inlineStr">
        <is>
          <t>0.15</t>
        </is>
      </c>
      <c r="I594" s="8" t="inlineStr">
        <is>
          <t>Express Air</t>
        </is>
      </c>
      <c r="J594" s="8" t="inlineStr">
        <is>
          <t>Direct Web</t>
        </is>
      </c>
      <c r="K594" s="8" t="inlineStr">
        <is>
          <t>REG-NA</t>
        </is>
      </c>
    </row>
    <row r="595">
      <c r="A595" s="8" t="inlineStr">
        <is>
          <t>ORD-000290</t>
        </is>
      </c>
      <c r="B595" s="8" t="inlineStr">
        <is>
          <t>2024-11-07</t>
        </is>
      </c>
      <c r="C595" s="8" t="inlineStr">
        <is>
          <t>CUST-03895</t>
        </is>
      </c>
      <c r="D595" s="8" t="inlineStr">
        <is>
          <t>Paul Williams</t>
        </is>
      </c>
      <c r="E595" s="8" t="inlineStr">
        <is>
          <t>PRD-0373</t>
        </is>
      </c>
      <c r="F595" s="8" t="inlineStr">
        <is>
          <t>3</t>
        </is>
      </c>
      <c r="G595" s="9" t="n">
        <v>308.95</v>
      </c>
      <c r="H595" s="8" t="inlineStr">
        <is>
          <t>0.05</t>
        </is>
      </c>
      <c r="I595" s="8" t="inlineStr">
        <is>
          <t>Standard Ground</t>
        </is>
      </c>
      <c r="J595" s="8" t="inlineStr">
        <is>
          <t>Mobile App</t>
        </is>
      </c>
      <c r="K595" s="8" t="inlineStr">
        <is>
          <t>REG-EU</t>
        </is>
      </c>
    </row>
    <row r="596">
      <c r="A596" s="8" t="inlineStr">
        <is>
          <t>ORD-000290</t>
        </is>
      </c>
      <c r="B596" s="8" t="inlineStr">
        <is>
          <t>2024-11-07</t>
        </is>
      </c>
      <c r="C596" s="8" t="inlineStr">
        <is>
          <t>CUST-03895</t>
        </is>
      </c>
      <c r="D596" s="8" t="inlineStr">
        <is>
          <t>Paul Williams</t>
        </is>
      </c>
      <c r="E596" s="8" t="inlineStr">
        <is>
          <t>PRD-0435</t>
        </is>
      </c>
      <c r="F596" s="8" t="inlineStr">
        <is>
          <t>3</t>
        </is>
      </c>
      <c r="G596" s="9" t="n">
        <v>446.59</v>
      </c>
      <c r="H596" s="8" t="inlineStr">
        <is>
          <t>0.0</t>
        </is>
      </c>
      <c r="I596" s="8" t="inlineStr">
        <is>
          <t>Standard Ground</t>
        </is>
      </c>
      <c r="J596" s="8" t="inlineStr">
        <is>
          <t>Mobile App</t>
        </is>
      </c>
      <c r="K596" s="8" t="inlineStr">
        <is>
          <t>REG-EU</t>
        </is>
      </c>
    </row>
    <row r="597">
      <c r="A597" s="8" t="inlineStr">
        <is>
          <t>ORD-000291</t>
        </is>
      </c>
      <c r="B597" s="8" t="inlineStr">
        <is>
          <t>2024-09-16</t>
        </is>
      </c>
      <c r="C597" s="8" t="inlineStr">
        <is>
          <t>CUST-01868</t>
        </is>
      </c>
      <c r="D597" s="8" t="inlineStr">
        <is>
          <t>Nicholas Moore</t>
        </is>
      </c>
      <c r="E597" s="8" t="inlineStr">
        <is>
          <t>PRD-0158</t>
        </is>
      </c>
      <c r="F597" s="8" t="inlineStr">
        <is>
          <t>1</t>
        </is>
      </c>
      <c r="G597" s="9" t="n">
        <v>68.3</v>
      </c>
      <c r="H597" s="8" t="inlineStr">
        <is>
          <t>0.05</t>
        </is>
      </c>
      <c r="I597" s="8" t="inlineStr">
        <is>
          <t>Freight</t>
        </is>
      </c>
      <c r="J597" s="8" t="inlineStr">
        <is>
          <t>Direct Web</t>
        </is>
      </c>
      <c r="K597" s="8" t="inlineStr">
        <is>
          <t>REG-NA</t>
        </is>
      </c>
    </row>
    <row r="598">
      <c r="A598" s="8" t="inlineStr">
        <is>
          <t>ORD-000291</t>
        </is>
      </c>
      <c r="B598" s="8" t="inlineStr">
        <is>
          <t>2024-09-16</t>
        </is>
      </c>
      <c r="C598" s="8" t="inlineStr">
        <is>
          <t>CUST-01868</t>
        </is>
      </c>
      <c r="D598" s="8" t="inlineStr">
        <is>
          <t>Nicholas Moore</t>
        </is>
      </c>
      <c r="E598" s="8" t="inlineStr">
        <is>
          <t>PRD-0419</t>
        </is>
      </c>
      <c r="F598" s="8" t="inlineStr">
        <is>
          <t>1</t>
        </is>
      </c>
      <c r="G598" s="9" t="n">
        <v>113.66</v>
      </c>
      <c r="H598" s="8" t="inlineStr">
        <is>
          <t>0.0</t>
        </is>
      </c>
      <c r="I598" s="8" t="inlineStr">
        <is>
          <t>Freight</t>
        </is>
      </c>
      <c r="J598" s="8" t="inlineStr">
        <is>
          <t>Direct Web</t>
        </is>
      </c>
      <c r="K598" s="8" t="inlineStr">
        <is>
          <t>REG-NA</t>
        </is>
      </c>
    </row>
    <row r="599">
      <c r="A599" s="8" t="inlineStr">
        <is>
          <t>ORD-000291</t>
        </is>
      </c>
      <c r="B599" s="8" t="inlineStr">
        <is>
          <t>2024-09-16</t>
        </is>
      </c>
      <c r="C599" s="8" t="inlineStr">
        <is>
          <t>CUST-01868</t>
        </is>
      </c>
      <c r="D599" s="8" t="inlineStr">
        <is>
          <t>Nicholas Moore</t>
        </is>
      </c>
      <c r="E599" s="8" t="inlineStr">
        <is>
          <t>PRD-0022</t>
        </is>
      </c>
      <c r="F599" s="8" t="inlineStr">
        <is>
          <t>1</t>
        </is>
      </c>
      <c r="G599" s="9" t="n">
        <v>801.74</v>
      </c>
      <c r="H599" s="8" t="inlineStr">
        <is>
          <t>0.25</t>
        </is>
      </c>
      <c r="I599" s="8" t="inlineStr">
        <is>
          <t>Freight</t>
        </is>
      </c>
      <c r="J599" s="8" t="inlineStr">
        <is>
          <t>Direct Web</t>
        </is>
      </c>
      <c r="K599" s="8" t="inlineStr">
        <is>
          <t>REG-NA</t>
        </is>
      </c>
    </row>
    <row r="600">
      <c r="A600" s="8" t="inlineStr">
        <is>
          <t>ORD-000291</t>
        </is>
      </c>
      <c r="B600" s="8" t="inlineStr">
        <is>
          <t>2024-09-16</t>
        </is>
      </c>
      <c r="C600" s="8" t="inlineStr">
        <is>
          <t>CUST-01868</t>
        </is>
      </c>
      <c r="D600" s="8" t="inlineStr">
        <is>
          <t>Nicholas Moore</t>
        </is>
      </c>
      <c r="E600" s="8" t="inlineStr">
        <is>
          <t>PRD-0202</t>
        </is>
      </c>
      <c r="F600" s="8" t="inlineStr">
        <is>
          <t>2</t>
        </is>
      </c>
      <c r="G600" s="9" t="n">
        <v>43.87</v>
      </c>
      <c r="H600" s="8" t="inlineStr">
        <is>
          <t>0.0</t>
        </is>
      </c>
      <c r="I600" s="8" t="inlineStr">
        <is>
          <t>Freight</t>
        </is>
      </c>
      <c r="J600" s="8" t="inlineStr">
        <is>
          <t>Direct Web</t>
        </is>
      </c>
      <c r="K600" s="8" t="inlineStr">
        <is>
          <t>REG-NA</t>
        </is>
      </c>
    </row>
    <row r="601">
      <c r="A601" s="8" t="inlineStr">
        <is>
          <t>ORD-000291</t>
        </is>
      </c>
      <c r="B601" s="8" t="inlineStr">
        <is>
          <t>2024-09-16</t>
        </is>
      </c>
      <c r="C601" s="8" t="inlineStr">
        <is>
          <t>CUST-01868</t>
        </is>
      </c>
      <c r="D601" s="8" t="inlineStr">
        <is>
          <t>Nicholas Moore</t>
        </is>
      </c>
      <c r="E601" s="8" t="inlineStr">
        <is>
          <t>PRD-0114</t>
        </is>
      </c>
      <c r="F601" s="8" t="inlineStr">
        <is>
          <t>1</t>
        </is>
      </c>
      <c r="G601" s="9" t="n">
        <v>49.56</v>
      </c>
      <c r="H601" s="8" t="inlineStr">
        <is>
          <t>0.25</t>
        </is>
      </c>
      <c r="I601" s="8" t="inlineStr">
        <is>
          <t>Freight</t>
        </is>
      </c>
      <c r="J601" s="8" t="inlineStr">
        <is>
          <t>Direct Web</t>
        </is>
      </c>
      <c r="K601" s="8" t="inlineStr">
        <is>
          <t>REG-NA</t>
        </is>
      </c>
    </row>
    <row r="602">
      <c r="A602" s="8" t="inlineStr">
        <is>
          <t>ORD-000292</t>
        </is>
      </c>
      <c r="B602" s="8" t="inlineStr">
        <is>
          <t>2024-11-19</t>
        </is>
      </c>
      <c r="C602" s="8" t="inlineStr">
        <is>
          <t>CUST-07116</t>
        </is>
      </c>
      <c r="D602" s="8" t="inlineStr">
        <is>
          <t>Emily Lewis</t>
        </is>
      </c>
      <c r="E602" s="8" t="inlineStr">
        <is>
          <t>PRD-0337</t>
        </is>
      </c>
      <c r="F602" s="8" t="inlineStr">
        <is>
          <t>3</t>
        </is>
      </c>
      <c r="G602" s="9" t="n">
        <v>401.03</v>
      </c>
      <c r="H602" s="8" t="inlineStr">
        <is>
          <t>0.0</t>
        </is>
      </c>
      <c r="I602" s="8" t="inlineStr">
        <is>
          <t>Express Air</t>
        </is>
      </c>
      <c r="J602" s="8" t="inlineStr">
        <is>
          <t>Direct Web</t>
        </is>
      </c>
      <c r="K602" s="8" t="inlineStr">
        <is>
          <t>REG-NA</t>
        </is>
      </c>
    </row>
    <row r="603">
      <c r="A603" s="8" t="inlineStr">
        <is>
          <t>ORD-000292</t>
        </is>
      </c>
      <c r="B603" s="8" t="inlineStr">
        <is>
          <t>2024-11-19</t>
        </is>
      </c>
      <c r="C603" s="8" t="inlineStr">
        <is>
          <t>CUST-07116</t>
        </is>
      </c>
      <c r="D603" s="8" t="inlineStr">
        <is>
          <t>Emily Lewis</t>
        </is>
      </c>
      <c r="E603" s="8" t="inlineStr">
        <is>
          <t>PRD-0211</t>
        </is>
      </c>
      <c r="F603" s="8" t="inlineStr">
        <is>
          <t>2</t>
        </is>
      </c>
      <c r="G603" s="9" t="n">
        <v>28.2</v>
      </c>
      <c r="H603" s="8" t="inlineStr">
        <is>
          <t>0.05</t>
        </is>
      </c>
      <c r="I603" s="8" t="inlineStr">
        <is>
          <t>Express Air</t>
        </is>
      </c>
      <c r="J603" s="8" t="inlineStr">
        <is>
          <t>Direct Web</t>
        </is>
      </c>
      <c r="K603" s="8" t="inlineStr">
        <is>
          <t>REG-NA</t>
        </is>
      </c>
    </row>
    <row r="604">
      <c r="A604" s="8" t="inlineStr">
        <is>
          <t>ORD-000293</t>
        </is>
      </c>
      <c r="B604" s="8" t="inlineStr">
        <is>
          <t>2023-02-07</t>
        </is>
      </c>
      <c r="C604" s="8" t="inlineStr">
        <is>
          <t>CUST-00672</t>
        </is>
      </c>
      <c r="D604" s="8" t="inlineStr">
        <is>
          <t>Michelle Lee</t>
        </is>
      </c>
      <c r="E604" s="8" t="inlineStr">
        <is>
          <t>PRD-0235</t>
        </is>
      </c>
      <c r="F604" s="8" t="inlineStr">
        <is>
          <t>5</t>
        </is>
      </c>
      <c r="G604" s="9" t="n">
        <v>640.49</v>
      </c>
      <c r="H604" s="8" t="inlineStr">
        <is>
          <t>0.0</t>
        </is>
      </c>
      <c r="I604" s="8" t="inlineStr">
        <is>
          <t>Standard Ground</t>
        </is>
      </c>
      <c r="J604" s="8" t="inlineStr">
        <is>
          <t>Affiliate Partner</t>
        </is>
      </c>
      <c r="K604" s="8" t="inlineStr">
        <is>
          <t>REG-NA</t>
        </is>
      </c>
    </row>
    <row r="605">
      <c r="A605" s="8" t="inlineStr">
        <is>
          <t>ORD-000294</t>
        </is>
      </c>
      <c r="B605" s="8" t="inlineStr">
        <is>
          <t>2024-12-04</t>
        </is>
      </c>
      <c r="C605" s="8" t="inlineStr">
        <is>
          <t>CUST-02466</t>
        </is>
      </c>
      <c r="D605" s="8" t="inlineStr">
        <is>
          <t>Samuel Price</t>
        </is>
      </c>
      <c r="E605" s="8" t="inlineStr">
        <is>
          <t>PRD-0324</t>
        </is>
      </c>
      <c r="F605" s="8" t="inlineStr">
        <is>
          <t>1</t>
        </is>
      </c>
      <c r="G605" s="9" t="n">
        <v>229.24</v>
      </c>
      <c r="H605" s="8" t="inlineStr">
        <is>
          <t>0.1</t>
        </is>
      </c>
      <c r="I605" s="8" t="inlineStr">
        <is>
          <t>Express Air</t>
        </is>
      </c>
      <c r="J605" s="8" t="inlineStr">
        <is>
          <t>Affiliate Partner</t>
        </is>
      </c>
      <c r="K605" s="8" t="inlineStr">
        <is>
          <t>REG-NA</t>
        </is>
      </c>
    </row>
    <row r="606">
      <c r="A606" s="8" t="inlineStr">
        <is>
          <t>ORD-000294</t>
        </is>
      </c>
      <c r="B606" s="8" t="inlineStr">
        <is>
          <t>2024-12-04</t>
        </is>
      </c>
      <c r="C606" s="8" t="inlineStr">
        <is>
          <t>CUST-02466</t>
        </is>
      </c>
      <c r="D606" s="8" t="inlineStr">
        <is>
          <t>Samuel Price</t>
        </is>
      </c>
      <c r="E606" s="8" t="inlineStr">
        <is>
          <t>PRD-0457</t>
        </is>
      </c>
      <c r="F606" s="8" t="inlineStr">
        <is>
          <t>8</t>
        </is>
      </c>
      <c r="G606" s="9" t="n">
        <v>29.97</v>
      </c>
      <c r="H606" s="8" t="inlineStr">
        <is>
          <t>0.15</t>
        </is>
      </c>
      <c r="I606" s="8" t="inlineStr">
        <is>
          <t>Express Air</t>
        </is>
      </c>
      <c r="J606" s="8" t="inlineStr">
        <is>
          <t>Affiliate Partner</t>
        </is>
      </c>
      <c r="K606" s="8" t="inlineStr">
        <is>
          <t>REG-NA</t>
        </is>
      </c>
    </row>
    <row r="607">
      <c r="A607" s="8" t="inlineStr">
        <is>
          <t>ORD-000295</t>
        </is>
      </c>
      <c r="B607" s="8" t="inlineStr">
        <is>
          <t>2023-02-06</t>
        </is>
      </c>
      <c r="C607" s="8" t="inlineStr">
        <is>
          <t>CUST-02277</t>
        </is>
      </c>
      <c r="D607" s="8" t="inlineStr">
        <is>
          <t>Christine Cruz</t>
        </is>
      </c>
      <c r="E607" s="8" t="inlineStr">
        <is>
          <t>PRD-0130</t>
        </is>
      </c>
      <c r="F607" s="8" t="inlineStr">
        <is>
          <t>1</t>
        </is>
      </c>
      <c r="G607" s="9" t="n">
        <v>593.34</v>
      </c>
      <c r="H607" s="8" t="inlineStr">
        <is>
          <t>0.05</t>
        </is>
      </c>
      <c r="I607" s="8" t="inlineStr">
        <is>
          <t>Standard Ground</t>
        </is>
      </c>
      <c r="J607" s="8" t="inlineStr">
        <is>
          <t>B2B Portal</t>
        </is>
      </c>
      <c r="K607" s="8" t="inlineStr">
        <is>
          <t>REG-LATAM</t>
        </is>
      </c>
    </row>
    <row r="608">
      <c r="A608" s="8" t="inlineStr">
        <is>
          <t>ORD-000295</t>
        </is>
      </c>
      <c r="B608" s="8" t="inlineStr">
        <is>
          <t>2023-02-06</t>
        </is>
      </c>
      <c r="C608" s="8" t="inlineStr">
        <is>
          <t>CUST-02277</t>
        </is>
      </c>
      <c r="D608" s="8" t="inlineStr">
        <is>
          <t>Christine Cruz</t>
        </is>
      </c>
      <c r="E608" s="8" t="inlineStr">
        <is>
          <t>PRD-0147</t>
        </is>
      </c>
      <c r="F608" s="8" t="inlineStr">
        <is>
          <t>3</t>
        </is>
      </c>
      <c r="G608" s="9" t="n">
        <v>544.0700000000001</v>
      </c>
      <c r="H608" s="8" t="inlineStr">
        <is>
          <t>0.0</t>
        </is>
      </c>
      <c r="I608" s="8" t="inlineStr">
        <is>
          <t>Standard Ground</t>
        </is>
      </c>
      <c r="J608" s="8" t="inlineStr">
        <is>
          <t>B2B Portal</t>
        </is>
      </c>
      <c r="K608" s="8" t="inlineStr">
        <is>
          <t>REG-LATAM</t>
        </is>
      </c>
    </row>
    <row r="609">
      <c r="A609" s="8" t="inlineStr">
        <is>
          <t>ORD-000296</t>
        </is>
      </c>
      <c r="B609" s="8" t="inlineStr">
        <is>
          <t>2024-08-01</t>
        </is>
      </c>
      <c r="C609" s="8" t="inlineStr">
        <is>
          <t>CUST-00937</t>
        </is>
      </c>
      <c r="D609" s="8" t="inlineStr">
        <is>
          <t>Brandon Roberts</t>
        </is>
      </c>
      <c r="E609" s="8" t="inlineStr">
        <is>
          <t>PRD-0006</t>
        </is>
      </c>
      <c r="F609" s="8" t="inlineStr">
        <is>
          <t>5</t>
        </is>
      </c>
      <c r="G609" s="9" t="n">
        <v>64.34</v>
      </c>
      <c r="H609" s="8" t="inlineStr">
        <is>
          <t>0.05</t>
        </is>
      </c>
      <c r="I609" s="8" t="inlineStr">
        <is>
          <t>Freight</t>
        </is>
      </c>
      <c r="J609" s="8" t="inlineStr">
        <is>
          <t>B2B Portal</t>
        </is>
      </c>
      <c r="K609" s="8" t="inlineStr">
        <is>
          <t>REG-NA</t>
        </is>
      </c>
    </row>
    <row r="610">
      <c r="A610" s="8" t="inlineStr">
        <is>
          <t>ORD-000296</t>
        </is>
      </c>
      <c r="B610" s="8" t="inlineStr">
        <is>
          <t>2024-08-01</t>
        </is>
      </c>
      <c r="C610" s="8" t="inlineStr">
        <is>
          <t>CUST-00937</t>
        </is>
      </c>
      <c r="D610" s="8" t="inlineStr">
        <is>
          <t>Brandon Roberts</t>
        </is>
      </c>
      <c r="E610" s="8" t="inlineStr">
        <is>
          <t>PRD-0463</t>
        </is>
      </c>
      <c r="F610" s="8" t="inlineStr">
        <is>
          <t>2</t>
        </is>
      </c>
      <c r="G610" s="9" t="n">
        <v>123.72</v>
      </c>
      <c r="H610" s="8" t="inlineStr">
        <is>
          <t>0.0</t>
        </is>
      </c>
      <c r="I610" s="8" t="inlineStr">
        <is>
          <t>Freight</t>
        </is>
      </c>
      <c r="J610" s="8" t="inlineStr">
        <is>
          <t>B2B Portal</t>
        </is>
      </c>
      <c r="K610" s="8" t="inlineStr">
        <is>
          <t>REG-NA</t>
        </is>
      </c>
    </row>
    <row r="611">
      <c r="A611" s="8" t="inlineStr">
        <is>
          <t>ORD-000297</t>
        </is>
      </c>
      <c r="B611" s="8" t="inlineStr">
        <is>
          <t>2024-11-26</t>
        </is>
      </c>
      <c r="C611" s="8" t="inlineStr">
        <is>
          <t>CUST-05579</t>
        </is>
      </c>
      <c r="D611" s="8" t="inlineStr">
        <is>
          <t>Larry Parker</t>
        </is>
      </c>
      <c r="E611" s="8" t="inlineStr">
        <is>
          <t>PRD-0091</t>
        </is>
      </c>
      <c r="F611" s="8" t="inlineStr">
        <is>
          <t>1</t>
        </is>
      </c>
      <c r="G611" s="9" t="n">
        <v>57.04</v>
      </c>
      <c r="H611" s="8" t="inlineStr">
        <is>
          <t>0.0</t>
        </is>
      </c>
      <c r="I611" s="8" t="inlineStr">
        <is>
          <t>Standard Ground</t>
        </is>
      </c>
      <c r="J611" s="8" t="inlineStr">
        <is>
          <t>Direct Web</t>
        </is>
      </c>
      <c r="K611" s="8" t="inlineStr">
        <is>
          <t>REG-NA</t>
        </is>
      </c>
    </row>
    <row r="612">
      <c r="A612" s="8" t="inlineStr">
        <is>
          <t>ORD-000298</t>
        </is>
      </c>
      <c r="B612" s="8" t="inlineStr">
        <is>
          <t>2025-11-14</t>
        </is>
      </c>
      <c r="C612" s="8" t="inlineStr">
        <is>
          <t>CUST-00902</t>
        </is>
      </c>
      <c r="D612" s="8" t="inlineStr">
        <is>
          <t>Rebecca Hill</t>
        </is>
      </c>
      <c r="E612" s="8" t="inlineStr">
        <is>
          <t>PRD-0332</t>
        </is>
      </c>
      <c r="F612" s="8" t="inlineStr">
        <is>
          <t>1</t>
        </is>
      </c>
      <c r="G612" s="9" t="n">
        <v>82.03</v>
      </c>
      <c r="H612" s="8" t="inlineStr">
        <is>
          <t>0.0</t>
        </is>
      </c>
      <c r="I612" s="8" t="inlineStr">
        <is>
          <t>Standard Ground</t>
        </is>
      </c>
      <c r="J612" s="8" t="inlineStr">
        <is>
          <t>B2B Portal</t>
        </is>
      </c>
      <c r="K612" s="8" t="inlineStr">
        <is>
          <t>REG-EU</t>
        </is>
      </c>
    </row>
    <row r="613">
      <c r="A613" s="8" t="inlineStr">
        <is>
          <t>ORD-000298</t>
        </is>
      </c>
      <c r="B613" s="8" t="inlineStr">
        <is>
          <t>2025-11-14</t>
        </is>
      </c>
      <c r="C613" s="8" t="inlineStr">
        <is>
          <t>CUST-00902</t>
        </is>
      </c>
      <c r="D613" s="8" t="inlineStr">
        <is>
          <t>Rebecca Hill</t>
        </is>
      </c>
      <c r="E613" s="8" t="inlineStr">
        <is>
          <t>PRD-0488</t>
        </is>
      </c>
      <c r="F613" s="8" t="inlineStr">
        <is>
          <t>3</t>
        </is>
      </c>
      <c r="G613" s="9" t="n">
        <v>54.77</v>
      </c>
      <c r="H613" s="8" t="inlineStr">
        <is>
          <t>0.05</t>
        </is>
      </c>
      <c r="I613" s="8" t="inlineStr">
        <is>
          <t>Standard Ground</t>
        </is>
      </c>
      <c r="J613" s="8" t="inlineStr">
        <is>
          <t>B2B Portal</t>
        </is>
      </c>
      <c r="K613" s="8" t="inlineStr">
        <is>
          <t>REG-EU</t>
        </is>
      </c>
    </row>
    <row r="614">
      <c r="A614" s="8" t="inlineStr">
        <is>
          <t>ORD-000299</t>
        </is>
      </c>
      <c r="B614" s="8" t="inlineStr">
        <is>
          <t>2025-07-04</t>
        </is>
      </c>
      <c r="C614" s="8" t="inlineStr">
        <is>
          <t>CUST-00049</t>
        </is>
      </c>
      <c r="D614" s="8" t="inlineStr">
        <is>
          <t xml:space="preserve">  nancy davis  </t>
        </is>
      </c>
      <c r="E614" s="8" t="inlineStr">
        <is>
          <t>PRD-0452</t>
        </is>
      </c>
      <c r="F614" s="8" t="inlineStr">
        <is>
          <t>1</t>
        </is>
      </c>
      <c r="G614" s="9" t="n">
        <v>52.31</v>
      </c>
      <c r="H614" s="8" t="inlineStr">
        <is>
          <t>0.05</t>
        </is>
      </c>
      <c r="I614" s="8" t="inlineStr">
        <is>
          <t>Express Air</t>
        </is>
      </c>
      <c r="J614" s="8" t="inlineStr">
        <is>
          <t>Mobile App</t>
        </is>
      </c>
      <c r="K614" s="8" t="inlineStr">
        <is>
          <t>REG-APAC</t>
        </is>
      </c>
    </row>
    <row r="615">
      <c r="A615" s="8" t="inlineStr">
        <is>
          <t>ORD-000300</t>
        </is>
      </c>
      <c r="B615" s="8" t="inlineStr">
        <is>
          <t>2025-11-27</t>
        </is>
      </c>
      <c r="C615" s="8" t="inlineStr">
        <is>
          <t>CUST-01518</t>
        </is>
      </c>
      <c r="D615" s="8" t="inlineStr">
        <is>
          <t>Ruth Robinson</t>
        </is>
      </c>
      <c r="E615" s="8" t="inlineStr">
        <is>
          <t>PRD-0197</t>
        </is>
      </c>
      <c r="F615" s="8" t="inlineStr">
        <is>
          <t>1</t>
        </is>
      </c>
      <c r="G615" s="9" t="n">
        <v>810.85</v>
      </c>
      <c r="H615" s="8" t="inlineStr">
        <is>
          <t>0.0</t>
        </is>
      </c>
      <c r="I615" s="8" t="inlineStr">
        <is>
          <t>Standard Ground</t>
        </is>
      </c>
      <c r="J615" s="8" t="inlineStr">
        <is>
          <t>B2B Portal</t>
        </is>
      </c>
      <c r="K615" s="8" t="inlineStr">
        <is>
          <t>REG-EU</t>
        </is>
      </c>
    </row>
    <row r="616">
      <c r="A616" s="8" t="inlineStr">
        <is>
          <t>ORD-000300</t>
        </is>
      </c>
      <c r="B616" s="8" t="inlineStr">
        <is>
          <t>2025-11-27</t>
        </is>
      </c>
      <c r="C616" s="8" t="inlineStr">
        <is>
          <t>CUST-01518</t>
        </is>
      </c>
      <c r="D616" s="8" t="inlineStr">
        <is>
          <t>Ruth Robinson</t>
        </is>
      </c>
      <c r="E616" s="8" t="inlineStr">
        <is>
          <t>PRD-0016</t>
        </is>
      </c>
      <c r="F616" s="8" t="inlineStr">
        <is>
          <t>1</t>
        </is>
      </c>
      <c r="G616" s="9" t="n">
        <v>160.4</v>
      </c>
      <c r="H616" s="8" t="inlineStr">
        <is>
          <t>0.15</t>
        </is>
      </c>
      <c r="I616" s="8" t="inlineStr">
        <is>
          <t>Standard Ground</t>
        </is>
      </c>
      <c r="J616" s="8" t="inlineStr">
        <is>
          <t>B2B Portal</t>
        </is>
      </c>
      <c r="K616" s="8" t="inlineStr">
        <is>
          <t>REG-EU</t>
        </is>
      </c>
    </row>
    <row r="617">
      <c r="A617" s="8" t="inlineStr">
        <is>
          <t>ORD-000300</t>
        </is>
      </c>
      <c r="B617" s="8" t="inlineStr">
        <is>
          <t>2025-11-27</t>
        </is>
      </c>
      <c r="C617" s="8" t="inlineStr">
        <is>
          <t>CUST-01518</t>
        </is>
      </c>
      <c r="D617" s="8" t="inlineStr">
        <is>
          <t>Ruth Robinson</t>
        </is>
      </c>
      <c r="E617" s="8" t="inlineStr">
        <is>
          <t>PRD-0441</t>
        </is>
      </c>
      <c r="F617" s="8" t="inlineStr">
        <is>
          <t>3</t>
        </is>
      </c>
      <c r="G617" s="9" t="n">
        <v>1128.16</v>
      </c>
      <c r="H617" s="8" t="inlineStr">
        <is>
          <t>0.05</t>
        </is>
      </c>
      <c r="I617" s="8" t="inlineStr">
        <is>
          <t>Standard Ground</t>
        </is>
      </c>
      <c r="J617" s="8" t="inlineStr">
        <is>
          <t>B2B Portal</t>
        </is>
      </c>
      <c r="K617" s="8" t="inlineStr">
        <is>
          <t>REG-EU</t>
        </is>
      </c>
    </row>
    <row r="618">
      <c r="A618" s="8" t="inlineStr">
        <is>
          <t>ORD-000301</t>
        </is>
      </c>
      <c r="B618" s="8" t="inlineStr">
        <is>
          <t>2024-08-14</t>
        </is>
      </c>
      <c r="C618" s="8" t="inlineStr">
        <is>
          <t>CUST-04826</t>
        </is>
      </c>
      <c r="D618" s="8" t="inlineStr">
        <is>
          <t>Pamela Ross</t>
        </is>
      </c>
      <c r="E618" s="8" t="inlineStr">
        <is>
          <t>PRD-0414</t>
        </is>
      </c>
      <c r="F618" s="8" t="inlineStr">
        <is>
          <t>1</t>
        </is>
      </c>
      <c r="G618" s="9" t="n">
        <v>101.77</v>
      </c>
      <c r="H618" s="8" t="inlineStr">
        <is>
          <t>0.0</t>
        </is>
      </c>
      <c r="I618" s="8" t="inlineStr">
        <is>
          <t>Standard Ground</t>
        </is>
      </c>
      <c r="J618" s="8" t="inlineStr">
        <is>
          <t>Mobile App</t>
        </is>
      </c>
      <c r="K618" s="8" t="inlineStr">
        <is>
          <t>REG-APAC</t>
        </is>
      </c>
    </row>
    <row r="619">
      <c r="A619" s="8" t="inlineStr">
        <is>
          <t>ORD-000302</t>
        </is>
      </c>
      <c r="B619" s="8" t="inlineStr">
        <is>
          <t>2024-10-11</t>
        </is>
      </c>
      <c r="C619" s="8" t="inlineStr">
        <is>
          <t>CUST-06234</t>
        </is>
      </c>
      <c r="D619" s="8" t="inlineStr">
        <is>
          <t>Rebecca Ramos</t>
        </is>
      </c>
      <c r="E619" s="8" t="inlineStr">
        <is>
          <t>PRD-0340</t>
        </is>
      </c>
      <c r="F619" s="8" t="inlineStr">
        <is>
          <t>4</t>
        </is>
      </c>
      <c r="G619" s="9" t="n">
        <v>11.87</v>
      </c>
      <c r="H619" s="8" t="inlineStr">
        <is>
          <t>0.0</t>
        </is>
      </c>
      <c r="I619" s="8" t="inlineStr">
        <is>
          <t>Freight</t>
        </is>
      </c>
      <c r="J619" s="8" t="inlineStr">
        <is>
          <t>Direct Web</t>
        </is>
      </c>
      <c r="K619" s="8" t="inlineStr">
        <is>
          <t>REG-NA</t>
        </is>
      </c>
    </row>
    <row r="620">
      <c r="A620" s="8" t="inlineStr">
        <is>
          <t>ORD-000303</t>
        </is>
      </c>
      <c r="B620" s="8" t="inlineStr">
        <is>
          <t>2023-06-12</t>
        </is>
      </c>
      <c r="C620" s="8" t="inlineStr">
        <is>
          <t>CUST-01748</t>
        </is>
      </c>
      <c r="D620" s="8" t="inlineStr">
        <is>
          <t>John Smith</t>
        </is>
      </c>
      <c r="E620" s="8" t="inlineStr">
        <is>
          <t>PRD-0416</t>
        </is>
      </c>
      <c r="F620" s="8" t="inlineStr">
        <is>
          <t>2</t>
        </is>
      </c>
      <c r="G620" s="9" t="n">
        <v>39.54</v>
      </c>
      <c r="H620" s="8" t="inlineStr">
        <is>
          <t>0.05</t>
        </is>
      </c>
      <c r="I620" s="8" t="inlineStr">
        <is>
          <t>Standard Ground</t>
        </is>
      </c>
      <c r="J620" s="8" t="inlineStr">
        <is>
          <t>Direct Web</t>
        </is>
      </c>
      <c r="K620" s="8" t="inlineStr">
        <is>
          <t>REG-NA</t>
        </is>
      </c>
    </row>
    <row r="621">
      <c r="A621" s="8" t="inlineStr">
        <is>
          <t>ORD-000304</t>
        </is>
      </c>
      <c r="B621" s="8" t="inlineStr">
        <is>
          <t>2023-12-24</t>
        </is>
      </c>
      <c r="C621" s="8" t="inlineStr">
        <is>
          <t>CUST-00572</t>
        </is>
      </c>
      <c r="D621" s="8" t="inlineStr">
        <is>
          <t>Catherine Edwards</t>
        </is>
      </c>
      <c r="E621" s="8" t="inlineStr">
        <is>
          <t>PRD-0329</t>
        </is>
      </c>
      <c r="F621" s="8" t="inlineStr">
        <is>
          <t>2</t>
        </is>
      </c>
      <c r="G621" s="9" t="n">
        <v>1014.02</v>
      </c>
      <c r="H621" s="8" t="inlineStr">
        <is>
          <t>0.0</t>
        </is>
      </c>
      <c r="I621" s="8" t="inlineStr">
        <is>
          <t>Same-Day Priority</t>
        </is>
      </c>
      <c r="J621" s="8" t="inlineStr">
        <is>
          <t>Mobile App</t>
        </is>
      </c>
      <c r="K621" s="8" t="inlineStr">
        <is>
          <t>REG-LATAM</t>
        </is>
      </c>
    </row>
    <row r="622">
      <c r="A622" s="8" t="inlineStr">
        <is>
          <t>ORD-000305</t>
        </is>
      </c>
      <c r="B622" s="8" t="inlineStr">
        <is>
          <t>2024-01-02</t>
        </is>
      </c>
      <c r="C622" s="8" t="inlineStr">
        <is>
          <t>CUST-06674</t>
        </is>
      </c>
      <c r="D622" s="8" t="inlineStr">
        <is>
          <t xml:space="preserve">  anthony ruiz  </t>
        </is>
      </c>
      <c r="E622" s="8" t="inlineStr">
        <is>
          <t>PRD-0442</t>
        </is>
      </c>
      <c r="F622" s="8" t="inlineStr">
        <is>
          <t>3</t>
        </is>
      </c>
      <c r="G622" s="9" t="n">
        <v>883.5</v>
      </c>
      <c r="H622" s="8" t="inlineStr">
        <is>
          <t>0.1</t>
        </is>
      </c>
      <c r="I622" s="8" t="inlineStr">
        <is>
          <t>Express Air</t>
        </is>
      </c>
      <c r="J622" s="8" t="inlineStr">
        <is>
          <t>Direct Web</t>
        </is>
      </c>
      <c r="K622" s="8" t="inlineStr">
        <is>
          <t>REG-EU</t>
        </is>
      </c>
    </row>
    <row r="623">
      <c r="A623" s="8" t="inlineStr">
        <is>
          <t>ORD-000305</t>
        </is>
      </c>
      <c r="B623" s="8" t="inlineStr">
        <is>
          <t>2024-01-02</t>
        </is>
      </c>
      <c r="C623" s="8" t="inlineStr">
        <is>
          <t>CUST-06674</t>
        </is>
      </c>
      <c r="D623" s="8" t="inlineStr">
        <is>
          <t xml:space="preserve">  anthony ruiz  </t>
        </is>
      </c>
      <c r="E623" s="8" t="inlineStr">
        <is>
          <t>PRD-0451</t>
        </is>
      </c>
      <c r="F623" s="8" t="inlineStr">
        <is>
          <t>1</t>
        </is>
      </c>
      <c r="G623" s="9" t="n">
        <v>664.9400000000001</v>
      </c>
      <c r="H623" s="8" t="inlineStr">
        <is>
          <t>0.25</t>
        </is>
      </c>
      <c r="I623" s="8" t="inlineStr">
        <is>
          <t>Express Air</t>
        </is>
      </c>
      <c r="J623" s="8" t="inlineStr">
        <is>
          <t>Direct Web</t>
        </is>
      </c>
      <c r="K623" s="8" t="inlineStr">
        <is>
          <t>REG-EU</t>
        </is>
      </c>
    </row>
    <row r="624">
      <c r="A624" s="8" t="inlineStr">
        <is>
          <t>ORD-000305</t>
        </is>
      </c>
      <c r="B624" s="8" t="inlineStr">
        <is>
          <t>2024-01-02</t>
        </is>
      </c>
      <c r="C624" s="8" t="inlineStr">
        <is>
          <t>CUST-06674</t>
        </is>
      </c>
      <c r="D624" s="8" t="inlineStr">
        <is>
          <t xml:space="preserve">  anthony ruiz  </t>
        </is>
      </c>
      <c r="E624" s="8" t="inlineStr">
        <is>
          <t>PRD-0404</t>
        </is>
      </c>
      <c r="F624" s="8" t="inlineStr">
        <is>
          <t>2</t>
        </is>
      </c>
      <c r="G624" s="9" t="n">
        <v>23.86</v>
      </c>
      <c r="H624" s="8" t="inlineStr">
        <is>
          <t>0.05</t>
        </is>
      </c>
      <c r="I624" s="8" t="inlineStr">
        <is>
          <t>Express Air</t>
        </is>
      </c>
      <c r="J624" s="8" t="inlineStr">
        <is>
          <t>Direct Web</t>
        </is>
      </c>
      <c r="K624" s="8" t="inlineStr">
        <is>
          <t>REG-EU</t>
        </is>
      </c>
    </row>
    <row r="625">
      <c r="A625" s="8" t="inlineStr">
        <is>
          <t>ORD-000306</t>
        </is>
      </c>
      <c r="B625" s="8" t="inlineStr">
        <is>
          <t>2023-05-20</t>
        </is>
      </c>
      <c r="C625" s="8" t="inlineStr">
        <is>
          <t>CUST-05984</t>
        </is>
      </c>
      <c r="D625" s="8" t="inlineStr">
        <is>
          <t>Sharon Myers</t>
        </is>
      </c>
      <c r="E625" s="8" t="inlineStr">
        <is>
          <t>PRD-0328</t>
        </is>
      </c>
      <c r="F625" s="8" t="inlineStr">
        <is>
          <t>2</t>
        </is>
      </c>
      <c r="G625" s="9" t="n">
        <v>1149.59</v>
      </c>
      <c r="H625" s="8" t="inlineStr">
        <is>
          <t>0.15</t>
        </is>
      </c>
      <c r="I625" s="8" t="inlineStr">
        <is>
          <t>Standard Ground</t>
        </is>
      </c>
      <c r="J625" s="8" t="inlineStr">
        <is>
          <t>Direct Web</t>
        </is>
      </c>
      <c r="K625" s="8" t="inlineStr">
        <is>
          <t>REG-NA</t>
        </is>
      </c>
    </row>
    <row r="626">
      <c r="A626" s="8" t="inlineStr">
        <is>
          <t>ORD-000306</t>
        </is>
      </c>
      <c r="B626" s="8" t="inlineStr">
        <is>
          <t>2023-05-20</t>
        </is>
      </c>
      <c r="C626" s="8" t="inlineStr">
        <is>
          <t>CUST-05984</t>
        </is>
      </c>
      <c r="D626" s="8" t="inlineStr">
        <is>
          <t>Sharon Myers</t>
        </is>
      </c>
      <c r="E626" s="8" t="inlineStr">
        <is>
          <t>PRD-0334</t>
        </is>
      </c>
      <c r="F626" s="8" t="inlineStr">
        <is>
          <t>2</t>
        </is>
      </c>
      <c r="G626" s="9" t="n">
        <v>874.67</v>
      </c>
      <c r="H626" s="8" t="inlineStr">
        <is>
          <t>0.1</t>
        </is>
      </c>
      <c r="I626" s="8" t="inlineStr">
        <is>
          <t>Standard Ground</t>
        </is>
      </c>
      <c r="J626" s="8" t="inlineStr">
        <is>
          <t>Direct Web</t>
        </is>
      </c>
      <c r="K626" s="8" t="inlineStr">
        <is>
          <t>REG-NA</t>
        </is>
      </c>
    </row>
    <row r="627">
      <c r="A627" s="8" t="inlineStr">
        <is>
          <t>ORD-000307</t>
        </is>
      </c>
      <c r="B627" s="8" t="inlineStr">
        <is>
          <t>2023-05-15</t>
        </is>
      </c>
      <c r="C627" s="8" t="inlineStr">
        <is>
          <t>CUST-05668</t>
        </is>
      </c>
      <c r="D627" s="8" t="inlineStr">
        <is>
          <t>James Hill</t>
        </is>
      </c>
      <c r="E627" s="8" t="inlineStr">
        <is>
          <t>PRD-0477</t>
        </is>
      </c>
      <c r="F627" s="8" t="inlineStr">
        <is>
          <t>1</t>
        </is>
      </c>
      <c r="G627" s="9" t="n">
        <v>38.11</v>
      </c>
      <c r="H627" s="8" t="inlineStr">
        <is>
          <t>0.05</t>
        </is>
      </c>
      <c r="I627" s="8" t="inlineStr">
        <is>
          <t>Express Air</t>
        </is>
      </c>
      <c r="J627" s="8" t="inlineStr">
        <is>
          <t>Mobile App</t>
        </is>
      </c>
      <c r="K627" s="8" t="inlineStr">
        <is>
          <t>REG-NA</t>
        </is>
      </c>
    </row>
    <row r="628">
      <c r="A628" s="8" t="inlineStr">
        <is>
          <t>ORD-000308</t>
        </is>
      </c>
      <c r="B628" s="8" t="inlineStr">
        <is>
          <t>2025-01-04</t>
        </is>
      </c>
      <c r="C628" s="8" t="inlineStr">
        <is>
          <t>CUST-04882</t>
        </is>
      </c>
      <c r="D628" s="8" t="inlineStr">
        <is>
          <t>Jeffrey Ruiz</t>
        </is>
      </c>
      <c r="E628" s="8" t="inlineStr">
        <is>
          <t>PRD-0404</t>
        </is>
      </c>
      <c r="F628" s="8" t="inlineStr">
        <is>
          <t>2</t>
        </is>
      </c>
      <c r="G628" s="9" t="n">
        <v>23.86</v>
      </c>
      <c r="H628" s="8" t="inlineStr">
        <is>
          <t>0.1</t>
        </is>
      </c>
      <c r="I628" s="8" t="inlineStr">
        <is>
          <t>Standard Ground</t>
        </is>
      </c>
      <c r="J628" s="8" t="inlineStr">
        <is>
          <t>Mobile App</t>
        </is>
      </c>
      <c r="K628" s="8" t="inlineStr">
        <is>
          <t>REG-LATAM</t>
        </is>
      </c>
    </row>
    <row r="629">
      <c r="A629" s="8" t="inlineStr">
        <is>
          <t>ORD-000308</t>
        </is>
      </c>
      <c r="B629" s="8" t="inlineStr">
        <is>
          <t>2025-01-04</t>
        </is>
      </c>
      <c r="C629" s="8" t="inlineStr">
        <is>
          <t>CUST-04882</t>
        </is>
      </c>
      <c r="D629" s="8" t="inlineStr">
        <is>
          <t>Jeffrey Ruiz</t>
        </is>
      </c>
      <c r="E629" s="8" t="inlineStr">
        <is>
          <t>PRD-0059</t>
        </is>
      </c>
      <c r="F629" s="8" t="inlineStr">
        <is>
          <t>2</t>
        </is>
      </c>
      <c r="G629" s="9" t="n">
        <v>532.12</v>
      </c>
      <c r="H629" s="8" t="inlineStr">
        <is>
          <t>0%</t>
        </is>
      </c>
      <c r="I629" s="8" t="inlineStr">
        <is>
          <t>Standard Ground</t>
        </is>
      </c>
      <c r="J629" s="8" t="inlineStr">
        <is>
          <t>Mobile App</t>
        </is>
      </c>
      <c r="K629" s="8" t="inlineStr">
        <is>
          <t>REG-LATAM</t>
        </is>
      </c>
    </row>
    <row r="630">
      <c r="A630" s="8" t="inlineStr">
        <is>
          <t>ORD-000309</t>
        </is>
      </c>
      <c r="B630" s="8" t="inlineStr">
        <is>
          <t>2024-11-25</t>
        </is>
      </c>
      <c r="C630" s="8" t="inlineStr">
        <is>
          <t>CUST-07901</t>
        </is>
      </c>
      <c r="D630" s="8" t="inlineStr">
        <is>
          <t>Patricia Campbell</t>
        </is>
      </c>
      <c r="E630" s="8" t="inlineStr">
        <is>
          <t>PRD-0212</t>
        </is>
      </c>
      <c r="F630" s="8" t="inlineStr">
        <is>
          <t>1</t>
        </is>
      </c>
      <c r="G630" s="9" t="n">
        <v>15.71</v>
      </c>
      <c r="H630" s="8" t="inlineStr">
        <is>
          <t>0.15</t>
        </is>
      </c>
      <c r="I630" s="8" t="inlineStr">
        <is>
          <t>Standard Ground</t>
        </is>
      </c>
      <c r="J630" s="8" t="inlineStr">
        <is>
          <t>Mobile App</t>
        </is>
      </c>
      <c r="K630" s="8" t="inlineStr">
        <is>
          <t>REG-NA</t>
        </is>
      </c>
    </row>
    <row r="631">
      <c r="A631" s="8" t="inlineStr">
        <is>
          <t>ORD-000310</t>
        </is>
      </c>
      <c r="B631" s="8" t="inlineStr">
        <is>
          <t>2024-11-23</t>
        </is>
      </c>
      <c r="C631" s="8" t="inlineStr">
        <is>
          <t>CUST-01187</t>
        </is>
      </c>
      <c r="D631" s="8" t="inlineStr">
        <is>
          <t>Anna Perez</t>
        </is>
      </c>
      <c r="E631" s="8" t="inlineStr">
        <is>
          <t>PRD-0244</t>
        </is>
      </c>
      <c r="F631" s="8" t="inlineStr">
        <is>
          <t>1</t>
        </is>
      </c>
      <c r="G631" s="9" t="n">
        <v>395.39</v>
      </c>
      <c r="H631" s="8" t="inlineStr">
        <is>
          <t>0.0</t>
        </is>
      </c>
      <c r="I631" s="8" t="inlineStr">
        <is>
          <t>Standard Ground</t>
        </is>
      </c>
      <c r="J631" s="8" t="inlineStr">
        <is>
          <t>Mobile App</t>
        </is>
      </c>
      <c r="K631" s="8" t="inlineStr">
        <is>
          <t>REG-NA</t>
        </is>
      </c>
    </row>
    <row r="632">
      <c r="A632" s="8" t="inlineStr">
        <is>
          <t>ORD-000310</t>
        </is>
      </c>
      <c r="B632" s="8" t="inlineStr">
        <is>
          <t>2024-11-23</t>
        </is>
      </c>
      <c r="C632" s="8" t="inlineStr">
        <is>
          <t>CUST-01187</t>
        </is>
      </c>
      <c r="D632" s="8" t="inlineStr">
        <is>
          <t>Anna Perez</t>
        </is>
      </c>
      <c r="E632" s="8" t="inlineStr">
        <is>
          <t>PRD-0375</t>
        </is>
      </c>
      <c r="F632" s="8" t="inlineStr">
        <is>
          <t>1</t>
        </is>
      </c>
      <c r="G632" s="9" t="n">
        <v>141.42</v>
      </c>
      <c r="H632" s="8" t="inlineStr">
        <is>
          <t>0.15</t>
        </is>
      </c>
      <c r="I632" s="8" t="inlineStr">
        <is>
          <t>Standard Ground</t>
        </is>
      </c>
      <c r="J632" s="8" t="inlineStr">
        <is>
          <t>Mobile App</t>
        </is>
      </c>
      <c r="K632" s="8" t="inlineStr">
        <is>
          <t>REG-NA</t>
        </is>
      </c>
    </row>
    <row r="633">
      <c r="A633" s="8" t="inlineStr">
        <is>
          <t>ORD-000310</t>
        </is>
      </c>
      <c r="B633" s="8" t="inlineStr">
        <is>
          <t>2024-11-23</t>
        </is>
      </c>
      <c r="C633" s="8" t="inlineStr">
        <is>
          <t>CUST-01187</t>
        </is>
      </c>
      <c r="D633" s="8" t="inlineStr">
        <is>
          <t>Anna Perez</t>
        </is>
      </c>
      <c r="E633" s="8" t="inlineStr">
        <is>
          <t>PRD-0228</t>
        </is>
      </c>
      <c r="F633" s="8" t="inlineStr">
        <is>
          <t>4</t>
        </is>
      </c>
      <c r="G633" s="9" t="n">
        <v>907.01</v>
      </c>
      <c r="H633" s="8" t="inlineStr">
        <is>
          <t>0.1</t>
        </is>
      </c>
      <c r="I633" s="8" t="inlineStr">
        <is>
          <t>Standard Ground</t>
        </is>
      </c>
      <c r="J633" s="8" t="inlineStr">
        <is>
          <t>Mobile App</t>
        </is>
      </c>
      <c r="K633" s="8" t="inlineStr">
        <is>
          <t>REG-NA</t>
        </is>
      </c>
    </row>
    <row r="634">
      <c r="A634" s="8" t="inlineStr">
        <is>
          <t>ORD-000311</t>
        </is>
      </c>
      <c r="B634" s="8" t="inlineStr">
        <is>
          <t>2023-07-04</t>
        </is>
      </c>
      <c r="C634" s="8" t="inlineStr">
        <is>
          <t>CUST-07256</t>
        </is>
      </c>
      <c r="D634" s="8" t="inlineStr">
        <is>
          <t>Debra Johnson</t>
        </is>
      </c>
      <c r="E634" s="8" t="inlineStr">
        <is>
          <t>PRD-0308</t>
        </is>
      </c>
      <c r="F634" s="8" t="inlineStr">
        <is>
          <t>2</t>
        </is>
      </c>
      <c r="G634" s="9" t="n">
        <v>61.03</v>
      </c>
      <c r="H634" s="8" t="inlineStr">
        <is>
          <t>0.05</t>
        </is>
      </c>
      <c r="I634" s="8" t="inlineStr">
        <is>
          <t>Express Air</t>
        </is>
      </c>
      <c r="J634" s="8" t="inlineStr">
        <is>
          <t>Direct Web</t>
        </is>
      </c>
      <c r="K634" s="8" t="inlineStr">
        <is>
          <t>REG-LATAM</t>
        </is>
      </c>
    </row>
    <row r="635">
      <c r="A635" s="8" t="inlineStr">
        <is>
          <t>ORD-000312</t>
        </is>
      </c>
      <c r="B635" s="8" t="inlineStr">
        <is>
          <t>2025-05-03</t>
        </is>
      </c>
      <c r="C635" s="8" t="inlineStr">
        <is>
          <t>CUST-07974</t>
        </is>
      </c>
      <c r="D635" s="8" t="inlineStr">
        <is>
          <t>Barbara Taylor</t>
        </is>
      </c>
      <c r="E635" s="8" t="inlineStr">
        <is>
          <t>PRD-0004</t>
        </is>
      </c>
      <c r="F635" s="8" t="inlineStr">
        <is>
          <t>3</t>
        </is>
      </c>
      <c r="G635" s="9" t="n">
        <v>13.71</v>
      </c>
      <c r="H635" s="8" t="inlineStr">
        <is>
          <t>0.05</t>
        </is>
      </c>
      <c r="I635" s="8" t="inlineStr">
        <is>
          <t>Express Air</t>
        </is>
      </c>
      <c r="J635" s="8" t="inlineStr">
        <is>
          <t>Mobile App</t>
        </is>
      </c>
      <c r="K635" s="8" t="inlineStr">
        <is>
          <t>REG-APAC</t>
        </is>
      </c>
    </row>
    <row r="636">
      <c r="A636" s="8" t="inlineStr">
        <is>
          <t>ORD-000313</t>
        </is>
      </c>
      <c r="B636" s="8" t="inlineStr">
        <is>
          <t>2025-06-01</t>
        </is>
      </c>
      <c r="C636" s="8" t="inlineStr">
        <is>
          <t>CUST-03011</t>
        </is>
      </c>
      <c r="D636" s="8" t="inlineStr">
        <is>
          <t>Andrew Moore</t>
        </is>
      </c>
      <c r="E636" s="8" t="inlineStr">
        <is>
          <t>PRD-0237</t>
        </is>
      </c>
      <c r="F636" s="8" t="inlineStr">
        <is>
          <t>1</t>
        </is>
      </c>
      <c r="G636" s="9" t="n">
        <v>59.7</v>
      </c>
      <c r="H636" s="8" t="inlineStr">
        <is>
          <t>0.0</t>
        </is>
      </c>
      <c r="I636" s="8" t="inlineStr">
        <is>
          <t>Standard Ground</t>
        </is>
      </c>
      <c r="J636" s="8" t="inlineStr">
        <is>
          <t>Direct Web</t>
        </is>
      </c>
      <c r="K636" s="8" t="inlineStr">
        <is>
          <t>REG-NA</t>
        </is>
      </c>
    </row>
    <row r="637">
      <c r="A637" s="8" t="inlineStr">
        <is>
          <t>ORD-000314</t>
        </is>
      </c>
      <c r="B637" s="8" t="inlineStr">
        <is>
          <t>2025-07-23</t>
        </is>
      </c>
      <c r="C637" s="8" t="inlineStr">
        <is>
          <t>CUST-03937</t>
        </is>
      </c>
      <c r="D637" s="8" t="inlineStr">
        <is>
          <t>Diane Chavez</t>
        </is>
      </c>
      <c r="E637" s="8" t="inlineStr">
        <is>
          <t>PRD-0336</t>
        </is>
      </c>
      <c r="F637" s="8" t="inlineStr">
        <is>
          <t>2</t>
        </is>
      </c>
      <c r="G637" s="9" t="n">
        <v>216.76</v>
      </c>
      <c r="H637" s="8" t="inlineStr">
        <is>
          <t>0.0</t>
        </is>
      </c>
      <c r="I637" s="8" t="inlineStr">
        <is>
          <t>Standard Ground</t>
        </is>
      </c>
      <c r="J637" s="8" t="inlineStr">
        <is>
          <t>Direct Web</t>
        </is>
      </c>
      <c r="K637" s="8" t="inlineStr">
        <is>
          <t>REG-EU</t>
        </is>
      </c>
    </row>
    <row r="638">
      <c r="A638" s="8" t="inlineStr">
        <is>
          <t>ORD-000314</t>
        </is>
      </c>
      <c r="B638" s="8" t="inlineStr">
        <is>
          <t>2025-07-23</t>
        </is>
      </c>
      <c r="C638" s="8" t="inlineStr">
        <is>
          <t>CUST-03937</t>
        </is>
      </c>
      <c r="D638" s="8" t="inlineStr">
        <is>
          <t>Diane Chavez</t>
        </is>
      </c>
      <c r="E638" s="8" t="inlineStr">
        <is>
          <t>PRD-0305</t>
        </is>
      </c>
      <c r="F638" s="8" t="inlineStr">
        <is>
          <t>2</t>
        </is>
      </c>
      <c r="G638" s="9" t="n">
        <v>713.99</v>
      </c>
      <c r="H638" s="8" t="inlineStr">
        <is>
          <t>0.0</t>
        </is>
      </c>
      <c r="I638" s="8" t="inlineStr">
        <is>
          <t>Standard Ground</t>
        </is>
      </c>
      <c r="J638" s="8" t="inlineStr">
        <is>
          <t>Direct Web</t>
        </is>
      </c>
      <c r="K638" s="8" t="inlineStr">
        <is>
          <t>REG-EU</t>
        </is>
      </c>
    </row>
    <row r="639">
      <c r="A639" s="8" t="inlineStr">
        <is>
          <t>ORD-000315</t>
        </is>
      </c>
      <c r="B639" s="8" t="inlineStr">
        <is>
          <t>2025-02-04</t>
        </is>
      </c>
      <c r="C639" s="8" t="inlineStr">
        <is>
          <t>CUST-00621</t>
        </is>
      </c>
      <c r="D639" s="8" t="inlineStr">
        <is>
          <t>Diane Lewis</t>
        </is>
      </c>
      <c r="E639" s="8" t="inlineStr">
        <is>
          <t>PRD-0235</t>
        </is>
      </c>
      <c r="F639" s="8" t="inlineStr">
        <is>
          <t>1</t>
        </is>
      </c>
      <c r="G639" s="9" t="n">
        <v>640.49</v>
      </c>
      <c r="H639" s="8" t="inlineStr">
        <is>
          <t>0.0</t>
        </is>
      </c>
      <c r="I639" s="8" t="inlineStr">
        <is>
          <t>Standard Ground</t>
        </is>
      </c>
      <c r="J639" s="8" t="inlineStr">
        <is>
          <t>Mobile App</t>
        </is>
      </c>
      <c r="K639" s="8" t="inlineStr">
        <is>
          <t>REG-NA</t>
        </is>
      </c>
    </row>
    <row r="640">
      <c r="A640" s="8" t="inlineStr">
        <is>
          <t>ORD-000316</t>
        </is>
      </c>
      <c r="B640" s="8" t="inlineStr">
        <is>
          <t>2023-01-25</t>
        </is>
      </c>
      <c r="C640" s="8" t="inlineStr">
        <is>
          <t>CUST-00362</t>
        </is>
      </c>
      <c r="D640" s="8" t="inlineStr">
        <is>
          <t>Dennis Diaz</t>
        </is>
      </c>
      <c r="E640" s="8" t="inlineStr">
        <is>
          <t>PRD-0411</t>
        </is>
      </c>
      <c r="F640" s="8" t="inlineStr">
        <is>
          <t>4</t>
        </is>
      </c>
      <c r="G640" s="9" t="n">
        <v>126.22</v>
      </c>
      <c r="H640" s="8" t="inlineStr">
        <is>
          <t>0.0</t>
        </is>
      </c>
      <c r="I640" s="8" t="inlineStr">
        <is>
          <t>Standard Ground</t>
        </is>
      </c>
      <c r="J640" s="8" t="inlineStr">
        <is>
          <t>Mobile App</t>
        </is>
      </c>
      <c r="K640" s="8" t="inlineStr">
        <is>
          <t>REG-NA</t>
        </is>
      </c>
    </row>
    <row r="641">
      <c r="A641" s="8" t="inlineStr">
        <is>
          <t>ORD-000316</t>
        </is>
      </c>
      <c r="B641" s="8" t="inlineStr">
        <is>
          <t>2023-01-25</t>
        </is>
      </c>
      <c r="C641" s="8" t="inlineStr">
        <is>
          <t>CUST-00362</t>
        </is>
      </c>
      <c r="D641" s="8" t="inlineStr">
        <is>
          <t>Dennis Diaz</t>
        </is>
      </c>
      <c r="E641" s="8" t="inlineStr">
        <is>
          <t>PRD-0237</t>
        </is>
      </c>
      <c r="F641" s="8" t="inlineStr">
        <is>
          <t>1</t>
        </is>
      </c>
      <c r="G641" s="9" t="n">
        <v>59.7</v>
      </c>
      <c r="H641" s="8" t="inlineStr">
        <is>
          <t>0.05</t>
        </is>
      </c>
      <c r="I641" s="8" t="inlineStr">
        <is>
          <t>Standard Ground</t>
        </is>
      </c>
      <c r="J641" s="8" t="inlineStr">
        <is>
          <t>Mobile App</t>
        </is>
      </c>
      <c r="K641" s="8" t="inlineStr">
        <is>
          <t>REG-NA</t>
        </is>
      </c>
    </row>
    <row r="642">
      <c r="A642" s="8" t="inlineStr">
        <is>
          <t>ORD-000317</t>
        </is>
      </c>
      <c r="B642" s="8" t="inlineStr">
        <is>
          <t>2023-03-11</t>
        </is>
      </c>
      <c r="C642" s="8" t="inlineStr">
        <is>
          <t>CUST-04721</t>
        </is>
      </c>
      <c r="D642" s="8" t="inlineStr">
        <is>
          <t>Thomas Wright</t>
        </is>
      </c>
      <c r="E642" s="8" t="inlineStr">
        <is>
          <t>PRD-0034</t>
        </is>
      </c>
      <c r="F642" s="8" t="inlineStr">
        <is>
          <t>1</t>
        </is>
      </c>
      <c r="G642" s="9" t="n">
        <v>52.58</v>
      </c>
      <c r="H642" s="8" t="inlineStr">
        <is>
          <t>0.0</t>
        </is>
      </c>
      <c r="I642" s="8" t="inlineStr">
        <is>
          <t>Standard Ground</t>
        </is>
      </c>
      <c r="J642" s="8" t="inlineStr">
        <is>
          <t>Mobile App</t>
        </is>
      </c>
      <c r="K642" s="8" t="inlineStr">
        <is>
          <t>REG-NA</t>
        </is>
      </c>
    </row>
    <row r="643">
      <c r="A643" s="8" t="inlineStr">
        <is>
          <t>ORD-000317</t>
        </is>
      </c>
      <c r="B643" s="8" t="inlineStr">
        <is>
          <t>2023-03-11</t>
        </is>
      </c>
      <c r="C643" s="8" t="inlineStr">
        <is>
          <t>CUST-04721</t>
        </is>
      </c>
      <c r="D643" s="8" t="inlineStr">
        <is>
          <t>Thomas Wright</t>
        </is>
      </c>
      <c r="E643" s="8" t="inlineStr">
        <is>
          <t>PRD-0366</t>
        </is>
      </c>
      <c r="F643" s="8" t="inlineStr">
        <is>
          <t>1</t>
        </is>
      </c>
      <c r="G643" s="9" t="n">
        <v>772.59</v>
      </c>
      <c r="H643" s="8" t="inlineStr">
        <is>
          <t>0.05</t>
        </is>
      </c>
      <c r="I643" s="8" t="inlineStr">
        <is>
          <t>Standard Ground</t>
        </is>
      </c>
      <c r="J643" s="8" t="inlineStr">
        <is>
          <t>Mobile App</t>
        </is>
      </c>
      <c r="K643" s="8" t="inlineStr">
        <is>
          <t>REG-NA</t>
        </is>
      </c>
    </row>
    <row r="644">
      <c r="A644" s="8" t="inlineStr">
        <is>
          <t>ORD-000318</t>
        </is>
      </c>
      <c r="B644" s="8" t="inlineStr">
        <is>
          <t>2025-09-13</t>
        </is>
      </c>
      <c r="C644" s="8" t="inlineStr">
        <is>
          <t>CUST-03347</t>
        </is>
      </c>
      <c r="D644" s="8" t="inlineStr">
        <is>
          <t>Daniel Patel</t>
        </is>
      </c>
      <c r="E644" s="8" t="inlineStr">
        <is>
          <t>PRD-0220</t>
        </is>
      </c>
      <c r="F644" s="8" t="inlineStr">
        <is>
          <t>1</t>
        </is>
      </c>
      <c r="G644" s="9" t="n">
        <v>472.5</v>
      </c>
      <c r="H644" s="8" t="inlineStr">
        <is>
          <t>0.0</t>
        </is>
      </c>
      <c r="I644" s="8" t="inlineStr">
        <is>
          <t>Standard Ground</t>
        </is>
      </c>
      <c r="J644" s="8" t="inlineStr">
        <is>
          <t>Mobile App</t>
        </is>
      </c>
      <c r="K644" s="8" t="inlineStr">
        <is>
          <t>REG-EU</t>
        </is>
      </c>
    </row>
    <row r="645">
      <c r="A645" s="8" t="inlineStr">
        <is>
          <t>ORD-000319</t>
        </is>
      </c>
      <c r="B645" s="8" t="inlineStr">
        <is>
          <t>2024-06-06</t>
        </is>
      </c>
      <c r="C645" s="8" t="inlineStr">
        <is>
          <t>CUST-00236</t>
        </is>
      </c>
      <c r="D645" s="8" t="inlineStr">
        <is>
          <t>Benjamin Ross</t>
        </is>
      </c>
      <c r="E645" s="8" t="inlineStr">
        <is>
          <t>PRD-0328</t>
        </is>
      </c>
      <c r="F645" s="8" t="inlineStr">
        <is>
          <t>8</t>
        </is>
      </c>
      <c r="G645" s="9" t="n">
        <v>1149.59</v>
      </c>
      <c r="H645" s="8" t="inlineStr">
        <is>
          <t>0.1</t>
        </is>
      </c>
      <c r="I645" s="8" t="inlineStr">
        <is>
          <t>Same-Day Priority</t>
        </is>
      </c>
      <c r="J645" s="8" t="inlineStr">
        <is>
          <t>B2B Portal</t>
        </is>
      </c>
      <c r="K645" s="8" t="inlineStr">
        <is>
          <t>REG-NA</t>
        </is>
      </c>
    </row>
    <row r="646">
      <c r="A646" s="8" t="inlineStr">
        <is>
          <t>ORD-000319</t>
        </is>
      </c>
      <c r="B646" s="8" t="inlineStr">
        <is>
          <t>2024-06-06</t>
        </is>
      </c>
      <c r="C646" s="8" t="inlineStr">
        <is>
          <t>CUST-00236</t>
        </is>
      </c>
      <c r="D646" s="8" t="inlineStr">
        <is>
          <t>Benjamin Ross</t>
        </is>
      </c>
      <c r="E646" s="8" t="inlineStr">
        <is>
          <t>PRD-0405</t>
        </is>
      </c>
      <c r="F646" s="8" t="inlineStr">
        <is>
          <t>10</t>
        </is>
      </c>
      <c r="G646" s="9" t="n">
        <v>29.36</v>
      </c>
      <c r="H646" s="8" t="inlineStr">
        <is>
          <t>0.0</t>
        </is>
      </c>
      <c r="I646" s="8" t="inlineStr">
        <is>
          <t>Same-Day Priority</t>
        </is>
      </c>
      <c r="J646" s="8" t="inlineStr">
        <is>
          <t>B2B Portal</t>
        </is>
      </c>
      <c r="K646" s="8" t="inlineStr">
        <is>
          <t>REG-NA</t>
        </is>
      </c>
    </row>
    <row r="647">
      <c r="A647" s="8" t="inlineStr">
        <is>
          <t>ORD-000319</t>
        </is>
      </c>
      <c r="B647" s="8" t="inlineStr">
        <is>
          <t>2024-06-06</t>
        </is>
      </c>
      <c r="C647" s="8" t="inlineStr">
        <is>
          <t>CUST-00236</t>
        </is>
      </c>
      <c r="D647" s="8" t="inlineStr">
        <is>
          <t>Benjamin Ross</t>
        </is>
      </c>
      <c r="E647" s="8" t="inlineStr">
        <is>
          <t>PRD-0345</t>
        </is>
      </c>
      <c r="F647" s="8" t="inlineStr">
        <is>
          <t>1</t>
        </is>
      </c>
      <c r="G647" s="9" t="n">
        <v>59.07</v>
      </c>
      <c r="H647" s="8" t="inlineStr">
        <is>
          <t>0.05</t>
        </is>
      </c>
      <c r="I647" s="8" t="inlineStr">
        <is>
          <t>Same-Day Priority</t>
        </is>
      </c>
      <c r="J647" s="8" t="inlineStr">
        <is>
          <t>B2B Portal</t>
        </is>
      </c>
      <c r="K647" s="8" t="inlineStr">
        <is>
          <t>REG-NA</t>
        </is>
      </c>
    </row>
    <row r="648">
      <c r="A648" s="8" t="inlineStr">
        <is>
          <t>ORD-000320</t>
        </is>
      </c>
      <c r="B648" s="8" t="inlineStr">
        <is>
          <t>2023-07-10</t>
        </is>
      </c>
      <c r="C648" s="8" t="inlineStr">
        <is>
          <t>CUST-01226</t>
        </is>
      </c>
      <c r="D648" s="8" t="inlineStr">
        <is>
          <t>Angela Thompson</t>
        </is>
      </c>
      <c r="E648" s="8" t="inlineStr">
        <is>
          <t>PRD-0093</t>
        </is>
      </c>
      <c r="F648" s="8" t="inlineStr">
        <is>
          <t>1</t>
        </is>
      </c>
      <c r="G648" s="9" t="n">
        <v>1324.37</v>
      </c>
      <c r="H648" s="8" t="inlineStr">
        <is>
          <t>0.0</t>
        </is>
      </c>
      <c r="I648" s="8" t="inlineStr">
        <is>
          <t>Express Air</t>
        </is>
      </c>
      <c r="J648" s="8" t="inlineStr">
        <is>
          <t>Direct Web</t>
        </is>
      </c>
      <c r="K648" s="8" t="inlineStr">
        <is>
          <t>REG-NA</t>
        </is>
      </c>
    </row>
    <row r="649">
      <c r="A649" s="8" t="inlineStr">
        <is>
          <t>ORD-000320</t>
        </is>
      </c>
      <c r="B649" s="8" t="inlineStr">
        <is>
          <t>2023-07-10</t>
        </is>
      </c>
      <c r="C649" s="8" t="inlineStr">
        <is>
          <t>CUST-01226</t>
        </is>
      </c>
      <c r="D649" s="8" t="inlineStr">
        <is>
          <t>Angela Thompson</t>
        </is>
      </c>
      <c r="E649" s="8" t="inlineStr">
        <is>
          <t>PRD-0443</t>
        </is>
      </c>
      <c r="F649" s="8" t="inlineStr">
        <is>
          <t>1</t>
        </is>
      </c>
      <c r="G649" s="9" t="n">
        <v>101.81</v>
      </c>
      <c r="H649" s="8" t="inlineStr">
        <is>
          <t>0.0</t>
        </is>
      </c>
      <c r="I649" s="8" t="inlineStr">
        <is>
          <t>Express Air</t>
        </is>
      </c>
      <c r="J649" s="8" t="inlineStr">
        <is>
          <t>Direct Web</t>
        </is>
      </c>
      <c r="K649" s="8" t="inlineStr">
        <is>
          <t>REG-NA</t>
        </is>
      </c>
    </row>
    <row r="650">
      <c r="A650" s="8" t="inlineStr">
        <is>
          <t>ORD-000321</t>
        </is>
      </c>
      <c r="B650" s="8" t="inlineStr">
        <is>
          <t>2023-11-26</t>
        </is>
      </c>
      <c r="C650" s="8" t="inlineStr">
        <is>
          <t>CUST-02735</t>
        </is>
      </c>
      <c r="D650" s="8" t="inlineStr">
        <is>
          <t>Anna Mitchell</t>
        </is>
      </c>
      <c r="E650" s="8" t="inlineStr">
        <is>
          <t>PRD-0007</t>
        </is>
      </c>
      <c r="F650" s="8" t="inlineStr">
        <is>
          <t>1</t>
        </is>
      </c>
      <c r="G650" s="9" t="n">
        <v>254.43</v>
      </c>
      <c r="H650" s="8" t="inlineStr">
        <is>
          <t>0.05</t>
        </is>
      </c>
      <c r="I650" s="8" t="inlineStr">
        <is>
          <t>Standard Ground</t>
        </is>
      </c>
      <c r="J650" s="8" t="inlineStr">
        <is>
          <t>Direct Web</t>
        </is>
      </c>
      <c r="K650" s="8" t="inlineStr">
        <is>
          <t>REG-NA</t>
        </is>
      </c>
    </row>
    <row r="651">
      <c r="A651" s="8" t="inlineStr">
        <is>
          <t>ORD-000321</t>
        </is>
      </c>
      <c r="B651" s="8" t="inlineStr">
        <is>
          <t>2023-11-26</t>
        </is>
      </c>
      <c r="C651" s="8" t="inlineStr">
        <is>
          <t>CUST-02735</t>
        </is>
      </c>
      <c r="D651" s="8" t="inlineStr">
        <is>
          <t>Anna Mitchell</t>
        </is>
      </c>
      <c r="E651" s="8" t="inlineStr">
        <is>
          <t>PRD-0386</t>
        </is>
      </c>
      <c r="F651" s="8" t="inlineStr">
        <is>
          <t>2</t>
        </is>
      </c>
      <c r="G651" s="9" t="n">
        <v>339.98</v>
      </c>
      <c r="H651" s="8" t="inlineStr">
        <is>
          <t>0.0</t>
        </is>
      </c>
      <c r="I651" s="8" t="inlineStr">
        <is>
          <t>Standard Ground</t>
        </is>
      </c>
      <c r="J651" s="8" t="inlineStr">
        <is>
          <t>Direct Web</t>
        </is>
      </c>
      <c r="K651" s="8" t="inlineStr">
        <is>
          <t>REG-NA</t>
        </is>
      </c>
    </row>
    <row r="652">
      <c r="A652" s="8" t="inlineStr">
        <is>
          <t>ORD-000322</t>
        </is>
      </c>
      <c r="B652" s="8" t="inlineStr">
        <is>
          <t>2025-04-15</t>
        </is>
      </c>
      <c r="C652" s="8" t="inlineStr">
        <is>
          <t>CUST-06915</t>
        </is>
      </c>
      <c r="D652" s="8" t="inlineStr">
        <is>
          <t>Paul Hernandez</t>
        </is>
      </c>
      <c r="E652" s="8" t="inlineStr">
        <is>
          <t>PRD-0029</t>
        </is>
      </c>
      <c r="F652" s="8" t="inlineStr">
        <is>
          <t>1</t>
        </is>
      </c>
      <c r="G652" s="9" t="n">
        <v>9.4</v>
      </c>
      <c r="H652" s="8" t="inlineStr">
        <is>
          <t>0.0</t>
        </is>
      </c>
      <c r="I652" s="8" t="inlineStr">
        <is>
          <t>Standard Ground</t>
        </is>
      </c>
      <c r="J652" s="8" t="inlineStr">
        <is>
          <t>Direct Web</t>
        </is>
      </c>
      <c r="K652" s="8" t="inlineStr">
        <is>
          <t>REG-APAC</t>
        </is>
      </c>
    </row>
    <row r="653">
      <c r="A653" s="8" t="inlineStr">
        <is>
          <t>ORD-000322</t>
        </is>
      </c>
      <c r="B653" s="8" t="inlineStr">
        <is>
          <t>2025-04-15</t>
        </is>
      </c>
      <c r="C653" s="8" t="inlineStr">
        <is>
          <t>CUST-06915</t>
        </is>
      </c>
      <c r="D653" s="8" t="inlineStr">
        <is>
          <t>Paul Hernandez</t>
        </is>
      </c>
      <c r="E653" s="8" t="inlineStr">
        <is>
          <t>PRD-0422</t>
        </is>
      </c>
      <c r="F653" s="8" t="inlineStr">
        <is>
          <t>2</t>
        </is>
      </c>
      <c r="G653" s="9" t="n">
        <v>1026.96</v>
      </c>
      <c r="H653" s="8" t="inlineStr">
        <is>
          <t>0.15</t>
        </is>
      </c>
      <c r="I653" s="8" t="inlineStr">
        <is>
          <t>Standard Ground</t>
        </is>
      </c>
      <c r="J653" s="8" t="inlineStr">
        <is>
          <t>Direct Web</t>
        </is>
      </c>
      <c r="K653" s="8" t="inlineStr">
        <is>
          <t>REG-APAC</t>
        </is>
      </c>
    </row>
    <row r="654">
      <c r="A654" s="8" t="inlineStr">
        <is>
          <t>ORD-000322</t>
        </is>
      </c>
      <c r="B654" s="8" t="inlineStr">
        <is>
          <t>2025-04-15</t>
        </is>
      </c>
      <c r="C654" s="8" t="inlineStr">
        <is>
          <t>CUST-06915</t>
        </is>
      </c>
      <c r="D654" s="8" t="inlineStr">
        <is>
          <t>Paul Hernandez</t>
        </is>
      </c>
      <c r="E654" s="8" t="inlineStr">
        <is>
          <t>PRD-0289</t>
        </is>
      </c>
      <c r="F654" s="8" t="inlineStr">
        <is>
          <t>1</t>
        </is>
      </c>
      <c r="G654" s="9" t="n">
        <v>579.4</v>
      </c>
      <c r="H654" s="8" t="inlineStr">
        <is>
          <t>0.05</t>
        </is>
      </c>
      <c r="I654" s="8" t="inlineStr">
        <is>
          <t>Standard Ground</t>
        </is>
      </c>
      <c r="J654" s="8" t="inlineStr">
        <is>
          <t>Direct Web</t>
        </is>
      </c>
      <c r="K654" s="8" t="inlineStr">
        <is>
          <t>REG-APAC</t>
        </is>
      </c>
    </row>
    <row r="655">
      <c r="A655" s="8" t="inlineStr">
        <is>
          <t>ORD-000323</t>
        </is>
      </c>
      <c r="B655" s="8" t="inlineStr">
        <is>
          <t>2024-12-28</t>
        </is>
      </c>
      <c r="C655" s="8" t="inlineStr">
        <is>
          <t>CUST-04708</t>
        </is>
      </c>
      <c r="D655" s="8" t="inlineStr">
        <is>
          <t>Frank Young</t>
        </is>
      </c>
      <c r="E655" s="8" t="inlineStr">
        <is>
          <t>PRD-0225</t>
        </is>
      </c>
      <c r="F655" s="8" t="inlineStr">
        <is>
          <t>1</t>
        </is>
      </c>
      <c r="G655" s="9" t="n">
        <v>266.58</v>
      </c>
      <c r="H655" s="8" t="inlineStr">
        <is>
          <t>5%</t>
        </is>
      </c>
      <c r="I655" s="8" t="inlineStr">
        <is>
          <t>Standard Ground</t>
        </is>
      </c>
      <c r="J655" s="8" t="inlineStr">
        <is>
          <t>Mobile App</t>
        </is>
      </c>
      <c r="K655" s="8" t="inlineStr">
        <is>
          <t>REG-NA</t>
        </is>
      </c>
    </row>
    <row r="656">
      <c r="A656" s="8" t="inlineStr">
        <is>
          <t>ORD-000324</t>
        </is>
      </c>
      <c r="B656" s="8" t="inlineStr">
        <is>
          <t>2023-11-20</t>
        </is>
      </c>
      <c r="C656" s="8" t="inlineStr">
        <is>
          <t>CUST-05504</t>
        </is>
      </c>
      <c r="D656" s="8" t="inlineStr">
        <is>
          <t>Christopher Cook</t>
        </is>
      </c>
      <c r="E656" s="8" t="inlineStr">
        <is>
          <t>PRD-0157</t>
        </is>
      </c>
      <c r="F656" s="8" t="inlineStr">
        <is>
          <t>1</t>
        </is>
      </c>
      <c r="G656" s="9" t="n">
        <v>227.8</v>
      </c>
      <c r="H656" s="8" t="inlineStr">
        <is>
          <t>0.0</t>
        </is>
      </c>
      <c r="I656" s="8" t="inlineStr">
        <is>
          <t>Express Air</t>
        </is>
      </c>
      <c r="J656" s="8" t="inlineStr">
        <is>
          <t>Direct Web</t>
        </is>
      </c>
      <c r="K656" s="8" t="inlineStr">
        <is>
          <t>REG-EU</t>
        </is>
      </c>
    </row>
    <row r="657">
      <c r="A657" s="8" t="inlineStr">
        <is>
          <t>ORD-000324</t>
        </is>
      </c>
      <c r="B657" s="8" t="inlineStr">
        <is>
          <t>2023-11-20</t>
        </is>
      </c>
      <c r="C657" s="8" t="inlineStr">
        <is>
          <t>CUST-05504</t>
        </is>
      </c>
      <c r="D657" s="8" t="inlineStr">
        <is>
          <t>Christopher Cook</t>
        </is>
      </c>
      <c r="E657" s="8" t="inlineStr">
        <is>
          <t>PRD-0016</t>
        </is>
      </c>
      <c r="F657" s="8" t="inlineStr">
        <is>
          <t>3</t>
        </is>
      </c>
      <c r="G657" s="9" t="n">
        <v>160.4</v>
      </c>
      <c r="H657" s="8" t="inlineStr">
        <is>
          <t>0.0</t>
        </is>
      </c>
      <c r="I657" s="8" t="inlineStr">
        <is>
          <t>Express Air</t>
        </is>
      </c>
      <c r="J657" s="8" t="inlineStr">
        <is>
          <t>Direct Web</t>
        </is>
      </c>
      <c r="K657" s="8" t="inlineStr">
        <is>
          <t>REG-EU</t>
        </is>
      </c>
    </row>
    <row r="658">
      <c r="A658" s="8" t="inlineStr">
        <is>
          <t>ORD-000324</t>
        </is>
      </c>
      <c r="B658" s="8" t="inlineStr">
        <is>
          <t>2023-11-20</t>
        </is>
      </c>
      <c r="C658" s="8" t="inlineStr">
        <is>
          <t>CUST-05504</t>
        </is>
      </c>
      <c r="D658" s="8" t="inlineStr">
        <is>
          <t>Christopher Cook</t>
        </is>
      </c>
      <c r="E658" s="8" t="inlineStr">
        <is>
          <t>PRD-0096</t>
        </is>
      </c>
      <c r="F658" s="8" t="inlineStr">
        <is>
          <t>1</t>
        </is>
      </c>
      <c r="G658" s="9" t="n">
        <v>66.14</v>
      </c>
      <c r="H658" s="8" t="inlineStr">
        <is>
          <t>0.2</t>
        </is>
      </c>
      <c r="I658" s="8" t="inlineStr">
        <is>
          <t>Express Air</t>
        </is>
      </c>
      <c r="J658" s="8" t="inlineStr">
        <is>
          <t>Direct Web</t>
        </is>
      </c>
      <c r="K658" s="8" t="inlineStr">
        <is>
          <t>REG-EU</t>
        </is>
      </c>
    </row>
    <row r="659">
      <c r="A659" s="8" t="inlineStr">
        <is>
          <t>ORD-000325</t>
        </is>
      </c>
      <c r="B659" s="8" t="inlineStr">
        <is>
          <t>2025-12-19</t>
        </is>
      </c>
      <c r="C659" s="8" t="inlineStr">
        <is>
          <t>CUST-06882</t>
        </is>
      </c>
      <c r="D659" s="8" t="inlineStr">
        <is>
          <t>Lisa Mendoza</t>
        </is>
      </c>
      <c r="E659" s="8" t="inlineStr">
        <is>
          <t>PRD-0085</t>
        </is>
      </c>
      <c r="F659" s="8" t="inlineStr">
        <is>
          <t>5</t>
        </is>
      </c>
      <c r="G659" s="9" t="n">
        <v>202.1</v>
      </c>
      <c r="H659" s="8" t="inlineStr">
        <is>
          <t>0.1</t>
        </is>
      </c>
      <c r="I659" s="8" t="inlineStr">
        <is>
          <t>Express Air</t>
        </is>
      </c>
      <c r="J659" s="8" t="inlineStr">
        <is>
          <t>Direct Web</t>
        </is>
      </c>
      <c r="K659" s="8" t="inlineStr">
        <is>
          <t>REG-NA</t>
        </is>
      </c>
    </row>
    <row r="660">
      <c r="A660" s="8" t="inlineStr">
        <is>
          <t>ORD-000325</t>
        </is>
      </c>
      <c r="B660" s="8" t="inlineStr">
        <is>
          <t>2025-12-19</t>
        </is>
      </c>
      <c r="C660" s="8" t="inlineStr">
        <is>
          <t>CUST-06882</t>
        </is>
      </c>
      <c r="D660" s="8" t="inlineStr">
        <is>
          <t>Lisa Mendoza</t>
        </is>
      </c>
      <c r="E660" s="8" t="inlineStr">
        <is>
          <t>PRD-0403</t>
        </is>
      </c>
      <c r="F660" s="8" t="inlineStr">
        <is>
          <t>4</t>
        </is>
      </c>
      <c r="G660" s="9" t="n">
        <v>213.25</v>
      </c>
      <c r="H660" s="8" t="inlineStr">
        <is>
          <t>0.0</t>
        </is>
      </c>
      <c r="I660" s="8" t="inlineStr">
        <is>
          <t>Express Air</t>
        </is>
      </c>
      <c r="J660" s="8" t="inlineStr">
        <is>
          <t>Direct Web</t>
        </is>
      </c>
      <c r="K660" s="8" t="inlineStr">
        <is>
          <t>REG-NA</t>
        </is>
      </c>
    </row>
    <row r="661">
      <c r="A661" s="8" t="inlineStr">
        <is>
          <t>ORD-000325</t>
        </is>
      </c>
      <c r="B661" s="8" t="inlineStr">
        <is>
          <t>2025-12-19</t>
        </is>
      </c>
      <c r="C661" s="8" t="inlineStr">
        <is>
          <t>CUST-06882</t>
        </is>
      </c>
      <c r="D661" s="8" t="inlineStr">
        <is>
          <t>Lisa Mendoza</t>
        </is>
      </c>
      <c r="E661" s="8" t="inlineStr">
        <is>
          <t>PRD-0340</t>
        </is>
      </c>
      <c r="F661" s="8" t="inlineStr">
        <is>
          <t>1</t>
        </is>
      </c>
      <c r="G661" s="9" t="n">
        <v>11.87</v>
      </c>
      <c r="H661" s="8" t="inlineStr">
        <is>
          <t>0.05</t>
        </is>
      </c>
      <c r="I661" s="8" t="inlineStr">
        <is>
          <t>Express Air</t>
        </is>
      </c>
      <c r="J661" s="8" t="inlineStr">
        <is>
          <t>Direct Web</t>
        </is>
      </c>
      <c r="K661" s="8" t="inlineStr">
        <is>
          <t>REG-NA</t>
        </is>
      </c>
    </row>
    <row r="662">
      <c r="A662" s="8" t="inlineStr">
        <is>
          <t>ORD-000326</t>
        </is>
      </c>
      <c r="B662" s="8" t="inlineStr">
        <is>
          <t>2025-11-30</t>
        </is>
      </c>
      <c r="C662" s="8" t="inlineStr">
        <is>
          <t>CUST-00759</t>
        </is>
      </c>
      <c r="D662" s="8" t="inlineStr">
        <is>
          <t>Benjamin Bennett</t>
        </is>
      </c>
      <c r="E662" s="8" t="inlineStr">
        <is>
          <t>PRD-0072</t>
        </is>
      </c>
      <c r="F662" s="8" t="inlineStr">
        <is>
          <t>2</t>
        </is>
      </c>
      <c r="G662" s="9" t="n">
        <v>548.35</v>
      </c>
      <c r="H662" s="8" t="inlineStr">
        <is>
          <t>0.15</t>
        </is>
      </c>
      <c r="I662" s="8" t="inlineStr">
        <is>
          <t>Standard Ground</t>
        </is>
      </c>
      <c r="J662" s="8" t="inlineStr">
        <is>
          <t>Direct Web</t>
        </is>
      </c>
      <c r="K662" s="8" t="inlineStr">
        <is>
          <t>REG-EU</t>
        </is>
      </c>
    </row>
    <row r="663">
      <c r="A663" s="8" t="inlineStr">
        <is>
          <t>ORD-000327</t>
        </is>
      </c>
      <c r="B663" s="8" t="inlineStr">
        <is>
          <t>2025-10-21</t>
        </is>
      </c>
      <c r="C663" s="8" t="inlineStr">
        <is>
          <t>CUST-05519</t>
        </is>
      </c>
      <c r="D663" s="8" t="inlineStr">
        <is>
          <t>Tyler Stewart</t>
        </is>
      </c>
      <c r="E663" s="8" t="inlineStr">
        <is>
          <t>PRD-0017</t>
        </is>
      </c>
      <c r="F663" s="8" t="inlineStr">
        <is>
          <t>1</t>
        </is>
      </c>
      <c r="G663" s="9" t="n">
        <v>931.16</v>
      </c>
      <c r="H663" s="8" t="inlineStr">
        <is>
          <t>0.25</t>
        </is>
      </c>
      <c r="I663" s="8" t="inlineStr">
        <is>
          <t>Express Air</t>
        </is>
      </c>
      <c r="J663" s="8" t="inlineStr">
        <is>
          <t>Affiliate Partner</t>
        </is>
      </c>
      <c r="K663" s="8" t="inlineStr">
        <is>
          <t>REG-EU</t>
        </is>
      </c>
    </row>
    <row r="664">
      <c r="A664" s="8" t="inlineStr">
        <is>
          <t>ORD-000328</t>
        </is>
      </c>
      <c r="B664" s="8" t="inlineStr">
        <is>
          <t>2024-09-28</t>
        </is>
      </c>
      <c r="C664" s="8" t="inlineStr">
        <is>
          <t>CUST-07225</t>
        </is>
      </c>
      <c r="D664" s="8" t="inlineStr">
        <is>
          <t>Karen Rivera</t>
        </is>
      </c>
      <c r="E664" s="8" t="inlineStr">
        <is>
          <t>PRD-0461</t>
        </is>
      </c>
      <c r="F664" s="8" t="inlineStr">
        <is>
          <t>1</t>
        </is>
      </c>
      <c r="G664" s="9" t="n">
        <v>724.9299999999999</v>
      </c>
      <c r="H664" s="8" t="inlineStr">
        <is>
          <t>0.0</t>
        </is>
      </c>
      <c r="I664" s="8" t="inlineStr">
        <is>
          <t>Standard Ground</t>
        </is>
      </c>
      <c r="J664" s="8" t="inlineStr">
        <is>
          <t>Affiliate Partner</t>
        </is>
      </c>
      <c r="K664" s="8" t="inlineStr">
        <is>
          <t>REG-LATAM</t>
        </is>
      </c>
    </row>
    <row r="665">
      <c r="A665" s="8" t="inlineStr">
        <is>
          <t>ORD-000329</t>
        </is>
      </c>
      <c r="B665" s="8" t="inlineStr">
        <is>
          <t>2025-12-03</t>
        </is>
      </c>
      <c r="C665" s="8" t="inlineStr">
        <is>
          <t>CUST-07768</t>
        </is>
      </c>
      <c r="D665" s="8" t="inlineStr">
        <is>
          <t>Richard Long</t>
        </is>
      </c>
      <c r="E665" s="8" t="inlineStr">
        <is>
          <t>PRD-0461</t>
        </is>
      </c>
      <c r="F665" s="8" t="inlineStr">
        <is>
          <t>1</t>
        </is>
      </c>
      <c r="G665" s="9" t="n">
        <v>724.9299999999999</v>
      </c>
      <c r="H665" s="8" t="inlineStr">
        <is>
          <t>0.0</t>
        </is>
      </c>
      <c r="I665" s="8" t="inlineStr">
        <is>
          <t>Standard Ground</t>
        </is>
      </c>
      <c r="J665" s="8" t="inlineStr">
        <is>
          <t>Direct Web</t>
        </is>
      </c>
      <c r="K665" s="8" t="inlineStr">
        <is>
          <t>REG-LATAM</t>
        </is>
      </c>
    </row>
    <row r="666">
      <c r="A666" s="8" t="inlineStr">
        <is>
          <t>ORD-000330</t>
        </is>
      </c>
      <c r="B666" s="8" t="inlineStr">
        <is>
          <t>2025-10-23</t>
        </is>
      </c>
      <c r="C666" s="8" t="inlineStr">
        <is>
          <t>CUST-00656</t>
        </is>
      </c>
      <c r="D666" s="8" t="inlineStr">
        <is>
          <t>Kathleen Foster</t>
        </is>
      </c>
      <c r="E666" s="8" t="inlineStr">
        <is>
          <t>PRD-0006</t>
        </is>
      </c>
      <c r="F666" s="8" t="inlineStr">
        <is>
          <t>5</t>
        </is>
      </c>
      <c r="G666" s="9" t="n">
        <v>64.34</v>
      </c>
      <c r="H666" s="8" t="inlineStr">
        <is>
          <t>0.0</t>
        </is>
      </c>
      <c r="I666" s="8" t="inlineStr">
        <is>
          <t>Standard Ground</t>
        </is>
      </c>
      <c r="J666" s="8" t="inlineStr">
        <is>
          <t>Direct Web</t>
        </is>
      </c>
      <c r="K666" s="8" t="inlineStr">
        <is>
          <t>REG-APAC</t>
        </is>
      </c>
    </row>
    <row r="667">
      <c r="A667" s="8" t="inlineStr">
        <is>
          <t>ORD-000331</t>
        </is>
      </c>
      <c r="B667" s="8" t="inlineStr">
        <is>
          <t>2024-03-21</t>
        </is>
      </c>
      <c r="C667" s="8" t="inlineStr">
        <is>
          <t>CUST-03506</t>
        </is>
      </c>
      <c r="D667" s="8" t="inlineStr">
        <is>
          <t>Elizabeth Green</t>
        </is>
      </c>
      <c r="E667" s="8" t="inlineStr">
        <is>
          <t>PRD-0386</t>
        </is>
      </c>
      <c r="F667" s="8" t="inlineStr">
        <is>
          <t>5</t>
        </is>
      </c>
      <c r="G667" s="9" t="n">
        <v>339.98</v>
      </c>
      <c r="H667" s="8" t="inlineStr">
        <is>
          <t>0.0</t>
        </is>
      </c>
      <c r="I667" s="8" t="inlineStr">
        <is>
          <t>Standard Ground</t>
        </is>
      </c>
      <c r="J667" s="8" t="inlineStr">
        <is>
          <t>B2B Portal</t>
        </is>
      </c>
      <c r="K667" s="8" t="inlineStr">
        <is>
          <t>REG-NA</t>
        </is>
      </c>
    </row>
    <row r="668">
      <c r="A668" s="8" t="inlineStr">
        <is>
          <t>ORD-000332</t>
        </is>
      </c>
      <c r="B668" s="8" t="inlineStr">
        <is>
          <t>2025-09-22</t>
        </is>
      </c>
      <c r="C668" s="8" t="inlineStr">
        <is>
          <t>CUST-07691</t>
        </is>
      </c>
      <c r="D668" s="8" t="inlineStr">
        <is>
          <t>Jason Foster</t>
        </is>
      </c>
      <c r="E668" s="8" t="inlineStr">
        <is>
          <t>PRD-0393</t>
        </is>
      </c>
      <c r="F668" s="8" t="inlineStr">
        <is>
          <t>1</t>
        </is>
      </c>
      <c r="G668" s="9" t="n">
        <v>577.02</v>
      </c>
      <c r="H668" s="8" t="inlineStr">
        <is>
          <t>0.0</t>
        </is>
      </c>
      <c r="I668" s="8" t="inlineStr">
        <is>
          <t>Standard Ground</t>
        </is>
      </c>
      <c r="J668" s="8" t="inlineStr">
        <is>
          <t>Mobile App</t>
        </is>
      </c>
      <c r="K668" s="8" t="inlineStr">
        <is>
          <t>REG-APAC</t>
        </is>
      </c>
    </row>
    <row r="669">
      <c r="A669" s="8" t="inlineStr">
        <is>
          <t>ORD-000333</t>
        </is>
      </c>
      <c r="B669" s="8" t="inlineStr">
        <is>
          <t>2024-08-04</t>
        </is>
      </c>
      <c r="C669" s="8" t="inlineStr">
        <is>
          <t>CUST-06376</t>
        </is>
      </c>
      <c r="D669" s="8" t="inlineStr">
        <is>
          <t>Angela Cox</t>
        </is>
      </c>
      <c r="E669" s="8" t="inlineStr">
        <is>
          <t>PRD-0498</t>
        </is>
      </c>
      <c r="F669" s="8" t="inlineStr">
        <is>
          <t>1</t>
        </is>
      </c>
      <c r="G669" s="9" t="n">
        <v>63.17</v>
      </c>
      <c r="H669" s="8" t="inlineStr">
        <is>
          <t>0.05</t>
        </is>
      </c>
      <c r="I669" s="8" t="inlineStr">
        <is>
          <t>Standard Ground</t>
        </is>
      </c>
      <c r="J669" s="8" t="inlineStr">
        <is>
          <t>B2B Portal</t>
        </is>
      </c>
      <c r="K669" s="8" t="inlineStr">
        <is>
          <t>REG-EU</t>
        </is>
      </c>
    </row>
    <row r="670">
      <c r="A670" s="8" t="inlineStr">
        <is>
          <t>ORD-000334</t>
        </is>
      </c>
      <c r="B670" s="8" t="inlineStr">
        <is>
          <t>2024-04-09</t>
        </is>
      </c>
      <c r="C670" s="8" t="inlineStr">
        <is>
          <t>CUST-00547</t>
        </is>
      </c>
      <c r="D670" s="8" t="inlineStr">
        <is>
          <t>Samuel Gray</t>
        </is>
      </c>
      <c r="E670" s="8" t="inlineStr">
        <is>
          <t>PRD-0160</t>
        </is>
      </c>
      <c r="F670" s="8" t="inlineStr">
        <is>
          <t>1</t>
        </is>
      </c>
      <c r="G670" s="9" t="n">
        <v>1076.82</v>
      </c>
      <c r="H670" s="8" t="inlineStr">
        <is>
          <t>0.0</t>
        </is>
      </c>
      <c r="I670" s="8" t="inlineStr">
        <is>
          <t>Express Air</t>
        </is>
      </c>
      <c r="J670" s="8" t="inlineStr">
        <is>
          <t>Direct Web</t>
        </is>
      </c>
      <c r="K670" s="8" t="inlineStr">
        <is>
          <t>REG-LATAM</t>
        </is>
      </c>
    </row>
    <row r="671">
      <c r="A671" s="8" t="inlineStr">
        <is>
          <t>ORD-000334</t>
        </is>
      </c>
      <c r="B671" s="8" t="inlineStr">
        <is>
          <t>2024-04-09</t>
        </is>
      </c>
      <c r="C671" s="8" t="inlineStr">
        <is>
          <t>CUST-00547</t>
        </is>
      </c>
      <c r="D671" s="8" t="inlineStr">
        <is>
          <t>Samuel Gray</t>
        </is>
      </c>
      <c r="E671" s="8" t="inlineStr">
        <is>
          <t>PRD-0153</t>
        </is>
      </c>
      <c r="F671" s="8" t="inlineStr">
        <is>
          <t>5</t>
        </is>
      </c>
      <c r="G671" s="9" t="n">
        <v>869.7</v>
      </c>
      <c r="H671" s="8" t="inlineStr">
        <is>
          <t>30%</t>
        </is>
      </c>
      <c r="I671" s="8" t="inlineStr">
        <is>
          <t>Express Air</t>
        </is>
      </c>
      <c r="J671" s="8" t="inlineStr">
        <is>
          <t>Direct Web</t>
        </is>
      </c>
      <c r="K671" s="8" t="inlineStr">
        <is>
          <t>REG-LATAM</t>
        </is>
      </c>
    </row>
    <row r="672">
      <c r="A672" s="8" t="inlineStr">
        <is>
          <t>ORD-000335</t>
        </is>
      </c>
      <c r="B672" s="8" t="inlineStr">
        <is>
          <t>2023-04-15</t>
        </is>
      </c>
      <c r="C672" s="8" t="inlineStr">
        <is>
          <t>CUST-07993</t>
        </is>
      </c>
      <c r="D672" s="8" t="inlineStr">
        <is>
          <t>Jerry Jimenez</t>
        </is>
      </c>
      <c r="E672" s="8" t="inlineStr">
        <is>
          <t>PRD-0379</t>
        </is>
      </c>
      <c r="F672" s="8" t="inlineStr">
        <is>
          <t>1</t>
        </is>
      </c>
      <c r="G672" s="9" t="n">
        <v>626.4</v>
      </c>
      <c r="H672" s="8" t="inlineStr">
        <is>
          <t>0.05</t>
        </is>
      </c>
      <c r="I672" s="8" t="inlineStr">
        <is>
          <t>Express Air</t>
        </is>
      </c>
      <c r="J672" s="8" t="inlineStr">
        <is>
          <t>B2B Portal</t>
        </is>
      </c>
      <c r="K672" s="8" t="inlineStr">
        <is>
          <t>REG-EU</t>
        </is>
      </c>
    </row>
    <row r="673">
      <c r="A673" s="8" t="inlineStr">
        <is>
          <t>ORD-000336</t>
        </is>
      </c>
      <c r="B673" s="8" t="inlineStr">
        <is>
          <t>2024-08-21</t>
        </is>
      </c>
      <c r="C673" s="8" t="inlineStr">
        <is>
          <t>CUST-02268</t>
        </is>
      </c>
      <c r="D673" s="8" t="inlineStr">
        <is>
          <t>Stephen Kim</t>
        </is>
      </c>
      <c r="E673" s="8" t="inlineStr">
        <is>
          <t>PRD-0096</t>
        </is>
      </c>
      <c r="F673" s="8" t="inlineStr">
        <is>
          <t>1</t>
        </is>
      </c>
      <c r="G673" s="9" t="n">
        <v>66.14</v>
      </c>
      <c r="H673" s="8" t="inlineStr">
        <is>
          <t>0.0</t>
        </is>
      </c>
      <c r="I673" s="8" t="inlineStr">
        <is>
          <t>Standard Ground</t>
        </is>
      </c>
      <c r="J673" s="8" t="inlineStr">
        <is>
          <t>Mobile App</t>
        </is>
      </c>
      <c r="K673" s="8" t="inlineStr">
        <is>
          <t>REG-NA</t>
        </is>
      </c>
    </row>
    <row r="674">
      <c r="A674" s="8" t="inlineStr">
        <is>
          <t>ORD-000337</t>
        </is>
      </c>
      <c r="B674" s="8" t="inlineStr">
        <is>
          <t>2025-03-20</t>
        </is>
      </c>
      <c r="C674" s="8" t="inlineStr">
        <is>
          <t>CUST-06929</t>
        </is>
      </c>
      <c r="D674" s="8" t="inlineStr">
        <is>
          <t>Kimberly Jackson</t>
        </is>
      </c>
      <c r="E674" s="8" t="inlineStr">
        <is>
          <t>PRD-0208</t>
        </is>
      </c>
      <c r="F674" s="8" t="inlineStr">
        <is>
          <t>1</t>
        </is>
      </c>
      <c r="G674" s="9" t="n">
        <v>47.15</v>
      </c>
      <c r="H674" s="8" t="inlineStr">
        <is>
          <t>0.0</t>
        </is>
      </c>
      <c r="I674" s="8" t="inlineStr">
        <is>
          <t>Express Air</t>
        </is>
      </c>
      <c r="J674" s="8" t="inlineStr">
        <is>
          <t>Mobile App</t>
        </is>
      </c>
      <c r="K674" s="8" t="inlineStr">
        <is>
          <t>REG-NA</t>
        </is>
      </c>
    </row>
    <row r="675">
      <c r="A675" s="8" t="inlineStr">
        <is>
          <t>ORD-000338</t>
        </is>
      </c>
      <c r="B675" s="8" t="inlineStr">
        <is>
          <t>2025-02-21</t>
        </is>
      </c>
      <c r="C675" s="8" t="inlineStr">
        <is>
          <t>CUST-03665</t>
        </is>
      </c>
      <c r="D675" s="8" t="inlineStr">
        <is>
          <t>Brenda Morales</t>
        </is>
      </c>
      <c r="E675" s="8" t="inlineStr">
        <is>
          <t>PRD-0157</t>
        </is>
      </c>
      <c r="F675" s="8" t="inlineStr">
        <is>
          <t>1</t>
        </is>
      </c>
      <c r="G675" s="9" t="n">
        <v>227.8</v>
      </c>
      <c r="H675" s="8" t="inlineStr">
        <is>
          <t>0.0</t>
        </is>
      </c>
      <c r="I675" s="8" t="inlineStr">
        <is>
          <t>Standard Ground</t>
        </is>
      </c>
      <c r="J675" s="8" t="inlineStr">
        <is>
          <t>Direct Web</t>
        </is>
      </c>
      <c r="K675" s="8" t="inlineStr">
        <is>
          <t>REG-APAC</t>
        </is>
      </c>
    </row>
    <row r="676">
      <c r="A676" s="8" t="inlineStr">
        <is>
          <t>ORD-000339</t>
        </is>
      </c>
      <c r="B676" s="8" t="inlineStr">
        <is>
          <t>2025-12-29</t>
        </is>
      </c>
      <c r="C676" s="8" t="inlineStr">
        <is>
          <t>CUST-01090</t>
        </is>
      </c>
      <c r="D676" s="8" t="inlineStr">
        <is>
          <t>Dennis Adams</t>
        </is>
      </c>
      <c r="E676" s="8" t="inlineStr">
        <is>
          <t>PRD-0370</t>
        </is>
      </c>
      <c r="F676" s="8" t="inlineStr">
        <is>
          <t>1</t>
        </is>
      </c>
      <c r="G676" s="9" t="n">
        <v>1113.54</v>
      </c>
      <c r="H676" s="8" t="inlineStr">
        <is>
          <t>0.05</t>
        </is>
      </c>
      <c r="I676" s="8" t="inlineStr">
        <is>
          <t>Standard Ground</t>
        </is>
      </c>
      <c r="J676" s="8" t="inlineStr">
        <is>
          <t>Direct Web</t>
        </is>
      </c>
      <c r="K676" s="8" t="inlineStr">
        <is>
          <t>REG-NA</t>
        </is>
      </c>
    </row>
    <row r="677">
      <c r="A677" s="8" t="inlineStr">
        <is>
          <t>ORD-000340</t>
        </is>
      </c>
      <c r="B677" s="8" t="inlineStr">
        <is>
          <t>01/20/2025</t>
        </is>
      </c>
      <c r="C677" s="8" t="inlineStr">
        <is>
          <t>CUST-01288</t>
        </is>
      </c>
      <c r="D677" s="8" t="inlineStr">
        <is>
          <t>Pamela Johnson</t>
        </is>
      </c>
      <c r="E677" s="8" t="inlineStr">
        <is>
          <t>PRD-0010</t>
        </is>
      </c>
      <c r="F677" s="8" t="inlineStr">
        <is>
          <t>1</t>
        </is>
      </c>
      <c r="G677" s="9" t="n">
        <v>863.3</v>
      </c>
      <c r="H677" s="8" t="inlineStr">
        <is>
          <t>0.0</t>
        </is>
      </c>
      <c r="I677" s="8" t="inlineStr">
        <is>
          <t>Same-Day Priority</t>
        </is>
      </c>
      <c r="J677" s="8" t="inlineStr">
        <is>
          <t>Mobile App</t>
        </is>
      </c>
      <c r="K677" s="8" t="inlineStr">
        <is>
          <t>REG-NA</t>
        </is>
      </c>
    </row>
    <row r="678">
      <c r="A678" s="8" t="inlineStr">
        <is>
          <t>ORD-000341</t>
        </is>
      </c>
      <c r="B678" s="8" t="inlineStr">
        <is>
          <t>2024-09-13</t>
        </is>
      </c>
      <c r="C678" s="8" t="inlineStr">
        <is>
          <t>CUST-01868</t>
        </is>
      </c>
      <c r="D678" s="8" t="inlineStr">
        <is>
          <t>Nicholas Moore</t>
        </is>
      </c>
      <c r="E678" s="8" t="inlineStr">
        <is>
          <t>PRD-0045</t>
        </is>
      </c>
      <c r="F678" s="8" t="inlineStr">
        <is>
          <t>2</t>
        </is>
      </c>
      <c r="G678" s="9" t="n">
        <v>30.53</v>
      </c>
      <c r="H678" s="8" t="inlineStr">
        <is>
          <t>0.1</t>
        </is>
      </c>
      <c r="I678" s="8" t="inlineStr">
        <is>
          <t>Express Air</t>
        </is>
      </c>
      <c r="J678" s="8" t="inlineStr">
        <is>
          <t>B2B Portal</t>
        </is>
      </c>
      <c r="K678" s="8" t="inlineStr">
        <is>
          <t>REG-NA</t>
        </is>
      </c>
    </row>
    <row r="679">
      <c r="A679" s="8" t="inlineStr">
        <is>
          <t>ORD-000342</t>
        </is>
      </c>
      <c r="B679" s="8" t="inlineStr">
        <is>
          <t>2024-02-04</t>
        </is>
      </c>
      <c r="C679" s="8" t="inlineStr">
        <is>
          <t>CUST-01708</t>
        </is>
      </c>
      <c r="D679" s="8" t="inlineStr">
        <is>
          <t>Gary Gray</t>
        </is>
      </c>
      <c r="E679" s="8" t="inlineStr">
        <is>
          <t>PRD-0398</t>
        </is>
      </c>
      <c r="F679" s="8" t="inlineStr">
        <is>
          <t>2</t>
        </is>
      </c>
      <c r="G679" s="9" t="n">
        <v>28.76</v>
      </c>
      <c r="H679" s="8" t="inlineStr">
        <is>
          <t>0.1</t>
        </is>
      </c>
      <c r="I679" s="8" t="inlineStr">
        <is>
          <t>Standard Ground</t>
        </is>
      </c>
      <c r="J679" s="8" t="inlineStr">
        <is>
          <t>Direct Web</t>
        </is>
      </c>
      <c r="K679" s="8" t="inlineStr">
        <is>
          <t>REG-EU</t>
        </is>
      </c>
    </row>
    <row r="680">
      <c r="A680" s="8" t="inlineStr">
        <is>
          <t>ORD-000342</t>
        </is>
      </c>
      <c r="B680" s="8" t="inlineStr">
        <is>
          <t>2024-02-04</t>
        </is>
      </c>
      <c r="C680" s="8" t="inlineStr">
        <is>
          <t>CUST-01708</t>
        </is>
      </c>
      <c r="D680" s="8" t="inlineStr">
        <is>
          <t>Gary Gray</t>
        </is>
      </c>
      <c r="E680" s="8" t="inlineStr">
        <is>
          <t>PRD-0406</t>
        </is>
      </c>
      <c r="F680" s="8" t="inlineStr">
        <is>
          <t>1</t>
        </is>
      </c>
      <c r="G680" s="9" t="n">
        <v>666.52</v>
      </c>
      <c r="H680" s="8" t="inlineStr">
        <is>
          <t>0.0</t>
        </is>
      </c>
      <c r="I680" s="8" t="inlineStr">
        <is>
          <t>Standard Ground</t>
        </is>
      </c>
      <c r="J680" s="8" t="inlineStr">
        <is>
          <t>Direct Web</t>
        </is>
      </c>
      <c r="K680" s="8" t="inlineStr">
        <is>
          <t>REG-EU</t>
        </is>
      </c>
    </row>
    <row r="681">
      <c r="A681" s="8" t="inlineStr">
        <is>
          <t>ORD-000343</t>
        </is>
      </c>
      <c r="B681" s="8" t="inlineStr">
        <is>
          <t>2025-12-16</t>
        </is>
      </c>
      <c r="C681" s="8" t="inlineStr">
        <is>
          <t>CUST-03684</t>
        </is>
      </c>
      <c r="D681" s="8" t="inlineStr">
        <is>
          <t>Maria Flores</t>
        </is>
      </c>
      <c r="E681" s="8" t="inlineStr">
        <is>
          <t>PRD-0409</t>
        </is>
      </c>
      <c r="F681" s="8" t="inlineStr">
        <is>
          <t>1</t>
        </is>
      </c>
      <c r="G681" s="9" t="n">
        <v>60.58</v>
      </c>
      <c r="H681" s="8" t="inlineStr">
        <is>
          <t>0.05</t>
        </is>
      </c>
      <c r="I681" s="8" t="inlineStr">
        <is>
          <t>Standard Ground</t>
        </is>
      </c>
      <c r="J681" s="8" t="inlineStr">
        <is>
          <t>B2B Portal</t>
        </is>
      </c>
      <c r="K681" s="8" t="inlineStr">
        <is>
          <t>REG-NA</t>
        </is>
      </c>
    </row>
    <row r="682">
      <c r="A682" s="8" t="inlineStr">
        <is>
          <t>ORD-000343</t>
        </is>
      </c>
      <c r="B682" s="8" t="inlineStr">
        <is>
          <t>2025-12-16</t>
        </is>
      </c>
      <c r="C682" s="8" t="inlineStr">
        <is>
          <t>CUST-03684</t>
        </is>
      </c>
      <c r="D682" s="8" t="inlineStr">
        <is>
          <t>Maria Flores</t>
        </is>
      </c>
      <c r="E682" s="8" t="inlineStr">
        <is>
          <t>PRD-0389</t>
        </is>
      </c>
      <c r="F682" s="8" t="inlineStr">
        <is>
          <t>2</t>
        </is>
      </c>
      <c r="G682" s="9" t="n">
        <v>355.7</v>
      </c>
      <c r="H682" s="8" t="inlineStr">
        <is>
          <t>0.2</t>
        </is>
      </c>
      <c r="I682" s="8" t="inlineStr">
        <is>
          <t>Standard Ground</t>
        </is>
      </c>
      <c r="J682" s="8" t="inlineStr">
        <is>
          <t>B2B Portal</t>
        </is>
      </c>
      <c r="K682" s="8" t="inlineStr">
        <is>
          <t>REG-NA</t>
        </is>
      </c>
    </row>
    <row r="683">
      <c r="A683" s="8" t="inlineStr">
        <is>
          <t>ORD-000344</t>
        </is>
      </c>
      <c r="B683" s="8" t="inlineStr">
        <is>
          <t>2023-04-05</t>
        </is>
      </c>
      <c r="C683" s="8" t="inlineStr">
        <is>
          <t>CUST-02175</t>
        </is>
      </c>
      <c r="D683" s="8" t="inlineStr">
        <is>
          <t>Jason Cruz</t>
        </is>
      </c>
      <c r="E683" s="8" t="inlineStr">
        <is>
          <t>PRD-0459</t>
        </is>
      </c>
      <c r="F683" s="8" t="inlineStr">
        <is>
          <t>1</t>
        </is>
      </c>
      <c r="G683" s="9" t="n">
        <v>55.95</v>
      </c>
      <c r="H683" s="8" t="inlineStr">
        <is>
          <t>0.0</t>
        </is>
      </c>
      <c r="I683" s="8" t="inlineStr">
        <is>
          <t>Standard Ground</t>
        </is>
      </c>
      <c r="J683" s="8" t="inlineStr">
        <is>
          <t>Mobile App</t>
        </is>
      </c>
      <c r="K683" s="8" t="inlineStr">
        <is>
          <t>REG-NA</t>
        </is>
      </c>
    </row>
    <row r="684">
      <c r="A684" s="8" t="inlineStr">
        <is>
          <t>ORD-000345</t>
        </is>
      </c>
      <c r="B684" s="8" t="inlineStr">
        <is>
          <t>2024-12-30</t>
        </is>
      </c>
      <c r="C684" s="8" t="inlineStr">
        <is>
          <t>CUST-03862</t>
        </is>
      </c>
      <c r="D684" s="8" t="inlineStr">
        <is>
          <t>Angela Torres</t>
        </is>
      </c>
      <c r="E684" s="8" t="inlineStr">
        <is>
          <t>PRD-0109</t>
        </is>
      </c>
      <c r="F684" s="8" t="inlineStr">
        <is>
          <t>2</t>
        </is>
      </c>
      <c r="G684" s="9" t="n">
        <v>53.86</v>
      </c>
      <c r="H684" s="8" t="inlineStr">
        <is>
          <t>0.15</t>
        </is>
      </c>
      <c r="I684" s="8" t="inlineStr">
        <is>
          <t>Same-Day Priority</t>
        </is>
      </c>
      <c r="J684" s="8" t="inlineStr">
        <is>
          <t>Mobile App</t>
        </is>
      </c>
      <c r="K684" s="8" t="inlineStr">
        <is>
          <t>REG-NA</t>
        </is>
      </c>
    </row>
    <row r="685">
      <c r="A685" s="8" t="inlineStr">
        <is>
          <t>ORD-000346</t>
        </is>
      </c>
      <c r="B685" s="8" t="inlineStr">
        <is>
          <t>2023-07-11</t>
        </is>
      </c>
      <c r="C685" s="8" t="inlineStr">
        <is>
          <t>CUST-07021</t>
        </is>
      </c>
      <c r="D685" s="8" t="inlineStr">
        <is>
          <t>Sharon Kim</t>
        </is>
      </c>
      <c r="E685" s="8" t="inlineStr">
        <is>
          <t>PRD-0310</t>
        </is>
      </c>
      <c r="F685" s="8" t="inlineStr">
        <is>
          <t>1</t>
        </is>
      </c>
      <c r="G685" s="9" t="n">
        <v>51.6</v>
      </c>
      <c r="H685" s="8" t="inlineStr">
        <is>
          <t>0.1</t>
        </is>
      </c>
      <c r="I685" s="8" t="inlineStr">
        <is>
          <t>Express Air</t>
        </is>
      </c>
      <c r="J685" s="8" t="inlineStr">
        <is>
          <t>Affiliate Partner</t>
        </is>
      </c>
      <c r="K685" s="8" t="inlineStr">
        <is>
          <t>REG-NA</t>
        </is>
      </c>
    </row>
    <row r="686">
      <c r="A686" s="8" t="inlineStr">
        <is>
          <t>ORD-000346</t>
        </is>
      </c>
      <c r="B686" s="8" t="inlineStr">
        <is>
          <t>2023-07-11</t>
        </is>
      </c>
      <c r="C686" s="8" t="inlineStr">
        <is>
          <t>CUST-07021</t>
        </is>
      </c>
      <c r="D686" s="8" t="inlineStr">
        <is>
          <t>Sharon Kim</t>
        </is>
      </c>
      <c r="E686" s="8" t="inlineStr">
        <is>
          <t>PRD-0423</t>
        </is>
      </c>
      <c r="F686" s="8" t="inlineStr">
        <is>
          <t>1</t>
        </is>
      </c>
      <c r="G686" s="9" t="n">
        <v>922.78</v>
      </c>
      <c r="H686" s="8" t="inlineStr">
        <is>
          <t>0.15</t>
        </is>
      </c>
      <c r="I686" s="8" t="inlineStr">
        <is>
          <t>Express Air</t>
        </is>
      </c>
      <c r="J686" s="8" t="inlineStr">
        <is>
          <t>Affiliate Partner</t>
        </is>
      </c>
      <c r="K686" s="8" t="inlineStr">
        <is>
          <t>REG-NA</t>
        </is>
      </c>
    </row>
    <row r="687">
      <c r="A687" s="8" t="inlineStr">
        <is>
          <t>ORD-000347</t>
        </is>
      </c>
      <c r="B687" s="8" t="inlineStr">
        <is>
          <t>09-05-2024</t>
        </is>
      </c>
      <c r="C687" s="8" t="inlineStr">
        <is>
          <t>CUST-04076</t>
        </is>
      </c>
      <c r="D687" s="8" t="inlineStr">
        <is>
          <t>Aaron Castillo</t>
        </is>
      </c>
      <c r="E687" s="8" t="inlineStr">
        <is>
          <t>PRD-0074</t>
        </is>
      </c>
      <c r="F687" s="8" t="inlineStr">
        <is>
          <t>1</t>
        </is>
      </c>
      <c r="G687" s="9" t="n">
        <v>405.95</v>
      </c>
      <c r="H687" s="8" t="inlineStr">
        <is>
          <t>0.15</t>
        </is>
      </c>
      <c r="I687" s="8" t="inlineStr">
        <is>
          <t>Standard Ground</t>
        </is>
      </c>
      <c r="J687" s="8" t="inlineStr">
        <is>
          <t>Affiliate Partner</t>
        </is>
      </c>
      <c r="K687" s="8" t="inlineStr">
        <is>
          <t>REG-APAC</t>
        </is>
      </c>
    </row>
    <row r="688">
      <c r="A688" s="8" t="inlineStr">
        <is>
          <t>ORD-000347</t>
        </is>
      </c>
      <c r="B688" s="8" t="inlineStr">
        <is>
          <t>09-05-2024</t>
        </is>
      </c>
      <c r="C688" s="8" t="inlineStr">
        <is>
          <t>CUST-04076</t>
        </is>
      </c>
      <c r="D688" s="8" t="inlineStr">
        <is>
          <t>Aaron Castillo</t>
        </is>
      </c>
      <c r="E688" s="8" t="inlineStr">
        <is>
          <t>PRD-0257</t>
        </is>
      </c>
      <c r="F688" s="8" t="inlineStr">
        <is>
          <t>2</t>
        </is>
      </c>
      <c r="G688" s="9" t="n">
        <v>31.28</v>
      </c>
      <c r="H688" s="8" t="inlineStr">
        <is>
          <t>0.05</t>
        </is>
      </c>
      <c r="I688" s="8" t="inlineStr">
        <is>
          <t>Standard Ground</t>
        </is>
      </c>
      <c r="J688" s="8" t="inlineStr">
        <is>
          <t>Affiliate Partner</t>
        </is>
      </c>
      <c r="K688" s="8" t="inlineStr">
        <is>
          <t>REG-APAC</t>
        </is>
      </c>
    </row>
    <row r="689">
      <c r="A689" s="8" t="inlineStr">
        <is>
          <t>ORD-000348</t>
        </is>
      </c>
      <c r="B689" s="8" t="inlineStr">
        <is>
          <t>2023-11-26</t>
        </is>
      </c>
      <c r="C689" s="8" t="inlineStr">
        <is>
          <t>CUST-05283</t>
        </is>
      </c>
      <c r="D689" s="8" t="inlineStr">
        <is>
          <t>Samuel Kelly</t>
        </is>
      </c>
      <c r="E689" s="8" t="inlineStr">
        <is>
          <t>PRD-0300</t>
        </is>
      </c>
      <c r="F689" s="8" t="inlineStr">
        <is>
          <t>1</t>
        </is>
      </c>
      <c r="G689" s="9" t="n">
        <v>1041.76</v>
      </c>
      <c r="H689" s="8" t="inlineStr">
        <is>
          <t>0.0</t>
        </is>
      </c>
      <c r="I689" s="8" t="inlineStr">
        <is>
          <t>Standard Ground</t>
        </is>
      </c>
      <c r="J689" s="8" t="inlineStr">
        <is>
          <t>Mobile App</t>
        </is>
      </c>
      <c r="K689" s="8" t="inlineStr">
        <is>
          <t>REG-NA</t>
        </is>
      </c>
    </row>
    <row r="690">
      <c r="A690" s="8" t="inlineStr">
        <is>
          <t>ORD-000348</t>
        </is>
      </c>
      <c r="B690" s="8" t="inlineStr">
        <is>
          <t>2023-11-26</t>
        </is>
      </c>
      <c r="C690" s="8" t="inlineStr">
        <is>
          <t>CUST-05283</t>
        </is>
      </c>
      <c r="D690" s="8" t="inlineStr">
        <is>
          <t>Samuel Kelly</t>
        </is>
      </c>
      <c r="E690" s="8" t="inlineStr">
        <is>
          <t>PRD-0498</t>
        </is>
      </c>
      <c r="F690" s="8" t="inlineStr">
        <is>
          <t>4</t>
        </is>
      </c>
      <c r="G690" s="9" t="n">
        <v>63.17</v>
      </c>
      <c r="H690" s="8" t="inlineStr">
        <is>
          <t>0.1</t>
        </is>
      </c>
      <c r="I690" s="8" t="inlineStr">
        <is>
          <t>Standard Ground</t>
        </is>
      </c>
      <c r="J690" s="8" t="inlineStr">
        <is>
          <t>Mobile App</t>
        </is>
      </c>
      <c r="K690" s="8" t="inlineStr">
        <is>
          <t>REG-NA</t>
        </is>
      </c>
    </row>
    <row r="691">
      <c r="A691" s="8" t="inlineStr">
        <is>
          <t>ORD-000348</t>
        </is>
      </c>
      <c r="B691" s="8" t="inlineStr">
        <is>
          <t>2023-11-26</t>
        </is>
      </c>
      <c r="C691" s="8" t="inlineStr">
        <is>
          <t>CUST-05283</t>
        </is>
      </c>
      <c r="D691" s="8" t="inlineStr">
        <is>
          <t>Samuel Kelly</t>
        </is>
      </c>
      <c r="E691" s="8" t="inlineStr">
        <is>
          <t>PRD-0281</t>
        </is>
      </c>
      <c r="F691" s="8" t="inlineStr">
        <is>
          <t>1</t>
        </is>
      </c>
      <c r="G691" s="9" t="n">
        <v>19.01</v>
      </c>
      <c r="H691" s="8" t="inlineStr">
        <is>
          <t>0.0</t>
        </is>
      </c>
      <c r="I691" s="8" t="inlineStr">
        <is>
          <t>Standard Ground</t>
        </is>
      </c>
      <c r="J691" s="8" t="inlineStr">
        <is>
          <t>Mobile App</t>
        </is>
      </c>
      <c r="K691" s="8" t="inlineStr">
        <is>
          <t>REG-NA</t>
        </is>
      </c>
    </row>
    <row r="692">
      <c r="A692" s="8" t="inlineStr">
        <is>
          <t>ORD-000348</t>
        </is>
      </c>
      <c r="B692" s="8" t="inlineStr">
        <is>
          <t>2023-11-26</t>
        </is>
      </c>
      <c r="C692" s="8" t="inlineStr">
        <is>
          <t>CUST-05283</t>
        </is>
      </c>
      <c r="D692" s="8" t="inlineStr">
        <is>
          <t>Samuel Kelly</t>
        </is>
      </c>
      <c r="E692" s="8" t="inlineStr">
        <is>
          <t>PRD-0472</t>
        </is>
      </c>
      <c r="F692" s="8" t="inlineStr">
        <is>
          <t>2</t>
        </is>
      </c>
      <c r="G692" s="9" t="n">
        <v>40.64</v>
      </c>
      <c r="H692" s="8" t="inlineStr">
        <is>
          <t>0.0</t>
        </is>
      </c>
      <c r="I692" s="8" t="inlineStr">
        <is>
          <t>Standard Ground</t>
        </is>
      </c>
      <c r="J692" s="8" t="inlineStr">
        <is>
          <t>Mobile App</t>
        </is>
      </c>
      <c r="K692" s="8" t="inlineStr">
        <is>
          <t>REG-NA</t>
        </is>
      </c>
    </row>
    <row r="693">
      <c r="A693" s="8" t="inlineStr">
        <is>
          <t>ORD-000349</t>
        </is>
      </c>
      <c r="B693" s="8" t="inlineStr">
        <is>
          <t>2024-06-20</t>
        </is>
      </c>
      <c r="C693" s="8" t="inlineStr">
        <is>
          <t>CUST-05677</t>
        </is>
      </c>
      <c r="D693" s="8" t="inlineStr">
        <is>
          <t>Matthew Cruz</t>
        </is>
      </c>
      <c r="E693" s="8" t="inlineStr">
        <is>
          <t>PRD-0440</t>
        </is>
      </c>
      <c r="F693" s="8" t="inlineStr">
        <is>
          <t>3</t>
        </is>
      </c>
      <c r="G693" s="9" t="n">
        <v>791.74</v>
      </c>
      <c r="H693" s="8" t="inlineStr">
        <is>
          <t>0.0</t>
        </is>
      </c>
      <c r="I693" s="8" t="inlineStr">
        <is>
          <t>Express Air</t>
        </is>
      </c>
      <c r="J693" s="8" t="inlineStr">
        <is>
          <t>Direct Web</t>
        </is>
      </c>
      <c r="K693" s="8" t="inlineStr">
        <is>
          <t>REG-NA</t>
        </is>
      </c>
    </row>
    <row r="694">
      <c r="A694" s="8" t="inlineStr">
        <is>
          <t>ORD-000350</t>
        </is>
      </c>
      <c r="B694" s="8" t="inlineStr">
        <is>
          <t>2023-12-31</t>
        </is>
      </c>
      <c r="C694" s="8" t="inlineStr">
        <is>
          <t>CUST-04433</t>
        </is>
      </c>
      <c r="D694" s="8" t="inlineStr">
        <is>
          <t>Sarah Walker</t>
        </is>
      </c>
      <c r="E694" s="8" t="inlineStr">
        <is>
          <t>PRD-0493</t>
        </is>
      </c>
      <c r="F694" s="8" t="inlineStr">
        <is>
          <t>1</t>
        </is>
      </c>
      <c r="G694" s="9" t="n">
        <v>502.97</v>
      </c>
      <c r="H694" s="8" t="inlineStr">
        <is>
          <t>0.15</t>
        </is>
      </c>
      <c r="I694" s="8" t="inlineStr">
        <is>
          <t>Same-Day Priority</t>
        </is>
      </c>
      <c r="J694" s="8" t="inlineStr">
        <is>
          <t>Direct Web</t>
        </is>
      </c>
      <c r="K694" s="8" t="inlineStr">
        <is>
          <t>REG-NA</t>
        </is>
      </c>
    </row>
    <row r="695">
      <c r="A695" s="8" t="inlineStr">
        <is>
          <t>ORD-000350</t>
        </is>
      </c>
      <c r="B695" s="8" t="inlineStr">
        <is>
          <t>2023-12-31</t>
        </is>
      </c>
      <c r="C695" s="8" t="inlineStr">
        <is>
          <t>CUST-04433</t>
        </is>
      </c>
      <c r="D695" s="8" t="inlineStr">
        <is>
          <t>Sarah Walker</t>
        </is>
      </c>
      <c r="E695" s="8" t="inlineStr">
        <is>
          <t>PRD-0180</t>
        </is>
      </c>
      <c r="F695" s="8" t="inlineStr">
        <is>
          <t>2</t>
        </is>
      </c>
      <c r="G695" s="9" t="n">
        <v>1016.03</v>
      </c>
      <c r="H695" s="8" t="inlineStr">
        <is>
          <t>0.05</t>
        </is>
      </c>
      <c r="I695" s="8" t="inlineStr">
        <is>
          <t>Same-Day Priority</t>
        </is>
      </c>
      <c r="J695" s="8" t="inlineStr">
        <is>
          <t>Direct Web</t>
        </is>
      </c>
      <c r="K695" s="8" t="inlineStr">
        <is>
          <t>REG-NA</t>
        </is>
      </c>
    </row>
    <row r="696">
      <c r="A696" s="8" t="inlineStr">
        <is>
          <t>ORD-000350</t>
        </is>
      </c>
      <c r="B696" s="8" t="inlineStr">
        <is>
          <t>2023-12-31</t>
        </is>
      </c>
      <c r="C696" s="8" t="inlineStr">
        <is>
          <t>CUST-04433</t>
        </is>
      </c>
      <c r="D696" s="8" t="inlineStr">
        <is>
          <t>Sarah Walker</t>
        </is>
      </c>
      <c r="E696" s="8" t="inlineStr">
        <is>
          <t>PRD-0062</t>
        </is>
      </c>
      <c r="F696" s="8" t="inlineStr">
        <is>
          <t>2</t>
        </is>
      </c>
      <c r="G696" s="9" t="n">
        <v>829.67</v>
      </c>
      <c r="H696" s="8" t="inlineStr">
        <is>
          <t>0.05</t>
        </is>
      </c>
      <c r="I696" s="8" t="inlineStr">
        <is>
          <t>Same-Day Priority</t>
        </is>
      </c>
      <c r="J696" s="8" t="inlineStr">
        <is>
          <t>Direct Web</t>
        </is>
      </c>
      <c r="K696" s="8" t="inlineStr">
        <is>
          <t>REG-NA</t>
        </is>
      </c>
    </row>
    <row r="697">
      <c r="A697" s="8" t="inlineStr">
        <is>
          <t>ORD-000351</t>
        </is>
      </c>
      <c r="B697" s="8" t="inlineStr">
        <is>
          <t>2025-06-09</t>
        </is>
      </c>
      <c r="C697" s="8" t="inlineStr">
        <is>
          <t>CUST-02521</t>
        </is>
      </c>
      <c r="D697" s="8" t="inlineStr">
        <is>
          <t>Richard Lee</t>
        </is>
      </c>
      <c r="E697" s="8" t="inlineStr">
        <is>
          <t>PRD-0156</t>
        </is>
      </c>
      <c r="F697" s="8" t="inlineStr">
        <is>
          <t>1</t>
        </is>
      </c>
      <c r="G697" s="9" t="n">
        <v>129</v>
      </c>
      <c r="H697" s="8" t="inlineStr">
        <is>
          <t>0.05</t>
        </is>
      </c>
      <c r="I697" s="8" t="inlineStr">
        <is>
          <t>Standard Ground</t>
        </is>
      </c>
      <c r="J697" s="8" t="inlineStr">
        <is>
          <t>Direct Web</t>
        </is>
      </c>
      <c r="K697" s="8" t="inlineStr">
        <is>
          <t>REG-EU</t>
        </is>
      </c>
    </row>
    <row r="698">
      <c r="A698" s="8" t="inlineStr">
        <is>
          <t>ORD-000352</t>
        </is>
      </c>
      <c r="B698" s="8" t="inlineStr">
        <is>
          <t>2025-05-14</t>
        </is>
      </c>
      <c r="C698" s="8" t="inlineStr">
        <is>
          <t>CUST-07557</t>
        </is>
      </c>
      <c r="D698" s="8" t="inlineStr">
        <is>
          <t>Angela Sanchez</t>
        </is>
      </c>
      <c r="E698" s="8" t="inlineStr">
        <is>
          <t>PRD-0493</t>
        </is>
      </c>
      <c r="F698" s="8" t="inlineStr">
        <is>
          <t>2</t>
        </is>
      </c>
      <c r="G698" s="9" t="n">
        <v>502.97</v>
      </c>
      <c r="H698" s="8" t="inlineStr">
        <is>
          <t>0.0</t>
        </is>
      </c>
      <c r="I698" s="8" t="inlineStr">
        <is>
          <t>Standard Ground</t>
        </is>
      </c>
      <c r="J698" s="8" t="inlineStr">
        <is>
          <t>Direct Web</t>
        </is>
      </c>
      <c r="K698" s="8" t="inlineStr">
        <is>
          <t>REG-NA</t>
        </is>
      </c>
    </row>
    <row r="699">
      <c r="A699" s="8" t="inlineStr">
        <is>
          <t>ORD-000353</t>
        </is>
      </c>
      <c r="B699" s="8" t="inlineStr">
        <is>
          <t>2024-04-11</t>
        </is>
      </c>
      <c r="C699" s="8" t="inlineStr">
        <is>
          <t>CUST-04110</t>
        </is>
      </c>
      <c r="D699" s="8" t="inlineStr">
        <is>
          <t>Shirley Turner</t>
        </is>
      </c>
      <c r="E699" s="8" t="inlineStr">
        <is>
          <t>PRD-0200</t>
        </is>
      </c>
      <c r="F699" s="8" t="inlineStr">
        <is>
          <t>1</t>
        </is>
      </c>
      <c r="G699" s="9" t="n">
        <v>977</v>
      </c>
      <c r="H699" s="8" t="inlineStr">
        <is>
          <t>0.0</t>
        </is>
      </c>
      <c r="I699" s="8" t="inlineStr">
        <is>
          <t>Standard Ground</t>
        </is>
      </c>
      <c r="J699" s="8" t="inlineStr">
        <is>
          <t>Mobile App</t>
        </is>
      </c>
      <c r="K699" s="8" t="inlineStr">
        <is>
          <t>REG-EU</t>
        </is>
      </c>
    </row>
    <row r="700">
      <c r="A700" s="8" t="inlineStr">
        <is>
          <t>ORD-000354</t>
        </is>
      </c>
      <c r="B700" s="8" t="inlineStr">
        <is>
          <t>2025-12-20</t>
        </is>
      </c>
      <c r="C700" s="8" t="inlineStr">
        <is>
          <t>CUST-05545</t>
        </is>
      </c>
      <c r="D700" s="8" t="inlineStr">
        <is>
          <t>Catherine Baker</t>
        </is>
      </c>
      <c r="E700" s="8" t="inlineStr">
        <is>
          <t>PRD-0448</t>
        </is>
      </c>
      <c r="F700" s="8" t="inlineStr">
        <is>
          <t>1</t>
        </is>
      </c>
      <c r="G700" s="9" t="n">
        <v>338.65</v>
      </c>
      <c r="H700" s="8" t="inlineStr">
        <is>
          <t>0.05</t>
        </is>
      </c>
      <c r="I700" s="8" t="inlineStr">
        <is>
          <t>Standard Ground</t>
        </is>
      </c>
      <c r="J700" s="8" t="inlineStr">
        <is>
          <t>Mobile App</t>
        </is>
      </c>
      <c r="K700" s="8" t="inlineStr">
        <is>
          <t>REG-LATAM</t>
        </is>
      </c>
    </row>
    <row r="701">
      <c r="A701" s="8" t="inlineStr">
        <is>
          <t>ORD-000355</t>
        </is>
      </c>
      <c r="B701" s="8" t="inlineStr">
        <is>
          <t>26-12-2025</t>
        </is>
      </c>
      <c r="C701" s="8" t="inlineStr">
        <is>
          <t>CUST-00880</t>
        </is>
      </c>
      <c r="D701" s="8" t="inlineStr">
        <is>
          <t>William Garcia</t>
        </is>
      </c>
      <c r="E701" s="8" t="inlineStr">
        <is>
          <t>PRD-0399</t>
        </is>
      </c>
      <c r="F701" s="8" t="inlineStr">
        <is>
          <t>3</t>
        </is>
      </c>
      <c r="G701" s="9" t="n">
        <v>933.08</v>
      </c>
      <c r="H701" s="8" t="inlineStr">
        <is>
          <t>0.1</t>
        </is>
      </c>
      <c r="I701" s="8" t="inlineStr">
        <is>
          <t>Express Air</t>
        </is>
      </c>
      <c r="J701" s="8" t="inlineStr">
        <is>
          <t>Mobile App</t>
        </is>
      </c>
      <c r="K701" s="8" t="inlineStr">
        <is>
          <t>REG-NA</t>
        </is>
      </c>
    </row>
    <row r="702">
      <c r="A702" s="8" t="inlineStr">
        <is>
          <t>ORD-000356</t>
        </is>
      </c>
      <c r="B702" s="8" t="inlineStr">
        <is>
          <t>2023-04-07</t>
        </is>
      </c>
      <c r="C702" s="8" t="inlineStr">
        <is>
          <t>CUST-04159</t>
        </is>
      </c>
      <c r="D702" s="8" t="inlineStr">
        <is>
          <t>Steven Ward</t>
        </is>
      </c>
      <c r="E702" s="8" t="inlineStr">
        <is>
          <t>PRD-0180</t>
        </is>
      </c>
      <c r="F702" s="8" t="inlineStr">
        <is>
          <t>1</t>
        </is>
      </c>
      <c r="G702" s="9" t="n">
        <v>1016.03</v>
      </c>
      <c r="H702" s="8" t="inlineStr">
        <is>
          <t>0.1</t>
        </is>
      </c>
      <c r="I702" s="8" t="inlineStr">
        <is>
          <t>Standard Ground</t>
        </is>
      </c>
      <c r="J702" s="8" t="inlineStr">
        <is>
          <t>Direct Web</t>
        </is>
      </c>
      <c r="K702" s="8" t="inlineStr">
        <is>
          <t>REG-EU</t>
        </is>
      </c>
    </row>
    <row r="703">
      <c r="A703" s="8" t="inlineStr">
        <is>
          <t>ORD-000356</t>
        </is>
      </c>
      <c r="B703" s="8" t="inlineStr">
        <is>
          <t>2023-04-07</t>
        </is>
      </c>
      <c r="C703" s="8" t="inlineStr">
        <is>
          <t>CUST-04159</t>
        </is>
      </c>
      <c r="D703" s="8" t="inlineStr">
        <is>
          <t>Steven Ward</t>
        </is>
      </c>
      <c r="E703" s="8" t="inlineStr">
        <is>
          <t>PRD-0086</t>
        </is>
      </c>
      <c r="F703" s="8" t="inlineStr">
        <is>
          <t>2</t>
        </is>
      </c>
      <c r="G703" s="9" t="n">
        <v>996.2</v>
      </c>
      <c r="H703" s="8" t="inlineStr">
        <is>
          <t>0.1</t>
        </is>
      </c>
      <c r="I703" s="8" t="inlineStr">
        <is>
          <t>Standard Ground</t>
        </is>
      </c>
      <c r="J703" s="8" t="inlineStr">
        <is>
          <t>Direct Web</t>
        </is>
      </c>
      <c r="K703" s="8" t="inlineStr">
        <is>
          <t>REG-EU</t>
        </is>
      </c>
    </row>
    <row r="704">
      <c r="A704" s="8" t="inlineStr">
        <is>
          <t>ORD-000356</t>
        </is>
      </c>
      <c r="B704" s="8" t="inlineStr">
        <is>
          <t>2023-04-07</t>
        </is>
      </c>
      <c r="C704" s="8" t="inlineStr">
        <is>
          <t>CUST-04159</t>
        </is>
      </c>
      <c r="D704" s="8" t="inlineStr">
        <is>
          <t>Steven Ward</t>
        </is>
      </c>
      <c r="E704" s="8" t="inlineStr">
        <is>
          <t>PRD-0182</t>
        </is>
      </c>
      <c r="F704" s="8" t="inlineStr">
        <is>
          <t>4</t>
        </is>
      </c>
      <c r="G704" s="9" t="n">
        <v>1423.65</v>
      </c>
      <c r="H704" s="8" t="inlineStr">
        <is>
          <t>0.0</t>
        </is>
      </c>
      <c r="I704" s="8" t="inlineStr">
        <is>
          <t>Standard Ground</t>
        </is>
      </c>
      <c r="J704" s="8" t="inlineStr">
        <is>
          <t>Direct Web</t>
        </is>
      </c>
      <c r="K704" s="8" t="inlineStr">
        <is>
          <t>REG-EU</t>
        </is>
      </c>
    </row>
    <row r="705">
      <c r="A705" s="8" t="inlineStr">
        <is>
          <t>ORD-000356</t>
        </is>
      </c>
      <c r="B705" s="8" t="inlineStr">
        <is>
          <t>2023-04-07</t>
        </is>
      </c>
      <c r="C705" s="8" t="inlineStr">
        <is>
          <t>CUST-04159</t>
        </is>
      </c>
      <c r="D705" s="8" t="inlineStr">
        <is>
          <t>Steven Ward</t>
        </is>
      </c>
      <c r="E705" s="8" t="inlineStr">
        <is>
          <t>PRD-0256</t>
        </is>
      </c>
      <c r="F705" s="8" t="inlineStr">
        <is>
          <t>1</t>
        </is>
      </c>
      <c r="G705" s="9" t="n">
        <v>235.18</v>
      </c>
      <c r="H705" s="8" t="inlineStr">
        <is>
          <t>0.05</t>
        </is>
      </c>
      <c r="I705" s="8" t="inlineStr">
        <is>
          <t>Standard Ground</t>
        </is>
      </c>
      <c r="J705" s="8" t="inlineStr">
        <is>
          <t>Direct Web</t>
        </is>
      </c>
      <c r="K705" s="8" t="inlineStr">
        <is>
          <t>REG-EU</t>
        </is>
      </c>
    </row>
    <row r="706">
      <c r="A706" s="8" t="inlineStr">
        <is>
          <t>ORD-000356</t>
        </is>
      </c>
      <c r="B706" s="8" t="inlineStr">
        <is>
          <t>2023-04-07</t>
        </is>
      </c>
      <c r="C706" s="8" t="inlineStr">
        <is>
          <t>CUST-04159</t>
        </is>
      </c>
      <c r="D706" s="8" t="inlineStr">
        <is>
          <t>Steven Ward</t>
        </is>
      </c>
      <c r="E706" s="8" t="inlineStr">
        <is>
          <t>PRD-0369</t>
        </is>
      </c>
      <c r="F706" s="8" t="inlineStr">
        <is>
          <t>3</t>
        </is>
      </c>
      <c r="G706" s="9" t="n">
        <v>653.11</v>
      </c>
      <c r="H706" s="8" t="inlineStr">
        <is>
          <t>0.15</t>
        </is>
      </c>
      <c r="I706" s="8" t="inlineStr">
        <is>
          <t>Standard Ground</t>
        </is>
      </c>
      <c r="J706" s="8" t="inlineStr">
        <is>
          <t>Direct Web</t>
        </is>
      </c>
      <c r="K706" s="8" t="inlineStr">
        <is>
          <t>REG-EU</t>
        </is>
      </c>
    </row>
    <row r="707">
      <c r="A707" s="8" t="inlineStr">
        <is>
          <t>ORD-000357</t>
        </is>
      </c>
      <c r="B707" s="8" t="inlineStr">
        <is>
          <t>2025-01-26</t>
        </is>
      </c>
      <c r="C707" s="8" t="inlineStr">
        <is>
          <t>CUST-06925</t>
        </is>
      </c>
      <c r="D707" s="8" t="inlineStr">
        <is>
          <t>Andrew Thomas</t>
        </is>
      </c>
      <c r="E707" s="8" t="inlineStr">
        <is>
          <t>PRD-0097</t>
        </is>
      </c>
      <c r="F707" s="8" t="inlineStr">
        <is>
          <t>2</t>
        </is>
      </c>
      <c r="G707" s="9" t="n">
        <v>216.71</v>
      </c>
      <c r="H707" s="8" t="inlineStr">
        <is>
          <t>0.05</t>
        </is>
      </c>
      <c r="I707" s="8" t="inlineStr">
        <is>
          <t>Standard Ground</t>
        </is>
      </c>
      <c r="J707" s="8" t="inlineStr">
        <is>
          <t>Direct Web</t>
        </is>
      </c>
      <c r="K707" s="8" t="inlineStr">
        <is>
          <t>REG-NA</t>
        </is>
      </c>
    </row>
    <row r="708">
      <c r="A708" s="8" t="inlineStr">
        <is>
          <t>ORD-000357</t>
        </is>
      </c>
      <c r="B708" s="8" t="inlineStr">
        <is>
          <t>2025-01-26</t>
        </is>
      </c>
      <c r="C708" s="8" t="inlineStr">
        <is>
          <t>CUST-06925</t>
        </is>
      </c>
      <c r="D708" s="8" t="inlineStr">
        <is>
          <t>Andrew Thomas</t>
        </is>
      </c>
      <c r="E708" s="8" t="inlineStr">
        <is>
          <t>PRD-0353</t>
        </is>
      </c>
      <c r="F708" s="8" t="inlineStr">
        <is>
          <t>1</t>
        </is>
      </c>
      <c r="G708" s="9" t="n">
        <v>438.24</v>
      </c>
      <c r="H708" s="8" t="inlineStr">
        <is>
          <t>0.3</t>
        </is>
      </c>
      <c r="I708" s="8" t="inlineStr">
        <is>
          <t>Standard Ground</t>
        </is>
      </c>
      <c r="J708" s="8" t="inlineStr">
        <is>
          <t>Direct Web</t>
        </is>
      </c>
      <c r="K708" s="8" t="inlineStr">
        <is>
          <t>REG-NA</t>
        </is>
      </c>
    </row>
    <row r="709">
      <c r="A709" s="8" t="inlineStr">
        <is>
          <t>ORD-000358</t>
        </is>
      </c>
      <c r="B709" s="8" t="inlineStr">
        <is>
          <t>2023-09-09</t>
        </is>
      </c>
      <c r="C709" s="8" t="inlineStr">
        <is>
          <t>CUST-03792</t>
        </is>
      </c>
      <c r="D709" s="8" t="inlineStr">
        <is>
          <t>Emma Brown</t>
        </is>
      </c>
      <c r="E709" s="8" t="inlineStr">
        <is>
          <t>PRD-0171</t>
        </is>
      </c>
      <c r="F709" s="8" t="inlineStr">
        <is>
          <t>2</t>
        </is>
      </c>
      <c r="G709" s="9" t="n">
        <v>143.61</v>
      </c>
      <c r="H709" s="8" t="inlineStr">
        <is>
          <t>0.0</t>
        </is>
      </c>
      <c r="I709" s="8" t="inlineStr">
        <is>
          <t>Standard Ground</t>
        </is>
      </c>
      <c r="J709" s="8" t="inlineStr">
        <is>
          <t>Mobile App</t>
        </is>
      </c>
      <c r="K709" s="8" t="inlineStr">
        <is>
          <t>REG-NA</t>
        </is>
      </c>
    </row>
    <row r="710">
      <c r="A710" s="8" t="inlineStr">
        <is>
          <t>ORD-000358</t>
        </is>
      </c>
      <c r="B710" s="8" t="inlineStr">
        <is>
          <t>2023-09-09</t>
        </is>
      </c>
      <c r="C710" s="8" t="inlineStr">
        <is>
          <t>CUST-03792</t>
        </is>
      </c>
      <c r="D710" s="8" t="inlineStr">
        <is>
          <t>Emma Brown</t>
        </is>
      </c>
      <c r="E710" s="8" t="inlineStr">
        <is>
          <t>PRD-0375</t>
        </is>
      </c>
      <c r="F710" s="8" t="inlineStr">
        <is>
          <t>2</t>
        </is>
      </c>
      <c r="G710" s="9" t="n">
        <v>141.42</v>
      </c>
      <c r="H710" s="8" t="inlineStr">
        <is>
          <t>0.15</t>
        </is>
      </c>
      <c r="I710" s="8" t="inlineStr">
        <is>
          <t>Standard Ground</t>
        </is>
      </c>
      <c r="J710" s="8" t="inlineStr">
        <is>
          <t>Mobile App</t>
        </is>
      </c>
      <c r="K710" s="8" t="inlineStr">
        <is>
          <t>REG-NA</t>
        </is>
      </c>
    </row>
    <row r="711">
      <c r="A711" s="8" t="inlineStr">
        <is>
          <t>ORD-000359</t>
        </is>
      </c>
      <c r="B711" s="8" t="inlineStr">
        <is>
          <t>2025-08-15</t>
        </is>
      </c>
      <c r="C711" s="8" t="inlineStr">
        <is>
          <t>CUST-03675</t>
        </is>
      </c>
      <c r="D711" s="8" t="inlineStr">
        <is>
          <t>Frank Rivera</t>
        </is>
      </c>
      <c r="E711" s="8" t="inlineStr">
        <is>
          <t>PRD-0235</t>
        </is>
      </c>
      <c r="F711" s="8" t="inlineStr">
        <is>
          <t>5</t>
        </is>
      </c>
      <c r="G711" s="9" t="n">
        <v>640.49</v>
      </c>
      <c r="H711" s="8" t="inlineStr">
        <is>
          <t>0.0</t>
        </is>
      </c>
      <c r="I711" s="8" t="inlineStr">
        <is>
          <t>Express Air</t>
        </is>
      </c>
      <c r="J711" s="8" t="inlineStr">
        <is>
          <t>B2B Portal</t>
        </is>
      </c>
      <c r="K711" s="8" t="inlineStr">
        <is>
          <t>REG-NA</t>
        </is>
      </c>
    </row>
    <row r="712">
      <c r="A712" s="8" t="inlineStr">
        <is>
          <t>ORD-000359</t>
        </is>
      </c>
      <c r="B712" s="8" t="inlineStr">
        <is>
          <t>2025-08-15</t>
        </is>
      </c>
      <c r="C712" s="8" t="inlineStr">
        <is>
          <t>CUST-03675</t>
        </is>
      </c>
      <c r="D712" s="8" t="inlineStr">
        <is>
          <t>Frank Rivera</t>
        </is>
      </c>
      <c r="E712" s="8" t="inlineStr">
        <is>
          <t>PRD-0081</t>
        </is>
      </c>
      <c r="F712" s="8" t="inlineStr">
        <is>
          <t>1</t>
        </is>
      </c>
      <c r="G712" s="9" t="n">
        <v>62.94</v>
      </c>
      <c r="H712" s="8" t="inlineStr">
        <is>
          <t>0.1</t>
        </is>
      </c>
      <c r="I712" s="8" t="inlineStr">
        <is>
          <t>Express Air</t>
        </is>
      </c>
      <c r="J712" s="8" t="inlineStr">
        <is>
          <t>B2B Portal</t>
        </is>
      </c>
      <c r="K712" s="8" t="inlineStr">
        <is>
          <t>REG-NA</t>
        </is>
      </c>
    </row>
    <row r="713">
      <c r="A713" s="8" t="inlineStr">
        <is>
          <t>ORD-000359</t>
        </is>
      </c>
      <c r="B713" s="8" t="inlineStr">
        <is>
          <t>2025-08-15</t>
        </is>
      </c>
      <c r="C713" s="8" t="inlineStr">
        <is>
          <t>CUST-03675</t>
        </is>
      </c>
      <c r="D713" s="8" t="inlineStr">
        <is>
          <t>Frank Rivera</t>
        </is>
      </c>
      <c r="E713" s="8" t="inlineStr">
        <is>
          <t>PRD-0329</t>
        </is>
      </c>
      <c r="F713" s="8" t="inlineStr">
        <is>
          <t>1</t>
        </is>
      </c>
      <c r="G713" s="9" t="n">
        <v>1014.02</v>
      </c>
      <c r="H713" s="8" t="inlineStr">
        <is>
          <t>0.1</t>
        </is>
      </c>
      <c r="I713" s="8" t="inlineStr">
        <is>
          <t>Express Air</t>
        </is>
      </c>
      <c r="J713" s="8" t="inlineStr">
        <is>
          <t>B2B Portal</t>
        </is>
      </c>
      <c r="K713" s="8" t="inlineStr">
        <is>
          <t>REG-NA</t>
        </is>
      </c>
    </row>
    <row r="714">
      <c r="A714" s="8" t="inlineStr">
        <is>
          <t>ORD-000359</t>
        </is>
      </c>
      <c r="B714" s="8" t="inlineStr">
        <is>
          <t>2025-08-15</t>
        </is>
      </c>
      <c r="C714" s="8" t="inlineStr">
        <is>
          <t>CUST-03675</t>
        </is>
      </c>
      <c r="D714" s="8" t="inlineStr">
        <is>
          <t>Frank Rivera</t>
        </is>
      </c>
      <c r="E714" s="8" t="inlineStr">
        <is>
          <t>PRD-0021</t>
        </is>
      </c>
      <c r="F714" s="8" t="inlineStr">
        <is>
          <t>1</t>
        </is>
      </c>
      <c r="G714" s="9" t="n">
        <v>41.09</v>
      </c>
      <c r="H714" s="8" t="inlineStr">
        <is>
          <t>0.15</t>
        </is>
      </c>
      <c r="I714" s="8" t="inlineStr">
        <is>
          <t>Express Air</t>
        </is>
      </c>
      <c r="J714" s="8" t="inlineStr">
        <is>
          <t>B2B Portal</t>
        </is>
      </c>
      <c r="K714" s="8" t="inlineStr">
        <is>
          <t>REG-NA</t>
        </is>
      </c>
    </row>
    <row r="715">
      <c r="A715" s="8" t="inlineStr">
        <is>
          <t>ORD-000359</t>
        </is>
      </c>
      <c r="B715" s="8" t="inlineStr">
        <is>
          <t>2025-08-15</t>
        </is>
      </c>
      <c r="C715" s="8" t="inlineStr">
        <is>
          <t>CUST-03675</t>
        </is>
      </c>
      <c r="D715" s="8" t="inlineStr">
        <is>
          <t>Frank Rivera</t>
        </is>
      </c>
      <c r="E715" s="8" t="inlineStr">
        <is>
          <t>PRD-0236</t>
        </is>
      </c>
      <c r="F715" s="8" t="inlineStr">
        <is>
          <t>1</t>
        </is>
      </c>
      <c r="G715" s="9" t="n">
        <v>128.74</v>
      </c>
      <c r="H715" s="8" t="inlineStr">
        <is>
          <t>0.0</t>
        </is>
      </c>
      <c r="I715" s="8" t="inlineStr">
        <is>
          <t>Express Air</t>
        </is>
      </c>
      <c r="J715" s="8" t="inlineStr">
        <is>
          <t>B2B Portal</t>
        </is>
      </c>
      <c r="K715" s="8" t="inlineStr">
        <is>
          <t>REG-NA</t>
        </is>
      </c>
    </row>
    <row r="716">
      <c r="A716" s="8" t="inlineStr">
        <is>
          <t>ORD-000360</t>
        </is>
      </c>
      <c r="B716" s="8" t="inlineStr">
        <is>
          <t>2025-05-23</t>
        </is>
      </c>
      <c r="C716" s="8" t="inlineStr">
        <is>
          <t>CUST-00207</t>
        </is>
      </c>
      <c r="D716" s="8" t="inlineStr">
        <is>
          <t>Barbara Alvarez</t>
        </is>
      </c>
      <c r="E716" s="8" t="inlineStr">
        <is>
          <t>PRD-0496</t>
        </is>
      </c>
      <c r="F716" s="8" t="inlineStr">
        <is>
          <t>2</t>
        </is>
      </c>
      <c r="G716" s="9" t="n">
        <v>555.47</v>
      </c>
      <c r="H716" s="8" t="inlineStr">
        <is>
          <t>0.15</t>
        </is>
      </c>
      <c r="I716" s="8" t="inlineStr">
        <is>
          <t>Standard Ground</t>
        </is>
      </c>
      <c r="J716" s="8" t="inlineStr">
        <is>
          <t>Mobile App</t>
        </is>
      </c>
      <c r="K716" s="8" t="inlineStr">
        <is>
          <t>REG-EU</t>
        </is>
      </c>
    </row>
    <row r="717">
      <c r="A717" s="8" t="inlineStr">
        <is>
          <t>ORD-000361</t>
        </is>
      </c>
      <c r="B717" s="8" t="inlineStr">
        <is>
          <t>2023-12-04</t>
        </is>
      </c>
      <c r="C717" s="8" t="inlineStr">
        <is>
          <t>CUST-02532</t>
        </is>
      </c>
      <c r="D717" s="8" t="inlineStr">
        <is>
          <t>Kathleen Long</t>
        </is>
      </c>
      <c r="E717" s="8" t="inlineStr">
        <is>
          <t>PRD-0253</t>
        </is>
      </c>
      <c r="F717" s="8" t="inlineStr">
        <is>
          <t>10</t>
        </is>
      </c>
      <c r="G717" s="9" t="n">
        <v>514.9400000000001</v>
      </c>
      <c r="H717" s="8" t="inlineStr">
        <is>
          <t>0.15</t>
        </is>
      </c>
      <c r="I717" s="8" t="inlineStr">
        <is>
          <t>Standard Ground</t>
        </is>
      </c>
      <c r="J717" s="8" t="inlineStr">
        <is>
          <t>B2B Portal</t>
        </is>
      </c>
      <c r="K717" s="8" t="inlineStr">
        <is>
          <t>REG-APAC</t>
        </is>
      </c>
    </row>
    <row r="718">
      <c r="A718" s="8" t="inlineStr">
        <is>
          <t>ORD-000362</t>
        </is>
      </c>
      <c r="B718" s="8" t="inlineStr">
        <is>
          <t>2024-12-31</t>
        </is>
      </c>
      <c r="C718" s="8" t="inlineStr">
        <is>
          <t>CUST-04251</t>
        </is>
      </c>
      <c r="D718" s="8" t="inlineStr">
        <is>
          <t>Elizabeth Morgan</t>
        </is>
      </c>
      <c r="E718" s="8" t="inlineStr">
        <is>
          <t>PRD-0390</t>
        </is>
      </c>
      <c r="F718" s="8" t="inlineStr">
        <is>
          <t>1</t>
        </is>
      </c>
      <c r="G718" s="9" t="n">
        <v>260.6</v>
      </c>
      <c r="H718" s="8" t="inlineStr">
        <is>
          <t>0.05</t>
        </is>
      </c>
      <c r="I718" s="8" t="inlineStr">
        <is>
          <t>Standard Ground</t>
        </is>
      </c>
      <c r="J718" s="8" t="inlineStr">
        <is>
          <t>Mobile App</t>
        </is>
      </c>
      <c r="K718" s="8" t="inlineStr">
        <is>
          <t>REG-NA</t>
        </is>
      </c>
    </row>
    <row r="719">
      <c r="A719" s="8" t="inlineStr">
        <is>
          <t>ORD-000363</t>
        </is>
      </c>
      <c r="B719" s="8" t="inlineStr">
        <is>
          <t>2024-11-10</t>
        </is>
      </c>
      <c r="C719" s="8" t="inlineStr">
        <is>
          <t>CUST-04698</t>
        </is>
      </c>
      <c r="D719" s="8" t="inlineStr">
        <is>
          <t>George Campbell</t>
        </is>
      </c>
      <c r="E719" s="8" t="inlineStr">
        <is>
          <t>PRD-0035</t>
        </is>
      </c>
      <c r="F719" s="8" t="inlineStr">
        <is>
          <t>2</t>
        </is>
      </c>
      <c r="G719" s="9" t="n">
        <v>584.6799999999999</v>
      </c>
      <c r="H719" s="8" t="inlineStr">
        <is>
          <t>0.0</t>
        </is>
      </c>
      <c r="I719" s="8" t="inlineStr">
        <is>
          <t>Standard Ground</t>
        </is>
      </c>
      <c r="J719" s="8" t="inlineStr">
        <is>
          <t>Mobile App</t>
        </is>
      </c>
      <c r="K719" s="8" t="inlineStr">
        <is>
          <t>REG-NA</t>
        </is>
      </c>
    </row>
    <row r="720">
      <c r="A720" s="8" t="inlineStr">
        <is>
          <t>ORD-000364</t>
        </is>
      </c>
      <c r="B720" s="8" t="inlineStr">
        <is>
          <t>2025-09-16</t>
        </is>
      </c>
      <c r="C720" s="8" t="inlineStr">
        <is>
          <t>CUST-02551</t>
        </is>
      </c>
      <c r="D720" s="8" t="inlineStr">
        <is>
          <t>Justin Hall</t>
        </is>
      </c>
      <c r="E720" s="8" t="inlineStr">
        <is>
          <t>PRD-0171</t>
        </is>
      </c>
      <c r="F720" s="8" t="inlineStr">
        <is>
          <t>4</t>
        </is>
      </c>
      <c r="G720" s="9" t="n">
        <v>143.61</v>
      </c>
      <c r="H720" s="8" t="inlineStr">
        <is>
          <t>0.25</t>
        </is>
      </c>
      <c r="I720" s="8" t="inlineStr">
        <is>
          <t>Express Air</t>
        </is>
      </c>
      <c r="J720" s="8" t="inlineStr">
        <is>
          <t>Direct Web</t>
        </is>
      </c>
      <c r="K720" s="8" t="inlineStr">
        <is>
          <t>REG-APAC</t>
        </is>
      </c>
    </row>
    <row r="721">
      <c r="A721" s="8" t="inlineStr">
        <is>
          <t>ORD-000365</t>
        </is>
      </c>
      <c r="B721" s="8" t="inlineStr">
        <is>
          <t>2025-08-31</t>
        </is>
      </c>
      <c r="C721" s="8" t="inlineStr">
        <is>
          <t>CUST-00692</t>
        </is>
      </c>
      <c r="D721" s="8" t="inlineStr">
        <is>
          <t>David Parker</t>
        </is>
      </c>
      <c r="E721" s="8" t="inlineStr">
        <is>
          <t>PRD-0148</t>
        </is>
      </c>
      <c r="F721" s="8" t="inlineStr">
        <is>
          <t>2</t>
        </is>
      </c>
      <c r="G721" s="9" t="n">
        <v>641.47</v>
      </c>
      <c r="H721" s="8" t="inlineStr">
        <is>
          <t>0.1</t>
        </is>
      </c>
      <c r="I721" s="8" t="inlineStr">
        <is>
          <t>Standard Ground</t>
        </is>
      </c>
      <c r="J721" s="8" t="inlineStr">
        <is>
          <t>Direct Web</t>
        </is>
      </c>
      <c r="K721" s="8" t="inlineStr">
        <is>
          <t>REG-NA</t>
        </is>
      </c>
    </row>
    <row r="722">
      <c r="A722" s="8" t="inlineStr">
        <is>
          <t>ORD-000366</t>
        </is>
      </c>
      <c r="B722" s="8" t="inlineStr">
        <is>
          <t>2024-01-07</t>
        </is>
      </c>
      <c r="C722" s="8" t="inlineStr">
        <is>
          <t>CUST-00701</t>
        </is>
      </c>
      <c r="D722" s="8" t="inlineStr">
        <is>
          <t>Dennis Phillips</t>
        </is>
      </c>
      <c r="E722" s="8" t="inlineStr">
        <is>
          <t>PRD-0420</t>
        </is>
      </c>
      <c r="F722" s="8" t="inlineStr">
        <is>
          <t>5</t>
        </is>
      </c>
      <c r="G722" s="9" t="n">
        <v>923.98</v>
      </c>
      <c r="H722" s="8" t="inlineStr">
        <is>
          <t>0.0</t>
        </is>
      </c>
      <c r="I722" s="8" t="inlineStr">
        <is>
          <t>Freight</t>
        </is>
      </c>
      <c r="J722" s="8" t="inlineStr">
        <is>
          <t>Mobile App</t>
        </is>
      </c>
      <c r="K722" s="8" t="inlineStr">
        <is>
          <t>REG-NA</t>
        </is>
      </c>
    </row>
    <row r="723">
      <c r="A723" s="8" t="inlineStr">
        <is>
          <t>ORD-000367</t>
        </is>
      </c>
      <c r="B723" s="8" t="inlineStr">
        <is>
          <t>2025-11-08</t>
        </is>
      </c>
      <c r="C723" s="8" t="inlineStr">
        <is>
          <t>CUST-01153</t>
        </is>
      </c>
      <c r="D723" s="8" t="inlineStr">
        <is>
          <t>Melissa White</t>
        </is>
      </c>
      <c r="E723" s="8" t="inlineStr">
        <is>
          <t>PRD-0099</t>
        </is>
      </c>
      <c r="F723" s="8" t="inlineStr">
        <is>
          <t>1</t>
        </is>
      </c>
      <c r="G723" s="9" t="n">
        <v>201.48</v>
      </c>
      <c r="H723" s="8" t="inlineStr">
        <is>
          <t>0.0</t>
        </is>
      </c>
      <c r="I723" s="8" t="inlineStr">
        <is>
          <t>Express Air</t>
        </is>
      </c>
      <c r="J723" s="8" t="inlineStr">
        <is>
          <t>Mobile App</t>
        </is>
      </c>
      <c r="K723" s="8" t="inlineStr">
        <is>
          <t>REG-EU</t>
        </is>
      </c>
    </row>
    <row r="724">
      <c r="A724" s="8" t="inlineStr">
        <is>
          <t>ORD-000367</t>
        </is>
      </c>
      <c r="B724" s="8" t="inlineStr">
        <is>
          <t>2025-11-08</t>
        </is>
      </c>
      <c r="C724" s="8" t="inlineStr">
        <is>
          <t>CUST-01153</t>
        </is>
      </c>
      <c r="D724" s="8" t="inlineStr">
        <is>
          <t>Melissa White</t>
        </is>
      </c>
      <c r="E724" s="8" t="inlineStr">
        <is>
          <t>PRD-0273</t>
        </is>
      </c>
      <c r="F724" s="8" t="inlineStr">
        <is>
          <t>3</t>
        </is>
      </c>
      <c r="G724" s="9" t="n">
        <v>19.23</v>
      </c>
      <c r="H724" s="8" t="inlineStr">
        <is>
          <t>0.1</t>
        </is>
      </c>
      <c r="I724" s="8" t="inlineStr">
        <is>
          <t>Express Air</t>
        </is>
      </c>
      <c r="J724" s="8" t="inlineStr">
        <is>
          <t>Mobile App</t>
        </is>
      </c>
      <c r="K724" s="8" t="inlineStr">
        <is>
          <t>REG-EU</t>
        </is>
      </c>
    </row>
    <row r="725">
      <c r="A725" s="8" t="inlineStr">
        <is>
          <t>ORD-000368</t>
        </is>
      </c>
      <c r="B725" s="8" t="inlineStr">
        <is>
          <t>2024-12-09</t>
        </is>
      </c>
      <c r="C725" s="8" t="inlineStr">
        <is>
          <t>CUST-05176</t>
        </is>
      </c>
      <c r="D725" s="8" t="inlineStr">
        <is>
          <t>Nicholas Lee</t>
        </is>
      </c>
      <c r="E725" s="8" t="inlineStr">
        <is>
          <t>PRD-0020</t>
        </is>
      </c>
      <c r="F725" s="8" t="inlineStr">
        <is>
          <t>1</t>
        </is>
      </c>
      <c r="G725" s="9" t="n">
        <v>22.42</v>
      </c>
      <c r="H725" s="8" t="inlineStr">
        <is>
          <t>0.0</t>
        </is>
      </c>
      <c r="I725" s="8" t="inlineStr">
        <is>
          <t>Standard Ground</t>
        </is>
      </c>
      <c r="J725" s="8" t="inlineStr">
        <is>
          <t>B2B Portal</t>
        </is>
      </c>
      <c r="K725" s="8" t="inlineStr">
        <is>
          <t>REG-APAC</t>
        </is>
      </c>
    </row>
    <row r="726">
      <c r="A726" s="8" t="inlineStr">
        <is>
          <t>ORD-000369</t>
        </is>
      </c>
      <c r="B726" s="8" t="inlineStr">
        <is>
          <t>2024-08-28</t>
        </is>
      </c>
      <c r="C726" s="8" t="inlineStr">
        <is>
          <t>CUST-06522</t>
        </is>
      </c>
      <c r="D726" s="8" t="inlineStr">
        <is>
          <t>Nicole Hernandez</t>
        </is>
      </c>
      <c r="E726" s="8" t="inlineStr">
        <is>
          <t>PRD-0099</t>
        </is>
      </c>
      <c r="F726" s="8" t="inlineStr">
        <is>
          <t>1</t>
        </is>
      </c>
      <c r="G726" s="9" t="n">
        <v>201.48</v>
      </c>
      <c r="H726" s="8" t="inlineStr">
        <is>
          <t>0.1</t>
        </is>
      </c>
      <c r="I726" s="8" t="inlineStr">
        <is>
          <t>Express Air</t>
        </is>
      </c>
      <c r="J726" s="8" t="inlineStr">
        <is>
          <t>Direct Web</t>
        </is>
      </c>
      <c r="K726" s="8" t="inlineStr">
        <is>
          <t>REG-EU</t>
        </is>
      </c>
    </row>
    <row r="727">
      <c r="A727" s="8" t="inlineStr">
        <is>
          <t>ORD-000370</t>
        </is>
      </c>
      <c r="B727" s="8" t="inlineStr">
        <is>
          <t>2024-11-30</t>
        </is>
      </c>
      <c r="C727" s="8" t="inlineStr">
        <is>
          <t>CUST-05884</t>
        </is>
      </c>
      <c r="D727" s="8" t="inlineStr">
        <is>
          <t>Emma Jackson</t>
        </is>
      </c>
      <c r="E727" s="8" t="inlineStr">
        <is>
          <t>PRD-0454</t>
        </is>
      </c>
      <c r="F727" s="8" t="inlineStr">
        <is>
          <t>1</t>
        </is>
      </c>
      <c r="G727" s="9" t="n">
        <v>745.9400000000001</v>
      </c>
      <c r="H727" s="8" t="inlineStr">
        <is>
          <t>0.0</t>
        </is>
      </c>
      <c r="I727" s="8" t="inlineStr">
        <is>
          <t>Express Air</t>
        </is>
      </c>
      <c r="J727" s="8" t="inlineStr">
        <is>
          <t>Affiliate Partner</t>
        </is>
      </c>
      <c r="K727" s="8" t="inlineStr">
        <is>
          <t>REG-NA</t>
        </is>
      </c>
    </row>
    <row r="728">
      <c r="A728" s="8" t="inlineStr">
        <is>
          <t>ORD-000370</t>
        </is>
      </c>
      <c r="B728" s="8" t="inlineStr">
        <is>
          <t>2024-11-30</t>
        </is>
      </c>
      <c r="C728" s="8" t="inlineStr">
        <is>
          <t>CUST-05884</t>
        </is>
      </c>
      <c r="D728" s="8" t="inlineStr">
        <is>
          <t>Emma Jackson</t>
        </is>
      </c>
      <c r="E728" s="8" t="inlineStr">
        <is>
          <t>PRD-0037</t>
        </is>
      </c>
      <c r="F728" s="8" t="inlineStr">
        <is>
          <t>1</t>
        </is>
      </c>
      <c r="G728" s="9" t="n">
        <v>499.93</v>
      </c>
      <c r="H728" s="8" t="inlineStr">
        <is>
          <t>0.0</t>
        </is>
      </c>
      <c r="I728" s="8" t="inlineStr">
        <is>
          <t>Express Air</t>
        </is>
      </c>
      <c r="J728" s="8" t="inlineStr">
        <is>
          <t>Affiliate Partner</t>
        </is>
      </c>
      <c r="K728" s="8" t="inlineStr">
        <is>
          <t>REG-NA</t>
        </is>
      </c>
    </row>
    <row r="729">
      <c r="A729" s="8" t="inlineStr">
        <is>
          <t>ORD-000370</t>
        </is>
      </c>
      <c r="B729" s="8" t="inlineStr">
        <is>
          <t>2024-11-30</t>
        </is>
      </c>
      <c r="C729" s="8" t="inlineStr">
        <is>
          <t>CUST-05884</t>
        </is>
      </c>
      <c r="D729" s="8" t="inlineStr">
        <is>
          <t>Emma Jackson</t>
        </is>
      </c>
      <c r="E729" s="8" t="inlineStr">
        <is>
          <t>PRD-0310</t>
        </is>
      </c>
      <c r="F729" s="8" t="inlineStr">
        <is>
          <t>1</t>
        </is>
      </c>
      <c r="G729" s="9" t="n">
        <v>51.6</v>
      </c>
      <c r="H729" s="8" t="inlineStr">
        <is>
          <t>0.1</t>
        </is>
      </c>
      <c r="I729" s="8" t="inlineStr">
        <is>
          <t>Express Air</t>
        </is>
      </c>
      <c r="J729" s="8" t="inlineStr">
        <is>
          <t>Affiliate Partner</t>
        </is>
      </c>
      <c r="K729" s="8" t="inlineStr">
        <is>
          <t>REG-NA</t>
        </is>
      </c>
    </row>
    <row r="730">
      <c r="A730" s="8" t="inlineStr">
        <is>
          <t>ORD-000371</t>
        </is>
      </c>
      <c r="B730" s="8" t="inlineStr">
        <is>
          <t>02-04-2025</t>
        </is>
      </c>
      <c r="C730" s="8" t="inlineStr">
        <is>
          <t>CUST-05008</t>
        </is>
      </c>
      <c r="D730" s="8" t="inlineStr">
        <is>
          <t>Katherine Green</t>
        </is>
      </c>
      <c r="E730" s="8" t="inlineStr">
        <is>
          <t>PRD-0330</t>
        </is>
      </c>
      <c r="F730" s="8" t="inlineStr">
        <is>
          <t>2</t>
        </is>
      </c>
      <c r="G730" s="9" t="n">
        <v>36.63</v>
      </c>
      <c r="H730" s="8" t="inlineStr">
        <is>
          <t>0.05</t>
        </is>
      </c>
      <c r="I730" s="8" t="inlineStr">
        <is>
          <t>Same-Day Priority</t>
        </is>
      </c>
      <c r="J730" s="8" t="inlineStr">
        <is>
          <t>Mobile App</t>
        </is>
      </c>
      <c r="K730" s="8" t="inlineStr">
        <is>
          <t>REG-NA</t>
        </is>
      </c>
    </row>
    <row r="731">
      <c r="A731" s="8" t="inlineStr">
        <is>
          <t>ORD-000371</t>
        </is>
      </c>
      <c r="B731" s="8" t="inlineStr">
        <is>
          <t>02-04-2025</t>
        </is>
      </c>
      <c r="C731" s="8" t="inlineStr">
        <is>
          <t>CUST-05008</t>
        </is>
      </c>
      <c r="D731" s="8" t="inlineStr">
        <is>
          <t>Katherine Green</t>
        </is>
      </c>
      <c r="E731" s="8" t="inlineStr">
        <is>
          <t>PRD-0065</t>
        </is>
      </c>
      <c r="F731" s="8" t="inlineStr">
        <is>
          <t>1</t>
        </is>
      </c>
      <c r="G731" s="9" t="n">
        <v>184.25</v>
      </c>
      <c r="H731" s="8" t="inlineStr">
        <is>
          <t>0.05</t>
        </is>
      </c>
      <c r="I731" s="8" t="inlineStr">
        <is>
          <t>Same-Day Priority</t>
        </is>
      </c>
      <c r="J731" s="8" t="inlineStr">
        <is>
          <t>Mobile App</t>
        </is>
      </c>
      <c r="K731" s="8" t="inlineStr">
        <is>
          <t>REG-NA</t>
        </is>
      </c>
    </row>
    <row r="732">
      <c r="A732" s="8" t="inlineStr">
        <is>
          <t>ORD-000371</t>
        </is>
      </c>
      <c r="B732" s="8" t="inlineStr">
        <is>
          <t>02-04-2025</t>
        </is>
      </c>
      <c r="C732" s="8" t="inlineStr">
        <is>
          <t>CUST-05008</t>
        </is>
      </c>
      <c r="D732" s="8" t="inlineStr">
        <is>
          <t>Katherine Green</t>
        </is>
      </c>
      <c r="E732" s="8" t="inlineStr">
        <is>
          <t>PRD-0224</t>
        </is>
      </c>
      <c r="F732" s="8" t="inlineStr">
        <is>
          <t>1</t>
        </is>
      </c>
      <c r="G732" s="9" t="n">
        <v>60.54</v>
      </c>
      <c r="H732" s="8" t="inlineStr">
        <is>
          <t>0.0</t>
        </is>
      </c>
      <c r="I732" s="8" t="inlineStr">
        <is>
          <t>Same-Day Priority</t>
        </is>
      </c>
      <c r="J732" s="8" t="inlineStr">
        <is>
          <t>Mobile App</t>
        </is>
      </c>
      <c r="K732" s="8" t="inlineStr">
        <is>
          <t>REG-NA</t>
        </is>
      </c>
    </row>
    <row r="733">
      <c r="A733" s="8" t="inlineStr">
        <is>
          <t>ORD-000372</t>
        </is>
      </c>
      <c r="B733" s="8" t="inlineStr">
        <is>
          <t>2023-01-26</t>
        </is>
      </c>
      <c r="C733" s="8" t="inlineStr">
        <is>
          <t>CUST-05392</t>
        </is>
      </c>
      <c r="D733" s="8" t="inlineStr">
        <is>
          <t>Scott Ross</t>
        </is>
      </c>
      <c r="E733" s="8" t="inlineStr">
        <is>
          <t>PRD-0331</t>
        </is>
      </c>
      <c r="F733" s="8" t="inlineStr">
        <is>
          <t>1</t>
        </is>
      </c>
      <c r="G733" s="9" t="n">
        <v>1076.14</v>
      </c>
      <c r="H733" s="8" t="inlineStr">
        <is>
          <t>0.05</t>
        </is>
      </c>
      <c r="I733" s="8" t="inlineStr">
        <is>
          <t>Standard Ground</t>
        </is>
      </c>
      <c r="J733" s="8" t="inlineStr">
        <is>
          <t>Direct Web</t>
        </is>
      </c>
      <c r="K733" s="8" t="inlineStr">
        <is>
          <t>REG-LATAM</t>
        </is>
      </c>
    </row>
    <row r="734">
      <c r="A734" s="8" t="inlineStr">
        <is>
          <t>ORD-000372</t>
        </is>
      </c>
      <c r="B734" s="8" t="inlineStr">
        <is>
          <t>2023-01-26</t>
        </is>
      </c>
      <c r="C734" s="8" t="inlineStr">
        <is>
          <t>CUST-05392</t>
        </is>
      </c>
      <c r="D734" s="8" t="inlineStr">
        <is>
          <t>Scott Ross</t>
        </is>
      </c>
      <c r="E734" s="8" t="inlineStr">
        <is>
          <t>PRD-0224</t>
        </is>
      </c>
      <c r="F734" s="8" t="inlineStr">
        <is>
          <t>1</t>
        </is>
      </c>
      <c r="G734" s="9" t="n">
        <v>60.54</v>
      </c>
      <c r="H734" s="8" t="inlineStr">
        <is>
          <t>0.0</t>
        </is>
      </c>
      <c r="I734" s="8" t="inlineStr">
        <is>
          <t>Standard Ground</t>
        </is>
      </c>
      <c r="J734" s="8" t="inlineStr">
        <is>
          <t>Direct Web</t>
        </is>
      </c>
      <c r="K734" s="8" t="inlineStr">
        <is>
          <t>REG-LATAM</t>
        </is>
      </c>
    </row>
    <row r="735">
      <c r="A735" s="8" t="inlineStr">
        <is>
          <t>ORD-000373</t>
        </is>
      </c>
      <c r="B735" s="8" t="inlineStr">
        <is>
          <t>2024-12-18</t>
        </is>
      </c>
      <c r="C735" s="8" t="inlineStr">
        <is>
          <t>CUST-02996</t>
        </is>
      </c>
      <c r="D735" s="8" t="inlineStr">
        <is>
          <t>Dennis Wood</t>
        </is>
      </c>
      <c r="E735" s="8" t="inlineStr">
        <is>
          <t>PRD-0383</t>
        </is>
      </c>
      <c r="F735" s="8" t="inlineStr">
        <is>
          <t>2</t>
        </is>
      </c>
      <c r="G735" s="9" t="n">
        <v>752.8099999999999</v>
      </c>
      <c r="H735" s="8" t="inlineStr">
        <is>
          <t>0.0</t>
        </is>
      </c>
      <c r="I735" s="8" t="inlineStr">
        <is>
          <t>Standard Ground</t>
        </is>
      </c>
      <c r="J735" s="8" t="inlineStr">
        <is>
          <t>Affiliate Partner</t>
        </is>
      </c>
      <c r="K735" s="8" t="inlineStr">
        <is>
          <t>REG-NA</t>
        </is>
      </c>
    </row>
    <row r="736">
      <c r="A736" s="8" t="inlineStr">
        <is>
          <t>ORD-000373</t>
        </is>
      </c>
      <c r="B736" s="8" t="inlineStr">
        <is>
          <t>2024-12-18</t>
        </is>
      </c>
      <c r="C736" s="8" t="inlineStr">
        <is>
          <t>CUST-02996</t>
        </is>
      </c>
      <c r="D736" s="8" t="inlineStr">
        <is>
          <t>Dennis Wood</t>
        </is>
      </c>
      <c r="E736" s="8" t="inlineStr">
        <is>
          <t>PRD-0448</t>
        </is>
      </c>
      <c r="F736" s="8" t="inlineStr">
        <is>
          <t>1</t>
        </is>
      </c>
      <c r="G736" s="9" t="n">
        <v>338.65</v>
      </c>
      <c r="H736" s="8" t="inlineStr">
        <is>
          <t>0.15</t>
        </is>
      </c>
      <c r="I736" s="8" t="inlineStr">
        <is>
          <t>Standard Ground</t>
        </is>
      </c>
      <c r="J736" s="8" t="inlineStr">
        <is>
          <t>Affiliate Partner</t>
        </is>
      </c>
      <c r="K736" s="8" t="inlineStr">
        <is>
          <t>REG-NA</t>
        </is>
      </c>
    </row>
    <row r="737">
      <c r="A737" s="8" t="inlineStr">
        <is>
          <t>ORD-000373</t>
        </is>
      </c>
      <c r="B737" s="8" t="inlineStr">
        <is>
          <t>2024-12-18</t>
        </is>
      </c>
      <c r="C737" s="8" t="inlineStr">
        <is>
          <t>CUST-02996</t>
        </is>
      </c>
      <c r="D737" s="8" t="inlineStr">
        <is>
          <t>Dennis Wood</t>
        </is>
      </c>
      <c r="E737" s="8" t="inlineStr">
        <is>
          <t>PRD-0054</t>
        </is>
      </c>
      <c r="F737" s="8" t="inlineStr">
        <is>
          <t>3</t>
        </is>
      </c>
      <c r="G737" s="9" t="n">
        <v>873.8</v>
      </c>
      <c r="H737" s="8" t="inlineStr">
        <is>
          <t>0.0</t>
        </is>
      </c>
      <c r="I737" s="8" t="inlineStr">
        <is>
          <t>Standard Ground</t>
        </is>
      </c>
      <c r="J737" s="8" t="inlineStr">
        <is>
          <t>Affiliate Partner</t>
        </is>
      </c>
      <c r="K737" s="8" t="inlineStr">
        <is>
          <t>REG-NA</t>
        </is>
      </c>
    </row>
    <row r="738">
      <c r="A738" s="8" t="inlineStr">
        <is>
          <t>ORD-000374</t>
        </is>
      </c>
      <c r="B738" s="8" t="inlineStr">
        <is>
          <t>2025-10-30</t>
        </is>
      </c>
      <c r="C738" s="8" t="inlineStr">
        <is>
          <t>CUST-04541</t>
        </is>
      </c>
      <c r="D738" s="8" t="inlineStr">
        <is>
          <t>Richard Ramos</t>
        </is>
      </c>
      <c r="E738" s="8" t="inlineStr">
        <is>
          <t>PRD-0376</t>
        </is>
      </c>
      <c r="F738" s="8" t="inlineStr">
        <is>
          <t>3</t>
        </is>
      </c>
      <c r="G738" s="9" t="n">
        <v>219.88</v>
      </c>
      <c r="H738" s="8" t="inlineStr">
        <is>
          <t>0.15</t>
        </is>
      </c>
      <c r="I738" s="8" t="inlineStr">
        <is>
          <t>Standard Ground</t>
        </is>
      </c>
      <c r="J738" s="8" t="inlineStr">
        <is>
          <t>Mobile App</t>
        </is>
      </c>
      <c r="K738" s="8" t="inlineStr">
        <is>
          <t>REG-EU</t>
        </is>
      </c>
    </row>
    <row r="739">
      <c r="A739" s="8" t="inlineStr">
        <is>
          <t>ORD-000375</t>
        </is>
      </c>
      <c r="B739" s="8" t="inlineStr">
        <is>
          <t>2023-04-01</t>
        </is>
      </c>
      <c r="C739" s="8" t="inlineStr">
        <is>
          <t>CUST-01163</t>
        </is>
      </c>
      <c r="D739" s="8" t="inlineStr">
        <is>
          <t>Ronald Taylor</t>
        </is>
      </c>
      <c r="E739" s="8" t="inlineStr">
        <is>
          <t>PRD-0398</t>
        </is>
      </c>
      <c r="F739" s="8" t="inlineStr">
        <is>
          <t>1</t>
        </is>
      </c>
      <c r="G739" s="9" t="n">
        <v>28.76</v>
      </c>
      <c r="H739" s="8" t="inlineStr">
        <is>
          <t>0.1</t>
        </is>
      </c>
      <c r="I739" s="8" t="inlineStr">
        <is>
          <t>Standard Ground</t>
        </is>
      </c>
      <c r="J739" s="8" t="inlineStr">
        <is>
          <t>Mobile App</t>
        </is>
      </c>
      <c r="K739" s="8" t="inlineStr">
        <is>
          <t>REG-APAC</t>
        </is>
      </c>
    </row>
    <row r="740">
      <c r="A740" s="8" t="inlineStr">
        <is>
          <t>ORD-000375</t>
        </is>
      </c>
      <c r="B740" s="8" t="inlineStr">
        <is>
          <t>2023-04-01</t>
        </is>
      </c>
      <c r="C740" s="8" t="inlineStr">
        <is>
          <t>CUST-01163</t>
        </is>
      </c>
      <c r="D740" s="8" t="inlineStr">
        <is>
          <t>Ronald Taylor</t>
        </is>
      </c>
      <c r="E740" s="8" t="inlineStr">
        <is>
          <t>PRD-0219</t>
        </is>
      </c>
      <c r="F740" s="8" t="inlineStr">
        <is>
          <t>1</t>
        </is>
      </c>
      <c r="G740" s="9" t="n">
        <v>20.51</v>
      </c>
      <c r="H740" s="8" t="inlineStr">
        <is>
          <t>0.0</t>
        </is>
      </c>
      <c r="I740" s="8" t="inlineStr">
        <is>
          <t>Standard Ground</t>
        </is>
      </c>
      <c r="J740" s="8" t="inlineStr">
        <is>
          <t>Mobile App</t>
        </is>
      </c>
      <c r="K740" s="8" t="inlineStr">
        <is>
          <t>REG-APAC</t>
        </is>
      </c>
    </row>
    <row r="741">
      <c r="A741" s="8" t="inlineStr">
        <is>
          <t>ORD-000376</t>
        </is>
      </c>
      <c r="B741" s="8" t="inlineStr">
        <is>
          <t>2025-08-17</t>
        </is>
      </c>
      <c r="C741" s="8" t="inlineStr">
        <is>
          <t>CUST-04168</t>
        </is>
      </c>
      <c r="D741" s="8" t="inlineStr">
        <is>
          <t>William Cox</t>
        </is>
      </c>
      <c r="E741" s="8" t="inlineStr">
        <is>
          <t>PRD-0497</t>
        </is>
      </c>
      <c r="F741" s="8" t="inlineStr">
        <is>
          <t>2</t>
        </is>
      </c>
      <c r="G741" s="9" t="n">
        <v>620.15</v>
      </c>
      <c r="H741" s="8" t="inlineStr">
        <is>
          <t>0.15</t>
        </is>
      </c>
      <c r="I741" s="8" t="inlineStr">
        <is>
          <t>Standard Ground</t>
        </is>
      </c>
      <c r="J741" s="8" t="inlineStr">
        <is>
          <t>Direct Web</t>
        </is>
      </c>
      <c r="K741" s="8" t="inlineStr">
        <is>
          <t>REG-NA</t>
        </is>
      </c>
    </row>
    <row r="742">
      <c r="A742" s="8" t="inlineStr">
        <is>
          <t>ORD-000376</t>
        </is>
      </c>
      <c r="B742" s="8" t="inlineStr">
        <is>
          <t>2025-08-17</t>
        </is>
      </c>
      <c r="C742" s="8" t="inlineStr">
        <is>
          <t>CUST-04168</t>
        </is>
      </c>
      <c r="D742" s="8" t="inlineStr">
        <is>
          <t>William Cox</t>
        </is>
      </c>
      <c r="E742" s="8" t="inlineStr">
        <is>
          <t>PRD-0401</t>
        </is>
      </c>
      <c r="F742" s="8" t="inlineStr">
        <is>
          <t>1</t>
        </is>
      </c>
      <c r="G742" s="9" t="n">
        <v>57.89</v>
      </c>
      <c r="H742" s="8" t="inlineStr">
        <is>
          <t>0.15</t>
        </is>
      </c>
      <c r="I742" s="8" t="inlineStr">
        <is>
          <t>Standard Ground</t>
        </is>
      </c>
      <c r="J742" s="8" t="inlineStr">
        <is>
          <t>Direct Web</t>
        </is>
      </c>
      <c r="K742" s="8" t="inlineStr">
        <is>
          <t>REG-NA</t>
        </is>
      </c>
    </row>
    <row r="743">
      <c r="A743" s="8" t="inlineStr">
        <is>
          <t>ORD-000376</t>
        </is>
      </c>
      <c r="B743" s="8" t="inlineStr">
        <is>
          <t>2025-08-17</t>
        </is>
      </c>
      <c r="C743" s="8" t="inlineStr">
        <is>
          <t>CUST-04168</t>
        </is>
      </c>
      <c r="D743" s="8" t="inlineStr">
        <is>
          <t>William Cox</t>
        </is>
      </c>
      <c r="E743" s="8" t="inlineStr">
        <is>
          <t>PRD-0165</t>
        </is>
      </c>
      <c r="F743" s="8" t="inlineStr">
        <is>
          <t>1</t>
        </is>
      </c>
      <c r="G743" s="9" t="n">
        <v>37.4</v>
      </c>
      <c r="H743" s="8" t="inlineStr">
        <is>
          <t>0.05</t>
        </is>
      </c>
      <c r="I743" s="8" t="inlineStr">
        <is>
          <t>Standard Ground</t>
        </is>
      </c>
      <c r="J743" s="8" t="inlineStr">
        <is>
          <t>Direct Web</t>
        </is>
      </c>
      <c r="K743" s="8" t="inlineStr">
        <is>
          <t>REG-NA</t>
        </is>
      </c>
    </row>
    <row r="744">
      <c r="A744" s="8" t="inlineStr">
        <is>
          <t>ORD-000377</t>
        </is>
      </c>
      <c r="B744" s="8" t="inlineStr">
        <is>
          <t>2025-06-22</t>
        </is>
      </c>
      <c r="C744" s="8" t="inlineStr">
        <is>
          <t>CUST-07747</t>
        </is>
      </c>
      <c r="D744" s="8" t="inlineStr">
        <is>
          <t>Janet Ross</t>
        </is>
      </c>
      <c r="E744" s="8" t="inlineStr">
        <is>
          <t>PRD-0284</t>
        </is>
      </c>
      <c r="F744" s="8" t="inlineStr">
        <is>
          <t>1</t>
        </is>
      </c>
      <c r="G744" s="9" t="n">
        <v>621.83</v>
      </c>
      <c r="H744" s="8" t="inlineStr">
        <is>
          <t>0.0</t>
        </is>
      </c>
      <c r="I744" s="8" t="inlineStr">
        <is>
          <t>Standard Ground</t>
        </is>
      </c>
      <c r="J744" s="8" t="inlineStr">
        <is>
          <t>Direct Web</t>
        </is>
      </c>
      <c r="K744" s="8" t="inlineStr">
        <is>
          <t>REG-NA</t>
        </is>
      </c>
    </row>
    <row r="745">
      <c r="A745" s="8" t="inlineStr">
        <is>
          <t>ORD-000378</t>
        </is>
      </c>
      <c r="B745" s="8" t="inlineStr">
        <is>
          <t>2023-12-22</t>
        </is>
      </c>
      <c r="C745" s="8" t="inlineStr">
        <is>
          <t>CUST-03291</t>
        </is>
      </c>
      <c r="D745" s="8" t="inlineStr">
        <is>
          <t>Heather Taylor</t>
        </is>
      </c>
      <c r="E745" s="8" t="inlineStr">
        <is>
          <t>PRD-0218</t>
        </is>
      </c>
      <c r="F745" s="8" t="inlineStr">
        <is>
          <t>1</t>
        </is>
      </c>
      <c r="G745" s="9" t="n">
        <v>468.61</v>
      </c>
      <c r="H745" s="8" t="inlineStr">
        <is>
          <t>0.05</t>
        </is>
      </c>
      <c r="I745" s="8" t="inlineStr">
        <is>
          <t>Standard Ground</t>
        </is>
      </c>
      <c r="J745" s="8" t="inlineStr">
        <is>
          <t>Mobile App</t>
        </is>
      </c>
      <c r="K745" s="8" t="inlineStr">
        <is>
          <t>REG-NA</t>
        </is>
      </c>
    </row>
    <row r="746">
      <c r="A746" s="8" t="inlineStr">
        <is>
          <t>ORD-000378</t>
        </is>
      </c>
      <c r="B746" s="8" t="inlineStr">
        <is>
          <t>2023-12-22</t>
        </is>
      </c>
      <c r="C746" s="8" t="inlineStr">
        <is>
          <t>CUST-03291</t>
        </is>
      </c>
      <c r="D746" s="8" t="inlineStr">
        <is>
          <t>Heather Taylor</t>
        </is>
      </c>
      <c r="E746" s="8" t="inlineStr">
        <is>
          <t>PRD-0293</t>
        </is>
      </c>
      <c r="F746" s="8" t="inlineStr">
        <is>
          <t>1</t>
        </is>
      </c>
      <c r="G746" s="9" t="n">
        <v>231.64</v>
      </c>
      <c r="H746" s="8" t="inlineStr">
        <is>
          <t>0.05</t>
        </is>
      </c>
      <c r="I746" s="8" t="inlineStr">
        <is>
          <t>Standard Ground</t>
        </is>
      </c>
      <c r="J746" s="8" t="inlineStr">
        <is>
          <t>Mobile App</t>
        </is>
      </c>
      <c r="K746" s="8" t="inlineStr">
        <is>
          <t>REG-NA</t>
        </is>
      </c>
    </row>
    <row r="747">
      <c r="A747" s="8" t="inlineStr">
        <is>
          <t>ORD-000378</t>
        </is>
      </c>
      <c r="B747" s="8" t="inlineStr">
        <is>
          <t>2023-12-22</t>
        </is>
      </c>
      <c r="C747" s="8" t="inlineStr">
        <is>
          <t>CUST-03291</t>
        </is>
      </c>
      <c r="D747" s="8" t="inlineStr">
        <is>
          <t>Heather Taylor</t>
        </is>
      </c>
      <c r="E747" s="8" t="inlineStr">
        <is>
          <t>PRD-0333</t>
        </is>
      </c>
      <c r="F747" s="8" t="inlineStr">
        <is>
          <t>1</t>
        </is>
      </c>
      <c r="G747" s="9" t="n">
        <v>71.70999999999999</v>
      </c>
      <c r="H747" s="8" t="inlineStr">
        <is>
          <t>0.1</t>
        </is>
      </c>
      <c r="I747" s="8" t="inlineStr">
        <is>
          <t>Standard Ground</t>
        </is>
      </c>
      <c r="J747" s="8" t="inlineStr">
        <is>
          <t>Mobile App</t>
        </is>
      </c>
      <c r="K747" s="8" t="inlineStr">
        <is>
          <t>REG-NA</t>
        </is>
      </c>
    </row>
    <row r="748">
      <c r="A748" s="8" t="inlineStr">
        <is>
          <t>ORD-000379</t>
        </is>
      </c>
      <c r="B748" s="8" t="inlineStr">
        <is>
          <t>2025-12-10</t>
        </is>
      </c>
      <c r="C748" s="8" t="inlineStr">
        <is>
          <t>CUST-05057</t>
        </is>
      </c>
      <c r="D748" s="8" t="inlineStr">
        <is>
          <t>Nancy Cook</t>
        </is>
      </c>
      <c r="E748" s="8" t="inlineStr">
        <is>
          <t>PRD-0280</t>
        </is>
      </c>
      <c r="F748" s="8" t="inlineStr">
        <is>
          <t>1</t>
        </is>
      </c>
      <c r="G748" s="9" t="n">
        <v>408.85</v>
      </c>
      <c r="H748" s="8" t="inlineStr">
        <is>
          <t>0.0</t>
        </is>
      </c>
      <c r="I748" s="8" t="inlineStr">
        <is>
          <t>Standard Ground</t>
        </is>
      </c>
      <c r="J748" s="8" t="inlineStr">
        <is>
          <t>Mobile App</t>
        </is>
      </c>
      <c r="K748" s="8" t="inlineStr">
        <is>
          <t>REG-NA</t>
        </is>
      </c>
    </row>
    <row r="749">
      <c r="A749" s="8" t="inlineStr">
        <is>
          <t>ORD-000379</t>
        </is>
      </c>
      <c r="B749" s="8" t="inlineStr">
        <is>
          <t>2025-12-10</t>
        </is>
      </c>
      <c r="C749" s="8" t="inlineStr">
        <is>
          <t>CUST-05057</t>
        </is>
      </c>
      <c r="D749" s="8" t="inlineStr">
        <is>
          <t>Nancy Cook</t>
        </is>
      </c>
      <c r="E749" s="8" t="inlineStr">
        <is>
          <t>PRD-0115</t>
        </is>
      </c>
      <c r="F749" s="8" t="inlineStr">
        <is>
          <t>1</t>
        </is>
      </c>
      <c r="G749" s="9" t="n">
        <v>256.68</v>
      </c>
      <c r="H749" s="8" t="inlineStr">
        <is>
          <t>0.0</t>
        </is>
      </c>
      <c r="I749" s="8" t="inlineStr">
        <is>
          <t>Standard Ground</t>
        </is>
      </c>
      <c r="J749" s="8" t="inlineStr">
        <is>
          <t>Mobile App</t>
        </is>
      </c>
      <c r="K749" s="8" t="inlineStr">
        <is>
          <t>REG-NA</t>
        </is>
      </c>
    </row>
    <row r="750">
      <c r="A750" s="8" t="inlineStr">
        <is>
          <t>ORD-000379</t>
        </is>
      </c>
      <c r="B750" s="8" t="inlineStr">
        <is>
          <t>2025-12-10</t>
        </is>
      </c>
      <c r="C750" s="8" t="inlineStr">
        <is>
          <t>CUST-05057</t>
        </is>
      </c>
      <c r="D750" s="8" t="inlineStr">
        <is>
          <t>Nancy Cook</t>
        </is>
      </c>
      <c r="E750" s="8" t="inlineStr">
        <is>
          <t>PRD-0358</t>
        </is>
      </c>
      <c r="F750" s="8" t="inlineStr">
        <is>
          <t>2</t>
        </is>
      </c>
      <c r="G750" s="9" t="n">
        <v>795.41</v>
      </c>
      <c r="H750" s="8" t="inlineStr">
        <is>
          <t>0.1</t>
        </is>
      </c>
      <c r="I750" s="8" t="inlineStr">
        <is>
          <t>Standard Ground</t>
        </is>
      </c>
      <c r="J750" s="8" t="inlineStr">
        <is>
          <t>Mobile App</t>
        </is>
      </c>
      <c r="K750" s="8" t="inlineStr">
        <is>
          <t>REG-NA</t>
        </is>
      </c>
    </row>
    <row r="751">
      <c r="A751" s="8" t="inlineStr">
        <is>
          <t>ORD-000380</t>
        </is>
      </c>
      <c r="B751" s="8" t="inlineStr">
        <is>
          <t>2023-09-24</t>
        </is>
      </c>
      <c r="C751" s="8" t="inlineStr">
        <is>
          <t>CUST-02785</t>
        </is>
      </c>
      <c r="D751" s="8" t="inlineStr">
        <is>
          <t>Mary Moore</t>
        </is>
      </c>
      <c r="E751" s="8" t="inlineStr">
        <is>
          <t>PRD-0284</t>
        </is>
      </c>
      <c r="F751" s="8" t="inlineStr">
        <is>
          <t>1</t>
        </is>
      </c>
      <c r="G751" s="9" t="n">
        <v>621.83</v>
      </c>
      <c r="H751" s="8" t="inlineStr">
        <is>
          <t>0.05</t>
        </is>
      </c>
      <c r="I751" s="8" t="inlineStr">
        <is>
          <t>Express Air</t>
        </is>
      </c>
      <c r="J751" s="8" t="inlineStr">
        <is>
          <t>Direct Web</t>
        </is>
      </c>
      <c r="K751" s="8" t="inlineStr">
        <is>
          <t>REG-LATAM</t>
        </is>
      </c>
    </row>
    <row r="752">
      <c r="A752" s="8" t="inlineStr">
        <is>
          <t>ORD-000381</t>
        </is>
      </c>
      <c r="B752" s="8" t="inlineStr">
        <is>
          <t>2024-12-26</t>
        </is>
      </c>
      <c r="C752" s="8" t="inlineStr">
        <is>
          <t>CUST-06071</t>
        </is>
      </c>
      <c r="D752" s="8" t="inlineStr">
        <is>
          <t>Kimberly Campbell</t>
        </is>
      </c>
      <c r="E752" s="8" t="inlineStr">
        <is>
          <t>PRD-0233</t>
        </is>
      </c>
      <c r="F752" s="8" t="inlineStr">
        <is>
          <t>1</t>
        </is>
      </c>
      <c r="G752" s="9" t="n">
        <v>65.61</v>
      </c>
      <c r="H752" s="8" t="inlineStr">
        <is>
          <t>0.0</t>
        </is>
      </c>
      <c r="I752" s="8" t="inlineStr">
        <is>
          <t>Standard Ground</t>
        </is>
      </c>
      <c r="J752" s="8" t="inlineStr">
        <is>
          <t>Direct Web</t>
        </is>
      </c>
      <c r="K752" s="8" t="inlineStr">
        <is>
          <t>REG-NA</t>
        </is>
      </c>
    </row>
    <row r="753">
      <c r="A753" s="8" t="inlineStr">
        <is>
          <t>ORD-000381</t>
        </is>
      </c>
      <c r="B753" s="8" t="inlineStr">
        <is>
          <t>2024-12-26</t>
        </is>
      </c>
      <c r="C753" s="8" t="inlineStr">
        <is>
          <t>CUST-06071</t>
        </is>
      </c>
      <c r="D753" s="8" t="inlineStr">
        <is>
          <t>Kimberly Campbell</t>
        </is>
      </c>
      <c r="E753" s="8" t="inlineStr">
        <is>
          <t>PRD-0041</t>
        </is>
      </c>
      <c r="F753" s="8" t="inlineStr">
        <is>
          <t>-1</t>
        </is>
      </c>
      <c r="G753" s="9" t="n">
        <v>71.67</v>
      </c>
      <c r="H753" s="8" t="inlineStr">
        <is>
          <t>0.0</t>
        </is>
      </c>
      <c r="I753" s="8" t="inlineStr">
        <is>
          <t>Standard Ground</t>
        </is>
      </c>
      <c r="J753" s="8" t="inlineStr">
        <is>
          <t>Direct Web</t>
        </is>
      </c>
      <c r="K753" s="8" t="inlineStr">
        <is>
          <t>REG-NA</t>
        </is>
      </c>
    </row>
    <row r="754">
      <c r="A754" s="8" t="inlineStr">
        <is>
          <t>ORD-000381</t>
        </is>
      </c>
      <c r="B754" s="8" t="inlineStr">
        <is>
          <t>2024-12-26</t>
        </is>
      </c>
      <c r="C754" s="8" t="inlineStr">
        <is>
          <t>CUST-06071</t>
        </is>
      </c>
      <c r="D754" s="8" t="inlineStr">
        <is>
          <t>Kimberly Campbell</t>
        </is>
      </c>
      <c r="E754" s="8" t="inlineStr">
        <is>
          <t>PRD-0438</t>
        </is>
      </c>
      <c r="F754" s="8" t="inlineStr">
        <is>
          <t>1</t>
        </is>
      </c>
      <c r="G754" s="9" t="n">
        <v>981</v>
      </c>
      <c r="H754" s="8" t="inlineStr">
        <is>
          <t>0.1</t>
        </is>
      </c>
      <c r="I754" s="8" t="inlineStr">
        <is>
          <t>Standard Ground</t>
        </is>
      </c>
      <c r="J754" s="8" t="inlineStr">
        <is>
          <t>Direct Web</t>
        </is>
      </c>
      <c r="K754" s="8" t="inlineStr">
        <is>
          <t>REG-NA</t>
        </is>
      </c>
    </row>
    <row r="755">
      <c r="A755" s="8" t="inlineStr">
        <is>
          <t>ORD-000381</t>
        </is>
      </c>
      <c r="B755" s="8" t="inlineStr">
        <is>
          <t>2024-12-26</t>
        </is>
      </c>
      <c r="C755" s="8" t="inlineStr">
        <is>
          <t>CUST-06071</t>
        </is>
      </c>
      <c r="D755" s="8" t="inlineStr">
        <is>
          <t>Kimberly Campbell</t>
        </is>
      </c>
      <c r="E755" s="8" t="inlineStr">
        <is>
          <t>PRD-0344</t>
        </is>
      </c>
      <c r="F755" s="8" t="inlineStr">
        <is>
          <t>3</t>
        </is>
      </c>
      <c r="G755" s="9" t="n">
        <v>337.02</v>
      </c>
      <c r="H755" s="8" t="inlineStr">
        <is>
          <t>15%</t>
        </is>
      </c>
      <c r="I755" s="8" t="inlineStr">
        <is>
          <t>Standard Ground</t>
        </is>
      </c>
      <c r="J755" s="8" t="inlineStr">
        <is>
          <t>Direct Web</t>
        </is>
      </c>
      <c r="K755" s="8" t="inlineStr">
        <is>
          <t>REG-NA</t>
        </is>
      </c>
    </row>
    <row r="756">
      <c r="A756" s="8" t="inlineStr">
        <is>
          <t>ORD-000382</t>
        </is>
      </c>
      <c r="B756" s="8" t="inlineStr">
        <is>
          <t>2025-01-28</t>
        </is>
      </c>
      <c r="C756" s="8" t="inlineStr">
        <is>
          <t>CUST-03079</t>
        </is>
      </c>
      <c r="D756" s="8" t="inlineStr">
        <is>
          <t>Ruth Cruz</t>
        </is>
      </c>
      <c r="E756" s="8" t="inlineStr">
        <is>
          <t>PRD-0425</t>
        </is>
      </c>
      <c r="F756" s="8" t="inlineStr">
        <is>
          <t>5</t>
        </is>
      </c>
      <c r="G756" s="9" t="n">
        <v>805.83</v>
      </c>
      <c r="H756" s="8" t="inlineStr">
        <is>
          <t>0.15</t>
        </is>
      </c>
      <c r="I756" s="8" t="inlineStr">
        <is>
          <t>Express Air</t>
        </is>
      </c>
      <c r="J756" s="8" t="inlineStr">
        <is>
          <t>Direct Web</t>
        </is>
      </c>
      <c r="K756" s="8" t="inlineStr">
        <is>
          <t>REG-NA</t>
        </is>
      </c>
    </row>
    <row r="757">
      <c r="A757" s="8" t="inlineStr">
        <is>
          <t>ORD-000383</t>
        </is>
      </c>
      <c r="B757" s="8" t="inlineStr">
        <is>
          <t>2025-03-29</t>
        </is>
      </c>
      <c r="C757" s="8" t="inlineStr">
        <is>
          <t>CUST-01514</t>
        </is>
      </c>
      <c r="D757" s="8" t="inlineStr">
        <is>
          <t>Christine Reyes</t>
        </is>
      </c>
      <c r="E757" s="8" t="inlineStr">
        <is>
          <t>PRD-0332</t>
        </is>
      </c>
      <c r="F757" s="8" t="inlineStr">
        <is>
          <t>1</t>
        </is>
      </c>
      <c r="G757" s="9" t="n">
        <v>82.03</v>
      </c>
      <c r="H757" s="8" t="inlineStr">
        <is>
          <t>0.1</t>
        </is>
      </c>
      <c r="I757" s="8" t="inlineStr">
        <is>
          <t>Standard Ground</t>
        </is>
      </c>
      <c r="J757" s="8" t="inlineStr">
        <is>
          <t>Affiliate Partner</t>
        </is>
      </c>
      <c r="K757" s="8" t="inlineStr">
        <is>
          <t>REG-NA</t>
        </is>
      </c>
    </row>
    <row r="758">
      <c r="A758" s="8" t="inlineStr">
        <is>
          <t>ORD-000384</t>
        </is>
      </c>
      <c r="B758" s="8" t="inlineStr">
        <is>
          <t>2025-05-23</t>
        </is>
      </c>
      <c r="C758" s="8" t="inlineStr">
        <is>
          <t>CUST-00220</t>
        </is>
      </c>
      <c r="D758" s="8" t="inlineStr">
        <is>
          <t>Edward Mendoza</t>
        </is>
      </c>
      <c r="E758" s="8" t="inlineStr">
        <is>
          <t>PRD-0265</t>
        </is>
      </c>
      <c r="F758" s="8" t="inlineStr">
        <is>
          <t>1</t>
        </is>
      </c>
      <c r="G758" s="9" t="n">
        <v>426.8</v>
      </c>
      <c r="H758" s="8" t="inlineStr">
        <is>
          <t>0.0</t>
        </is>
      </c>
      <c r="I758" s="8" t="inlineStr">
        <is>
          <t>Freight</t>
        </is>
      </c>
      <c r="J758" s="8" t="inlineStr">
        <is>
          <t>Affiliate Partner</t>
        </is>
      </c>
      <c r="K758" s="8" t="inlineStr">
        <is>
          <t>REG-APAC</t>
        </is>
      </c>
    </row>
    <row r="759">
      <c r="A759" s="8" t="inlineStr">
        <is>
          <t>ORD-000385</t>
        </is>
      </c>
      <c r="B759" s="8" t="inlineStr">
        <is>
          <t>2023-08-01</t>
        </is>
      </c>
      <c r="C759" s="8" t="inlineStr">
        <is>
          <t>CUST-03944</t>
        </is>
      </c>
      <c r="D759" s="8" t="inlineStr">
        <is>
          <t>Karen Ramos</t>
        </is>
      </c>
      <c r="E759" s="8" t="inlineStr">
        <is>
          <t>PRD-0359</t>
        </is>
      </c>
      <c r="F759" s="8" t="inlineStr">
        <is>
          <t>2</t>
        </is>
      </c>
      <c r="G759" s="9" t="n">
        <v>1075.75</v>
      </c>
      <c r="H759" s="8" t="inlineStr">
        <is>
          <t>0.0</t>
        </is>
      </c>
      <c r="I759" s="8" t="inlineStr">
        <is>
          <t>Standard Ground</t>
        </is>
      </c>
      <c r="J759" s="8" t="inlineStr">
        <is>
          <t>Direct Web</t>
        </is>
      </c>
      <c r="K759" s="8" t="inlineStr">
        <is>
          <t>REG-NA</t>
        </is>
      </c>
    </row>
    <row r="760">
      <c r="A760" s="8" t="inlineStr">
        <is>
          <t>ORD-000385</t>
        </is>
      </c>
      <c r="B760" s="8" t="inlineStr">
        <is>
          <t>2023-08-01</t>
        </is>
      </c>
      <c r="C760" s="8" t="inlineStr">
        <is>
          <t>CUST-03944</t>
        </is>
      </c>
      <c r="D760" s="8" t="inlineStr">
        <is>
          <t>Karen Ramos</t>
        </is>
      </c>
      <c r="E760" s="8" t="inlineStr">
        <is>
          <t>PRD-0029</t>
        </is>
      </c>
      <c r="F760" s="8" t="inlineStr">
        <is>
          <t>1</t>
        </is>
      </c>
      <c r="G760" s="9" t="n">
        <v>9.4</v>
      </c>
      <c r="H760" s="8" t="inlineStr">
        <is>
          <t>0.0</t>
        </is>
      </c>
      <c r="I760" s="8" t="inlineStr">
        <is>
          <t>Standard Ground</t>
        </is>
      </c>
      <c r="J760" s="8" t="inlineStr">
        <is>
          <t>Direct Web</t>
        </is>
      </c>
      <c r="K760" s="8" t="inlineStr">
        <is>
          <t>REG-NA</t>
        </is>
      </c>
    </row>
    <row r="761">
      <c r="A761" s="8" t="inlineStr">
        <is>
          <t>ORD-000386</t>
        </is>
      </c>
      <c r="B761" s="8" t="inlineStr">
        <is>
          <t>2024-09-24</t>
        </is>
      </c>
      <c r="C761" s="8" t="inlineStr">
        <is>
          <t>CUST-07858</t>
        </is>
      </c>
      <c r="D761" s="8" t="inlineStr">
        <is>
          <t>Alexander Diaz</t>
        </is>
      </c>
      <c r="E761" s="8" t="inlineStr">
        <is>
          <t>PRD-0025</t>
        </is>
      </c>
      <c r="F761" s="8" t="inlineStr">
        <is>
          <t>1</t>
        </is>
      </c>
      <c r="G761" s="9" t="n">
        <v>537.5700000000001</v>
      </c>
      <c r="H761" s="8" t="inlineStr">
        <is>
          <t>0.05</t>
        </is>
      </c>
      <c r="I761" s="8" t="inlineStr">
        <is>
          <t>Standard Ground</t>
        </is>
      </c>
      <c r="J761" s="8" t="inlineStr">
        <is>
          <t>Direct Web</t>
        </is>
      </c>
      <c r="K761" s="8" t="inlineStr">
        <is>
          <t>REG-NA</t>
        </is>
      </c>
    </row>
    <row r="762">
      <c r="A762" s="8" t="inlineStr">
        <is>
          <t>ORD-000387</t>
        </is>
      </c>
      <c r="B762" s="8" t="inlineStr">
        <is>
          <t>2024-11-05</t>
        </is>
      </c>
      <c r="C762" s="8" t="inlineStr">
        <is>
          <t>CUST-00815</t>
        </is>
      </c>
      <c r="D762" s="8" t="inlineStr">
        <is>
          <t>Mark Alvarez</t>
        </is>
      </c>
      <c r="E762" s="8" t="inlineStr">
        <is>
          <t>PRD-0371</t>
        </is>
      </c>
      <c r="F762" s="8" t="inlineStr">
        <is>
          <t>1</t>
        </is>
      </c>
      <c r="G762" s="9" t="n">
        <v>41.78</v>
      </c>
      <c r="H762" s="8" t="inlineStr">
        <is>
          <t>0.1</t>
        </is>
      </c>
      <c r="I762" s="8" t="inlineStr">
        <is>
          <t>Express Air</t>
        </is>
      </c>
      <c r="J762" s="8" t="inlineStr">
        <is>
          <t>Direct Web</t>
        </is>
      </c>
      <c r="K762" s="8" t="inlineStr">
        <is>
          <t>REG-APAC</t>
        </is>
      </c>
    </row>
    <row r="763">
      <c r="A763" s="8" t="inlineStr">
        <is>
          <t>ORD-000387</t>
        </is>
      </c>
      <c r="B763" s="8" t="inlineStr">
        <is>
          <t>2024-11-05</t>
        </is>
      </c>
      <c r="C763" s="8" t="inlineStr">
        <is>
          <t>CUST-00815</t>
        </is>
      </c>
      <c r="D763" s="8" t="inlineStr">
        <is>
          <t>Mark Alvarez</t>
        </is>
      </c>
      <c r="E763" s="8" t="inlineStr">
        <is>
          <t>PRD-0466</t>
        </is>
      </c>
      <c r="F763" s="8" t="inlineStr">
        <is>
          <t>1</t>
        </is>
      </c>
      <c r="G763" s="9" t="n">
        <v>18.36</v>
      </c>
      <c r="H763" s="8" t="inlineStr">
        <is>
          <t>0.0</t>
        </is>
      </c>
      <c r="I763" s="8" t="inlineStr">
        <is>
          <t>Express Air</t>
        </is>
      </c>
      <c r="J763" s="8" t="inlineStr">
        <is>
          <t>Direct Web</t>
        </is>
      </c>
      <c r="K763" s="8" t="inlineStr">
        <is>
          <t>REG-APAC</t>
        </is>
      </c>
    </row>
    <row r="764">
      <c r="A764" s="8" t="inlineStr">
        <is>
          <t>ORD-000387</t>
        </is>
      </c>
      <c r="B764" s="8" t="inlineStr">
        <is>
          <t>2024-11-05</t>
        </is>
      </c>
      <c r="C764" s="8" t="inlineStr">
        <is>
          <t>CUST-00815</t>
        </is>
      </c>
      <c r="D764" s="8" t="inlineStr">
        <is>
          <t>Mark Alvarez</t>
        </is>
      </c>
      <c r="E764" s="8" t="inlineStr">
        <is>
          <t>PRD-0129</t>
        </is>
      </c>
      <c r="F764" s="8" t="inlineStr">
        <is>
          <t>1</t>
        </is>
      </c>
      <c r="G764" s="9" t="n">
        <v>31.56</v>
      </c>
      <c r="H764" s="8" t="inlineStr">
        <is>
          <t>0.1</t>
        </is>
      </c>
      <c r="I764" s="8" t="inlineStr">
        <is>
          <t>Express Air</t>
        </is>
      </c>
      <c r="J764" s="8" t="inlineStr">
        <is>
          <t>Direct Web</t>
        </is>
      </c>
      <c r="K764" s="8" t="inlineStr">
        <is>
          <t>REG-APAC</t>
        </is>
      </c>
    </row>
    <row r="765">
      <c r="A765" s="8" t="inlineStr">
        <is>
          <t>ORD-000388</t>
        </is>
      </c>
      <c r="B765" s="8" t="inlineStr">
        <is>
          <t>2025-07-31</t>
        </is>
      </c>
      <c r="C765" s="8" t="inlineStr">
        <is>
          <t>CUST-06977</t>
        </is>
      </c>
      <c r="D765" s="8" t="inlineStr">
        <is>
          <t>Rebecca Jones</t>
        </is>
      </c>
      <c r="E765" s="8" t="inlineStr">
        <is>
          <t>PRD-0288</t>
        </is>
      </c>
      <c r="F765" s="8" t="inlineStr">
        <is>
          <t>3</t>
        </is>
      </c>
      <c r="G765" s="9" t="n">
        <v>41.37</v>
      </c>
      <c r="H765" s="8" t="inlineStr">
        <is>
          <t>5%</t>
        </is>
      </c>
      <c r="I765" s="8" t="inlineStr">
        <is>
          <t>Standard Ground</t>
        </is>
      </c>
      <c r="J765" s="8" t="inlineStr">
        <is>
          <t>Mobile App</t>
        </is>
      </c>
      <c r="K765" s="8" t="inlineStr">
        <is>
          <t>REG-EU</t>
        </is>
      </c>
    </row>
    <row r="766">
      <c r="A766" s="8" t="inlineStr">
        <is>
          <t>ORD-000389</t>
        </is>
      </c>
      <c r="B766" s="8" t="inlineStr">
        <is>
          <t>2023-12-09</t>
        </is>
      </c>
      <c r="C766" s="8" t="inlineStr">
        <is>
          <t>CUST-03242</t>
        </is>
      </c>
      <c r="D766" s="8" t="inlineStr">
        <is>
          <t>Gary Martin</t>
        </is>
      </c>
      <c r="E766" s="8" t="inlineStr">
        <is>
          <t>PRD-0033</t>
        </is>
      </c>
      <c r="F766" s="8" t="inlineStr">
        <is>
          <t>1</t>
        </is>
      </c>
      <c r="G766" s="9" t="n">
        <v>87.68000000000001</v>
      </c>
      <c r="H766" s="8" t="inlineStr">
        <is>
          <t>0.2</t>
        </is>
      </c>
      <c r="I766" s="8" t="inlineStr">
        <is>
          <t>Standard Ground</t>
        </is>
      </c>
      <c r="J766" s="8" t="inlineStr">
        <is>
          <t>Affiliate Partner</t>
        </is>
      </c>
      <c r="K766" s="8" t="inlineStr">
        <is>
          <t>REG-EU</t>
        </is>
      </c>
    </row>
    <row r="767">
      <c r="A767" s="8" t="inlineStr">
        <is>
          <t>ORD-000389</t>
        </is>
      </c>
      <c r="B767" s="8" t="inlineStr">
        <is>
          <t>2023-12-09</t>
        </is>
      </c>
      <c r="C767" s="8" t="inlineStr">
        <is>
          <t>CUST-03242</t>
        </is>
      </c>
      <c r="D767" s="8" t="inlineStr">
        <is>
          <t>Gary Martin</t>
        </is>
      </c>
      <c r="E767" s="8" t="inlineStr">
        <is>
          <t>PRD-0236</t>
        </is>
      </c>
      <c r="F767" s="8" t="inlineStr">
        <is>
          <t>1</t>
        </is>
      </c>
      <c r="G767" s="9" t="n">
        <v>128.74</v>
      </c>
      <c r="H767" s="8" t="inlineStr">
        <is>
          <t>0.1</t>
        </is>
      </c>
      <c r="I767" s="8" t="inlineStr">
        <is>
          <t>Standard Ground</t>
        </is>
      </c>
      <c r="J767" s="8" t="inlineStr">
        <is>
          <t>Affiliate Partner</t>
        </is>
      </c>
      <c r="K767" s="8" t="inlineStr">
        <is>
          <t>REG-EU</t>
        </is>
      </c>
    </row>
    <row r="768">
      <c r="A768" s="8" t="inlineStr">
        <is>
          <t>ORD-000389</t>
        </is>
      </c>
      <c r="B768" s="8" t="inlineStr">
        <is>
          <t>2023-12-09</t>
        </is>
      </c>
      <c r="C768" s="8" t="inlineStr">
        <is>
          <t>CUST-03242</t>
        </is>
      </c>
      <c r="D768" s="8" t="inlineStr">
        <is>
          <t>Gary Martin</t>
        </is>
      </c>
      <c r="E768" s="8" t="inlineStr">
        <is>
          <t>PRD-0364</t>
        </is>
      </c>
      <c r="F768" s="8" t="inlineStr">
        <is>
          <t>1</t>
        </is>
      </c>
      <c r="G768" s="9" t="n">
        <v>1083.88</v>
      </c>
      <c r="H768" s="8" t="inlineStr">
        <is>
          <t>0.1</t>
        </is>
      </c>
      <c r="I768" s="8" t="inlineStr">
        <is>
          <t>Standard Ground</t>
        </is>
      </c>
      <c r="J768" s="8" t="inlineStr">
        <is>
          <t>Affiliate Partner</t>
        </is>
      </c>
      <c r="K768" s="8" t="inlineStr">
        <is>
          <t>REG-EU</t>
        </is>
      </c>
    </row>
    <row r="769">
      <c r="A769" s="8" t="inlineStr">
        <is>
          <t>ORD-000390</t>
        </is>
      </c>
      <c r="B769" s="8" t="inlineStr">
        <is>
          <t>2025-10-15</t>
        </is>
      </c>
      <c r="C769" s="8" t="inlineStr">
        <is>
          <t>CUST-02452</t>
        </is>
      </c>
      <c r="D769" s="8" t="inlineStr">
        <is>
          <t>Karen Nelson</t>
        </is>
      </c>
      <c r="E769" s="8" t="inlineStr">
        <is>
          <t>PRD-0404</t>
        </is>
      </c>
      <c r="F769" s="8" t="inlineStr">
        <is>
          <t>1</t>
        </is>
      </c>
      <c r="G769" s="9" t="n">
        <v>23.86</v>
      </c>
      <c r="H769" s="8" t="inlineStr">
        <is>
          <t>5%</t>
        </is>
      </c>
      <c r="I769" s="8" t="inlineStr">
        <is>
          <t>Standard Ground</t>
        </is>
      </c>
      <c r="J769" s="8" t="inlineStr">
        <is>
          <t>Affiliate Partner</t>
        </is>
      </c>
      <c r="K769" s="8" t="inlineStr">
        <is>
          <t>REG-NA</t>
        </is>
      </c>
    </row>
    <row r="770">
      <c r="A770" s="8" t="inlineStr">
        <is>
          <t>ORD-000391</t>
        </is>
      </c>
      <c r="B770" s="8" t="inlineStr">
        <is>
          <t>2024-03-16</t>
        </is>
      </c>
      <c r="C770" s="8" t="inlineStr">
        <is>
          <t>CUST-02751</t>
        </is>
      </c>
      <c r="D770" s="8" t="inlineStr">
        <is>
          <t>Alexander Nelson</t>
        </is>
      </c>
      <c r="E770" s="8" t="inlineStr">
        <is>
          <t>PRD-0020</t>
        </is>
      </c>
      <c r="F770" s="8" t="inlineStr">
        <is>
          <t>1</t>
        </is>
      </c>
      <c r="G770" s="9" t="n">
        <v>22.42</v>
      </c>
      <c r="H770" s="8" t="inlineStr">
        <is>
          <t>0.1</t>
        </is>
      </c>
      <c r="I770" s="8" t="inlineStr">
        <is>
          <t>Standard Ground</t>
        </is>
      </c>
      <c r="J770" s="8" t="inlineStr">
        <is>
          <t>Mobile App</t>
        </is>
      </c>
      <c r="K770" s="8" t="inlineStr">
        <is>
          <t>REG-NA</t>
        </is>
      </c>
    </row>
    <row r="771">
      <c r="A771" s="8" t="inlineStr">
        <is>
          <t>ORD-000391</t>
        </is>
      </c>
      <c r="B771" s="8" t="inlineStr">
        <is>
          <t>2024-03-16</t>
        </is>
      </c>
      <c r="C771" s="8" t="inlineStr">
        <is>
          <t>CUST-02751</t>
        </is>
      </c>
      <c r="D771" s="8" t="inlineStr">
        <is>
          <t>Alexander Nelson</t>
        </is>
      </c>
      <c r="E771" s="8" t="inlineStr">
        <is>
          <t>PRD-0087</t>
        </is>
      </c>
      <c r="F771" s="8" t="inlineStr">
        <is>
          <t>1</t>
        </is>
      </c>
      <c r="G771" s="9" t="n">
        <v>1103.24</v>
      </c>
      <c r="H771" s="8" t="inlineStr">
        <is>
          <t>0.1</t>
        </is>
      </c>
      <c r="I771" s="8" t="inlineStr">
        <is>
          <t>Standard Ground</t>
        </is>
      </c>
      <c r="J771" s="8" t="inlineStr">
        <is>
          <t>Mobile App</t>
        </is>
      </c>
      <c r="K771" s="8" t="inlineStr">
        <is>
          <t>REG-NA</t>
        </is>
      </c>
    </row>
    <row r="772">
      <c r="A772" s="8" t="inlineStr">
        <is>
          <t>ORD-000392</t>
        </is>
      </c>
      <c r="B772" s="8" t="inlineStr">
        <is>
          <t>2025-07-22</t>
        </is>
      </c>
      <c r="C772" s="8" t="inlineStr">
        <is>
          <t>CUST-06875</t>
        </is>
      </c>
      <c r="D772" s="8" t="inlineStr">
        <is>
          <t xml:space="preserve">  rachel gomez  </t>
        </is>
      </c>
      <c r="E772" s="8" t="inlineStr">
        <is>
          <t>PRD-0380</t>
        </is>
      </c>
      <c r="F772" s="8" t="inlineStr">
        <is>
          <t>1</t>
        </is>
      </c>
      <c r="G772" s="9" t="n">
        <v>141.11</v>
      </c>
      <c r="H772" s="8" t="inlineStr">
        <is>
          <t>0.05</t>
        </is>
      </c>
      <c r="I772" s="8" t="inlineStr">
        <is>
          <t>Express Air</t>
        </is>
      </c>
      <c r="J772" s="8" t="inlineStr">
        <is>
          <t>B2B Portal</t>
        </is>
      </c>
      <c r="K772" s="8" t="inlineStr">
        <is>
          <t>REG-APAC</t>
        </is>
      </c>
    </row>
    <row r="773">
      <c r="A773" s="8" t="inlineStr">
        <is>
          <t>ORD-000392</t>
        </is>
      </c>
      <c r="B773" s="8" t="inlineStr">
        <is>
          <t>2025-07-22</t>
        </is>
      </c>
      <c r="C773" s="8" t="inlineStr">
        <is>
          <t>CUST-06875</t>
        </is>
      </c>
      <c r="D773" s="8" t="inlineStr">
        <is>
          <t xml:space="preserve">  rachel gomez  </t>
        </is>
      </c>
      <c r="E773" s="8" t="inlineStr">
        <is>
          <t>PRD-0415</t>
        </is>
      </c>
      <c r="F773" s="8" t="inlineStr">
        <is>
          <t>2</t>
        </is>
      </c>
      <c r="G773" s="9" t="n">
        <v>934.21</v>
      </c>
      <c r="H773" s="8" t="inlineStr">
        <is>
          <t>0.15</t>
        </is>
      </c>
      <c r="I773" s="8" t="inlineStr">
        <is>
          <t>Express Air</t>
        </is>
      </c>
      <c r="J773" s="8" t="inlineStr">
        <is>
          <t>B2B Portal</t>
        </is>
      </c>
      <c r="K773" s="8" t="inlineStr">
        <is>
          <t>REG-APAC</t>
        </is>
      </c>
    </row>
    <row r="774">
      <c r="A774" s="8" t="inlineStr">
        <is>
          <t>ORD-000392</t>
        </is>
      </c>
      <c r="B774" s="8" t="inlineStr">
        <is>
          <t>2025-07-22</t>
        </is>
      </c>
      <c r="C774" s="8" t="inlineStr">
        <is>
          <t>CUST-06875</t>
        </is>
      </c>
      <c r="D774" s="8" t="inlineStr">
        <is>
          <t xml:space="preserve">  rachel gomez  </t>
        </is>
      </c>
      <c r="E774" s="8" t="inlineStr">
        <is>
          <t>PRD-0068</t>
        </is>
      </c>
      <c r="F774" s="8" t="inlineStr">
        <is>
          <t>2</t>
        </is>
      </c>
      <c r="G774" s="9" t="n">
        <v>1340.27</v>
      </c>
      <c r="H774" s="8" t="inlineStr">
        <is>
          <t>0.25</t>
        </is>
      </c>
      <c r="I774" s="8" t="inlineStr">
        <is>
          <t>Express Air</t>
        </is>
      </c>
      <c r="J774" s="8" t="inlineStr">
        <is>
          <t>B2B Portal</t>
        </is>
      </c>
      <c r="K774" s="8" t="inlineStr">
        <is>
          <t>REG-APAC</t>
        </is>
      </c>
    </row>
    <row r="775">
      <c r="A775" s="8" t="inlineStr">
        <is>
          <t>ORD-000392</t>
        </is>
      </c>
      <c r="B775" s="8" t="inlineStr">
        <is>
          <t>2025-07-22</t>
        </is>
      </c>
      <c r="C775" s="8" t="inlineStr">
        <is>
          <t>CUST-06875</t>
        </is>
      </c>
      <c r="D775" s="8" t="inlineStr">
        <is>
          <t xml:space="preserve">  rachel gomez  </t>
        </is>
      </c>
      <c r="E775" s="8" t="inlineStr">
        <is>
          <t>PRD-0432</t>
        </is>
      </c>
      <c r="F775" s="8" t="inlineStr">
        <is>
          <t>3</t>
        </is>
      </c>
      <c r="G775" s="9" t="n">
        <v>25.28</v>
      </c>
      <c r="H775" s="8" t="inlineStr">
        <is>
          <t>0.05</t>
        </is>
      </c>
      <c r="I775" s="8" t="inlineStr">
        <is>
          <t>Express Air</t>
        </is>
      </c>
      <c r="J775" s="8" t="inlineStr">
        <is>
          <t>B2B Portal</t>
        </is>
      </c>
      <c r="K775" s="8" t="inlineStr">
        <is>
          <t>REG-APAC</t>
        </is>
      </c>
    </row>
    <row r="776">
      <c r="A776" s="8" t="inlineStr">
        <is>
          <t>ORD-000392</t>
        </is>
      </c>
      <c r="B776" s="8" t="inlineStr">
        <is>
          <t>2025-07-22</t>
        </is>
      </c>
      <c r="C776" s="8" t="inlineStr">
        <is>
          <t>CUST-06875</t>
        </is>
      </c>
      <c r="D776" s="8" t="inlineStr">
        <is>
          <t xml:space="preserve">  rachel gomez  </t>
        </is>
      </c>
      <c r="E776" s="8" t="inlineStr">
        <is>
          <t>PRD-0250</t>
        </is>
      </c>
      <c r="F776" s="8" t="inlineStr">
        <is>
          <t>1</t>
        </is>
      </c>
      <c r="G776" s="9" t="n">
        <v>91.75</v>
      </c>
      <c r="H776" s="8" t="inlineStr">
        <is>
          <t>0.15</t>
        </is>
      </c>
      <c r="I776" s="8" t="inlineStr">
        <is>
          <t>Express Air</t>
        </is>
      </c>
      <c r="J776" s="8" t="inlineStr">
        <is>
          <t>B2B Portal</t>
        </is>
      </c>
      <c r="K776" s="8" t="inlineStr">
        <is>
          <t>REG-APAC</t>
        </is>
      </c>
    </row>
    <row r="777">
      <c r="A777" s="8" t="inlineStr">
        <is>
          <t>ORD-000393</t>
        </is>
      </c>
      <c r="B777" s="8" t="inlineStr">
        <is>
          <t>2024-08-13</t>
        </is>
      </c>
      <c r="C777" s="8" t="inlineStr">
        <is>
          <t>CUST-06245</t>
        </is>
      </c>
      <c r="D777" s="8" t="inlineStr">
        <is>
          <t>Deborah Ramirez</t>
        </is>
      </c>
      <c r="E777" s="8" t="inlineStr">
        <is>
          <t>PRD-0133</t>
        </is>
      </c>
      <c r="F777" s="8" t="inlineStr">
        <is>
          <t>3</t>
        </is>
      </c>
      <c r="G777" s="9" t="n">
        <v>673.35</v>
      </c>
      <c r="H777" s="8" t="inlineStr">
        <is>
          <t>0.0</t>
        </is>
      </c>
      <c r="I777" s="8" t="inlineStr">
        <is>
          <t>Standard Ground</t>
        </is>
      </c>
      <c r="J777" s="8" t="inlineStr">
        <is>
          <t>Mobile App</t>
        </is>
      </c>
      <c r="K777" s="8" t="inlineStr">
        <is>
          <t>REG-APAC</t>
        </is>
      </c>
    </row>
    <row r="778">
      <c r="A778" s="8" t="inlineStr">
        <is>
          <t>ORD-000393</t>
        </is>
      </c>
      <c r="B778" s="8" t="inlineStr">
        <is>
          <t>2024-08-13</t>
        </is>
      </c>
      <c r="C778" s="8" t="inlineStr">
        <is>
          <t>CUST-06245</t>
        </is>
      </c>
      <c r="D778" s="8" t="inlineStr">
        <is>
          <t>Deborah Ramirez</t>
        </is>
      </c>
      <c r="E778" s="8" t="inlineStr">
        <is>
          <t>PRD-0075</t>
        </is>
      </c>
      <c r="F778" s="8" t="inlineStr">
        <is>
          <t>4</t>
        </is>
      </c>
      <c r="G778" s="9" t="n">
        <v>20.47</v>
      </c>
      <c r="H778" s="8" t="inlineStr">
        <is>
          <t>0.2</t>
        </is>
      </c>
      <c r="I778" s="8" t="inlineStr">
        <is>
          <t>Standard Ground</t>
        </is>
      </c>
      <c r="J778" s="8" t="inlineStr">
        <is>
          <t>Mobile App</t>
        </is>
      </c>
      <c r="K778" s="8" t="inlineStr">
        <is>
          <t>REG-APAC</t>
        </is>
      </c>
    </row>
    <row r="779">
      <c r="A779" s="8" t="inlineStr">
        <is>
          <t>ORD-000394</t>
        </is>
      </c>
      <c r="B779" s="8" t="inlineStr">
        <is>
          <t>2023-02-20</t>
        </is>
      </c>
      <c r="C779" s="8" t="inlineStr">
        <is>
          <t>CUST-00039</t>
        </is>
      </c>
      <c r="D779" s="8" t="inlineStr">
        <is>
          <t>Robert Sanders</t>
        </is>
      </c>
      <c r="E779" s="8" t="inlineStr">
        <is>
          <t>PRD-0098</t>
        </is>
      </c>
      <c r="F779" s="8" t="inlineStr">
        <is>
          <t>4</t>
        </is>
      </c>
      <c r="G779" s="9" t="n">
        <v>100.75</v>
      </c>
      <c r="H779" s="8" t="inlineStr">
        <is>
          <t>0.0</t>
        </is>
      </c>
      <c r="I779" s="8" t="inlineStr">
        <is>
          <t>Standard Ground</t>
        </is>
      </c>
      <c r="J779" s="8" t="inlineStr">
        <is>
          <t>Direct Web</t>
        </is>
      </c>
      <c r="K779" s="8" t="inlineStr">
        <is>
          <t>REG-NA</t>
        </is>
      </c>
    </row>
    <row r="780">
      <c r="A780" s="8" t="inlineStr">
        <is>
          <t>ORD-000395</t>
        </is>
      </c>
      <c r="B780" s="8" t="inlineStr">
        <is>
          <t>09/30/2025</t>
        </is>
      </c>
      <c r="C780" s="8" t="inlineStr">
        <is>
          <t>CUST-06084</t>
        </is>
      </c>
      <c r="D780" s="8" t="inlineStr">
        <is>
          <t>William Torres</t>
        </is>
      </c>
      <c r="E780" s="8" t="inlineStr">
        <is>
          <t>PRD-0369</t>
        </is>
      </c>
      <c r="F780" s="8" t="inlineStr">
        <is>
          <t>3</t>
        </is>
      </c>
      <c r="G780" s="9" t="n">
        <v>653.11</v>
      </c>
      <c r="H780" s="8" t="inlineStr">
        <is>
          <t>0.3</t>
        </is>
      </c>
      <c r="I780" s="8" t="inlineStr">
        <is>
          <t>Standard Ground</t>
        </is>
      </c>
      <c r="J780" s="8" t="inlineStr">
        <is>
          <t>Mobile App</t>
        </is>
      </c>
      <c r="K780" s="8" t="inlineStr">
        <is>
          <t>REG-NA</t>
        </is>
      </c>
    </row>
    <row r="781">
      <c r="A781" s="8" t="inlineStr">
        <is>
          <t>ORD-000395</t>
        </is>
      </c>
      <c r="B781" s="8" t="inlineStr">
        <is>
          <t>09/30/2025</t>
        </is>
      </c>
      <c r="C781" s="8" t="inlineStr">
        <is>
          <t>CUST-06084</t>
        </is>
      </c>
      <c r="D781" s="8" t="inlineStr">
        <is>
          <t>William Torres</t>
        </is>
      </c>
      <c r="E781" s="8" t="inlineStr">
        <is>
          <t>PRD-0476</t>
        </is>
      </c>
      <c r="F781" s="8" t="inlineStr">
        <is>
          <t>1</t>
        </is>
      </c>
      <c r="G781" s="9" t="n">
        <v>1060.38</v>
      </c>
      <c r="H781" s="8" t="inlineStr">
        <is>
          <t>0.0</t>
        </is>
      </c>
      <c r="I781" s="8" t="inlineStr">
        <is>
          <t>Standard Ground</t>
        </is>
      </c>
      <c r="J781" s="8" t="inlineStr">
        <is>
          <t>Mobile App</t>
        </is>
      </c>
      <c r="K781" s="8" t="inlineStr">
        <is>
          <t>REG-NA</t>
        </is>
      </c>
    </row>
    <row r="782">
      <c r="A782" s="8" t="inlineStr">
        <is>
          <t>ORD-000395</t>
        </is>
      </c>
      <c r="B782" s="8" t="inlineStr">
        <is>
          <t>09/30/2025</t>
        </is>
      </c>
      <c r="C782" s="8" t="inlineStr">
        <is>
          <t>CUST-06084</t>
        </is>
      </c>
      <c r="D782" s="8" t="inlineStr">
        <is>
          <t>William Torres</t>
        </is>
      </c>
      <c r="E782" s="8" t="inlineStr">
        <is>
          <t>PRD-0386</t>
        </is>
      </c>
      <c r="F782" s="8" t="inlineStr">
        <is>
          <t>1</t>
        </is>
      </c>
      <c r="G782" s="9" t="n">
        <v>339.98</v>
      </c>
      <c r="H782" s="8" t="inlineStr">
        <is>
          <t>0.0</t>
        </is>
      </c>
      <c r="I782" s="8" t="inlineStr">
        <is>
          <t>Standard Ground</t>
        </is>
      </c>
      <c r="J782" s="8" t="inlineStr">
        <is>
          <t>Mobile App</t>
        </is>
      </c>
      <c r="K782" s="8" t="inlineStr">
        <is>
          <t>REG-NA</t>
        </is>
      </c>
    </row>
    <row r="783">
      <c r="A783" s="8" t="inlineStr">
        <is>
          <t>ORD-000396</t>
        </is>
      </c>
      <c r="B783" s="8" t="inlineStr">
        <is>
          <t>2024-10-14</t>
        </is>
      </c>
      <c r="C783" s="8" t="inlineStr">
        <is>
          <t>CUST-01987</t>
        </is>
      </c>
      <c r="D783" s="8" t="inlineStr">
        <is>
          <t>Janet Johnson</t>
        </is>
      </c>
      <c r="E783" s="8" t="inlineStr">
        <is>
          <t>PRD-0007</t>
        </is>
      </c>
      <c r="F783" s="8" t="inlineStr">
        <is>
          <t>2</t>
        </is>
      </c>
      <c r="G783" s="9" t="n">
        <v>254.43</v>
      </c>
      <c r="H783" s="8" t="inlineStr">
        <is>
          <t>0.0</t>
        </is>
      </c>
      <c r="I783" s="8" t="inlineStr">
        <is>
          <t>Express Air</t>
        </is>
      </c>
      <c r="J783" s="8" t="inlineStr">
        <is>
          <t>Direct Web</t>
        </is>
      </c>
      <c r="K783" s="8" t="inlineStr">
        <is>
          <t>REG-NA</t>
        </is>
      </c>
    </row>
    <row r="784">
      <c r="A784" s="8" t="inlineStr">
        <is>
          <t>ORD-000396</t>
        </is>
      </c>
      <c r="B784" s="8" t="inlineStr">
        <is>
          <t>2024-10-14</t>
        </is>
      </c>
      <c r="C784" s="8" t="inlineStr">
        <is>
          <t>CUST-01987</t>
        </is>
      </c>
      <c r="D784" s="8" t="inlineStr">
        <is>
          <t>Janet Johnson</t>
        </is>
      </c>
      <c r="E784" s="8" t="inlineStr">
        <is>
          <t>PRD-0126</t>
        </is>
      </c>
      <c r="F784" s="8" t="inlineStr">
        <is>
          <t>3</t>
        </is>
      </c>
      <c r="G784" s="9" t="n">
        <v>195.24</v>
      </c>
      <c r="H784" s="8" t="inlineStr">
        <is>
          <t>0.0</t>
        </is>
      </c>
      <c r="I784" s="8" t="inlineStr">
        <is>
          <t>Express Air</t>
        </is>
      </c>
      <c r="J784" s="8" t="inlineStr">
        <is>
          <t>Direct Web</t>
        </is>
      </c>
      <c r="K784" s="8" t="inlineStr">
        <is>
          <t>REG-NA</t>
        </is>
      </c>
    </row>
    <row r="785">
      <c r="A785" s="8" t="inlineStr">
        <is>
          <t>ORD-000396</t>
        </is>
      </c>
      <c r="B785" s="8" t="inlineStr">
        <is>
          <t>2024-10-14</t>
        </is>
      </c>
      <c r="C785" s="8" t="inlineStr">
        <is>
          <t>CUST-01987</t>
        </is>
      </c>
      <c r="D785" s="8" t="inlineStr">
        <is>
          <t>Janet Johnson</t>
        </is>
      </c>
      <c r="E785" s="8" t="inlineStr">
        <is>
          <t>PRD-0370</t>
        </is>
      </c>
      <c r="F785" s="8" t="inlineStr">
        <is>
          <t>2</t>
        </is>
      </c>
      <c r="G785" s="9" t="n">
        <v>1113.54</v>
      </c>
      <c r="H785" s="8" t="inlineStr">
        <is>
          <t>0.1</t>
        </is>
      </c>
      <c r="I785" s="8" t="inlineStr">
        <is>
          <t>Express Air</t>
        </is>
      </c>
      <c r="J785" s="8" t="inlineStr">
        <is>
          <t>Direct Web</t>
        </is>
      </c>
      <c r="K785" s="8" t="inlineStr">
        <is>
          <t>REG-NA</t>
        </is>
      </c>
    </row>
    <row r="786">
      <c r="A786" s="8" t="inlineStr">
        <is>
          <t>ORD-000396</t>
        </is>
      </c>
      <c r="B786" s="8" t="inlineStr">
        <is>
          <t>2024-10-14</t>
        </is>
      </c>
      <c r="C786" s="8" t="inlineStr">
        <is>
          <t>CUST-01987</t>
        </is>
      </c>
      <c r="D786" s="8" t="inlineStr">
        <is>
          <t>Janet Johnson</t>
        </is>
      </c>
      <c r="E786" s="8" t="inlineStr">
        <is>
          <t>PRD-0118</t>
        </is>
      </c>
      <c r="F786" s="8" t="inlineStr">
        <is>
          <t>1</t>
        </is>
      </c>
      <c r="G786" s="9" t="n">
        <v>513.16</v>
      </c>
      <c r="H786" s="8" t="inlineStr">
        <is>
          <t>0.05</t>
        </is>
      </c>
      <c r="I786" s="8" t="inlineStr">
        <is>
          <t>Express Air</t>
        </is>
      </c>
      <c r="J786" s="8" t="inlineStr">
        <is>
          <t>Direct Web</t>
        </is>
      </c>
      <c r="K786" s="8" t="inlineStr">
        <is>
          <t>REG-NA</t>
        </is>
      </c>
    </row>
    <row r="787">
      <c r="A787" s="8" t="inlineStr">
        <is>
          <t>ORD-000397</t>
        </is>
      </c>
      <c r="B787" s="8" t="inlineStr">
        <is>
          <t>2024-11-15</t>
        </is>
      </c>
      <c r="C787" s="8" t="inlineStr">
        <is>
          <t>CUST-01144</t>
        </is>
      </c>
      <c r="D787" s="8" t="inlineStr">
        <is>
          <t>Patricia Adams</t>
        </is>
      </c>
      <c r="E787" s="8" t="inlineStr">
        <is>
          <t>PRD-0285</t>
        </is>
      </c>
      <c r="F787" s="8" t="inlineStr">
        <is>
          <t>4</t>
        </is>
      </c>
      <c r="G787" s="9" t="n">
        <v>269.59</v>
      </c>
      <c r="H787" s="8" t="inlineStr">
        <is>
          <t>0.05</t>
        </is>
      </c>
      <c r="I787" s="8" t="inlineStr">
        <is>
          <t>Express Air</t>
        </is>
      </c>
      <c r="J787" s="8" t="inlineStr">
        <is>
          <t>Mobile App</t>
        </is>
      </c>
      <c r="K787" s="8" t="inlineStr">
        <is>
          <t>REG-NA</t>
        </is>
      </c>
    </row>
    <row r="788">
      <c r="A788" s="8" t="inlineStr">
        <is>
          <t>ORD-000398</t>
        </is>
      </c>
      <c r="B788" s="8" t="inlineStr">
        <is>
          <t>2024-11-12</t>
        </is>
      </c>
      <c r="C788" s="8" t="inlineStr">
        <is>
          <t>CUST-02678</t>
        </is>
      </c>
      <c r="D788" s="8" t="inlineStr">
        <is>
          <t>Amanda Johnson</t>
        </is>
      </c>
      <c r="E788" s="8" t="inlineStr">
        <is>
          <t>PRD-0318</t>
        </is>
      </c>
      <c r="F788" s="8" t="inlineStr">
        <is>
          <t>2</t>
        </is>
      </c>
      <c r="G788" s="9" t="n">
        <v>130.98</v>
      </c>
      <c r="H788" s="8" t="inlineStr">
        <is>
          <t>0.0</t>
        </is>
      </c>
      <c r="I788" s="8" t="inlineStr">
        <is>
          <t>Express Air</t>
        </is>
      </c>
      <c r="J788" s="8" t="inlineStr">
        <is>
          <t>Direct Web</t>
        </is>
      </c>
      <c r="K788" s="8" t="inlineStr">
        <is>
          <t>REG-NA</t>
        </is>
      </c>
    </row>
    <row r="789">
      <c r="A789" s="8" t="inlineStr">
        <is>
          <t>ORD-000398</t>
        </is>
      </c>
      <c r="B789" s="8" t="inlineStr">
        <is>
          <t>2024-11-12</t>
        </is>
      </c>
      <c r="C789" s="8" t="inlineStr">
        <is>
          <t>CUST-02678</t>
        </is>
      </c>
      <c r="D789" s="8" t="inlineStr">
        <is>
          <t>Amanda Johnson</t>
        </is>
      </c>
      <c r="E789" s="8" t="inlineStr">
        <is>
          <t>PRD-0001</t>
        </is>
      </c>
      <c r="F789" s="8" t="inlineStr">
        <is>
          <t>3</t>
        </is>
      </c>
      <c r="G789" s="9" t="n">
        <v>9</v>
      </c>
      <c r="H789" s="8" t="inlineStr">
        <is>
          <t>0.1</t>
        </is>
      </c>
      <c r="I789" s="8" t="inlineStr">
        <is>
          <t>Express Air</t>
        </is>
      </c>
      <c r="J789" s="8" t="inlineStr">
        <is>
          <t>Direct Web</t>
        </is>
      </c>
      <c r="K789" s="8" t="inlineStr">
        <is>
          <t>REG-NA</t>
        </is>
      </c>
    </row>
    <row r="790">
      <c r="A790" s="8" t="inlineStr">
        <is>
          <t>ORD-000398</t>
        </is>
      </c>
      <c r="B790" s="8" t="inlineStr">
        <is>
          <t>2024-11-12</t>
        </is>
      </c>
      <c r="C790" s="8" t="inlineStr">
        <is>
          <t>CUST-02678</t>
        </is>
      </c>
      <c r="D790" s="8" t="inlineStr">
        <is>
          <t>Amanda Johnson</t>
        </is>
      </c>
      <c r="E790" s="8" t="inlineStr">
        <is>
          <t>PRD-0446</t>
        </is>
      </c>
      <c r="F790" s="8" t="inlineStr">
        <is>
          <t>2</t>
        </is>
      </c>
      <c r="G790" s="9" t="n">
        <v>610.12</v>
      </c>
      <c r="H790" s="8" t="inlineStr">
        <is>
          <t>0.0</t>
        </is>
      </c>
      <c r="I790" s="8" t="inlineStr">
        <is>
          <t>Express Air</t>
        </is>
      </c>
      <c r="J790" s="8" t="inlineStr">
        <is>
          <t>Direct Web</t>
        </is>
      </c>
      <c r="K790" s="8" t="inlineStr">
        <is>
          <t>REG-NA</t>
        </is>
      </c>
    </row>
    <row r="791">
      <c r="A791" s="8" t="inlineStr">
        <is>
          <t>ORD-000399</t>
        </is>
      </c>
      <c r="B791" s="8" t="inlineStr">
        <is>
          <t>2024-06-28</t>
        </is>
      </c>
      <c r="C791" s="8" t="inlineStr">
        <is>
          <t>CUST-02497</t>
        </is>
      </c>
      <c r="D791" s="8" t="inlineStr">
        <is>
          <t>John Nelson</t>
        </is>
      </c>
      <c r="E791" s="8" t="inlineStr">
        <is>
          <t>PRD-0150</t>
        </is>
      </c>
      <c r="F791" s="8" t="inlineStr">
        <is>
          <t>1</t>
        </is>
      </c>
      <c r="G791" s="9" t="n">
        <v>384.86</v>
      </c>
      <c r="H791" s="8" t="inlineStr">
        <is>
          <t>0.3</t>
        </is>
      </c>
      <c r="I791" s="8" t="inlineStr">
        <is>
          <t>Standard Ground</t>
        </is>
      </c>
      <c r="J791" s="8" t="inlineStr">
        <is>
          <t>Direct Web</t>
        </is>
      </c>
      <c r="K791" s="8" t="inlineStr">
        <is>
          <t>REG-APAC</t>
        </is>
      </c>
    </row>
    <row r="792">
      <c r="A792" s="8" t="inlineStr">
        <is>
          <t>ORD-000400</t>
        </is>
      </c>
      <c r="B792" s="8" t="inlineStr">
        <is>
          <t>2024-08-05</t>
        </is>
      </c>
      <c r="C792" s="8" t="inlineStr">
        <is>
          <t>CUST-00751</t>
        </is>
      </c>
      <c r="D792" s="8" t="inlineStr">
        <is>
          <t>Amy Allen</t>
        </is>
      </c>
      <c r="E792" s="8" t="inlineStr">
        <is>
          <t>PRD-0218</t>
        </is>
      </c>
      <c r="F792" s="8" t="inlineStr">
        <is>
          <t>3</t>
        </is>
      </c>
      <c r="G792" s="9" t="n">
        <v>468.61</v>
      </c>
      <c r="H792" s="8" t="inlineStr">
        <is>
          <t>0.15</t>
        </is>
      </c>
      <c r="I792" s="8" t="inlineStr">
        <is>
          <t>Standard Ground</t>
        </is>
      </c>
      <c r="J792" s="8" t="inlineStr">
        <is>
          <t>B2B Portal</t>
        </is>
      </c>
      <c r="K792" s="8" t="inlineStr">
        <is>
          <t>REG-LATAM</t>
        </is>
      </c>
    </row>
    <row r="793">
      <c r="A793" s="8" t="inlineStr">
        <is>
          <t>ORD-000400</t>
        </is>
      </c>
      <c r="B793" s="8" t="inlineStr">
        <is>
          <t>2024-08-05</t>
        </is>
      </c>
      <c r="C793" s="8" t="inlineStr">
        <is>
          <t>CUST-00751</t>
        </is>
      </c>
      <c r="D793" s="8" t="inlineStr">
        <is>
          <t>Amy Allen</t>
        </is>
      </c>
      <c r="E793" s="8" t="inlineStr">
        <is>
          <t>PRD-0139</t>
        </is>
      </c>
      <c r="F793" s="8" t="inlineStr">
        <is>
          <t>2</t>
        </is>
      </c>
      <c r="G793" s="9" t="n">
        <v>402.87</v>
      </c>
      <c r="H793" s="8" t="inlineStr">
        <is>
          <t>0.05</t>
        </is>
      </c>
      <c r="I793" s="8" t="inlineStr">
        <is>
          <t>Standard Ground</t>
        </is>
      </c>
      <c r="J793" s="8" t="inlineStr">
        <is>
          <t>B2B Portal</t>
        </is>
      </c>
      <c r="K793" s="8" t="inlineStr">
        <is>
          <t>REG-LATAM</t>
        </is>
      </c>
    </row>
    <row r="794">
      <c r="A794" s="8" t="inlineStr">
        <is>
          <t>ORD-000401</t>
        </is>
      </c>
      <c r="B794" s="8" t="inlineStr">
        <is>
          <t>2025-06-15</t>
        </is>
      </c>
      <c r="C794" s="8" t="inlineStr">
        <is>
          <t>CUST-00596</t>
        </is>
      </c>
      <c r="D794" s="8" t="inlineStr">
        <is>
          <t>Aaron Wood</t>
        </is>
      </c>
      <c r="E794" s="8" t="inlineStr">
        <is>
          <t>PRD-0439</t>
        </is>
      </c>
      <c r="F794" s="8" t="inlineStr">
        <is>
          <t>1</t>
        </is>
      </c>
      <c r="G794" s="9" t="n">
        <v>807.98</v>
      </c>
      <c r="H794" s="8" t="inlineStr">
        <is>
          <t>0.1</t>
        </is>
      </c>
      <c r="I794" s="8" t="inlineStr">
        <is>
          <t>Standard Ground</t>
        </is>
      </c>
      <c r="J794" s="8" t="inlineStr">
        <is>
          <t>Direct Web</t>
        </is>
      </c>
      <c r="K794" s="8" t="inlineStr">
        <is>
          <t>REG-NA</t>
        </is>
      </c>
    </row>
    <row r="795">
      <c r="A795" s="8" t="inlineStr">
        <is>
          <t>ORD-000401</t>
        </is>
      </c>
      <c r="B795" s="8" t="inlineStr">
        <is>
          <t>2025-06-15</t>
        </is>
      </c>
      <c r="C795" s="8" t="inlineStr">
        <is>
          <t>CUST-00596</t>
        </is>
      </c>
      <c r="D795" s="8" t="inlineStr">
        <is>
          <t>Aaron Wood</t>
        </is>
      </c>
      <c r="E795" s="8" t="inlineStr">
        <is>
          <t>PRD-0393</t>
        </is>
      </c>
      <c r="F795" s="8" t="inlineStr">
        <is>
          <t>1</t>
        </is>
      </c>
      <c r="G795" s="9" t="n">
        <v>577.02</v>
      </c>
      <c r="H795" s="8" t="inlineStr">
        <is>
          <t>0.0</t>
        </is>
      </c>
      <c r="I795" s="8" t="inlineStr">
        <is>
          <t>Standard Ground</t>
        </is>
      </c>
      <c r="J795" s="8" t="inlineStr">
        <is>
          <t>Direct Web</t>
        </is>
      </c>
      <c r="K795" s="8" t="inlineStr">
        <is>
          <t>REG-NA</t>
        </is>
      </c>
    </row>
    <row r="796">
      <c r="A796" s="8" t="inlineStr">
        <is>
          <t>ORD-000401</t>
        </is>
      </c>
      <c r="B796" s="8" t="inlineStr">
        <is>
          <t>2025-06-15</t>
        </is>
      </c>
      <c r="C796" s="8" t="inlineStr">
        <is>
          <t>CUST-00596</t>
        </is>
      </c>
      <c r="D796" s="8" t="inlineStr">
        <is>
          <t>Aaron Wood</t>
        </is>
      </c>
      <c r="E796" s="8" t="inlineStr">
        <is>
          <t>PRD-0048</t>
        </is>
      </c>
      <c r="F796" s="8" t="inlineStr">
        <is>
          <t>8</t>
        </is>
      </c>
      <c r="G796" s="9" t="n">
        <v>39</v>
      </c>
      <c r="H796" s="8" t="inlineStr">
        <is>
          <t>0.1</t>
        </is>
      </c>
      <c r="I796" s="8" t="inlineStr">
        <is>
          <t>Standard Ground</t>
        </is>
      </c>
      <c r="J796" s="8" t="inlineStr">
        <is>
          <t>Direct Web</t>
        </is>
      </c>
      <c r="K796" s="8" t="inlineStr">
        <is>
          <t>REG-NA</t>
        </is>
      </c>
    </row>
    <row r="797">
      <c r="A797" s="8" t="inlineStr">
        <is>
          <t>ORD-000402</t>
        </is>
      </c>
      <c r="B797" s="8" t="inlineStr">
        <is>
          <t>2024-11-24</t>
        </is>
      </c>
      <c r="C797" s="8" t="inlineStr">
        <is>
          <t>CUST-01132</t>
        </is>
      </c>
      <c r="D797" s="8" t="inlineStr">
        <is>
          <t>Daniel Cook</t>
        </is>
      </c>
      <c r="E797" s="8" t="inlineStr">
        <is>
          <t>PRD-0415</t>
        </is>
      </c>
      <c r="F797" s="8" t="inlineStr">
        <is>
          <t>2</t>
        </is>
      </c>
      <c r="G797" s="9" t="n">
        <v>934.21</v>
      </c>
      <c r="H797" s="8" t="inlineStr">
        <is>
          <t>0.25</t>
        </is>
      </c>
      <c r="I797" s="8" t="inlineStr">
        <is>
          <t>Standard Ground</t>
        </is>
      </c>
      <c r="J797" s="8" t="inlineStr">
        <is>
          <t>Direct Web</t>
        </is>
      </c>
      <c r="K797" s="8" t="inlineStr">
        <is>
          <t>REG-LATAM</t>
        </is>
      </c>
    </row>
    <row r="798">
      <c r="A798" s="8" t="inlineStr">
        <is>
          <t>ORD-000403</t>
        </is>
      </c>
      <c r="B798" s="8" t="inlineStr">
        <is>
          <t>2025-11-25</t>
        </is>
      </c>
      <c r="C798" s="8" t="inlineStr">
        <is>
          <t>CUST-02300</t>
        </is>
      </c>
      <c r="D798" s="8" t="inlineStr">
        <is>
          <t>Carol James</t>
        </is>
      </c>
      <c r="E798" s="8" t="inlineStr">
        <is>
          <t>PRD-0389</t>
        </is>
      </c>
      <c r="F798" s="8" t="inlineStr">
        <is>
          <t>5</t>
        </is>
      </c>
      <c r="G798" s="9" t="n">
        <v>355.7</v>
      </c>
      <c r="H798" s="8" t="inlineStr">
        <is>
          <t>0.0</t>
        </is>
      </c>
      <c r="I798" s="8" t="inlineStr">
        <is>
          <t>Standard Ground</t>
        </is>
      </c>
      <c r="J798" s="8" t="inlineStr">
        <is>
          <t>Direct Web</t>
        </is>
      </c>
      <c r="K798" s="8" t="inlineStr">
        <is>
          <t>REG-NA</t>
        </is>
      </c>
    </row>
    <row r="799">
      <c r="A799" s="8" t="inlineStr">
        <is>
          <t>ORD-000403</t>
        </is>
      </c>
      <c r="B799" s="8" t="inlineStr">
        <is>
          <t>2025-11-25</t>
        </is>
      </c>
      <c r="C799" s="8" t="inlineStr">
        <is>
          <t>CUST-02300</t>
        </is>
      </c>
      <c r="D799" s="8" t="inlineStr">
        <is>
          <t>Carol James</t>
        </is>
      </c>
      <c r="E799" s="8" t="inlineStr">
        <is>
          <t>PRD-0438</t>
        </is>
      </c>
      <c r="F799" s="8" t="inlineStr">
        <is>
          <t>1</t>
        </is>
      </c>
      <c r="G799" s="9" t="n">
        <v>981</v>
      </c>
      <c r="H799" s="8" t="inlineStr">
        <is>
          <t>0.0</t>
        </is>
      </c>
      <c r="I799" s="8" t="inlineStr">
        <is>
          <t>Standard Ground</t>
        </is>
      </c>
      <c r="J799" s="8" t="inlineStr">
        <is>
          <t>Direct Web</t>
        </is>
      </c>
      <c r="K799" s="8" t="inlineStr">
        <is>
          <t>REG-NA</t>
        </is>
      </c>
    </row>
    <row r="800">
      <c r="A800" s="8" t="inlineStr">
        <is>
          <t>ORD-000403</t>
        </is>
      </c>
      <c r="B800" s="8" t="inlineStr">
        <is>
          <t>2025-11-25</t>
        </is>
      </c>
      <c r="C800" s="8" t="inlineStr">
        <is>
          <t>CUST-02300</t>
        </is>
      </c>
      <c r="D800" s="8" t="inlineStr">
        <is>
          <t>Carol James</t>
        </is>
      </c>
      <c r="E800" s="8" t="inlineStr">
        <is>
          <t>PRD-0241</t>
        </is>
      </c>
      <c r="F800" s="8" t="inlineStr">
        <is>
          <t>10</t>
        </is>
      </c>
      <c r="G800" s="9" t="n">
        <v>91.47</v>
      </c>
      <c r="H800" s="8" t="inlineStr">
        <is>
          <t>0.0</t>
        </is>
      </c>
      <c r="I800" s="8" t="inlineStr">
        <is>
          <t>Standard Ground</t>
        </is>
      </c>
      <c r="J800" s="8" t="inlineStr">
        <is>
          <t>Direct Web</t>
        </is>
      </c>
      <c r="K800" s="8" t="inlineStr">
        <is>
          <t>REG-NA</t>
        </is>
      </c>
    </row>
    <row r="801">
      <c r="A801" s="8" t="inlineStr">
        <is>
          <t>ORD-000404</t>
        </is>
      </c>
      <c r="B801" s="8" t="inlineStr">
        <is>
          <t>2025-01-22</t>
        </is>
      </c>
      <c r="C801" s="8" t="inlineStr">
        <is>
          <t>CUST-01184</t>
        </is>
      </c>
      <c r="D801" s="8" t="inlineStr">
        <is>
          <t>Susan Evans</t>
        </is>
      </c>
      <c r="E801" s="8" t="inlineStr">
        <is>
          <t>PRD-0203</t>
        </is>
      </c>
      <c r="F801" s="8" t="inlineStr">
        <is>
          <t>1</t>
        </is>
      </c>
      <c r="G801" s="9" t="n">
        <v>991.36</v>
      </c>
      <c r="H801" s="8" t="inlineStr">
        <is>
          <t>0.05</t>
        </is>
      </c>
      <c r="I801" s="8" t="inlineStr">
        <is>
          <t>Express Air</t>
        </is>
      </c>
      <c r="J801" s="8" t="inlineStr">
        <is>
          <t>Direct Web</t>
        </is>
      </c>
      <c r="K801" s="8" t="inlineStr">
        <is>
          <t>REG-NA</t>
        </is>
      </c>
    </row>
    <row r="802">
      <c r="A802" s="8" t="inlineStr">
        <is>
          <t>ORD-000405</t>
        </is>
      </c>
      <c r="B802" s="8" t="inlineStr">
        <is>
          <t>2023-03-23</t>
        </is>
      </c>
      <c r="C802" s="8" t="inlineStr">
        <is>
          <t>CUST-02261</t>
        </is>
      </c>
      <c r="D802" s="8" t="inlineStr">
        <is>
          <t>Janet Hall</t>
        </is>
      </c>
      <c r="E802" s="8" t="inlineStr">
        <is>
          <t>PRD-0391</t>
        </is>
      </c>
      <c r="F802" s="8" t="inlineStr">
        <is>
          <t>1</t>
        </is>
      </c>
      <c r="G802" s="9" t="n">
        <v>468.85</v>
      </c>
      <c r="H802" s="8" t="inlineStr">
        <is>
          <t>0.1</t>
        </is>
      </c>
      <c r="I802" s="8" t="inlineStr">
        <is>
          <t>Express Air</t>
        </is>
      </c>
      <c r="J802" s="8" t="inlineStr">
        <is>
          <t>B2B Portal</t>
        </is>
      </c>
      <c r="K802" s="8" t="inlineStr">
        <is>
          <t>REG-APAC</t>
        </is>
      </c>
    </row>
    <row r="803">
      <c r="A803" s="8" t="inlineStr">
        <is>
          <t>ORD-000405</t>
        </is>
      </c>
      <c r="B803" s="8" t="inlineStr">
        <is>
          <t>2023-03-23</t>
        </is>
      </c>
      <c r="C803" s="8" t="inlineStr">
        <is>
          <t>CUST-02261</t>
        </is>
      </c>
      <c r="D803" s="8" t="inlineStr">
        <is>
          <t>Janet Hall</t>
        </is>
      </c>
      <c r="E803" s="8" t="inlineStr">
        <is>
          <t>PRD-0489</t>
        </is>
      </c>
      <c r="F803" s="8" t="inlineStr">
        <is>
          <t>1</t>
        </is>
      </c>
      <c r="G803" s="9" t="n">
        <v>61.45</v>
      </c>
      <c r="H803" s="8" t="inlineStr">
        <is>
          <t>0.15</t>
        </is>
      </c>
      <c r="I803" s="8" t="inlineStr">
        <is>
          <t>Express Air</t>
        </is>
      </c>
      <c r="J803" s="8" t="inlineStr">
        <is>
          <t>B2B Portal</t>
        </is>
      </c>
      <c r="K803" s="8" t="inlineStr">
        <is>
          <t>REG-APAC</t>
        </is>
      </c>
    </row>
    <row r="804">
      <c r="A804" s="8" t="inlineStr">
        <is>
          <t>ORD-000405</t>
        </is>
      </c>
      <c r="B804" s="8" t="inlineStr">
        <is>
          <t>2023-03-23</t>
        </is>
      </c>
      <c r="C804" s="8" t="inlineStr">
        <is>
          <t>CUST-02261</t>
        </is>
      </c>
      <c r="D804" s="8" t="inlineStr">
        <is>
          <t>Janet Hall</t>
        </is>
      </c>
      <c r="E804" s="8" t="inlineStr">
        <is>
          <t>PRD-0341</t>
        </is>
      </c>
      <c r="F804" s="8" t="inlineStr">
        <is>
          <t>1</t>
        </is>
      </c>
      <c r="G804" s="9" t="n">
        <v>26.88</v>
      </c>
      <c r="H804" s="8" t="inlineStr">
        <is>
          <t>0.15</t>
        </is>
      </c>
      <c r="I804" s="8" t="inlineStr">
        <is>
          <t>Express Air</t>
        </is>
      </c>
      <c r="J804" s="8" t="inlineStr">
        <is>
          <t>B2B Portal</t>
        </is>
      </c>
      <c r="K804" s="8" t="inlineStr">
        <is>
          <t>REG-APAC</t>
        </is>
      </c>
    </row>
    <row r="805">
      <c r="A805" s="8" t="inlineStr">
        <is>
          <t>ORD-000406</t>
        </is>
      </c>
      <c r="B805" s="8" t="inlineStr">
        <is>
          <t>2025-12-10</t>
        </is>
      </c>
      <c r="C805" s="8" t="inlineStr">
        <is>
          <t>CUST-05924</t>
        </is>
      </c>
      <c r="D805" s="8" t="inlineStr">
        <is>
          <t>Larry King</t>
        </is>
      </c>
      <c r="E805" s="8" t="inlineStr">
        <is>
          <t>PRD-0305</t>
        </is>
      </c>
      <c r="F805" s="8" t="inlineStr">
        <is>
          <t>2</t>
        </is>
      </c>
      <c r="G805" s="9" t="n">
        <v>713.99</v>
      </c>
      <c r="H805" s="8" t="inlineStr">
        <is>
          <t>0.15</t>
        </is>
      </c>
      <c r="I805" s="8" t="inlineStr">
        <is>
          <t>Same-Day Priority</t>
        </is>
      </c>
      <c r="J805" s="8" t="inlineStr">
        <is>
          <t>Direct Web</t>
        </is>
      </c>
      <c r="K805" s="8" t="inlineStr">
        <is>
          <t>REG-EU</t>
        </is>
      </c>
    </row>
    <row r="806">
      <c r="A806" s="8" t="inlineStr">
        <is>
          <t>ORD-000406</t>
        </is>
      </c>
      <c r="B806" s="8" t="inlineStr">
        <is>
          <t>2025-12-10</t>
        </is>
      </c>
      <c r="C806" s="8" t="inlineStr">
        <is>
          <t>CUST-05924</t>
        </is>
      </c>
      <c r="D806" s="8" t="inlineStr">
        <is>
          <t>Larry King</t>
        </is>
      </c>
      <c r="E806" s="8" t="inlineStr">
        <is>
          <t>PRD-0068</t>
        </is>
      </c>
      <c r="F806" s="8" t="inlineStr">
        <is>
          <t>4</t>
        </is>
      </c>
      <c r="G806" s="9" t="n">
        <v>1340.27</v>
      </c>
      <c r="H806" s="8" t="inlineStr">
        <is>
          <t>0.05</t>
        </is>
      </c>
      <c r="I806" s="8" t="inlineStr">
        <is>
          <t>Same-Day Priority</t>
        </is>
      </c>
      <c r="J806" s="8" t="inlineStr">
        <is>
          <t>Direct Web</t>
        </is>
      </c>
      <c r="K806" s="8" t="inlineStr">
        <is>
          <t>REG-EU</t>
        </is>
      </c>
    </row>
    <row r="807">
      <c r="A807" s="8" t="inlineStr">
        <is>
          <t>ORD-000407</t>
        </is>
      </c>
      <c r="B807" s="8" t="inlineStr">
        <is>
          <t>2023-01-16</t>
        </is>
      </c>
      <c r="C807" s="8" t="inlineStr">
        <is>
          <t>CUST-03181</t>
        </is>
      </c>
      <c r="D807" s="8" t="inlineStr">
        <is>
          <t>Angela Flores</t>
        </is>
      </c>
      <c r="E807" s="8" t="inlineStr">
        <is>
          <t>PRD-0057</t>
        </is>
      </c>
      <c r="F807" s="8" t="inlineStr">
        <is>
          <t>2</t>
        </is>
      </c>
      <c r="G807" s="9" t="n">
        <v>1083.72</v>
      </c>
      <c r="H807" s="8" t="inlineStr">
        <is>
          <t>0.0</t>
        </is>
      </c>
      <c r="I807" s="8" t="inlineStr">
        <is>
          <t>Express Air</t>
        </is>
      </c>
      <c r="J807" s="8" t="inlineStr">
        <is>
          <t>B2B Portal</t>
        </is>
      </c>
      <c r="K807" s="8" t="inlineStr">
        <is>
          <t>REG-APAC</t>
        </is>
      </c>
    </row>
    <row r="808">
      <c r="A808" s="8" t="inlineStr">
        <is>
          <t>ORD-000408</t>
        </is>
      </c>
      <c r="B808" s="8" t="inlineStr">
        <is>
          <t>2025-07-26</t>
        </is>
      </c>
      <c r="C808" s="8" t="inlineStr">
        <is>
          <t>CUST-01695</t>
        </is>
      </c>
      <c r="D808" s="8" t="inlineStr">
        <is>
          <t>Gary Watson</t>
        </is>
      </c>
      <c r="E808" s="8" t="inlineStr">
        <is>
          <t>PRD-0465</t>
        </is>
      </c>
      <c r="F808" s="8" t="inlineStr">
        <is>
          <t>10</t>
        </is>
      </c>
      <c r="G808" s="9" t="n">
        <v>36.72</v>
      </c>
      <c r="H808" s="8" t="inlineStr">
        <is>
          <t>0.05</t>
        </is>
      </c>
      <c r="I808" s="8" t="inlineStr">
        <is>
          <t>Standard Ground</t>
        </is>
      </c>
      <c r="J808" s="8" t="inlineStr">
        <is>
          <t>Affiliate Partner</t>
        </is>
      </c>
      <c r="K808" s="8" t="inlineStr">
        <is>
          <t>REG-EU</t>
        </is>
      </c>
    </row>
    <row r="809">
      <c r="A809" s="8" t="inlineStr">
        <is>
          <t>ORD-000408</t>
        </is>
      </c>
      <c r="B809" s="8" t="inlineStr">
        <is>
          <t>2025-07-26</t>
        </is>
      </c>
      <c r="C809" s="8" t="inlineStr">
        <is>
          <t>CUST-01695</t>
        </is>
      </c>
      <c r="D809" s="8" t="inlineStr">
        <is>
          <t>Gary Watson</t>
        </is>
      </c>
      <c r="E809" s="8" t="inlineStr">
        <is>
          <t>PRD-0272</t>
        </is>
      </c>
      <c r="F809" s="8" t="inlineStr">
        <is>
          <t>1</t>
        </is>
      </c>
      <c r="G809" s="9" t="n">
        <v>109.11</v>
      </c>
      <c r="H809" s="8" t="inlineStr">
        <is>
          <t>0.05</t>
        </is>
      </c>
      <c r="I809" s="8" t="inlineStr">
        <is>
          <t>Standard Ground</t>
        </is>
      </c>
      <c r="J809" s="8" t="inlineStr">
        <is>
          <t>Affiliate Partner</t>
        </is>
      </c>
      <c r="K809" s="8" t="inlineStr">
        <is>
          <t>REG-EU</t>
        </is>
      </c>
    </row>
    <row r="810">
      <c r="A810" s="8" t="inlineStr">
        <is>
          <t>ORD-000409</t>
        </is>
      </c>
      <c r="B810" s="8" t="inlineStr">
        <is>
          <t>2023-09-03</t>
        </is>
      </c>
      <c r="C810" s="8" t="inlineStr">
        <is>
          <t>CUST-01678</t>
        </is>
      </c>
      <c r="D810" s="8" t="inlineStr">
        <is>
          <t>Nicole Kim</t>
        </is>
      </c>
      <c r="E810" s="8" t="inlineStr">
        <is>
          <t>PRD-0205</t>
        </is>
      </c>
      <c r="F810" s="8" t="inlineStr">
        <is>
          <t>1</t>
        </is>
      </c>
      <c r="G810" s="9" t="n">
        <v>385.35</v>
      </c>
      <c r="H810" s="8" t="inlineStr">
        <is>
          <t>0.05</t>
        </is>
      </c>
      <c r="I810" s="8" t="inlineStr">
        <is>
          <t>Standard Ground</t>
        </is>
      </c>
      <c r="J810" s="8" t="inlineStr">
        <is>
          <t>Mobile App</t>
        </is>
      </c>
      <c r="K810" s="8" t="inlineStr">
        <is>
          <t>REG-NA</t>
        </is>
      </c>
    </row>
    <row r="811">
      <c r="A811" s="8" t="inlineStr">
        <is>
          <t>ORD-000409</t>
        </is>
      </c>
      <c r="B811" s="8" t="inlineStr">
        <is>
          <t>2023-09-03</t>
        </is>
      </c>
      <c r="C811" s="8" t="inlineStr">
        <is>
          <t>CUST-01678</t>
        </is>
      </c>
      <c r="D811" s="8" t="inlineStr">
        <is>
          <t>Nicole Kim</t>
        </is>
      </c>
      <c r="E811" s="8" t="inlineStr">
        <is>
          <t>PRD-0400</t>
        </is>
      </c>
      <c r="F811" s="8" t="inlineStr">
        <is>
          <t>1</t>
        </is>
      </c>
      <c r="G811" s="9" t="n">
        <v>409.11</v>
      </c>
      <c r="H811" s="8" t="inlineStr">
        <is>
          <t>0.15</t>
        </is>
      </c>
      <c r="I811" s="8" t="inlineStr">
        <is>
          <t>Standard Ground</t>
        </is>
      </c>
      <c r="J811" s="8" t="inlineStr">
        <is>
          <t>Mobile App</t>
        </is>
      </c>
      <c r="K811" s="8" t="inlineStr">
        <is>
          <t>REG-NA</t>
        </is>
      </c>
    </row>
    <row r="812">
      <c r="A812" s="8" t="inlineStr">
        <is>
          <t>ORD-000409</t>
        </is>
      </c>
      <c r="B812" s="8" t="inlineStr">
        <is>
          <t>2023-09-03</t>
        </is>
      </c>
      <c r="C812" s="8" t="inlineStr">
        <is>
          <t>CUST-01678</t>
        </is>
      </c>
      <c r="D812" s="8" t="inlineStr">
        <is>
          <t>Nicole Kim</t>
        </is>
      </c>
      <c r="E812" s="8" t="inlineStr">
        <is>
          <t>PRD-0391</t>
        </is>
      </c>
      <c r="F812" s="8" t="inlineStr">
        <is>
          <t>2</t>
        </is>
      </c>
      <c r="G812" s="9" t="n">
        <v>468.85</v>
      </c>
      <c r="H812" s="8" t="inlineStr">
        <is>
          <t>0.0</t>
        </is>
      </c>
      <c r="I812" s="8" t="inlineStr">
        <is>
          <t>Standard Ground</t>
        </is>
      </c>
      <c r="J812" s="8" t="inlineStr">
        <is>
          <t>Mobile App</t>
        </is>
      </c>
      <c r="K812" s="8" t="inlineStr">
        <is>
          <t>REG-NA</t>
        </is>
      </c>
    </row>
    <row r="813">
      <c r="A813" s="8" t="inlineStr">
        <is>
          <t>ORD-000409</t>
        </is>
      </c>
      <c r="B813" s="8" t="inlineStr">
        <is>
          <t>2023-09-03</t>
        </is>
      </c>
      <c r="C813" s="8" t="inlineStr">
        <is>
          <t>CUST-01678</t>
        </is>
      </c>
      <c r="D813" s="8" t="inlineStr">
        <is>
          <t>Nicole Kim</t>
        </is>
      </c>
      <c r="E813" s="8" t="inlineStr">
        <is>
          <t>PRD-0317</t>
        </is>
      </c>
      <c r="F813" s="8" t="inlineStr">
        <is>
          <t>1</t>
        </is>
      </c>
      <c r="G813" s="9" t="n">
        <v>484.56</v>
      </c>
      <c r="H813" s="8" t="inlineStr">
        <is>
          <t>0.25</t>
        </is>
      </c>
      <c r="I813" s="8" t="inlineStr">
        <is>
          <t>Standard Ground</t>
        </is>
      </c>
      <c r="J813" s="8" t="inlineStr">
        <is>
          <t>Mobile App</t>
        </is>
      </c>
      <c r="K813" s="8" t="inlineStr">
        <is>
          <t>REG-NA</t>
        </is>
      </c>
    </row>
    <row r="814">
      <c r="A814" s="8" t="inlineStr">
        <is>
          <t>ORD-000410</t>
        </is>
      </c>
      <c r="B814" s="8" t="inlineStr">
        <is>
          <t>2024-08-30</t>
        </is>
      </c>
      <c r="C814" s="8" t="inlineStr">
        <is>
          <t>CUST-05205</t>
        </is>
      </c>
      <c r="D814" s="8" t="inlineStr">
        <is>
          <t>Kenneth Myers</t>
        </is>
      </c>
      <c r="E814" s="8" t="inlineStr">
        <is>
          <t>PRD-0084</t>
        </is>
      </c>
      <c r="F814" s="8" t="inlineStr">
        <is>
          <t>3</t>
        </is>
      </c>
      <c r="G814" s="9" t="n">
        <v>72.68000000000001</v>
      </c>
      <c r="H814" s="8" t="inlineStr">
        <is>
          <t>0.0</t>
        </is>
      </c>
      <c r="I814" s="8" t="inlineStr">
        <is>
          <t>Standard Ground</t>
        </is>
      </c>
      <c r="J814" s="8" t="inlineStr">
        <is>
          <t>Direct Web</t>
        </is>
      </c>
      <c r="K814" s="8" t="inlineStr">
        <is>
          <t>REG-NA</t>
        </is>
      </c>
    </row>
    <row r="815">
      <c r="A815" s="8" t="inlineStr">
        <is>
          <t>ORD-000410</t>
        </is>
      </c>
      <c r="B815" s="8" t="inlineStr">
        <is>
          <t>2024-08-30</t>
        </is>
      </c>
      <c r="C815" s="8" t="inlineStr">
        <is>
          <t>CUST-05205</t>
        </is>
      </c>
      <c r="D815" s="8" t="inlineStr">
        <is>
          <t>Kenneth Myers</t>
        </is>
      </c>
      <c r="E815" s="8" t="inlineStr">
        <is>
          <t>PRD-0457</t>
        </is>
      </c>
      <c r="F815" s="8" t="inlineStr">
        <is>
          <t>1</t>
        </is>
      </c>
      <c r="G815" s="9" t="n">
        <v>29.97</v>
      </c>
      <c r="H815" s="8" t="inlineStr">
        <is>
          <t>0.05</t>
        </is>
      </c>
      <c r="I815" s="8" t="inlineStr">
        <is>
          <t>Standard Ground</t>
        </is>
      </c>
      <c r="J815" s="8" t="inlineStr">
        <is>
          <t>Direct Web</t>
        </is>
      </c>
      <c r="K815" s="8" t="inlineStr">
        <is>
          <t>REG-NA</t>
        </is>
      </c>
    </row>
    <row r="816">
      <c r="A816" s="8" t="inlineStr">
        <is>
          <t>ORD-000410</t>
        </is>
      </c>
      <c r="B816" s="8" t="inlineStr">
        <is>
          <t>2024-08-30</t>
        </is>
      </c>
      <c r="C816" s="8" t="inlineStr">
        <is>
          <t>CUST-05205</t>
        </is>
      </c>
      <c r="D816" s="8" t="inlineStr">
        <is>
          <t>Kenneth Myers</t>
        </is>
      </c>
      <c r="E816" s="8" t="inlineStr">
        <is>
          <t>PRD-0286</t>
        </is>
      </c>
      <c r="F816" s="8" t="inlineStr">
        <is>
          <t>2</t>
        </is>
      </c>
      <c r="G816" s="9" t="n">
        <v>232.89</v>
      </c>
      <c r="H816" s="8" t="inlineStr">
        <is>
          <t>0.1</t>
        </is>
      </c>
      <c r="I816" s="8" t="inlineStr">
        <is>
          <t>Standard Ground</t>
        </is>
      </c>
      <c r="J816" s="8" t="inlineStr">
        <is>
          <t>Direct Web</t>
        </is>
      </c>
      <c r="K816" s="8" t="inlineStr">
        <is>
          <t>REG-NA</t>
        </is>
      </c>
    </row>
    <row r="817">
      <c r="A817" s="8" t="inlineStr">
        <is>
          <t>ORD-000411</t>
        </is>
      </c>
      <c r="B817" s="8" t="inlineStr">
        <is>
          <t>05-12-2024</t>
        </is>
      </c>
      <c r="C817" s="8" t="inlineStr">
        <is>
          <t>CUST-04904</t>
        </is>
      </c>
      <c r="D817" s="8" t="inlineStr">
        <is>
          <t>Mary Edwards</t>
        </is>
      </c>
      <c r="E817" s="8" t="inlineStr">
        <is>
          <t>PRD-0297</t>
        </is>
      </c>
      <c r="F817" s="8" t="inlineStr">
        <is>
          <t>1</t>
        </is>
      </c>
      <c r="G817" s="9" t="n">
        <v>47.74</v>
      </c>
      <c r="H817" s="8" t="inlineStr">
        <is>
          <t>0.0</t>
        </is>
      </c>
      <c r="I817" s="8" t="inlineStr">
        <is>
          <t>Same-Day Priority</t>
        </is>
      </c>
      <c r="J817" s="8" t="inlineStr">
        <is>
          <t>Mobile App</t>
        </is>
      </c>
      <c r="K817" s="8" t="inlineStr">
        <is>
          <t>REG-EU</t>
        </is>
      </c>
    </row>
    <row r="818">
      <c r="A818" s="8" t="inlineStr">
        <is>
          <t>ORD-000412</t>
        </is>
      </c>
      <c r="B818" s="8" t="inlineStr">
        <is>
          <t>2024-02-04</t>
        </is>
      </c>
      <c r="C818" s="8" t="inlineStr">
        <is>
          <t>CUST-03440</t>
        </is>
      </c>
      <c r="D818" s="8" t="inlineStr">
        <is>
          <t>Patrick Bennett</t>
        </is>
      </c>
      <c r="E818" s="8" t="inlineStr">
        <is>
          <t>PRD-0027</t>
        </is>
      </c>
      <c r="F818" s="8" t="inlineStr">
        <is>
          <t>2</t>
        </is>
      </c>
      <c r="G818" s="9" t="n">
        <v>11.1</v>
      </c>
      <c r="H818" s="8" t="inlineStr">
        <is>
          <t>0.0</t>
        </is>
      </c>
      <c r="I818" s="8" t="inlineStr">
        <is>
          <t>Standard Ground</t>
        </is>
      </c>
      <c r="J818" s="8" t="inlineStr">
        <is>
          <t>Mobile App</t>
        </is>
      </c>
      <c r="K818" s="8" t="inlineStr">
        <is>
          <t>REG-NA</t>
        </is>
      </c>
    </row>
    <row r="819">
      <c r="A819" s="8" t="inlineStr">
        <is>
          <t>ORD-000412</t>
        </is>
      </c>
      <c r="B819" s="8" t="inlineStr">
        <is>
          <t>2024-02-04</t>
        </is>
      </c>
      <c r="C819" s="8" t="inlineStr">
        <is>
          <t>CUST-03440</t>
        </is>
      </c>
      <c r="D819" s="8" t="inlineStr">
        <is>
          <t>Patrick Bennett</t>
        </is>
      </c>
      <c r="E819" s="8" t="inlineStr">
        <is>
          <t>PRD-0307</t>
        </is>
      </c>
      <c r="F819" s="8" t="inlineStr">
        <is>
          <t>-1</t>
        </is>
      </c>
      <c r="G819" s="9" t="n">
        <v>762.88</v>
      </c>
      <c r="H819" s="8" t="inlineStr">
        <is>
          <t>0.05</t>
        </is>
      </c>
      <c r="I819" s="8" t="inlineStr">
        <is>
          <t>Standard Ground</t>
        </is>
      </c>
      <c r="J819" s="8" t="inlineStr">
        <is>
          <t>Mobile App</t>
        </is>
      </c>
      <c r="K819" s="8" t="inlineStr">
        <is>
          <t>REG-NA</t>
        </is>
      </c>
    </row>
    <row r="820">
      <c r="A820" s="8" t="inlineStr">
        <is>
          <t>ORD-000412</t>
        </is>
      </c>
      <c r="B820" s="8" t="inlineStr">
        <is>
          <t>2024-02-04</t>
        </is>
      </c>
      <c r="C820" s="8" t="inlineStr">
        <is>
          <t>CUST-03440</t>
        </is>
      </c>
      <c r="D820" s="8" t="inlineStr">
        <is>
          <t>Patrick Bennett</t>
        </is>
      </c>
      <c r="E820" s="8" t="inlineStr">
        <is>
          <t>PRD-0351</t>
        </is>
      </c>
      <c r="F820" s="8" t="inlineStr">
        <is>
          <t>1</t>
        </is>
      </c>
      <c r="G820" s="9" t="n">
        <v>65.14</v>
      </c>
      <c r="H820" s="8" t="inlineStr">
        <is>
          <t>0.1</t>
        </is>
      </c>
      <c r="I820" s="8" t="inlineStr">
        <is>
          <t>Standard Ground</t>
        </is>
      </c>
      <c r="J820" s="8" t="inlineStr">
        <is>
          <t>Mobile App</t>
        </is>
      </c>
      <c r="K820" s="8" t="inlineStr">
        <is>
          <t>REG-NA</t>
        </is>
      </c>
    </row>
    <row r="821">
      <c r="A821" s="8" t="inlineStr">
        <is>
          <t>ORD-000413</t>
        </is>
      </c>
      <c r="B821" s="8" t="inlineStr">
        <is>
          <t>2025-05-09</t>
        </is>
      </c>
      <c r="C821" s="8" t="inlineStr">
        <is>
          <t>CUST-02033</t>
        </is>
      </c>
      <c r="D821" s="8" t="inlineStr">
        <is>
          <t>Jessica Gutierrez</t>
        </is>
      </c>
      <c r="E821" s="8" t="inlineStr">
        <is>
          <t>PRD-0407</t>
        </is>
      </c>
      <c r="F821" s="8" t="inlineStr">
        <is>
          <t>2</t>
        </is>
      </c>
      <c r="G821" s="9" t="n">
        <v>515.9299999999999</v>
      </c>
      <c r="H821" s="8" t="inlineStr">
        <is>
          <t>0.0</t>
        </is>
      </c>
      <c r="I821" s="8" t="inlineStr">
        <is>
          <t>Express Air</t>
        </is>
      </c>
      <c r="J821" s="8" t="inlineStr">
        <is>
          <t>Mobile App</t>
        </is>
      </c>
      <c r="K821" s="8" t="inlineStr">
        <is>
          <t>REG-NA</t>
        </is>
      </c>
    </row>
    <row r="822">
      <c r="A822" s="8" t="inlineStr">
        <is>
          <t>ORD-000413</t>
        </is>
      </c>
      <c r="B822" s="8" t="inlineStr">
        <is>
          <t>2025-05-09</t>
        </is>
      </c>
      <c r="C822" s="8" t="inlineStr">
        <is>
          <t>CUST-02033</t>
        </is>
      </c>
      <c r="D822" s="8" t="inlineStr">
        <is>
          <t>Jessica Gutierrez</t>
        </is>
      </c>
      <c r="E822" s="8" t="inlineStr">
        <is>
          <t>PRD-0126</t>
        </is>
      </c>
      <c r="F822" s="8" t="inlineStr">
        <is>
          <t>3</t>
        </is>
      </c>
      <c r="G822" s="9" t="n">
        <v>195.24</v>
      </c>
      <c r="H822" s="8" t="inlineStr">
        <is>
          <t>0.0</t>
        </is>
      </c>
      <c r="I822" s="8" t="inlineStr">
        <is>
          <t>Express Air</t>
        </is>
      </c>
      <c r="J822" s="8" t="inlineStr">
        <is>
          <t>Mobile App</t>
        </is>
      </c>
      <c r="K822" s="8" t="inlineStr">
        <is>
          <t>REG-NA</t>
        </is>
      </c>
    </row>
    <row r="823">
      <c r="A823" s="8" t="inlineStr">
        <is>
          <t>ORD-000414</t>
        </is>
      </c>
      <c r="B823" s="8" t="inlineStr">
        <is>
          <t>2025-03-25</t>
        </is>
      </c>
      <c r="C823" s="8" t="inlineStr">
        <is>
          <t>CUST-05345</t>
        </is>
      </c>
      <c r="D823" s="8" t="inlineStr">
        <is>
          <t>Sharon Miller</t>
        </is>
      </c>
      <c r="E823" s="8" t="inlineStr">
        <is>
          <t>PRD-0207</t>
        </is>
      </c>
      <c r="F823" s="8" t="inlineStr">
        <is>
          <t>1</t>
        </is>
      </c>
      <c r="G823" s="9" t="n">
        <v>1025.22</v>
      </c>
      <c r="H823" s="8" t="inlineStr">
        <is>
          <t>0.15</t>
        </is>
      </c>
      <c r="I823" s="8" t="inlineStr">
        <is>
          <t>Express Air</t>
        </is>
      </c>
      <c r="J823" s="8" t="inlineStr">
        <is>
          <t>Direct Web</t>
        </is>
      </c>
      <c r="K823" s="8" t="inlineStr">
        <is>
          <t>REG-APAC</t>
        </is>
      </c>
    </row>
    <row r="824">
      <c r="A824" s="8" t="inlineStr">
        <is>
          <t>ORD-000415</t>
        </is>
      </c>
      <c r="B824" s="8" t="inlineStr">
        <is>
          <t>2025-11-02</t>
        </is>
      </c>
      <c r="C824" s="8" t="inlineStr">
        <is>
          <t>CUST-05358</t>
        </is>
      </c>
      <c r="D824" s="8" t="inlineStr">
        <is>
          <t>John Garcia</t>
        </is>
      </c>
      <c r="E824" s="8" t="inlineStr">
        <is>
          <t>PRD-0391</t>
        </is>
      </c>
      <c r="F824" s="8" t="inlineStr">
        <is>
          <t>2</t>
        </is>
      </c>
      <c r="G824" s="9" t="n">
        <v>468.85</v>
      </c>
      <c r="H824" s="8" t="inlineStr">
        <is>
          <t>0.0</t>
        </is>
      </c>
      <c r="I824" s="8" t="inlineStr">
        <is>
          <t>Freight</t>
        </is>
      </c>
      <c r="J824" s="8" t="inlineStr">
        <is>
          <t>Direct Web</t>
        </is>
      </c>
      <c r="K824" s="8" t="inlineStr">
        <is>
          <t>REG-EU</t>
        </is>
      </c>
    </row>
    <row r="825">
      <c r="A825" s="8" t="inlineStr">
        <is>
          <t>ORD-000416</t>
        </is>
      </c>
      <c r="B825" s="8" t="inlineStr">
        <is>
          <t>2024-04-28</t>
        </is>
      </c>
      <c r="C825" s="8" t="inlineStr">
        <is>
          <t>CUST-00878</t>
        </is>
      </c>
      <c r="D825" s="8" t="inlineStr">
        <is>
          <t>Rachel Bailey</t>
        </is>
      </c>
      <c r="E825" s="8" t="inlineStr">
        <is>
          <t>PRD-0093</t>
        </is>
      </c>
      <c r="F825" s="8" t="inlineStr">
        <is>
          <t>1</t>
        </is>
      </c>
      <c r="G825" s="9" t="n">
        <v>1324.37</v>
      </c>
      <c r="H825" s="8" t="inlineStr">
        <is>
          <t>0.2</t>
        </is>
      </c>
      <c r="I825" s="8" t="inlineStr">
        <is>
          <t>Express Air</t>
        </is>
      </c>
      <c r="J825" s="8" t="inlineStr">
        <is>
          <t>Mobile App</t>
        </is>
      </c>
      <c r="K825" s="8" t="inlineStr">
        <is>
          <t>REG-EU</t>
        </is>
      </c>
    </row>
    <row r="826">
      <c r="A826" s="8" t="inlineStr">
        <is>
          <t>ORD-000417</t>
        </is>
      </c>
      <c r="B826" s="8" t="inlineStr">
        <is>
          <t>2025-06-01</t>
        </is>
      </c>
      <c r="C826" s="8" t="inlineStr">
        <is>
          <t>CUST-03319</t>
        </is>
      </c>
      <c r="D826" s="8" t="inlineStr">
        <is>
          <t>Carol Patel</t>
        </is>
      </c>
      <c r="E826" s="8" t="inlineStr">
        <is>
          <t>PRD-0233</t>
        </is>
      </c>
      <c r="F826" s="8" t="inlineStr">
        <is>
          <t>1</t>
        </is>
      </c>
      <c r="G826" s="9" t="n">
        <v>65.61</v>
      </c>
      <c r="H826" s="8" t="inlineStr">
        <is>
          <t>0.0</t>
        </is>
      </c>
      <c r="I826" s="8" t="inlineStr">
        <is>
          <t>Same-Day Priority</t>
        </is>
      </c>
      <c r="J826" s="8" t="inlineStr">
        <is>
          <t>Affiliate Partner</t>
        </is>
      </c>
      <c r="K826" s="8" t="inlineStr">
        <is>
          <t>REG-APAC</t>
        </is>
      </c>
    </row>
    <row r="827">
      <c r="A827" s="8" t="inlineStr">
        <is>
          <t>ORD-000417</t>
        </is>
      </c>
      <c r="B827" s="8" t="inlineStr">
        <is>
          <t>2025-06-01</t>
        </is>
      </c>
      <c r="C827" s="8" t="inlineStr">
        <is>
          <t>CUST-03319</t>
        </is>
      </c>
      <c r="D827" s="8" t="inlineStr">
        <is>
          <t>Carol Patel</t>
        </is>
      </c>
      <c r="E827" s="8" t="inlineStr">
        <is>
          <t>PRD-0124</t>
        </is>
      </c>
      <c r="F827" s="8" t="inlineStr">
        <is>
          <t>1</t>
        </is>
      </c>
      <c r="G827" s="9" t="n">
        <v>265.24</v>
      </c>
      <c r="H827" s="8" t="inlineStr">
        <is>
          <t>0.15</t>
        </is>
      </c>
      <c r="I827" s="8" t="inlineStr">
        <is>
          <t>Same-Day Priority</t>
        </is>
      </c>
      <c r="J827" s="8" t="inlineStr">
        <is>
          <t>Affiliate Partner</t>
        </is>
      </c>
      <c r="K827" s="8" t="inlineStr">
        <is>
          <t>REG-APAC</t>
        </is>
      </c>
    </row>
    <row r="828">
      <c r="A828" s="8" t="inlineStr">
        <is>
          <t>ORD-000418</t>
        </is>
      </c>
      <c r="B828" s="8" t="inlineStr">
        <is>
          <t>2024-07-21</t>
        </is>
      </c>
      <c r="C828" s="8" t="inlineStr">
        <is>
          <t>CUST-01480</t>
        </is>
      </c>
      <c r="D828" s="8" t="inlineStr">
        <is>
          <t>Jessica Young</t>
        </is>
      </c>
      <c r="E828" s="8" t="inlineStr">
        <is>
          <t>PRD-0222</t>
        </is>
      </c>
      <c r="F828" s="8" t="inlineStr">
        <is>
          <t>2</t>
        </is>
      </c>
      <c r="G828" s="9" t="n">
        <v>748.03</v>
      </c>
      <c r="H828" s="8" t="inlineStr">
        <is>
          <t>0.05</t>
        </is>
      </c>
      <c r="I828" s="8" t="inlineStr">
        <is>
          <t>Express Air</t>
        </is>
      </c>
      <c r="J828" s="8" t="inlineStr">
        <is>
          <t>Mobile App</t>
        </is>
      </c>
      <c r="K828" s="8" t="inlineStr">
        <is>
          <t>REG-NA</t>
        </is>
      </c>
    </row>
    <row r="829">
      <c r="A829" s="8" t="inlineStr">
        <is>
          <t>ORD-000419</t>
        </is>
      </c>
      <c r="B829" s="8" t="inlineStr">
        <is>
          <t>2025-11-17</t>
        </is>
      </c>
      <c r="C829" s="8" t="inlineStr">
        <is>
          <t>CUST-06533</t>
        </is>
      </c>
      <c r="D829" s="8" t="inlineStr">
        <is>
          <t>Mark Flores</t>
        </is>
      </c>
      <c r="E829" s="8" t="inlineStr">
        <is>
          <t>PRD-0467</t>
        </is>
      </c>
      <c r="F829" s="8" t="inlineStr">
        <is>
          <t>1</t>
        </is>
      </c>
      <c r="G829" s="9" t="n">
        <v>976.54</v>
      </c>
      <c r="H829" s="8" t="inlineStr">
        <is>
          <t>0.1</t>
        </is>
      </c>
      <c r="I829" s="8" t="inlineStr">
        <is>
          <t>Standard Ground</t>
        </is>
      </c>
      <c r="J829" s="8" t="inlineStr">
        <is>
          <t>Direct Web</t>
        </is>
      </c>
      <c r="K829" s="8" t="inlineStr">
        <is>
          <t>REG-NA</t>
        </is>
      </c>
    </row>
    <row r="830">
      <c r="A830" s="8" t="inlineStr">
        <is>
          <t>ORD-000420</t>
        </is>
      </c>
      <c r="B830" s="8" t="inlineStr">
        <is>
          <t>2024-02-20</t>
        </is>
      </c>
      <c r="C830" s="8" t="inlineStr">
        <is>
          <t>CUST-03206</t>
        </is>
      </c>
      <c r="D830" s="8" t="inlineStr">
        <is>
          <t>Melissa Morales</t>
        </is>
      </c>
      <c r="E830" s="8" t="inlineStr">
        <is>
          <t>PRD-0050</t>
        </is>
      </c>
      <c r="F830" s="8" t="inlineStr">
        <is>
          <t>2</t>
        </is>
      </c>
      <c r="G830" s="9" t="n">
        <v>73.2</v>
      </c>
      <c r="H830" s="8" t="inlineStr">
        <is>
          <t>0.05</t>
        </is>
      </c>
      <c r="I830" s="8" t="inlineStr">
        <is>
          <t>Standard Ground</t>
        </is>
      </c>
      <c r="J830" s="8" t="inlineStr">
        <is>
          <t>Affiliate Partner</t>
        </is>
      </c>
      <c r="K830" s="8" t="inlineStr">
        <is>
          <t>REG-NA</t>
        </is>
      </c>
    </row>
    <row r="831">
      <c r="A831" s="8" t="inlineStr">
        <is>
          <t>ORD-000420</t>
        </is>
      </c>
      <c r="B831" s="8" t="inlineStr">
        <is>
          <t>2024-02-20</t>
        </is>
      </c>
      <c r="C831" s="8" t="inlineStr">
        <is>
          <t>CUST-03206</t>
        </is>
      </c>
      <c r="D831" s="8" t="inlineStr">
        <is>
          <t>Melissa Morales</t>
        </is>
      </c>
      <c r="E831" s="8" t="inlineStr">
        <is>
          <t>PRD-0291</t>
        </is>
      </c>
      <c r="F831" s="8" t="inlineStr">
        <is>
          <t>10</t>
        </is>
      </c>
      <c r="G831" s="9" t="n">
        <v>52.44</v>
      </c>
      <c r="H831" s="8" t="inlineStr">
        <is>
          <t>0.0</t>
        </is>
      </c>
      <c r="I831" s="8" t="inlineStr">
        <is>
          <t>Standard Ground</t>
        </is>
      </c>
      <c r="J831" s="8" t="inlineStr">
        <is>
          <t>Affiliate Partner</t>
        </is>
      </c>
      <c r="K831" s="8" t="inlineStr">
        <is>
          <t>REG-NA</t>
        </is>
      </c>
    </row>
    <row r="832">
      <c r="A832" s="8" t="inlineStr">
        <is>
          <t>ORD-000420</t>
        </is>
      </c>
      <c r="B832" s="8" t="inlineStr">
        <is>
          <t>2024-02-20</t>
        </is>
      </c>
      <c r="C832" s="8" t="inlineStr">
        <is>
          <t>CUST-03206</t>
        </is>
      </c>
      <c r="D832" s="8" t="inlineStr">
        <is>
          <t>Melissa Morales</t>
        </is>
      </c>
      <c r="E832" s="8" t="inlineStr">
        <is>
          <t>PRD-0336</t>
        </is>
      </c>
      <c r="F832" s="8" t="inlineStr">
        <is>
          <t>1</t>
        </is>
      </c>
      <c r="G832" s="9" t="n">
        <v>216.76</v>
      </c>
      <c r="H832" s="8" t="inlineStr">
        <is>
          <t>0.0</t>
        </is>
      </c>
      <c r="I832" s="8" t="inlineStr">
        <is>
          <t>Standard Ground</t>
        </is>
      </c>
      <c r="J832" s="8" t="inlineStr">
        <is>
          <t>Affiliate Partner</t>
        </is>
      </c>
      <c r="K832" s="8" t="inlineStr">
        <is>
          <t>REG-NA</t>
        </is>
      </c>
    </row>
    <row r="833">
      <c r="A833" s="8" t="inlineStr">
        <is>
          <t>ORD-000421</t>
        </is>
      </c>
      <c r="B833" s="8" t="inlineStr">
        <is>
          <t>2024-02-27</t>
        </is>
      </c>
      <c r="C833" s="8" t="inlineStr">
        <is>
          <t>CUST-05785</t>
        </is>
      </c>
      <c r="D833" s="8" t="inlineStr">
        <is>
          <t>Patricia Martinez</t>
        </is>
      </c>
      <c r="E833" s="8" t="inlineStr">
        <is>
          <t>PRD-0259</t>
        </is>
      </c>
      <c r="F833" s="8" t="inlineStr">
        <is>
          <t>2</t>
        </is>
      </c>
      <c r="G833" s="9" t="n">
        <v>427.15</v>
      </c>
      <c r="H833" s="8" t="inlineStr">
        <is>
          <t>0.1</t>
        </is>
      </c>
      <c r="I833" s="8" t="inlineStr">
        <is>
          <t>Standard Ground</t>
        </is>
      </c>
      <c r="J833" s="8" t="inlineStr">
        <is>
          <t>Mobile App</t>
        </is>
      </c>
      <c r="K833" s="8" t="inlineStr">
        <is>
          <t>REG-NA</t>
        </is>
      </c>
    </row>
    <row r="834">
      <c r="A834" s="8" t="inlineStr">
        <is>
          <t>ORD-000422</t>
        </is>
      </c>
      <c r="B834" s="8" t="inlineStr">
        <is>
          <t>2025-07-23</t>
        </is>
      </c>
      <c r="C834" s="8" t="inlineStr">
        <is>
          <t>CUST-06958</t>
        </is>
      </c>
      <c r="D834" s="8" t="inlineStr">
        <is>
          <t>Gregory Peterson</t>
        </is>
      </c>
      <c r="E834" s="8" t="inlineStr">
        <is>
          <t>PRD-0085</t>
        </is>
      </c>
      <c r="F834" s="8" t="inlineStr">
        <is>
          <t>3</t>
        </is>
      </c>
      <c r="G834" s="9" t="n">
        <v>202.1</v>
      </c>
      <c r="H834" s="8" t="inlineStr">
        <is>
          <t>0.1</t>
        </is>
      </c>
      <c r="I834" s="8" t="inlineStr">
        <is>
          <t>Standard Ground</t>
        </is>
      </c>
      <c r="J834" s="8" t="inlineStr">
        <is>
          <t>Affiliate Partner</t>
        </is>
      </c>
      <c r="K834" s="8" t="inlineStr">
        <is>
          <t>REG-APAC</t>
        </is>
      </c>
    </row>
    <row r="835">
      <c r="A835" s="8" t="inlineStr">
        <is>
          <t>ORD-000423</t>
        </is>
      </c>
      <c r="B835" s="8" t="inlineStr">
        <is>
          <t>2024-10-28</t>
        </is>
      </c>
      <c r="C835" s="8" t="inlineStr">
        <is>
          <t>CUST-02801</t>
        </is>
      </c>
      <c r="D835" s="8" t="inlineStr">
        <is>
          <t>Melissa Sanders</t>
        </is>
      </c>
      <c r="E835" s="8" t="inlineStr">
        <is>
          <t>PRD-0173</t>
        </is>
      </c>
      <c r="F835" s="8" t="inlineStr">
        <is>
          <t>1</t>
        </is>
      </c>
      <c r="G835" s="9" t="n">
        <v>62.36</v>
      </c>
      <c r="H835" s="8" t="inlineStr">
        <is>
          <t>0.0</t>
        </is>
      </c>
      <c r="I835" s="8" t="inlineStr">
        <is>
          <t>Standard Ground</t>
        </is>
      </c>
      <c r="J835" s="8" t="inlineStr">
        <is>
          <t>Affiliate Partner</t>
        </is>
      </c>
      <c r="K835" s="8" t="inlineStr">
        <is>
          <t>REG-LATAM</t>
        </is>
      </c>
    </row>
    <row r="836">
      <c r="A836" s="8" t="inlineStr">
        <is>
          <t>ORD-000423</t>
        </is>
      </c>
      <c r="B836" s="8" t="inlineStr">
        <is>
          <t>2024-10-28</t>
        </is>
      </c>
      <c r="C836" s="8" t="inlineStr">
        <is>
          <t>CUST-02801</t>
        </is>
      </c>
      <c r="D836" s="8" t="inlineStr">
        <is>
          <t>Melissa Sanders</t>
        </is>
      </c>
      <c r="E836" s="8" t="inlineStr">
        <is>
          <t>PRD-0143</t>
        </is>
      </c>
      <c r="F836" s="8" t="inlineStr">
        <is>
          <t>1</t>
        </is>
      </c>
      <c r="G836" s="9" t="n">
        <v>359.58</v>
      </c>
      <c r="H836" s="8" t="inlineStr">
        <is>
          <t>0.05</t>
        </is>
      </c>
      <c r="I836" s="8" t="inlineStr">
        <is>
          <t>Standard Ground</t>
        </is>
      </c>
      <c r="J836" s="8" t="inlineStr">
        <is>
          <t>Affiliate Partner</t>
        </is>
      </c>
      <c r="K836" s="8" t="inlineStr">
        <is>
          <t>REG-LATAM</t>
        </is>
      </c>
    </row>
    <row r="837">
      <c r="A837" s="8" t="inlineStr">
        <is>
          <t>ORD-000423</t>
        </is>
      </c>
      <c r="B837" s="8" t="inlineStr">
        <is>
          <t>2024-10-28</t>
        </is>
      </c>
      <c r="C837" s="8" t="inlineStr">
        <is>
          <t>CUST-02801</t>
        </is>
      </c>
      <c r="D837" s="8" t="inlineStr">
        <is>
          <t>Melissa Sanders</t>
        </is>
      </c>
      <c r="E837" s="8" t="inlineStr">
        <is>
          <t>PRD-0279</t>
        </is>
      </c>
      <c r="F837" s="8" t="inlineStr">
        <is>
          <t>1</t>
        </is>
      </c>
      <c r="G837" s="9" t="n">
        <v>783.46</v>
      </c>
      <c r="H837" s="8" t="inlineStr">
        <is>
          <t>0.0</t>
        </is>
      </c>
      <c r="I837" s="8" t="inlineStr">
        <is>
          <t>Standard Ground</t>
        </is>
      </c>
      <c r="J837" s="8" t="inlineStr">
        <is>
          <t>Affiliate Partner</t>
        </is>
      </c>
      <c r="K837" s="8" t="inlineStr">
        <is>
          <t>REG-LATAM</t>
        </is>
      </c>
    </row>
    <row r="838">
      <c r="A838" s="8" t="inlineStr">
        <is>
          <t>ORD-000424</t>
        </is>
      </c>
      <c r="B838" s="8" t="inlineStr">
        <is>
          <t>2024-10-19</t>
        </is>
      </c>
      <c r="C838" s="8" t="inlineStr">
        <is>
          <t>CUST-05799</t>
        </is>
      </c>
      <c r="D838" s="8" t="inlineStr">
        <is>
          <t>George Carter</t>
        </is>
      </c>
      <c r="E838" s="8" t="inlineStr">
        <is>
          <t>PRD-0389</t>
        </is>
      </c>
      <c r="F838" s="8" t="inlineStr">
        <is>
          <t>2</t>
        </is>
      </c>
      <c r="G838" s="9" t="n">
        <v>355.7</v>
      </c>
      <c r="H838" s="8" t="inlineStr">
        <is>
          <t>0.0</t>
        </is>
      </c>
      <c r="I838" s="8" t="inlineStr">
        <is>
          <t>Standard Ground</t>
        </is>
      </c>
      <c r="J838" s="8" t="inlineStr">
        <is>
          <t>Direct Web</t>
        </is>
      </c>
      <c r="K838" s="8" t="inlineStr">
        <is>
          <t>REG-EU</t>
        </is>
      </c>
    </row>
    <row r="839">
      <c r="A839" s="8" t="inlineStr">
        <is>
          <t>ORD-000424</t>
        </is>
      </c>
      <c r="B839" s="8" t="inlineStr">
        <is>
          <t>2024-10-19</t>
        </is>
      </c>
      <c r="C839" s="8" t="inlineStr">
        <is>
          <t>CUST-05799</t>
        </is>
      </c>
      <c r="D839" s="8" t="inlineStr">
        <is>
          <t>George Carter</t>
        </is>
      </c>
      <c r="E839" s="8" t="inlineStr">
        <is>
          <t>PRD-0419</t>
        </is>
      </c>
      <c r="F839" s="8" t="inlineStr">
        <is>
          <t>1</t>
        </is>
      </c>
      <c r="G839" s="9" t="n">
        <v>113.66</v>
      </c>
      <c r="H839" s="8" t="inlineStr">
        <is>
          <t>0.1</t>
        </is>
      </c>
      <c r="I839" s="8" t="inlineStr">
        <is>
          <t>Standard Ground</t>
        </is>
      </c>
      <c r="J839" s="8" t="inlineStr">
        <is>
          <t>Direct Web</t>
        </is>
      </c>
      <c r="K839" s="8" t="inlineStr">
        <is>
          <t>REG-EU</t>
        </is>
      </c>
    </row>
    <row r="840">
      <c r="A840" s="8" t="inlineStr">
        <is>
          <t>ORD-000425</t>
        </is>
      </c>
      <c r="B840" s="8" t="inlineStr">
        <is>
          <t>2024-07-23</t>
        </is>
      </c>
      <c r="C840" s="8" t="inlineStr">
        <is>
          <t>CUST-02455</t>
        </is>
      </c>
      <c r="D840" s="8" t="inlineStr">
        <is>
          <t>Debra King</t>
        </is>
      </c>
      <c r="E840" s="8" t="inlineStr">
        <is>
          <t>PRD-0286</t>
        </is>
      </c>
      <c r="F840" s="8" t="inlineStr">
        <is>
          <t>1</t>
        </is>
      </c>
      <c r="G840" s="9" t="n">
        <v>232.89</v>
      </c>
      <c r="H840" s="8" t="inlineStr">
        <is>
          <t>0.05</t>
        </is>
      </c>
      <c r="I840" s="8" t="inlineStr">
        <is>
          <t>Standard Ground</t>
        </is>
      </c>
      <c r="J840" s="8" t="inlineStr">
        <is>
          <t>Direct Web</t>
        </is>
      </c>
      <c r="K840" s="8" t="inlineStr">
        <is>
          <t>REG-EU</t>
        </is>
      </c>
    </row>
    <row r="841">
      <c r="A841" s="8" t="inlineStr">
        <is>
          <t>ORD-000425</t>
        </is>
      </c>
      <c r="B841" s="8" t="inlineStr">
        <is>
          <t>2024-07-23</t>
        </is>
      </c>
      <c r="C841" s="8" t="inlineStr">
        <is>
          <t>CUST-02455</t>
        </is>
      </c>
      <c r="D841" s="8" t="inlineStr">
        <is>
          <t>Debra King</t>
        </is>
      </c>
      <c r="E841" s="8" t="inlineStr">
        <is>
          <t>PRD-0381</t>
        </is>
      </c>
      <c r="F841" s="8" t="inlineStr">
        <is>
          <t>1</t>
        </is>
      </c>
      <c r="G841" s="9" t="n">
        <v>321.45</v>
      </c>
      <c r="H841" s="8" t="inlineStr">
        <is>
          <t>0.1</t>
        </is>
      </c>
      <c r="I841" s="8" t="inlineStr">
        <is>
          <t>Standard Ground</t>
        </is>
      </c>
      <c r="J841" s="8" t="inlineStr">
        <is>
          <t>Direct Web</t>
        </is>
      </c>
      <c r="K841" s="8" t="inlineStr">
        <is>
          <t>REG-EU</t>
        </is>
      </c>
    </row>
    <row r="842">
      <c r="A842" s="8" t="inlineStr">
        <is>
          <t>ORD-000426</t>
        </is>
      </c>
      <c r="B842" s="8" t="inlineStr">
        <is>
          <t>2025-02-08</t>
        </is>
      </c>
      <c r="C842" s="8" t="inlineStr">
        <is>
          <t>CUST-01346</t>
        </is>
      </c>
      <c r="D842" s="8" t="inlineStr">
        <is>
          <t>Jessica Martin</t>
        </is>
      </c>
      <c r="E842" s="8" t="inlineStr">
        <is>
          <t>PRD-0243</t>
        </is>
      </c>
      <c r="F842" s="8" t="inlineStr">
        <is>
          <t>1</t>
        </is>
      </c>
      <c r="G842" s="9" t="n">
        <v>510.81</v>
      </c>
      <c r="H842" s="8" t="inlineStr">
        <is>
          <t>0.05</t>
        </is>
      </c>
      <c r="I842" s="8" t="inlineStr">
        <is>
          <t>Express Air</t>
        </is>
      </c>
      <c r="J842" s="8" t="inlineStr">
        <is>
          <t>Mobile App</t>
        </is>
      </c>
      <c r="K842" s="8" t="inlineStr">
        <is>
          <t>REG-NA</t>
        </is>
      </c>
    </row>
    <row r="843">
      <c r="A843" s="8" t="inlineStr">
        <is>
          <t>ORD-000427</t>
        </is>
      </c>
      <c r="B843" s="8" t="inlineStr">
        <is>
          <t>2024-04-26</t>
        </is>
      </c>
      <c r="C843" s="8" t="inlineStr">
        <is>
          <t>CUST-01631</t>
        </is>
      </c>
      <c r="D843" s="8" t="inlineStr">
        <is>
          <t>Margaret Evans</t>
        </is>
      </c>
      <c r="E843" s="8" t="inlineStr">
        <is>
          <t>PRD-0459</t>
        </is>
      </c>
      <c r="F843" s="8" t="inlineStr">
        <is>
          <t>1</t>
        </is>
      </c>
      <c r="G843" s="9" t="n">
        <v>55.95</v>
      </c>
      <c r="H843" s="8" t="inlineStr">
        <is>
          <t>0.0</t>
        </is>
      </c>
      <c r="I843" s="8" t="inlineStr">
        <is>
          <t>Standard Ground</t>
        </is>
      </c>
      <c r="J843" s="8" t="inlineStr">
        <is>
          <t>Direct Web</t>
        </is>
      </c>
      <c r="K843" s="8" t="inlineStr">
        <is>
          <t>REG-EU</t>
        </is>
      </c>
    </row>
    <row r="844">
      <c r="A844" s="8" t="inlineStr">
        <is>
          <t>ORD-000428</t>
        </is>
      </c>
      <c r="B844" s="8" t="inlineStr">
        <is>
          <t>2025-01-11</t>
        </is>
      </c>
      <c r="C844" s="8" t="inlineStr">
        <is>
          <t>CUST-04431</t>
        </is>
      </c>
      <c r="D844" s="8" t="inlineStr">
        <is>
          <t>John Ramos</t>
        </is>
      </c>
      <c r="E844" s="8" t="inlineStr">
        <is>
          <t>PRD-0124</t>
        </is>
      </c>
      <c r="F844" s="8" t="inlineStr">
        <is>
          <t>3</t>
        </is>
      </c>
      <c r="G844" s="9" t="n">
        <v>265.24</v>
      </c>
      <c r="H844" s="8" t="inlineStr">
        <is>
          <t>0.0</t>
        </is>
      </c>
      <c r="I844" s="8" t="inlineStr">
        <is>
          <t>Express Air</t>
        </is>
      </c>
      <c r="J844" s="8" t="inlineStr">
        <is>
          <t>Direct Web</t>
        </is>
      </c>
      <c r="K844" s="8" t="inlineStr">
        <is>
          <t>REG-NA</t>
        </is>
      </c>
    </row>
    <row r="845">
      <c r="A845" s="8" t="inlineStr">
        <is>
          <t>ORD-000428</t>
        </is>
      </c>
      <c r="B845" s="8" t="inlineStr">
        <is>
          <t>2025-01-11</t>
        </is>
      </c>
      <c r="C845" s="8" t="inlineStr">
        <is>
          <t>CUST-04431</t>
        </is>
      </c>
      <c r="D845" s="8" t="inlineStr">
        <is>
          <t>John Ramos</t>
        </is>
      </c>
      <c r="E845" s="8" t="inlineStr">
        <is>
          <t>PRD-0341</t>
        </is>
      </c>
      <c r="F845" s="8" t="inlineStr">
        <is>
          <t>3</t>
        </is>
      </c>
      <c r="G845" s="9" t="n">
        <v>26.88</v>
      </c>
      <c r="H845" s="8" t="inlineStr">
        <is>
          <t>0.0</t>
        </is>
      </c>
      <c r="I845" s="8" t="inlineStr">
        <is>
          <t>Express Air</t>
        </is>
      </c>
      <c r="J845" s="8" t="inlineStr">
        <is>
          <t>Direct Web</t>
        </is>
      </c>
      <c r="K845" s="8" t="inlineStr">
        <is>
          <t>REG-NA</t>
        </is>
      </c>
    </row>
    <row r="846">
      <c r="A846" s="8" t="inlineStr">
        <is>
          <t>ORD-000429</t>
        </is>
      </c>
      <c r="B846" s="8" t="inlineStr">
        <is>
          <t>2023-07-11</t>
        </is>
      </c>
      <c r="C846" s="8" t="inlineStr">
        <is>
          <t>CUST-06626</t>
        </is>
      </c>
      <c r="D846" s="8" t="inlineStr">
        <is>
          <t>Edward Nguyen</t>
        </is>
      </c>
      <c r="E846" s="8" t="inlineStr">
        <is>
          <t>PRD-0407</t>
        </is>
      </c>
      <c r="F846" s="8" t="inlineStr">
        <is>
          <t>1</t>
        </is>
      </c>
      <c r="G846" s="9" t="n">
        <v>515.9299999999999</v>
      </c>
      <c r="H846" s="8" t="inlineStr">
        <is>
          <t>0.2</t>
        </is>
      </c>
      <c r="I846" s="8" t="inlineStr">
        <is>
          <t>Standard Ground</t>
        </is>
      </c>
      <c r="J846" s="8" t="inlineStr">
        <is>
          <t>Affiliate Partner</t>
        </is>
      </c>
      <c r="K846" s="8" t="inlineStr">
        <is>
          <t>REG-NA</t>
        </is>
      </c>
    </row>
    <row r="847">
      <c r="A847" s="8" t="inlineStr">
        <is>
          <t>ORD-000429</t>
        </is>
      </c>
      <c r="B847" s="8" t="inlineStr">
        <is>
          <t>2023-07-11</t>
        </is>
      </c>
      <c r="C847" s="8" t="inlineStr">
        <is>
          <t>CUST-06626</t>
        </is>
      </c>
      <c r="D847" s="8" t="inlineStr">
        <is>
          <t>Edward Nguyen</t>
        </is>
      </c>
      <c r="E847" s="8" t="inlineStr">
        <is>
          <t>PRD-0122</t>
        </is>
      </c>
      <c r="F847" s="8" t="inlineStr">
        <is>
          <t>1</t>
        </is>
      </c>
      <c r="G847" s="9" t="n">
        <v>15.21</v>
      </c>
      <c r="H847" s="8" t="inlineStr">
        <is>
          <t>0.05</t>
        </is>
      </c>
      <c r="I847" s="8" t="inlineStr">
        <is>
          <t>Standard Ground</t>
        </is>
      </c>
      <c r="J847" s="8" t="inlineStr">
        <is>
          <t>Affiliate Partner</t>
        </is>
      </c>
      <c r="K847" s="8" t="inlineStr">
        <is>
          <t>REG-NA</t>
        </is>
      </c>
    </row>
    <row r="848">
      <c r="A848" s="8" t="inlineStr">
        <is>
          <t>ORD-000429</t>
        </is>
      </c>
      <c r="B848" s="8" t="inlineStr">
        <is>
          <t>2023-07-11</t>
        </is>
      </c>
      <c r="C848" s="8" t="inlineStr">
        <is>
          <t>CUST-06626</t>
        </is>
      </c>
      <c r="D848" s="8" t="inlineStr">
        <is>
          <t>Edward Nguyen</t>
        </is>
      </c>
      <c r="E848" s="8" t="inlineStr">
        <is>
          <t>PRD-0345</t>
        </is>
      </c>
      <c r="F848" s="8" t="inlineStr">
        <is>
          <t>1</t>
        </is>
      </c>
      <c r="G848" s="9" t="n">
        <v>59.07</v>
      </c>
      <c r="H848" s="8" t="inlineStr">
        <is>
          <t>0.15</t>
        </is>
      </c>
      <c r="I848" s="8" t="inlineStr">
        <is>
          <t>Standard Ground</t>
        </is>
      </c>
      <c r="J848" s="8" t="inlineStr">
        <is>
          <t>Affiliate Partner</t>
        </is>
      </c>
      <c r="K848" s="8" t="inlineStr">
        <is>
          <t>REG-NA</t>
        </is>
      </c>
    </row>
    <row r="849">
      <c r="A849" s="8" t="inlineStr">
        <is>
          <t>ORD-000430</t>
        </is>
      </c>
      <c r="B849" s="8" t="inlineStr">
        <is>
          <t>10/11/2023</t>
        </is>
      </c>
      <c r="C849" s="8" t="inlineStr">
        <is>
          <t>CUST-04965</t>
        </is>
      </c>
      <c r="D849" s="8" t="inlineStr">
        <is>
          <t>Edward Gonzalez</t>
        </is>
      </c>
      <c r="E849" s="8" t="inlineStr">
        <is>
          <t>PRD-0361</t>
        </is>
      </c>
      <c r="F849" s="8" t="inlineStr">
        <is>
          <t>1</t>
        </is>
      </c>
      <c r="G849" s="9" t="n">
        <v>13.14</v>
      </c>
      <c r="H849" s="8" t="inlineStr">
        <is>
          <t>0%</t>
        </is>
      </c>
      <c r="I849" s="8" t="inlineStr">
        <is>
          <t>Freight</t>
        </is>
      </c>
      <c r="J849" s="8" t="inlineStr">
        <is>
          <t>B2B Portal</t>
        </is>
      </c>
      <c r="K849" s="8" t="inlineStr">
        <is>
          <t>REG-LATAM</t>
        </is>
      </c>
    </row>
    <row r="850">
      <c r="A850" s="8" t="inlineStr">
        <is>
          <t>ORD-000430</t>
        </is>
      </c>
      <c r="B850" s="8" t="inlineStr">
        <is>
          <t>10/11/2023</t>
        </is>
      </c>
      <c r="C850" s="8" t="inlineStr">
        <is>
          <t>CUST-04965</t>
        </is>
      </c>
      <c r="D850" s="8" t="inlineStr">
        <is>
          <t>Edward Gonzalez</t>
        </is>
      </c>
      <c r="E850" s="8" t="inlineStr">
        <is>
          <t>PRD-0253</t>
        </is>
      </c>
      <c r="F850" s="8" t="inlineStr">
        <is>
          <t>2</t>
        </is>
      </c>
      <c r="G850" s="9" t="n">
        <v>514.9400000000001</v>
      </c>
      <c r="H850" s="8" t="inlineStr">
        <is>
          <t>0.1</t>
        </is>
      </c>
      <c r="I850" s="8" t="inlineStr">
        <is>
          <t>Freight</t>
        </is>
      </c>
      <c r="J850" s="8" t="inlineStr">
        <is>
          <t>B2B Portal</t>
        </is>
      </c>
      <c r="K850" s="8" t="inlineStr">
        <is>
          <t>REG-LATAM</t>
        </is>
      </c>
    </row>
    <row r="851">
      <c r="A851" s="8" t="inlineStr">
        <is>
          <t>ORD-000431</t>
        </is>
      </c>
      <c r="B851" s="8" t="inlineStr">
        <is>
          <t>2025-10-13</t>
        </is>
      </c>
      <c r="C851" s="8" t="inlineStr">
        <is>
          <t>CUST-04942</t>
        </is>
      </c>
      <c r="D851" s="8" t="inlineStr">
        <is>
          <t>Larry Parker</t>
        </is>
      </c>
      <c r="E851" s="8" t="inlineStr">
        <is>
          <t>PRD-0254</t>
        </is>
      </c>
      <c r="F851" s="8" t="inlineStr">
        <is>
          <t>1</t>
        </is>
      </c>
      <c r="G851" s="9" t="n">
        <v>219.63</v>
      </c>
      <c r="H851" s="8" t="inlineStr">
        <is>
          <t>0.0</t>
        </is>
      </c>
      <c r="I851" s="8" t="inlineStr">
        <is>
          <t>Standard Ground</t>
        </is>
      </c>
      <c r="J851" s="8" t="inlineStr">
        <is>
          <t>Direct Web</t>
        </is>
      </c>
      <c r="K851" s="8" t="inlineStr">
        <is>
          <t>REG-NA</t>
        </is>
      </c>
    </row>
    <row r="852">
      <c r="A852" s="8" t="inlineStr">
        <is>
          <t>ORD-000431</t>
        </is>
      </c>
      <c r="B852" s="8" t="inlineStr">
        <is>
          <t>2025-10-13</t>
        </is>
      </c>
      <c r="C852" s="8" t="inlineStr">
        <is>
          <t>CUST-04942</t>
        </is>
      </c>
      <c r="D852" s="8" t="inlineStr">
        <is>
          <t>Larry Parker</t>
        </is>
      </c>
      <c r="E852" s="8" t="inlineStr">
        <is>
          <t>PRD-0129</t>
        </is>
      </c>
      <c r="F852" s="8" t="inlineStr">
        <is>
          <t>1</t>
        </is>
      </c>
      <c r="G852" s="9" t="n">
        <v>31.56</v>
      </c>
      <c r="H852" s="8" t="inlineStr">
        <is>
          <t>0.1</t>
        </is>
      </c>
      <c r="I852" s="8" t="inlineStr">
        <is>
          <t>Standard Ground</t>
        </is>
      </c>
      <c r="J852" s="8" t="inlineStr">
        <is>
          <t>Direct Web</t>
        </is>
      </c>
      <c r="K852" s="8" t="inlineStr">
        <is>
          <t>REG-NA</t>
        </is>
      </c>
    </row>
    <row r="853">
      <c r="A853" s="8" t="inlineStr">
        <is>
          <t>ORD-000432</t>
        </is>
      </c>
      <c r="B853" s="8" t="inlineStr">
        <is>
          <t>2023-04-13</t>
        </is>
      </c>
      <c r="C853" s="8" t="inlineStr">
        <is>
          <t>CUST-03248</t>
        </is>
      </c>
      <c r="D853" s="8" t="inlineStr">
        <is>
          <t>Timothy Phillips</t>
        </is>
      </c>
      <c r="E853" s="8" t="inlineStr">
        <is>
          <t>PRD-0061</t>
        </is>
      </c>
      <c r="F853" s="8" t="inlineStr">
        <is>
          <t>1</t>
        </is>
      </c>
      <c r="G853" s="9" t="n">
        <v>394.62</v>
      </c>
      <c r="H853" s="8" t="inlineStr">
        <is>
          <t>0.05</t>
        </is>
      </c>
      <c r="I853" s="8" t="inlineStr">
        <is>
          <t>Express Air</t>
        </is>
      </c>
      <c r="J853" s="8" t="inlineStr">
        <is>
          <t>Mobile App</t>
        </is>
      </c>
      <c r="K853" s="8" t="inlineStr">
        <is>
          <t>REG-NA</t>
        </is>
      </c>
    </row>
    <row r="854">
      <c r="A854" s="8" t="inlineStr">
        <is>
          <t>ORD-000432</t>
        </is>
      </c>
      <c r="B854" s="8" t="inlineStr">
        <is>
          <t>2023-04-13</t>
        </is>
      </c>
      <c r="C854" s="8" t="inlineStr">
        <is>
          <t>CUST-03248</t>
        </is>
      </c>
      <c r="D854" s="8" t="inlineStr">
        <is>
          <t>Timothy Phillips</t>
        </is>
      </c>
      <c r="E854" s="8" t="inlineStr">
        <is>
          <t>PRD-0232</t>
        </is>
      </c>
      <c r="F854" s="8" t="inlineStr">
        <is>
          <t>2</t>
        </is>
      </c>
      <c r="G854" s="9" t="n">
        <v>192.08</v>
      </c>
      <c r="H854" s="8" t="inlineStr">
        <is>
          <t>0.0</t>
        </is>
      </c>
      <c r="I854" s="8" t="inlineStr">
        <is>
          <t>Express Air</t>
        </is>
      </c>
      <c r="J854" s="8" t="inlineStr">
        <is>
          <t>Mobile App</t>
        </is>
      </c>
      <c r="K854" s="8" t="inlineStr">
        <is>
          <t>REG-NA</t>
        </is>
      </c>
    </row>
    <row r="855">
      <c r="A855" s="8" t="inlineStr">
        <is>
          <t>ORD-000432</t>
        </is>
      </c>
      <c r="B855" s="8" t="inlineStr">
        <is>
          <t>2023-04-13</t>
        </is>
      </c>
      <c r="C855" s="8" t="inlineStr">
        <is>
          <t>CUST-03248</t>
        </is>
      </c>
      <c r="D855" s="8" t="inlineStr">
        <is>
          <t>Timothy Phillips</t>
        </is>
      </c>
      <c r="E855" s="8" t="inlineStr">
        <is>
          <t>PRD-0311</t>
        </is>
      </c>
      <c r="F855" s="8" t="inlineStr">
        <is>
          <t>1</t>
        </is>
      </c>
      <c r="G855" s="9" t="n">
        <v>7.85</v>
      </c>
      <c r="H855" s="8" t="inlineStr">
        <is>
          <t>0.0</t>
        </is>
      </c>
      <c r="I855" s="8" t="inlineStr">
        <is>
          <t>Express Air</t>
        </is>
      </c>
      <c r="J855" s="8" t="inlineStr">
        <is>
          <t>Mobile App</t>
        </is>
      </c>
      <c r="K855" s="8" t="inlineStr">
        <is>
          <t>REG-NA</t>
        </is>
      </c>
    </row>
    <row r="856">
      <c r="A856" s="8" t="inlineStr">
        <is>
          <t>ORD-000432</t>
        </is>
      </c>
      <c r="B856" s="8" t="inlineStr">
        <is>
          <t>2023-04-13</t>
        </is>
      </c>
      <c r="C856" s="8" t="inlineStr">
        <is>
          <t>CUST-03248</t>
        </is>
      </c>
      <c r="D856" s="8" t="inlineStr">
        <is>
          <t>Timothy Phillips</t>
        </is>
      </c>
      <c r="E856" s="8" t="inlineStr">
        <is>
          <t>PRD-0036</t>
        </is>
      </c>
      <c r="F856" s="8" t="inlineStr">
        <is>
          <t>1</t>
        </is>
      </c>
      <c r="G856" s="9" t="n">
        <v>574.88</v>
      </c>
      <c r="H856" s="8" t="inlineStr">
        <is>
          <t>0.0</t>
        </is>
      </c>
      <c r="I856" s="8" t="inlineStr">
        <is>
          <t>Express Air</t>
        </is>
      </c>
      <c r="J856" s="8" t="inlineStr">
        <is>
          <t>Mobile App</t>
        </is>
      </c>
      <c r="K856" s="8" t="inlineStr">
        <is>
          <t>REG-NA</t>
        </is>
      </c>
    </row>
    <row r="857">
      <c r="A857" s="8" t="inlineStr">
        <is>
          <t>ORD-000432</t>
        </is>
      </c>
      <c r="B857" s="8" t="inlineStr">
        <is>
          <t>2023-04-13</t>
        </is>
      </c>
      <c r="C857" s="8" t="inlineStr">
        <is>
          <t>CUST-03248</t>
        </is>
      </c>
      <c r="D857" s="8" t="inlineStr">
        <is>
          <t>Timothy Phillips</t>
        </is>
      </c>
      <c r="E857" s="8" t="inlineStr">
        <is>
          <t>PRD-0125</t>
        </is>
      </c>
      <c r="F857" s="8" t="inlineStr">
        <is>
          <t>1</t>
        </is>
      </c>
      <c r="G857" s="9" t="n">
        <v>1389.75</v>
      </c>
      <c r="H857" s="8" t="inlineStr">
        <is>
          <t>0.0</t>
        </is>
      </c>
      <c r="I857" s="8" t="inlineStr">
        <is>
          <t>Express Air</t>
        </is>
      </c>
      <c r="J857" s="8" t="inlineStr">
        <is>
          <t>Mobile App</t>
        </is>
      </c>
      <c r="K857" s="8" t="inlineStr">
        <is>
          <t>REG-NA</t>
        </is>
      </c>
    </row>
    <row r="858">
      <c r="A858" s="8" t="inlineStr">
        <is>
          <t>ORD-000433</t>
        </is>
      </c>
      <c r="B858" s="8" t="inlineStr">
        <is>
          <t>2023-03-27</t>
        </is>
      </c>
      <c r="C858" s="8" t="inlineStr">
        <is>
          <t>CUST-02153</t>
        </is>
      </c>
      <c r="D858" s="8" t="inlineStr">
        <is>
          <t>Richard Cox</t>
        </is>
      </c>
      <c r="E858" s="8" t="inlineStr">
        <is>
          <t>PRD-0026</t>
        </is>
      </c>
      <c r="F858" s="8" t="inlineStr">
        <is>
          <t>1</t>
        </is>
      </c>
      <c r="G858" s="9" t="n">
        <v>469.49</v>
      </c>
      <c r="H858" s="8" t="inlineStr">
        <is>
          <t>0.05</t>
        </is>
      </c>
      <c r="I858" s="8" t="inlineStr">
        <is>
          <t>Standard Ground</t>
        </is>
      </c>
      <c r="J858" s="8" t="inlineStr">
        <is>
          <t>Mobile App</t>
        </is>
      </c>
      <c r="K858" s="8" t="inlineStr">
        <is>
          <t>REG-EU</t>
        </is>
      </c>
    </row>
    <row r="859">
      <c r="A859" s="8" t="inlineStr">
        <is>
          <t>ORD-000433</t>
        </is>
      </c>
      <c r="B859" s="8" t="inlineStr">
        <is>
          <t>2023-03-27</t>
        </is>
      </c>
      <c r="C859" s="8" t="inlineStr">
        <is>
          <t>CUST-02153</t>
        </is>
      </c>
      <c r="D859" s="8" t="inlineStr">
        <is>
          <t>Richard Cox</t>
        </is>
      </c>
      <c r="E859" s="8" t="inlineStr">
        <is>
          <t>PRD-0229</t>
        </is>
      </c>
      <c r="F859" s="8" t="inlineStr">
        <is>
          <t>5</t>
        </is>
      </c>
      <c r="G859" s="9" t="n">
        <v>31.96</v>
      </c>
      <c r="H859" s="8" t="inlineStr">
        <is>
          <t>0.05</t>
        </is>
      </c>
      <c r="I859" s="8" t="inlineStr">
        <is>
          <t>Standard Ground</t>
        </is>
      </c>
      <c r="J859" s="8" t="inlineStr">
        <is>
          <t>Mobile App</t>
        </is>
      </c>
      <c r="K859" s="8" t="inlineStr">
        <is>
          <t>REG-EU</t>
        </is>
      </c>
    </row>
    <row r="860">
      <c r="A860" s="8" t="inlineStr">
        <is>
          <t>ORD-000433</t>
        </is>
      </c>
      <c r="B860" s="8" t="inlineStr">
        <is>
          <t>2023-03-27</t>
        </is>
      </c>
      <c r="C860" s="8" t="inlineStr">
        <is>
          <t>CUST-02153</t>
        </is>
      </c>
      <c r="D860" s="8" t="inlineStr">
        <is>
          <t>Richard Cox</t>
        </is>
      </c>
      <c r="E860" s="8" t="inlineStr">
        <is>
          <t>PRD-0376</t>
        </is>
      </c>
      <c r="F860" s="8" t="inlineStr">
        <is>
          <t>1</t>
        </is>
      </c>
      <c r="G860" s="9" t="n">
        <v>219.88</v>
      </c>
      <c r="H860" s="8" t="inlineStr">
        <is>
          <t>0.05</t>
        </is>
      </c>
      <c r="I860" s="8" t="inlineStr">
        <is>
          <t>Standard Ground</t>
        </is>
      </c>
      <c r="J860" s="8" t="inlineStr">
        <is>
          <t>Mobile App</t>
        </is>
      </c>
      <c r="K860" s="8" t="inlineStr">
        <is>
          <t>REG-EU</t>
        </is>
      </c>
    </row>
    <row r="861">
      <c r="A861" s="8" t="inlineStr">
        <is>
          <t>ORD-000433</t>
        </is>
      </c>
      <c r="B861" s="8" t="inlineStr">
        <is>
          <t>2023-03-27</t>
        </is>
      </c>
      <c r="C861" s="8" t="inlineStr">
        <is>
          <t>CUST-02153</t>
        </is>
      </c>
      <c r="D861" s="8" t="inlineStr">
        <is>
          <t>Richard Cox</t>
        </is>
      </c>
      <c r="E861" s="8" t="inlineStr">
        <is>
          <t>PRD-0093</t>
        </is>
      </c>
      <c r="F861" s="8" t="inlineStr">
        <is>
          <t>1</t>
        </is>
      </c>
      <c r="G861" s="9" t="n">
        <v>1324.37</v>
      </c>
      <c r="H861" s="8" t="inlineStr">
        <is>
          <t>0.2</t>
        </is>
      </c>
      <c r="I861" s="8" t="inlineStr">
        <is>
          <t>Standard Ground</t>
        </is>
      </c>
      <c r="J861" s="8" t="inlineStr">
        <is>
          <t>Mobile App</t>
        </is>
      </c>
      <c r="K861" s="8" t="inlineStr">
        <is>
          <t>REG-EU</t>
        </is>
      </c>
    </row>
    <row r="862">
      <c r="A862" s="8" t="inlineStr">
        <is>
          <t>ORD-000434</t>
        </is>
      </c>
      <c r="B862" s="8" t="inlineStr">
        <is>
          <t>2024-10-16</t>
        </is>
      </c>
      <c r="C862" s="8" t="inlineStr">
        <is>
          <t>CUST-03124</t>
        </is>
      </c>
      <c r="D862" s="8" t="inlineStr">
        <is>
          <t>Daniel Clark</t>
        </is>
      </c>
      <c r="E862" s="8" t="inlineStr">
        <is>
          <t>PRD-0059</t>
        </is>
      </c>
      <c r="F862" s="8" t="inlineStr">
        <is>
          <t>1</t>
        </is>
      </c>
      <c r="G862" s="9" t="n">
        <v>532.12</v>
      </c>
      <c r="H862" s="8" t="inlineStr">
        <is>
          <t>0.0</t>
        </is>
      </c>
      <c r="I862" s="8" t="inlineStr">
        <is>
          <t>Standard Ground</t>
        </is>
      </c>
      <c r="J862" s="8" t="inlineStr">
        <is>
          <t>Direct Web</t>
        </is>
      </c>
      <c r="K862" s="8" t="inlineStr">
        <is>
          <t>REG-NA</t>
        </is>
      </c>
    </row>
    <row r="863">
      <c r="A863" s="8" t="inlineStr">
        <is>
          <t>ORD-000434</t>
        </is>
      </c>
      <c r="B863" s="8" t="inlineStr">
        <is>
          <t>2024-10-16</t>
        </is>
      </c>
      <c r="C863" s="8" t="inlineStr">
        <is>
          <t>CUST-03124</t>
        </is>
      </c>
      <c r="D863" s="8" t="inlineStr">
        <is>
          <t>Daniel Clark</t>
        </is>
      </c>
      <c r="E863" s="8" t="inlineStr">
        <is>
          <t>PRD-0484</t>
        </is>
      </c>
      <c r="F863" s="8" t="inlineStr">
        <is>
          <t>1</t>
        </is>
      </c>
      <c r="G863" s="9" t="n">
        <v>33.81</v>
      </c>
      <c r="H863" s="8" t="inlineStr">
        <is>
          <t>0%</t>
        </is>
      </c>
      <c r="I863" s="8" t="inlineStr">
        <is>
          <t>Standard Ground</t>
        </is>
      </c>
      <c r="J863" s="8" t="inlineStr">
        <is>
          <t>Direct Web</t>
        </is>
      </c>
      <c r="K863" s="8" t="inlineStr">
        <is>
          <t>REG-NA</t>
        </is>
      </c>
    </row>
    <row r="864">
      <c r="A864" s="8" t="inlineStr">
        <is>
          <t>ORD-000435</t>
        </is>
      </c>
      <c r="B864" s="8" t="inlineStr">
        <is>
          <t>2024-12-22</t>
        </is>
      </c>
      <c r="C864" s="8" t="inlineStr">
        <is>
          <t>CUST-02277</t>
        </is>
      </c>
      <c r="D864" s="8" t="inlineStr">
        <is>
          <t>Christine Cruz</t>
        </is>
      </c>
      <c r="E864" s="8" t="inlineStr">
        <is>
          <t>PRD-0003</t>
        </is>
      </c>
      <c r="F864" s="8" t="inlineStr">
        <is>
          <t>1</t>
        </is>
      </c>
      <c r="G864" s="9" t="n">
        <v>807.39</v>
      </c>
      <c r="H864" s="8" t="inlineStr">
        <is>
          <t>0.3</t>
        </is>
      </c>
      <c r="I864" s="8" t="inlineStr">
        <is>
          <t>Standard Ground</t>
        </is>
      </c>
      <c r="J864" s="8" t="inlineStr">
        <is>
          <t>B2B Portal</t>
        </is>
      </c>
      <c r="K864" s="8" t="inlineStr">
        <is>
          <t>REG-LATAM</t>
        </is>
      </c>
    </row>
    <row r="865">
      <c r="A865" s="8" t="inlineStr">
        <is>
          <t>ORD-000435</t>
        </is>
      </c>
      <c r="B865" s="8" t="inlineStr">
        <is>
          <t>2024-12-22</t>
        </is>
      </c>
      <c r="C865" s="8" t="inlineStr">
        <is>
          <t>CUST-02277</t>
        </is>
      </c>
      <c r="D865" s="8" t="inlineStr">
        <is>
          <t>Christine Cruz</t>
        </is>
      </c>
      <c r="E865" s="8" t="inlineStr">
        <is>
          <t>PRD-0272</t>
        </is>
      </c>
      <c r="F865" s="8" t="inlineStr">
        <is>
          <t>5</t>
        </is>
      </c>
      <c r="G865" s="9" t="n">
        <v>109.11</v>
      </c>
      <c r="H865" s="8" t="inlineStr">
        <is>
          <t>0.25</t>
        </is>
      </c>
      <c r="I865" s="8" t="inlineStr">
        <is>
          <t>Standard Ground</t>
        </is>
      </c>
      <c r="J865" s="8" t="inlineStr">
        <is>
          <t>B2B Portal</t>
        </is>
      </c>
      <c r="K865" s="8" t="inlineStr">
        <is>
          <t>REG-LATAM</t>
        </is>
      </c>
    </row>
    <row r="866">
      <c r="A866" s="8" t="inlineStr">
        <is>
          <t>ORD-000435</t>
        </is>
      </c>
      <c r="B866" s="8" t="inlineStr">
        <is>
          <t>2024-12-22</t>
        </is>
      </c>
      <c r="C866" s="8" t="inlineStr">
        <is>
          <t>CUST-02277</t>
        </is>
      </c>
      <c r="D866" s="8" t="inlineStr">
        <is>
          <t>Christine Cruz</t>
        </is>
      </c>
      <c r="E866" s="8" t="inlineStr">
        <is>
          <t>PRD-0386</t>
        </is>
      </c>
      <c r="F866" s="8" t="inlineStr">
        <is>
          <t>1</t>
        </is>
      </c>
      <c r="G866" s="9" t="n">
        <v>339.98</v>
      </c>
      <c r="H866" s="8" t="inlineStr">
        <is>
          <t>0.15</t>
        </is>
      </c>
      <c r="I866" s="8" t="inlineStr">
        <is>
          <t>Standard Ground</t>
        </is>
      </c>
      <c r="J866" s="8" t="inlineStr">
        <is>
          <t>B2B Portal</t>
        </is>
      </c>
      <c r="K866" s="8" t="inlineStr">
        <is>
          <t>REG-LATAM</t>
        </is>
      </c>
    </row>
    <row r="867">
      <c r="A867" s="8" t="inlineStr">
        <is>
          <t>ORD-000436</t>
        </is>
      </c>
      <c r="B867" s="8" t="inlineStr">
        <is>
          <t>2023-08-24</t>
        </is>
      </c>
      <c r="C867" s="8" t="inlineStr">
        <is>
          <t>CUST-02933</t>
        </is>
      </c>
      <c r="D867" s="8" t="inlineStr">
        <is>
          <t>Michael Watson</t>
        </is>
      </c>
      <c r="E867" s="8" t="inlineStr">
        <is>
          <t>PRD-0187</t>
        </is>
      </c>
      <c r="F867" s="8" t="inlineStr">
        <is>
          <t>1</t>
        </is>
      </c>
      <c r="G867" s="9" t="n">
        <v>777.1799999999999</v>
      </c>
      <c r="H867" s="8" t="inlineStr">
        <is>
          <t>0.0</t>
        </is>
      </c>
      <c r="I867" s="8" t="inlineStr">
        <is>
          <t>Standard Ground</t>
        </is>
      </c>
      <c r="J867" s="8" t="inlineStr">
        <is>
          <t>Direct Web</t>
        </is>
      </c>
      <c r="K867" s="8" t="inlineStr">
        <is>
          <t>REG-LATAM</t>
        </is>
      </c>
    </row>
    <row r="868">
      <c r="A868" s="8" t="inlineStr">
        <is>
          <t>ORD-000436</t>
        </is>
      </c>
      <c r="B868" s="8" t="inlineStr">
        <is>
          <t>2023-08-24</t>
        </is>
      </c>
      <c r="C868" s="8" t="inlineStr">
        <is>
          <t>CUST-02933</t>
        </is>
      </c>
      <c r="D868" s="8" t="inlineStr">
        <is>
          <t>Michael Watson</t>
        </is>
      </c>
      <c r="E868" s="8" t="inlineStr">
        <is>
          <t>PRD-0017</t>
        </is>
      </c>
      <c r="F868" s="8" t="inlineStr">
        <is>
          <t>2</t>
        </is>
      </c>
      <c r="G868" s="9" t="n">
        <v>931.16</v>
      </c>
      <c r="H868" s="8" t="inlineStr">
        <is>
          <t>0.15</t>
        </is>
      </c>
      <c r="I868" s="8" t="inlineStr">
        <is>
          <t>Standard Ground</t>
        </is>
      </c>
      <c r="J868" s="8" t="inlineStr">
        <is>
          <t>Direct Web</t>
        </is>
      </c>
      <c r="K868" s="8" t="inlineStr">
        <is>
          <t>REG-LATAM</t>
        </is>
      </c>
    </row>
    <row r="869">
      <c r="A869" s="8" t="inlineStr">
        <is>
          <t>ORD-000437</t>
        </is>
      </c>
      <c r="B869" s="8" t="inlineStr">
        <is>
          <t>2025-10-04</t>
        </is>
      </c>
      <c r="C869" s="8" t="inlineStr">
        <is>
          <t>CUST-07826</t>
        </is>
      </c>
      <c r="D869" s="8" t="inlineStr">
        <is>
          <t>Emma Davis</t>
        </is>
      </c>
      <c r="E869" s="8" t="inlineStr">
        <is>
          <t>PRD-0414</t>
        </is>
      </c>
      <c r="F869" s="8" t="inlineStr">
        <is>
          <t>1</t>
        </is>
      </c>
      <c r="G869" s="9" t="n">
        <v>101.77</v>
      </c>
      <c r="H869" s="8" t="inlineStr">
        <is>
          <t>0.1</t>
        </is>
      </c>
      <c r="I869" s="8" t="inlineStr">
        <is>
          <t>Express Air</t>
        </is>
      </c>
      <c r="J869" s="8" t="inlineStr">
        <is>
          <t>Direct Web</t>
        </is>
      </c>
      <c r="K869" s="8" t="inlineStr">
        <is>
          <t>REG-NA</t>
        </is>
      </c>
    </row>
    <row r="870">
      <c r="A870" s="8" t="inlineStr">
        <is>
          <t>ORD-000437</t>
        </is>
      </c>
      <c r="B870" s="8" t="inlineStr">
        <is>
          <t>2025-10-04</t>
        </is>
      </c>
      <c r="C870" s="8" t="inlineStr">
        <is>
          <t>CUST-07826</t>
        </is>
      </c>
      <c r="D870" s="8" t="inlineStr">
        <is>
          <t>Emma Davis</t>
        </is>
      </c>
      <c r="E870" s="8" t="inlineStr">
        <is>
          <t>PRD-0130</t>
        </is>
      </c>
      <c r="F870" s="8" t="inlineStr">
        <is>
          <t>1</t>
        </is>
      </c>
      <c r="G870" s="9" t="n">
        <v>593.34</v>
      </c>
      <c r="H870" s="8" t="inlineStr">
        <is>
          <t>0.15</t>
        </is>
      </c>
      <c r="I870" s="8" t="inlineStr">
        <is>
          <t>Express Air</t>
        </is>
      </c>
      <c r="J870" s="8" t="inlineStr">
        <is>
          <t>Direct Web</t>
        </is>
      </c>
      <c r="K870" s="8" t="inlineStr">
        <is>
          <t>REG-NA</t>
        </is>
      </c>
    </row>
    <row r="871">
      <c r="A871" s="8" t="inlineStr">
        <is>
          <t>ORD-000438</t>
        </is>
      </c>
      <c r="B871" s="8" t="inlineStr">
        <is>
          <t>2025-12-13</t>
        </is>
      </c>
      <c r="C871" s="8" t="inlineStr">
        <is>
          <t>CUST-06247</t>
        </is>
      </c>
      <c r="D871" s="8" t="inlineStr">
        <is>
          <t>Anna Rogers</t>
        </is>
      </c>
      <c r="E871" s="8" t="inlineStr">
        <is>
          <t>PRD-0396</t>
        </is>
      </c>
      <c r="F871" s="8" t="inlineStr">
        <is>
          <t>1</t>
        </is>
      </c>
      <c r="G871" s="9" t="n">
        <v>1112.29</v>
      </c>
      <c r="H871" s="8" t="inlineStr">
        <is>
          <t>0.1</t>
        </is>
      </c>
      <c r="I871" s="8" t="inlineStr">
        <is>
          <t>Express Air</t>
        </is>
      </c>
      <c r="J871" s="8" t="inlineStr">
        <is>
          <t>Direct Web</t>
        </is>
      </c>
      <c r="K871" s="8" t="inlineStr">
        <is>
          <t>REG-NA</t>
        </is>
      </c>
    </row>
    <row r="872">
      <c r="A872" s="8" t="inlineStr">
        <is>
          <t>ORD-000439</t>
        </is>
      </c>
      <c r="B872" s="8" t="inlineStr">
        <is>
          <t>09-10-2024</t>
        </is>
      </c>
      <c r="C872" s="8" t="inlineStr">
        <is>
          <t>CUST-01966</t>
        </is>
      </c>
      <c r="D872" s="8" t="inlineStr">
        <is>
          <t>Helen Bennett</t>
        </is>
      </c>
      <c r="E872" s="8" t="inlineStr">
        <is>
          <t>PRD-0369</t>
        </is>
      </c>
      <c r="F872" s="8" t="inlineStr">
        <is>
          <t>1</t>
        </is>
      </c>
      <c r="G872" s="9" t="n">
        <v>653.11</v>
      </c>
      <c r="H872" s="8" t="inlineStr">
        <is>
          <t>0.0</t>
        </is>
      </c>
      <c r="I872" s="8" t="inlineStr">
        <is>
          <t>Standard Ground</t>
        </is>
      </c>
      <c r="J872" s="8" t="inlineStr">
        <is>
          <t>Direct Web</t>
        </is>
      </c>
      <c r="K872" s="8" t="inlineStr">
        <is>
          <t>REG-NA</t>
        </is>
      </c>
    </row>
    <row r="873">
      <c r="A873" s="8" t="inlineStr">
        <is>
          <t>ORD-000439</t>
        </is>
      </c>
      <c r="B873" s="8" t="inlineStr">
        <is>
          <t>09-10-2024</t>
        </is>
      </c>
      <c r="C873" s="8" t="inlineStr">
        <is>
          <t>CUST-01966</t>
        </is>
      </c>
      <c r="D873" s="8" t="inlineStr">
        <is>
          <t>Helen Bennett</t>
        </is>
      </c>
      <c r="E873" s="8" t="inlineStr">
        <is>
          <t>PRD-0390</t>
        </is>
      </c>
      <c r="F873" s="8" t="inlineStr">
        <is>
          <t>3</t>
        </is>
      </c>
      <c r="G873" s="9" t="n">
        <v>260.6</v>
      </c>
      <c r="H873" s="8" t="inlineStr">
        <is>
          <t>0.1</t>
        </is>
      </c>
      <c r="I873" s="8" t="inlineStr">
        <is>
          <t>Standard Ground</t>
        </is>
      </c>
      <c r="J873" s="8" t="inlineStr">
        <is>
          <t>Direct Web</t>
        </is>
      </c>
      <c r="K873" s="8" t="inlineStr">
        <is>
          <t>REG-NA</t>
        </is>
      </c>
    </row>
    <row r="874">
      <c r="A874" s="8" t="inlineStr">
        <is>
          <t>ORD-000440</t>
        </is>
      </c>
      <c r="B874" s="8" t="inlineStr">
        <is>
          <t>2024-03-23</t>
        </is>
      </c>
      <c r="C874" s="8" t="inlineStr">
        <is>
          <t>CUST-02139</t>
        </is>
      </c>
      <c r="D874" s="8" t="inlineStr">
        <is>
          <t>Barbara Mendoza</t>
        </is>
      </c>
      <c r="E874" s="8" t="inlineStr">
        <is>
          <t>PRD-0285</t>
        </is>
      </c>
      <c r="F874" s="8" t="inlineStr">
        <is>
          <t>1</t>
        </is>
      </c>
      <c r="G874" s="9" t="n">
        <v>269.59</v>
      </c>
      <c r="H874" s="8" t="inlineStr">
        <is>
          <t>0.05</t>
        </is>
      </c>
      <c r="I874" s="8" t="inlineStr">
        <is>
          <t>Standard Ground</t>
        </is>
      </c>
      <c r="J874" s="8" t="inlineStr">
        <is>
          <t>Direct Web</t>
        </is>
      </c>
      <c r="K874" s="8" t="inlineStr">
        <is>
          <t>REG-EU</t>
        </is>
      </c>
    </row>
    <row r="875">
      <c r="A875" s="8" t="inlineStr">
        <is>
          <t>ORD-000441</t>
        </is>
      </c>
      <c r="B875" s="8" t="inlineStr">
        <is>
          <t>2024-10-02</t>
        </is>
      </c>
      <c r="C875" s="8" t="inlineStr">
        <is>
          <t>CUST-02111</t>
        </is>
      </c>
      <c r="D875" s="8" t="inlineStr">
        <is>
          <t>Matthew Nguyen</t>
        </is>
      </c>
      <c r="E875" s="8" t="inlineStr">
        <is>
          <t>PRD-0129</t>
        </is>
      </c>
      <c r="F875" s="8" t="inlineStr">
        <is>
          <t>1</t>
        </is>
      </c>
      <c r="G875" s="9" t="n">
        <v>31.56</v>
      </c>
      <c r="H875" s="8" t="inlineStr">
        <is>
          <t>0.15</t>
        </is>
      </c>
      <c r="I875" s="8" t="inlineStr">
        <is>
          <t>Express Air</t>
        </is>
      </c>
      <c r="J875" s="8" t="inlineStr">
        <is>
          <t>Mobile App</t>
        </is>
      </c>
      <c r="K875" s="8" t="inlineStr">
        <is>
          <t>REG-NA</t>
        </is>
      </c>
    </row>
    <row r="876">
      <c r="A876" s="8" t="inlineStr">
        <is>
          <t>ORD-000442</t>
        </is>
      </c>
      <c r="B876" s="8" t="inlineStr">
        <is>
          <t>2025-05-21</t>
        </is>
      </c>
      <c r="C876" s="8" t="inlineStr">
        <is>
          <t>CUST-04444</t>
        </is>
      </c>
      <c r="D876" s="8" t="inlineStr">
        <is>
          <t>Andrew Rogers</t>
        </is>
      </c>
      <c r="E876" s="8" t="inlineStr">
        <is>
          <t>PRD-0034</t>
        </is>
      </c>
      <c r="F876" s="8" t="inlineStr">
        <is>
          <t>2</t>
        </is>
      </c>
      <c r="G876" s="9" t="n">
        <v>52.58</v>
      </c>
      <c r="H876" s="8" t="inlineStr">
        <is>
          <t>0.0</t>
        </is>
      </c>
      <c r="I876" s="8" t="inlineStr">
        <is>
          <t>Express Air</t>
        </is>
      </c>
      <c r="J876" s="8" t="inlineStr">
        <is>
          <t>Mobile App</t>
        </is>
      </c>
      <c r="K876" s="8" t="inlineStr">
        <is>
          <t>REG-EU</t>
        </is>
      </c>
    </row>
    <row r="877">
      <c r="A877" s="8" t="inlineStr">
        <is>
          <t>ORD-000442</t>
        </is>
      </c>
      <c r="B877" s="8" t="inlineStr">
        <is>
          <t>2025-05-21</t>
        </is>
      </c>
      <c r="C877" s="8" t="inlineStr">
        <is>
          <t>CUST-04444</t>
        </is>
      </c>
      <c r="D877" s="8" t="inlineStr">
        <is>
          <t>Andrew Rogers</t>
        </is>
      </c>
      <c r="E877" s="8" t="inlineStr">
        <is>
          <t>PRD-0054</t>
        </is>
      </c>
      <c r="F877" s="8" t="inlineStr">
        <is>
          <t>1</t>
        </is>
      </c>
      <c r="G877" s="9" t="n">
        <v>873.8</v>
      </c>
      <c r="H877" s="8" t="inlineStr">
        <is>
          <t>0.05</t>
        </is>
      </c>
      <c r="I877" s="8" t="inlineStr">
        <is>
          <t>Express Air</t>
        </is>
      </c>
      <c r="J877" s="8" t="inlineStr">
        <is>
          <t>Mobile App</t>
        </is>
      </c>
      <c r="K877" s="8" t="inlineStr">
        <is>
          <t>REG-EU</t>
        </is>
      </c>
    </row>
    <row r="878">
      <c r="A878" s="8" t="inlineStr">
        <is>
          <t>ORD-000443</t>
        </is>
      </c>
      <c r="B878" s="8" t="inlineStr">
        <is>
          <t>2023-07-06</t>
        </is>
      </c>
      <c r="C878" s="8" t="inlineStr">
        <is>
          <t>CUST-04176</t>
        </is>
      </c>
      <c r="D878" s="8" t="inlineStr">
        <is>
          <t>Susan Sanders</t>
        </is>
      </c>
      <c r="E878" s="8" t="inlineStr">
        <is>
          <t>PRD-0215</t>
        </is>
      </c>
      <c r="F878" s="8" t="inlineStr">
        <is>
          <t>1</t>
        </is>
      </c>
      <c r="G878" s="9" t="n">
        <v>1006.33</v>
      </c>
      <c r="H878" s="8" t="inlineStr">
        <is>
          <t>0.05</t>
        </is>
      </c>
      <c r="I878" s="8" t="inlineStr">
        <is>
          <t>Express Air</t>
        </is>
      </c>
      <c r="J878" s="8" t="inlineStr">
        <is>
          <t>Direct Web</t>
        </is>
      </c>
      <c r="K878" s="8" t="inlineStr">
        <is>
          <t>REG-APAC</t>
        </is>
      </c>
    </row>
    <row r="879">
      <c r="A879" s="8" t="inlineStr">
        <is>
          <t>ORD-000443</t>
        </is>
      </c>
      <c r="B879" s="8" t="inlineStr">
        <is>
          <t>2023-07-06</t>
        </is>
      </c>
      <c r="C879" s="8" t="inlineStr">
        <is>
          <t>CUST-04176</t>
        </is>
      </c>
      <c r="D879" s="8" t="inlineStr">
        <is>
          <t>Susan Sanders</t>
        </is>
      </c>
      <c r="E879" s="8" t="inlineStr">
        <is>
          <t>PRD-0370</t>
        </is>
      </c>
      <c r="F879" s="8" t="inlineStr">
        <is>
          <t>2</t>
        </is>
      </c>
      <c r="G879" s="9" t="n">
        <v>1113.54</v>
      </c>
      <c r="H879" s="8" t="inlineStr">
        <is>
          <t>0.0</t>
        </is>
      </c>
      <c r="I879" s="8" t="inlineStr">
        <is>
          <t>Express Air</t>
        </is>
      </c>
      <c r="J879" s="8" t="inlineStr">
        <is>
          <t>Direct Web</t>
        </is>
      </c>
      <c r="K879" s="8" t="inlineStr">
        <is>
          <t>REG-APAC</t>
        </is>
      </c>
    </row>
    <row r="880">
      <c r="A880" s="8" t="inlineStr">
        <is>
          <t>ORD-000443</t>
        </is>
      </c>
      <c r="B880" s="8" t="inlineStr">
        <is>
          <t>2023-07-06</t>
        </is>
      </c>
      <c r="C880" s="8" t="inlineStr">
        <is>
          <t>CUST-04176</t>
        </is>
      </c>
      <c r="D880" s="8" t="inlineStr">
        <is>
          <t>Susan Sanders</t>
        </is>
      </c>
      <c r="E880" s="8" t="inlineStr">
        <is>
          <t>PRD-0494</t>
        </is>
      </c>
      <c r="F880" s="8" t="inlineStr">
        <is>
          <t>3</t>
        </is>
      </c>
      <c r="G880" s="9" t="n">
        <v>713.1</v>
      </c>
      <c r="H880" s="8" t="inlineStr">
        <is>
          <t>0.1</t>
        </is>
      </c>
      <c r="I880" s="8" t="inlineStr">
        <is>
          <t>Express Air</t>
        </is>
      </c>
      <c r="J880" s="8" t="inlineStr">
        <is>
          <t>Direct Web</t>
        </is>
      </c>
      <c r="K880" s="8" t="inlineStr">
        <is>
          <t>REG-APAC</t>
        </is>
      </c>
    </row>
    <row r="881">
      <c r="A881" s="8" t="inlineStr">
        <is>
          <t>ORD-000444</t>
        </is>
      </c>
      <c r="B881" s="8" t="inlineStr">
        <is>
          <t>2024-03-19</t>
        </is>
      </c>
      <c r="C881" s="8" t="inlineStr">
        <is>
          <t>CUST-02299</t>
        </is>
      </c>
      <c r="D881" s="8" t="inlineStr">
        <is>
          <t>Betty Rodriguez</t>
        </is>
      </c>
      <c r="E881" s="8" t="inlineStr">
        <is>
          <t>PRD-0069</t>
        </is>
      </c>
      <c r="F881" s="8" t="inlineStr">
        <is>
          <t>1</t>
        </is>
      </c>
      <c r="G881" s="9" t="n">
        <v>58.36</v>
      </c>
      <c r="H881" s="8" t="inlineStr">
        <is>
          <t>0.05</t>
        </is>
      </c>
      <c r="I881" s="8" t="inlineStr">
        <is>
          <t>Express Air</t>
        </is>
      </c>
      <c r="J881" s="8" t="inlineStr">
        <is>
          <t>Direct Web</t>
        </is>
      </c>
      <c r="K881" s="8" t="inlineStr">
        <is>
          <t>REG-NA</t>
        </is>
      </c>
    </row>
    <row r="882">
      <c r="A882" s="8" t="inlineStr">
        <is>
          <t>ORD-000445</t>
        </is>
      </c>
      <c r="B882" s="8" t="inlineStr">
        <is>
          <t>2023-12-04</t>
        </is>
      </c>
      <c r="C882" s="8" t="inlineStr">
        <is>
          <t>CUST-07087</t>
        </is>
      </c>
      <c r="D882" s="8" t="inlineStr">
        <is>
          <t>Gary Ward</t>
        </is>
      </c>
      <c r="E882" s="8" t="inlineStr">
        <is>
          <t>PRD-0212</t>
        </is>
      </c>
      <c r="F882" s="8" t="inlineStr">
        <is>
          <t>4</t>
        </is>
      </c>
      <c r="G882" s="9" t="n">
        <v>15.71</v>
      </c>
      <c r="H882" s="8" t="inlineStr">
        <is>
          <t>0.25</t>
        </is>
      </c>
      <c r="I882" s="8" t="inlineStr">
        <is>
          <t>Express Air</t>
        </is>
      </c>
      <c r="J882" s="8" t="inlineStr">
        <is>
          <t>B2B Portal</t>
        </is>
      </c>
      <c r="K882" s="8" t="inlineStr">
        <is>
          <t>REG-NA</t>
        </is>
      </c>
    </row>
    <row r="883">
      <c r="A883" s="8" t="inlineStr">
        <is>
          <t>ORD-000445</t>
        </is>
      </c>
      <c r="B883" s="8" t="inlineStr">
        <is>
          <t>2023-12-04</t>
        </is>
      </c>
      <c r="C883" s="8" t="inlineStr">
        <is>
          <t>CUST-07087</t>
        </is>
      </c>
      <c r="D883" s="8" t="inlineStr">
        <is>
          <t>Gary Ward</t>
        </is>
      </c>
      <c r="E883" s="8" t="inlineStr">
        <is>
          <t>PRD-0248</t>
        </is>
      </c>
      <c r="F883" s="8" t="inlineStr">
        <is>
          <t>2</t>
        </is>
      </c>
      <c r="G883" s="9" t="n">
        <v>603.58</v>
      </c>
      <c r="H883" s="8" t="inlineStr">
        <is>
          <t>0.1</t>
        </is>
      </c>
      <c r="I883" s="8" t="inlineStr">
        <is>
          <t>Express Air</t>
        </is>
      </c>
      <c r="J883" s="8" t="inlineStr">
        <is>
          <t>B2B Portal</t>
        </is>
      </c>
      <c r="K883" s="8" t="inlineStr">
        <is>
          <t>REG-NA</t>
        </is>
      </c>
    </row>
    <row r="884">
      <c r="A884" s="8" t="inlineStr">
        <is>
          <t>ORD-000445</t>
        </is>
      </c>
      <c r="B884" s="8" t="inlineStr">
        <is>
          <t>2023-12-04</t>
        </is>
      </c>
      <c r="C884" s="8" t="inlineStr">
        <is>
          <t>CUST-07087</t>
        </is>
      </c>
      <c r="D884" s="8" t="inlineStr">
        <is>
          <t>Gary Ward</t>
        </is>
      </c>
      <c r="E884" s="8" t="inlineStr">
        <is>
          <t>PRD-0150</t>
        </is>
      </c>
      <c r="F884" s="8" t="inlineStr">
        <is>
          <t>1</t>
        </is>
      </c>
      <c r="G884" s="9" t="n">
        <v>384.86</v>
      </c>
      <c r="H884" s="8" t="inlineStr">
        <is>
          <t>0.05</t>
        </is>
      </c>
      <c r="I884" s="8" t="inlineStr">
        <is>
          <t>Express Air</t>
        </is>
      </c>
      <c r="J884" s="8" t="inlineStr">
        <is>
          <t>B2B Portal</t>
        </is>
      </c>
      <c r="K884" s="8" t="inlineStr">
        <is>
          <t>REG-NA</t>
        </is>
      </c>
    </row>
    <row r="885">
      <c r="A885" s="8" t="inlineStr">
        <is>
          <t>ORD-000445</t>
        </is>
      </c>
      <c r="B885" s="8" t="inlineStr">
        <is>
          <t>2023-12-04</t>
        </is>
      </c>
      <c r="C885" s="8" t="inlineStr">
        <is>
          <t>CUST-07087</t>
        </is>
      </c>
      <c r="D885" s="8" t="inlineStr">
        <is>
          <t>Gary Ward</t>
        </is>
      </c>
      <c r="E885" s="8" t="inlineStr">
        <is>
          <t>PRD-0180</t>
        </is>
      </c>
      <c r="F885" s="8" t="inlineStr">
        <is>
          <t>1</t>
        </is>
      </c>
      <c r="G885" s="9" t="n">
        <v>1016.03</v>
      </c>
      <c r="H885" s="8" t="inlineStr">
        <is>
          <t>0.3</t>
        </is>
      </c>
      <c r="I885" s="8" t="inlineStr">
        <is>
          <t>Express Air</t>
        </is>
      </c>
      <c r="J885" s="8" t="inlineStr">
        <is>
          <t>B2B Portal</t>
        </is>
      </c>
      <c r="K885" s="8" t="inlineStr">
        <is>
          <t>REG-NA</t>
        </is>
      </c>
    </row>
    <row r="886">
      <c r="A886" s="8" t="inlineStr">
        <is>
          <t>ORD-000446</t>
        </is>
      </c>
      <c r="B886" s="8" t="inlineStr">
        <is>
          <t>2023-03-21</t>
        </is>
      </c>
      <c r="C886" s="8" t="inlineStr">
        <is>
          <t>CUST-01893</t>
        </is>
      </c>
      <c r="D886" s="8" t="inlineStr">
        <is>
          <t>Michael Wilson</t>
        </is>
      </c>
      <c r="E886" s="8" t="inlineStr">
        <is>
          <t>PRD-0487</t>
        </is>
      </c>
      <c r="F886" s="8" t="inlineStr">
        <is>
          <t>1</t>
        </is>
      </c>
      <c r="G886" s="9" t="n">
        <v>183.38</v>
      </c>
      <c r="H886" s="8" t="inlineStr">
        <is>
          <t>0.2</t>
        </is>
      </c>
      <c r="I886" s="8" t="inlineStr">
        <is>
          <t>Express Air</t>
        </is>
      </c>
      <c r="J886" s="8" t="inlineStr">
        <is>
          <t>Direct Web</t>
        </is>
      </c>
      <c r="K886" s="8" t="inlineStr">
        <is>
          <t>REG-EU</t>
        </is>
      </c>
    </row>
    <row r="887">
      <c r="A887" s="8" t="inlineStr">
        <is>
          <t>ORD-000446</t>
        </is>
      </c>
      <c r="B887" s="8" t="inlineStr">
        <is>
          <t>2023-03-21</t>
        </is>
      </c>
      <c r="C887" s="8" t="inlineStr">
        <is>
          <t>CUST-01893</t>
        </is>
      </c>
      <c r="D887" s="8" t="inlineStr">
        <is>
          <t>Michael Wilson</t>
        </is>
      </c>
      <c r="E887" s="8" t="inlineStr">
        <is>
          <t>PRD-0348</t>
        </is>
      </c>
      <c r="F887" s="8" t="inlineStr">
        <is>
          <t>1</t>
        </is>
      </c>
      <c r="G887" s="9" t="n">
        <v>792.8200000000001</v>
      </c>
      <c r="H887" s="8" t="inlineStr">
        <is>
          <t>0.05</t>
        </is>
      </c>
      <c r="I887" s="8" t="inlineStr">
        <is>
          <t>Express Air</t>
        </is>
      </c>
      <c r="J887" s="8" t="inlineStr">
        <is>
          <t>Direct Web</t>
        </is>
      </c>
      <c r="K887" s="8" t="inlineStr">
        <is>
          <t>REG-EU</t>
        </is>
      </c>
    </row>
    <row r="888">
      <c r="A888" s="8" t="inlineStr">
        <is>
          <t>ORD-000447</t>
        </is>
      </c>
      <c r="B888" s="8" t="inlineStr">
        <is>
          <t>2024-10-07</t>
        </is>
      </c>
      <c r="C888" s="8" t="inlineStr">
        <is>
          <t>CUST-06096</t>
        </is>
      </c>
      <c r="D888" s="8" t="inlineStr">
        <is>
          <t>Diane Robinson</t>
        </is>
      </c>
      <c r="E888" s="8" t="inlineStr">
        <is>
          <t>PRD-0059</t>
        </is>
      </c>
      <c r="F888" s="8" t="inlineStr">
        <is>
          <t>4</t>
        </is>
      </c>
      <c r="G888" s="9" t="n">
        <v>532.12</v>
      </c>
      <c r="H888" s="8" t="inlineStr">
        <is>
          <t>0.05</t>
        </is>
      </c>
      <c r="I888" s="8" t="inlineStr">
        <is>
          <t>Standard Ground</t>
        </is>
      </c>
      <c r="J888" s="8" t="inlineStr">
        <is>
          <t>Direct Web</t>
        </is>
      </c>
      <c r="K888" s="8" t="inlineStr">
        <is>
          <t>REG-NA</t>
        </is>
      </c>
    </row>
    <row r="889">
      <c r="A889" s="8" t="inlineStr">
        <is>
          <t>ORD-000448</t>
        </is>
      </c>
      <c r="B889" s="8" t="inlineStr">
        <is>
          <t>2023-12-27</t>
        </is>
      </c>
      <c r="C889" s="8" t="inlineStr">
        <is>
          <t>CUST-04328</t>
        </is>
      </c>
      <c r="D889" s="8" t="inlineStr">
        <is>
          <t>Barbara Green</t>
        </is>
      </c>
      <c r="E889" s="8" t="inlineStr">
        <is>
          <t>PRD-0026</t>
        </is>
      </c>
      <c r="F889" s="8" t="inlineStr">
        <is>
          <t>3</t>
        </is>
      </c>
      <c r="G889" s="9" t="n">
        <v>469.49</v>
      </c>
      <c r="H889" s="8" t="inlineStr">
        <is>
          <t>0.0</t>
        </is>
      </c>
      <c r="I889" s="8" t="inlineStr">
        <is>
          <t>Same-Day Priority</t>
        </is>
      </c>
      <c r="J889" s="8" t="inlineStr">
        <is>
          <t>Mobile App</t>
        </is>
      </c>
      <c r="K889" s="8" t="inlineStr">
        <is>
          <t>REG-EU</t>
        </is>
      </c>
    </row>
    <row r="890">
      <c r="A890" s="8" t="inlineStr">
        <is>
          <t>ORD-000449</t>
        </is>
      </c>
      <c r="B890" s="8" t="inlineStr">
        <is>
          <t>2025-05-17</t>
        </is>
      </c>
      <c r="C890" s="8" t="inlineStr">
        <is>
          <t>CUST-00653</t>
        </is>
      </c>
      <c r="D890" s="8" t="inlineStr">
        <is>
          <t>Michael Moore</t>
        </is>
      </c>
      <c r="E890" s="8" t="inlineStr">
        <is>
          <t>PRD-0016</t>
        </is>
      </c>
      <c r="F890" s="8" t="inlineStr">
        <is>
          <t>2</t>
        </is>
      </c>
      <c r="G890" s="9" t="n">
        <v>160.4</v>
      </c>
      <c r="H890" s="8" t="inlineStr">
        <is>
          <t>0.0</t>
        </is>
      </c>
      <c r="I890" s="8" t="inlineStr">
        <is>
          <t>Standard Ground</t>
        </is>
      </c>
      <c r="J890" s="8" t="inlineStr">
        <is>
          <t>Mobile App</t>
        </is>
      </c>
      <c r="K890" s="8" t="inlineStr">
        <is>
          <t>REG-EU</t>
        </is>
      </c>
    </row>
    <row r="891">
      <c r="A891" s="8" t="inlineStr">
        <is>
          <t>ORD-000449</t>
        </is>
      </c>
      <c r="B891" s="8" t="inlineStr">
        <is>
          <t>2025-05-17</t>
        </is>
      </c>
      <c r="C891" s="8" t="inlineStr">
        <is>
          <t>CUST-00653</t>
        </is>
      </c>
      <c r="D891" s="8" t="inlineStr">
        <is>
          <t>Michael Moore</t>
        </is>
      </c>
      <c r="E891" s="8" t="inlineStr">
        <is>
          <t>PRD-0213</t>
        </is>
      </c>
      <c r="F891" s="8" t="inlineStr">
        <is>
          <t>1</t>
        </is>
      </c>
      <c r="G891" s="9" t="n">
        <v>592.9</v>
      </c>
      <c r="H891" s="8" t="inlineStr">
        <is>
          <t>0.1</t>
        </is>
      </c>
      <c r="I891" s="8" t="inlineStr">
        <is>
          <t>Standard Ground</t>
        </is>
      </c>
      <c r="J891" s="8" t="inlineStr">
        <is>
          <t>Mobile App</t>
        </is>
      </c>
      <c r="K891" s="8" t="inlineStr">
        <is>
          <t>REG-EU</t>
        </is>
      </c>
    </row>
    <row r="892">
      <c r="A892" s="8" t="inlineStr">
        <is>
          <t>ORD-000449</t>
        </is>
      </c>
      <c r="B892" s="8" t="inlineStr">
        <is>
          <t>2025-05-17</t>
        </is>
      </c>
      <c r="C892" s="8" t="inlineStr">
        <is>
          <t>CUST-00653</t>
        </is>
      </c>
      <c r="D892" s="8" t="inlineStr">
        <is>
          <t>Michael Moore</t>
        </is>
      </c>
      <c r="E892" s="8" t="inlineStr">
        <is>
          <t>PRD-0273</t>
        </is>
      </c>
      <c r="F892" s="8" t="inlineStr">
        <is>
          <t>1</t>
        </is>
      </c>
      <c r="G892" s="9" t="n">
        <v>19.23</v>
      </c>
      <c r="H892" s="8" t="inlineStr">
        <is>
          <t>0.15</t>
        </is>
      </c>
      <c r="I892" s="8" t="inlineStr">
        <is>
          <t>Standard Ground</t>
        </is>
      </c>
      <c r="J892" s="8" t="inlineStr">
        <is>
          <t>Mobile App</t>
        </is>
      </c>
      <c r="K892" s="8" t="inlineStr">
        <is>
          <t>REG-EU</t>
        </is>
      </c>
    </row>
    <row r="893">
      <c r="A893" s="8" t="inlineStr">
        <is>
          <t>ORD-000449</t>
        </is>
      </c>
      <c r="B893" s="8" t="inlineStr">
        <is>
          <t>2025-05-17</t>
        </is>
      </c>
      <c r="C893" s="8" t="inlineStr">
        <is>
          <t>CUST-00653</t>
        </is>
      </c>
      <c r="D893" s="8" t="inlineStr">
        <is>
          <t>Michael Moore</t>
        </is>
      </c>
      <c r="E893" s="8" t="inlineStr">
        <is>
          <t>PRD-0142</t>
        </is>
      </c>
      <c r="F893" s="8" t="inlineStr">
        <is>
          <t>1</t>
        </is>
      </c>
      <c r="G893" s="9" t="n">
        <v>44.6</v>
      </c>
      <c r="H893" s="8" t="inlineStr">
        <is>
          <t>0.05</t>
        </is>
      </c>
      <c r="I893" s="8" t="inlineStr">
        <is>
          <t>Standard Ground</t>
        </is>
      </c>
      <c r="J893" s="8" t="inlineStr">
        <is>
          <t>Mobile App</t>
        </is>
      </c>
      <c r="K893" s="8" t="inlineStr">
        <is>
          <t>REG-EU</t>
        </is>
      </c>
    </row>
    <row r="894">
      <c r="A894" s="8" t="inlineStr">
        <is>
          <t>ORD-000449</t>
        </is>
      </c>
      <c r="B894" s="8" t="inlineStr">
        <is>
          <t>2025-05-17</t>
        </is>
      </c>
      <c r="C894" s="8" t="inlineStr">
        <is>
          <t>CUST-00653</t>
        </is>
      </c>
      <c r="D894" s="8" t="inlineStr">
        <is>
          <t>Michael Moore</t>
        </is>
      </c>
      <c r="E894" s="8" t="inlineStr">
        <is>
          <t>PRD-0147</t>
        </is>
      </c>
      <c r="F894" s="8" t="inlineStr">
        <is>
          <t>5</t>
        </is>
      </c>
      <c r="G894" s="9" t="n">
        <v>544.0700000000001</v>
      </c>
      <c r="H894" s="8" t="inlineStr">
        <is>
          <t>0.05</t>
        </is>
      </c>
      <c r="I894" s="8" t="inlineStr">
        <is>
          <t>Standard Ground</t>
        </is>
      </c>
      <c r="J894" s="8" t="inlineStr">
        <is>
          <t>Mobile App</t>
        </is>
      </c>
      <c r="K894" s="8" t="inlineStr">
        <is>
          <t>REG-EU</t>
        </is>
      </c>
    </row>
    <row r="895">
      <c r="A895" s="8" t="inlineStr">
        <is>
          <t>ORD-000450</t>
        </is>
      </c>
      <c r="B895" s="8" t="inlineStr">
        <is>
          <t>2025-06-30</t>
        </is>
      </c>
      <c r="C895" s="8" t="inlineStr">
        <is>
          <t>CUST-04543</t>
        </is>
      </c>
      <c r="D895" s="8" t="inlineStr">
        <is>
          <t>Tyler Nelson</t>
        </is>
      </c>
      <c r="E895" s="8" t="inlineStr">
        <is>
          <t>PRD-0433</t>
        </is>
      </c>
      <c r="F895" s="8" t="inlineStr">
        <is>
          <t>2</t>
        </is>
      </c>
      <c r="G895" s="9" t="n">
        <v>545.86</v>
      </c>
      <c r="H895" s="8" t="inlineStr">
        <is>
          <t>0.0</t>
        </is>
      </c>
      <c r="I895" s="8" t="inlineStr">
        <is>
          <t>Express Air</t>
        </is>
      </c>
      <c r="J895" s="8" t="inlineStr">
        <is>
          <t>Direct Web</t>
        </is>
      </c>
      <c r="K895" s="8" t="inlineStr">
        <is>
          <t>REG-EU</t>
        </is>
      </c>
    </row>
    <row r="896">
      <c r="A896" s="8" t="inlineStr">
        <is>
          <t>ORD-000450</t>
        </is>
      </c>
      <c r="B896" s="8" t="inlineStr">
        <is>
          <t>2025-06-30</t>
        </is>
      </c>
      <c r="C896" s="8" t="inlineStr">
        <is>
          <t>CUST-04543</t>
        </is>
      </c>
      <c r="D896" s="8" t="inlineStr">
        <is>
          <t>Tyler Nelson</t>
        </is>
      </c>
      <c r="E896" s="8" t="inlineStr">
        <is>
          <t>PRD-0273</t>
        </is>
      </c>
      <c r="F896" s="8" t="inlineStr">
        <is>
          <t>1</t>
        </is>
      </c>
      <c r="G896" s="9" t="n">
        <v>19.23</v>
      </c>
      <c r="H896" s="8" t="inlineStr">
        <is>
          <t>0.1</t>
        </is>
      </c>
      <c r="I896" s="8" t="inlineStr">
        <is>
          <t>Express Air</t>
        </is>
      </c>
      <c r="J896" s="8" t="inlineStr">
        <is>
          <t>Direct Web</t>
        </is>
      </c>
      <c r="K896" s="8" t="inlineStr">
        <is>
          <t>REG-EU</t>
        </is>
      </c>
    </row>
    <row r="897">
      <c r="A897" s="8" t="inlineStr">
        <is>
          <t>ORD-000450</t>
        </is>
      </c>
      <c r="B897" s="8" t="inlineStr">
        <is>
          <t>2025-06-30</t>
        </is>
      </c>
      <c r="C897" s="8" t="inlineStr">
        <is>
          <t>CUST-04543</t>
        </is>
      </c>
      <c r="D897" s="8" t="inlineStr">
        <is>
          <t>Tyler Nelson</t>
        </is>
      </c>
      <c r="E897" s="8" t="inlineStr">
        <is>
          <t>PRD-0305</t>
        </is>
      </c>
      <c r="F897" s="8" t="inlineStr">
        <is>
          <t>1</t>
        </is>
      </c>
      <c r="G897" s="9" t="n">
        <v>713.99</v>
      </c>
      <c r="H897" s="8" t="inlineStr">
        <is>
          <t>0.1</t>
        </is>
      </c>
      <c r="I897" s="8" t="inlineStr">
        <is>
          <t>Express Air</t>
        </is>
      </c>
      <c r="J897" s="8" t="inlineStr">
        <is>
          <t>Direct Web</t>
        </is>
      </c>
      <c r="K897" s="8" t="inlineStr">
        <is>
          <t>REG-EU</t>
        </is>
      </c>
    </row>
    <row r="898">
      <c r="A898" s="8" t="inlineStr">
        <is>
          <t>ORD-000450</t>
        </is>
      </c>
      <c r="B898" s="8" t="inlineStr">
        <is>
          <t>2025-06-30</t>
        </is>
      </c>
      <c r="C898" s="8" t="inlineStr">
        <is>
          <t>CUST-04543</t>
        </is>
      </c>
      <c r="D898" s="8" t="inlineStr">
        <is>
          <t>Tyler Nelson</t>
        </is>
      </c>
      <c r="E898" s="8" t="inlineStr">
        <is>
          <t>PRD-0154</t>
        </is>
      </c>
      <c r="F898" s="8" t="inlineStr">
        <is>
          <t>1</t>
        </is>
      </c>
      <c r="G898" s="9" t="n">
        <v>168.94</v>
      </c>
      <c r="H898" s="8" t="inlineStr">
        <is>
          <t>0.0</t>
        </is>
      </c>
      <c r="I898" s="8" t="inlineStr">
        <is>
          <t>Express Air</t>
        </is>
      </c>
      <c r="J898" s="8" t="inlineStr">
        <is>
          <t>Direct Web</t>
        </is>
      </c>
      <c r="K898" s="8" t="inlineStr">
        <is>
          <t>REG-EU</t>
        </is>
      </c>
    </row>
    <row r="899">
      <c r="A899" s="8" t="inlineStr">
        <is>
          <t>ORD-000451</t>
        </is>
      </c>
      <c r="B899" s="8" t="inlineStr">
        <is>
          <t>2024-04-20</t>
        </is>
      </c>
      <c r="C899" s="8" t="inlineStr">
        <is>
          <t>CUST-03347</t>
        </is>
      </c>
      <c r="D899" s="8" t="inlineStr">
        <is>
          <t>Daniel Patel</t>
        </is>
      </c>
      <c r="E899" s="8" t="inlineStr">
        <is>
          <t>PRD-0387</t>
        </is>
      </c>
      <c r="F899" s="8" t="inlineStr">
        <is>
          <t>2</t>
        </is>
      </c>
      <c r="G899" s="9" t="n">
        <v>123.3</v>
      </c>
      <c r="H899" s="8" t="inlineStr">
        <is>
          <t>0.0</t>
        </is>
      </c>
      <c r="I899" s="8" t="inlineStr">
        <is>
          <t>Standard Ground</t>
        </is>
      </c>
      <c r="J899" s="8" t="inlineStr">
        <is>
          <t>Direct Web</t>
        </is>
      </c>
      <c r="K899" s="8" t="inlineStr">
        <is>
          <t>REG-EU</t>
        </is>
      </c>
    </row>
    <row r="900">
      <c r="A900" s="8" t="inlineStr">
        <is>
          <t>ORD-000452</t>
        </is>
      </c>
      <c r="B900" s="8" t="inlineStr">
        <is>
          <t>2025-01-01</t>
        </is>
      </c>
      <c r="C900" s="8" t="inlineStr">
        <is>
          <t>CUST-05116</t>
        </is>
      </c>
      <c r="D900" s="8" t="inlineStr">
        <is>
          <t>Mary Murphy</t>
        </is>
      </c>
      <c r="E900" s="8" t="inlineStr">
        <is>
          <t>PRD-0212</t>
        </is>
      </c>
      <c r="F900" s="8" t="inlineStr">
        <is>
          <t>1</t>
        </is>
      </c>
      <c r="G900" s="9" t="n">
        <v>15.71</v>
      </c>
      <c r="H900" s="8" t="inlineStr">
        <is>
          <t>0.1</t>
        </is>
      </c>
      <c r="I900" s="8" t="inlineStr">
        <is>
          <t>Express Air</t>
        </is>
      </c>
      <c r="J900" s="8" t="inlineStr">
        <is>
          <t>Direct Web</t>
        </is>
      </c>
      <c r="K900" s="8" t="inlineStr">
        <is>
          <t>REG-EU</t>
        </is>
      </c>
    </row>
    <row r="901">
      <c r="A901" s="8" t="inlineStr">
        <is>
          <t>ORD-000452</t>
        </is>
      </c>
      <c r="B901" s="8" t="inlineStr">
        <is>
          <t>2025-01-01</t>
        </is>
      </c>
      <c r="C901" s="8" t="inlineStr">
        <is>
          <t>CUST-05116</t>
        </is>
      </c>
      <c r="D901" s="8" t="inlineStr">
        <is>
          <t>Mary Murphy</t>
        </is>
      </c>
      <c r="E901" s="8" t="inlineStr">
        <is>
          <t>PRD-0336</t>
        </is>
      </c>
      <c r="F901" s="8" t="inlineStr">
        <is>
          <t>3</t>
        </is>
      </c>
      <c r="G901" s="9" t="n">
        <v>216.76</v>
      </c>
      <c r="H901" s="8" t="inlineStr">
        <is>
          <t>0.2</t>
        </is>
      </c>
      <c r="I901" s="8" t="inlineStr">
        <is>
          <t>Express Air</t>
        </is>
      </c>
      <c r="J901" s="8" t="inlineStr">
        <is>
          <t>Direct Web</t>
        </is>
      </c>
      <c r="K901" s="8" t="inlineStr">
        <is>
          <t>REG-EU</t>
        </is>
      </c>
    </row>
    <row r="902">
      <c r="A902" s="8" t="inlineStr">
        <is>
          <t>ORD-000452</t>
        </is>
      </c>
      <c r="B902" s="8" t="inlineStr">
        <is>
          <t>2025-01-01</t>
        </is>
      </c>
      <c r="C902" s="8" t="inlineStr">
        <is>
          <t>CUST-05116</t>
        </is>
      </c>
      <c r="D902" s="8" t="inlineStr">
        <is>
          <t>Mary Murphy</t>
        </is>
      </c>
      <c r="E902" s="8" t="inlineStr">
        <is>
          <t>PRD-0026</t>
        </is>
      </c>
      <c r="F902" s="8" t="inlineStr">
        <is>
          <t>2</t>
        </is>
      </c>
      <c r="G902" s="9" t="n">
        <v>469.49</v>
      </c>
      <c r="H902" s="8" t="inlineStr">
        <is>
          <t>0.15</t>
        </is>
      </c>
      <c r="I902" s="8" t="inlineStr">
        <is>
          <t>Express Air</t>
        </is>
      </c>
      <c r="J902" s="8" t="inlineStr">
        <is>
          <t>Direct Web</t>
        </is>
      </c>
      <c r="K902" s="8" t="inlineStr">
        <is>
          <t>REG-EU</t>
        </is>
      </c>
    </row>
    <row r="903">
      <c r="A903" s="8" t="inlineStr">
        <is>
          <t>ORD-000453</t>
        </is>
      </c>
      <c r="B903" s="8" t="inlineStr">
        <is>
          <t>2023-10-01</t>
        </is>
      </c>
      <c r="C903" s="8" t="inlineStr">
        <is>
          <t>CUST-05228</t>
        </is>
      </c>
      <c r="D903" s="8" t="inlineStr">
        <is>
          <t>Nancy Ross</t>
        </is>
      </c>
      <c r="E903" s="8" t="inlineStr">
        <is>
          <t>PRD-0035</t>
        </is>
      </c>
      <c r="F903" s="8" t="inlineStr">
        <is>
          <t>1</t>
        </is>
      </c>
      <c r="G903" s="9" t="n">
        <v>584.6799999999999</v>
      </c>
      <c r="H903" s="8" t="inlineStr">
        <is>
          <t>0.0</t>
        </is>
      </c>
      <c r="I903" s="8" t="inlineStr">
        <is>
          <t>Express Air</t>
        </is>
      </c>
      <c r="J903" s="8" t="inlineStr">
        <is>
          <t>Mobile App</t>
        </is>
      </c>
      <c r="K903" s="8" t="inlineStr">
        <is>
          <t>REG-NA</t>
        </is>
      </c>
    </row>
    <row r="904">
      <c r="A904" s="8" t="inlineStr">
        <is>
          <t>ORD-000454</t>
        </is>
      </c>
      <c r="B904" s="8" t="inlineStr">
        <is>
          <t>09-01-2024</t>
        </is>
      </c>
      <c r="C904" s="8" t="inlineStr">
        <is>
          <t>CUST-07012</t>
        </is>
      </c>
      <c r="D904" s="8" t="inlineStr">
        <is>
          <t>Alexander Reyes</t>
        </is>
      </c>
      <c r="E904" s="8" t="inlineStr">
        <is>
          <t>PRD-0388</t>
        </is>
      </c>
      <c r="F904" s="8" t="inlineStr">
        <is>
          <t>1</t>
        </is>
      </c>
      <c r="G904" s="9" t="n">
        <v>318.52</v>
      </c>
      <c r="H904" s="8" t="inlineStr">
        <is>
          <t>0.0</t>
        </is>
      </c>
      <c r="I904" s="8" t="inlineStr">
        <is>
          <t>Same-Day Priority</t>
        </is>
      </c>
      <c r="J904" s="8" t="inlineStr">
        <is>
          <t>Mobile App</t>
        </is>
      </c>
      <c r="K904" s="8" t="inlineStr">
        <is>
          <t>REG-NA</t>
        </is>
      </c>
    </row>
    <row r="905">
      <c r="A905" s="8" t="inlineStr">
        <is>
          <t>ORD-000455</t>
        </is>
      </c>
      <c r="B905" s="8" t="inlineStr">
        <is>
          <t>2025-04-13</t>
        </is>
      </c>
      <c r="C905" s="8" t="inlineStr">
        <is>
          <t>CUST-01981</t>
        </is>
      </c>
      <c r="D905" s="8" t="inlineStr">
        <is>
          <t>Jack Rodriguez</t>
        </is>
      </c>
      <c r="E905" s="8" t="inlineStr">
        <is>
          <t>PRD-0053</t>
        </is>
      </c>
      <c r="F905" s="8" t="inlineStr">
        <is>
          <t>1</t>
        </is>
      </c>
      <c r="G905" s="9" t="n">
        <v>1031.53</v>
      </c>
      <c r="H905" s="8" t="inlineStr">
        <is>
          <t>0.0</t>
        </is>
      </c>
      <c r="I905" s="8" t="inlineStr">
        <is>
          <t>Standard Ground</t>
        </is>
      </c>
      <c r="J905" s="8" t="inlineStr">
        <is>
          <t>Direct Web</t>
        </is>
      </c>
      <c r="K905" s="8" t="inlineStr">
        <is>
          <t>REG-EU</t>
        </is>
      </c>
    </row>
    <row r="906">
      <c r="A906" s="8" t="inlineStr">
        <is>
          <t>ORD-000456</t>
        </is>
      </c>
      <c r="B906" s="8" t="inlineStr">
        <is>
          <t>2023-11-02</t>
        </is>
      </c>
      <c r="C906" s="8" t="inlineStr">
        <is>
          <t>CUST-06454</t>
        </is>
      </c>
      <c r="D906" s="8" t="inlineStr">
        <is>
          <t>Janet Morgan</t>
        </is>
      </c>
      <c r="E906" s="8" t="inlineStr">
        <is>
          <t>PRD-0140</t>
        </is>
      </c>
      <c r="F906" s="8" t="inlineStr">
        <is>
          <t>1</t>
        </is>
      </c>
      <c r="G906" s="9" t="n">
        <v>41.25</v>
      </c>
      <c r="H906" s="8" t="inlineStr">
        <is>
          <t>0.1</t>
        </is>
      </c>
      <c r="I906" s="8" t="inlineStr">
        <is>
          <t>Standard Ground</t>
        </is>
      </c>
      <c r="J906" s="8" t="inlineStr">
        <is>
          <t>Direct Web</t>
        </is>
      </c>
      <c r="K906" s="8" t="inlineStr">
        <is>
          <t>REG-APAC</t>
        </is>
      </c>
    </row>
    <row r="907">
      <c r="A907" s="8" t="inlineStr">
        <is>
          <t>ORD-000456</t>
        </is>
      </c>
      <c r="B907" s="8" t="inlineStr">
        <is>
          <t>2023-11-02</t>
        </is>
      </c>
      <c r="C907" s="8" t="inlineStr">
        <is>
          <t>CUST-06454</t>
        </is>
      </c>
      <c r="D907" s="8" t="inlineStr">
        <is>
          <t>Janet Morgan</t>
        </is>
      </c>
      <c r="E907" s="8" t="inlineStr">
        <is>
          <t>PRD-0399</t>
        </is>
      </c>
      <c r="F907" s="8" t="inlineStr">
        <is>
          <t>1</t>
        </is>
      </c>
      <c r="G907" s="9" t="n">
        <v>933.08</v>
      </c>
      <c r="H907" s="8" t="inlineStr">
        <is>
          <t>0.0</t>
        </is>
      </c>
      <c r="I907" s="8" t="inlineStr">
        <is>
          <t>Standard Ground</t>
        </is>
      </c>
      <c r="J907" s="8" t="inlineStr">
        <is>
          <t>Direct Web</t>
        </is>
      </c>
      <c r="K907" s="8" t="inlineStr">
        <is>
          <t>REG-APAC</t>
        </is>
      </c>
    </row>
    <row r="908">
      <c r="A908" s="8" t="inlineStr">
        <is>
          <t>ORD-000457</t>
        </is>
      </c>
      <c r="B908" s="8" t="inlineStr">
        <is>
          <t>2023-08-03</t>
        </is>
      </c>
      <c r="C908" s="8" t="inlineStr">
        <is>
          <t>CUST-06739</t>
        </is>
      </c>
      <c r="D908" s="8" t="inlineStr">
        <is>
          <t>John Wood</t>
        </is>
      </c>
      <c r="E908" s="8" t="inlineStr">
        <is>
          <t>PRD-0090</t>
        </is>
      </c>
      <c r="F908" s="8" t="inlineStr">
        <is>
          <t>1</t>
        </is>
      </c>
      <c r="G908" s="9" t="n">
        <v>761.86</v>
      </c>
      <c r="H908" s="8" t="inlineStr">
        <is>
          <t>0.0</t>
        </is>
      </c>
      <c r="I908" s="8" t="inlineStr">
        <is>
          <t>Standard Ground</t>
        </is>
      </c>
      <c r="J908" s="8" t="inlineStr">
        <is>
          <t>Mobile App</t>
        </is>
      </c>
      <c r="K908" s="8" t="inlineStr">
        <is>
          <t>REG-APAC</t>
        </is>
      </c>
    </row>
    <row r="909">
      <c r="A909" s="8" t="inlineStr">
        <is>
          <t>ORD-000457</t>
        </is>
      </c>
      <c r="B909" s="8" t="inlineStr">
        <is>
          <t>2023-08-03</t>
        </is>
      </c>
      <c r="C909" s="8" t="inlineStr">
        <is>
          <t>CUST-06739</t>
        </is>
      </c>
      <c r="D909" s="8" t="inlineStr">
        <is>
          <t>John Wood</t>
        </is>
      </c>
      <c r="E909" s="8" t="inlineStr">
        <is>
          <t>PRD-0021</t>
        </is>
      </c>
      <c r="F909" s="8" t="inlineStr">
        <is>
          <t>1</t>
        </is>
      </c>
      <c r="G909" s="9" t="n">
        <v>41.09</v>
      </c>
      <c r="H909" s="8" t="inlineStr">
        <is>
          <t>0.05</t>
        </is>
      </c>
      <c r="I909" s="8" t="inlineStr">
        <is>
          <t>Standard Ground</t>
        </is>
      </c>
      <c r="J909" s="8" t="inlineStr">
        <is>
          <t>Mobile App</t>
        </is>
      </c>
      <c r="K909" s="8" t="inlineStr">
        <is>
          <t>REG-APAC</t>
        </is>
      </c>
    </row>
    <row r="910">
      <c r="A910" s="8" t="inlineStr">
        <is>
          <t>ORD-000458</t>
        </is>
      </c>
      <c r="B910" s="8" t="inlineStr">
        <is>
          <t>2024-05-08</t>
        </is>
      </c>
      <c r="C910" s="8" t="inlineStr">
        <is>
          <t>CUST-00850</t>
        </is>
      </c>
      <c r="D910" s="8" t="inlineStr">
        <is>
          <t>Scott Watson</t>
        </is>
      </c>
      <c r="E910" s="8" t="inlineStr">
        <is>
          <t>PRD-0453</t>
        </is>
      </c>
      <c r="F910" s="8" t="inlineStr">
        <is>
          <t>1</t>
        </is>
      </c>
      <c r="G910" s="9" t="n">
        <v>54.92</v>
      </c>
      <c r="H910" s="8" t="inlineStr">
        <is>
          <t>0.0</t>
        </is>
      </c>
      <c r="I910" s="8" t="inlineStr">
        <is>
          <t>Standard Ground</t>
        </is>
      </c>
      <c r="J910" s="8" t="inlineStr">
        <is>
          <t>Mobile App</t>
        </is>
      </c>
      <c r="K910" s="8" t="inlineStr">
        <is>
          <t>REG-APAC</t>
        </is>
      </c>
    </row>
    <row r="911">
      <c r="A911" s="8" t="inlineStr">
        <is>
          <t>ORD-000459</t>
        </is>
      </c>
      <c r="B911" s="8" t="inlineStr">
        <is>
          <t>2023-07-01</t>
        </is>
      </c>
      <c r="C911" s="8" t="inlineStr">
        <is>
          <t>CUST-05488</t>
        </is>
      </c>
      <c r="D911" s="8" t="inlineStr">
        <is>
          <t>Raymond Morgan</t>
        </is>
      </c>
      <c r="E911" s="8" t="inlineStr">
        <is>
          <t>PRD-0160</t>
        </is>
      </c>
      <c r="F911" s="8" t="inlineStr">
        <is>
          <t>2</t>
        </is>
      </c>
      <c r="G911" s="9" t="n">
        <v>1076.82</v>
      </c>
      <c r="H911" s="8" t="inlineStr">
        <is>
          <t>0.05</t>
        </is>
      </c>
      <c r="I911" s="8" t="inlineStr">
        <is>
          <t>Standard Ground</t>
        </is>
      </c>
      <c r="J911" s="8" t="inlineStr">
        <is>
          <t>Direct Web</t>
        </is>
      </c>
      <c r="K911" s="8" t="inlineStr">
        <is>
          <t>REG-EU</t>
        </is>
      </c>
    </row>
    <row r="912">
      <c r="A912" s="8" t="inlineStr">
        <is>
          <t>ORD-000460</t>
        </is>
      </c>
      <c r="B912" s="8" t="inlineStr">
        <is>
          <t>2023-08-26</t>
        </is>
      </c>
      <c r="C912" s="8" t="inlineStr">
        <is>
          <t>CUST-06141</t>
        </is>
      </c>
      <c r="D912" s="8" t="inlineStr">
        <is>
          <t>Michelle Allen</t>
        </is>
      </c>
      <c r="E912" s="8" t="inlineStr">
        <is>
          <t>PRD-0143</t>
        </is>
      </c>
      <c r="F912" s="8" t="inlineStr">
        <is>
          <t>1</t>
        </is>
      </c>
      <c r="G912" s="9" t="n">
        <v>359.58</v>
      </c>
      <c r="H912" s="8" t="inlineStr">
        <is>
          <t>0.25</t>
        </is>
      </c>
      <c r="I912" s="8" t="inlineStr">
        <is>
          <t>Standard Ground</t>
        </is>
      </c>
      <c r="J912" s="8" t="inlineStr">
        <is>
          <t>Direct Web</t>
        </is>
      </c>
      <c r="K912" s="8" t="inlineStr">
        <is>
          <t>REG-NA</t>
        </is>
      </c>
    </row>
    <row r="913">
      <c r="A913" s="8" t="inlineStr">
        <is>
          <t>ORD-000460</t>
        </is>
      </c>
      <c r="B913" s="8" t="inlineStr">
        <is>
          <t>2023-08-26</t>
        </is>
      </c>
      <c r="C913" s="8" t="inlineStr">
        <is>
          <t>CUST-06141</t>
        </is>
      </c>
      <c r="D913" s="8" t="inlineStr">
        <is>
          <t>Michelle Allen</t>
        </is>
      </c>
      <c r="E913" s="8" t="inlineStr">
        <is>
          <t>PRD-0421</t>
        </is>
      </c>
      <c r="F913" s="8" t="inlineStr">
        <is>
          <t>1</t>
        </is>
      </c>
      <c r="G913" s="9" t="n">
        <v>50.08</v>
      </c>
      <c r="H913" s="8" t="inlineStr">
        <is>
          <t>0.0</t>
        </is>
      </c>
      <c r="I913" s="8" t="inlineStr">
        <is>
          <t>Standard Ground</t>
        </is>
      </c>
      <c r="J913" s="8" t="inlineStr">
        <is>
          <t>Direct Web</t>
        </is>
      </c>
      <c r="K913" s="8" t="inlineStr">
        <is>
          <t>REG-NA</t>
        </is>
      </c>
    </row>
    <row r="914">
      <c r="A914" s="8" t="inlineStr">
        <is>
          <t>ORD-000460</t>
        </is>
      </c>
      <c r="B914" s="8" t="inlineStr">
        <is>
          <t>2023-08-26</t>
        </is>
      </c>
      <c r="C914" s="8" t="inlineStr">
        <is>
          <t>CUST-06141</t>
        </is>
      </c>
      <c r="D914" s="8" t="inlineStr">
        <is>
          <t>Michelle Allen</t>
        </is>
      </c>
      <c r="E914" s="8" t="inlineStr">
        <is>
          <t>PRD-0447</t>
        </is>
      </c>
      <c r="F914" s="8" t="inlineStr">
        <is>
          <t>3</t>
        </is>
      </c>
      <c r="G914" s="9" t="n">
        <v>65.02</v>
      </c>
      <c r="H914" s="8" t="inlineStr">
        <is>
          <t>5%</t>
        </is>
      </c>
      <c r="I914" s="8" t="inlineStr">
        <is>
          <t>Standard Ground</t>
        </is>
      </c>
      <c r="J914" s="8" t="inlineStr">
        <is>
          <t>Direct Web</t>
        </is>
      </c>
      <c r="K914" s="8" t="inlineStr">
        <is>
          <t>REG-NA</t>
        </is>
      </c>
    </row>
    <row r="915">
      <c r="A915" s="8" t="inlineStr">
        <is>
          <t>ORD-000460</t>
        </is>
      </c>
      <c r="B915" s="8" t="inlineStr">
        <is>
          <t>2023-08-26</t>
        </is>
      </c>
      <c r="C915" s="8" t="inlineStr">
        <is>
          <t>CUST-06141</t>
        </is>
      </c>
      <c r="D915" s="8" t="inlineStr">
        <is>
          <t>Michelle Allen</t>
        </is>
      </c>
      <c r="E915" s="8" t="inlineStr">
        <is>
          <t>PRD-0256</t>
        </is>
      </c>
      <c r="F915" s="8" t="inlineStr">
        <is>
          <t>1</t>
        </is>
      </c>
      <c r="G915" s="9" t="n">
        <v>235.18</v>
      </c>
      <c r="H915" s="8" t="inlineStr">
        <is>
          <t>0.1</t>
        </is>
      </c>
      <c r="I915" s="8" t="inlineStr">
        <is>
          <t>Standard Ground</t>
        </is>
      </c>
      <c r="J915" s="8" t="inlineStr">
        <is>
          <t>Direct Web</t>
        </is>
      </c>
      <c r="K915" s="8" t="inlineStr">
        <is>
          <t>REG-NA</t>
        </is>
      </c>
    </row>
    <row r="916">
      <c r="A916" s="8" t="inlineStr">
        <is>
          <t>ORD-000460</t>
        </is>
      </c>
      <c r="B916" s="8" t="inlineStr">
        <is>
          <t>2023-08-26</t>
        </is>
      </c>
      <c r="C916" s="8" t="inlineStr">
        <is>
          <t>CUST-06141</t>
        </is>
      </c>
      <c r="D916" s="8" t="inlineStr">
        <is>
          <t>Michelle Allen</t>
        </is>
      </c>
      <c r="E916" s="8" t="inlineStr">
        <is>
          <t>PRD-0350</t>
        </is>
      </c>
      <c r="F916" s="8" t="inlineStr">
        <is>
          <t>1</t>
        </is>
      </c>
      <c r="G916" s="9" t="n">
        <v>66.90000000000001</v>
      </c>
      <c r="H916" s="8" t="inlineStr">
        <is>
          <t>0.15</t>
        </is>
      </c>
      <c r="I916" s="8" t="inlineStr">
        <is>
          <t>Standard Ground</t>
        </is>
      </c>
      <c r="J916" s="8" t="inlineStr">
        <is>
          <t>Direct Web</t>
        </is>
      </c>
      <c r="K916" s="8" t="inlineStr">
        <is>
          <t>REG-NA</t>
        </is>
      </c>
    </row>
    <row r="917">
      <c r="A917" s="8" t="inlineStr">
        <is>
          <t>ORD-000461</t>
        </is>
      </c>
      <c r="B917" s="8" t="inlineStr">
        <is>
          <t>2024-01-28</t>
        </is>
      </c>
      <c r="C917" s="8" t="inlineStr">
        <is>
          <t>CUST-04712</t>
        </is>
      </c>
      <c r="D917" s="8" t="inlineStr">
        <is>
          <t>Karen Walker</t>
        </is>
      </c>
      <c r="E917" s="8" t="inlineStr">
        <is>
          <t>PRD-0115</t>
        </is>
      </c>
      <c r="F917" s="8" t="inlineStr">
        <is>
          <t>2</t>
        </is>
      </c>
      <c r="G917" s="9" t="n">
        <v>256.68</v>
      </c>
      <c r="H917" s="8" t="inlineStr">
        <is>
          <t>0.15</t>
        </is>
      </c>
      <c r="I917" s="8" t="inlineStr">
        <is>
          <t>Express Air</t>
        </is>
      </c>
      <c r="J917" s="8" t="inlineStr">
        <is>
          <t>B2B Portal</t>
        </is>
      </c>
      <c r="K917" s="8" t="inlineStr">
        <is>
          <t>REG-NA</t>
        </is>
      </c>
    </row>
    <row r="918">
      <c r="A918" s="8" t="inlineStr">
        <is>
          <t>ORD-000461</t>
        </is>
      </c>
      <c r="B918" s="8" t="inlineStr">
        <is>
          <t>2024-01-28</t>
        </is>
      </c>
      <c r="C918" s="8" t="inlineStr">
        <is>
          <t>CUST-04712</t>
        </is>
      </c>
      <c r="D918" s="8" t="inlineStr">
        <is>
          <t>Karen Walker</t>
        </is>
      </c>
      <c r="E918" s="8" t="inlineStr">
        <is>
          <t>PRD-0213</t>
        </is>
      </c>
      <c r="F918" s="8" t="inlineStr">
        <is>
          <t>2</t>
        </is>
      </c>
      <c r="G918" s="9" t="n">
        <v>592.9</v>
      </c>
      <c r="H918" s="8" t="inlineStr">
        <is>
          <t>0.1</t>
        </is>
      </c>
      <c r="I918" s="8" t="inlineStr">
        <is>
          <t>Express Air</t>
        </is>
      </c>
      <c r="J918" s="8" t="inlineStr">
        <is>
          <t>B2B Portal</t>
        </is>
      </c>
      <c r="K918" s="8" t="inlineStr">
        <is>
          <t>REG-NA</t>
        </is>
      </c>
    </row>
    <row r="919">
      <c r="A919" s="8" t="inlineStr">
        <is>
          <t>ORD-000461</t>
        </is>
      </c>
      <c r="B919" s="8" t="inlineStr">
        <is>
          <t>2024-01-28</t>
        </is>
      </c>
      <c r="C919" s="8" t="inlineStr">
        <is>
          <t>CUST-04712</t>
        </is>
      </c>
      <c r="D919" s="8" t="inlineStr">
        <is>
          <t>Karen Walker</t>
        </is>
      </c>
      <c r="E919" s="8" t="inlineStr">
        <is>
          <t>PRD-0359</t>
        </is>
      </c>
      <c r="F919" s="8" t="inlineStr">
        <is>
          <t>1</t>
        </is>
      </c>
      <c r="G919" s="9" t="n">
        <v>1075.75</v>
      </c>
      <c r="H919" s="8" t="inlineStr">
        <is>
          <t>0.0</t>
        </is>
      </c>
      <c r="I919" s="8" t="inlineStr">
        <is>
          <t>Express Air</t>
        </is>
      </c>
      <c r="J919" s="8" t="inlineStr">
        <is>
          <t>B2B Portal</t>
        </is>
      </c>
      <c r="K919" s="8" t="inlineStr">
        <is>
          <t>REG-NA</t>
        </is>
      </c>
    </row>
    <row r="920">
      <c r="A920" s="8" t="inlineStr">
        <is>
          <t>ORD-000462</t>
        </is>
      </c>
      <c r="B920" s="8" t="inlineStr">
        <is>
          <t>2025-02-02</t>
        </is>
      </c>
      <c r="C920" s="8" t="inlineStr">
        <is>
          <t>CUST-04885</t>
        </is>
      </c>
      <c r="D920" s="8" t="inlineStr">
        <is>
          <t>Steven Martinez</t>
        </is>
      </c>
      <c r="E920" s="8" t="inlineStr">
        <is>
          <t>PRD-0241</t>
        </is>
      </c>
      <c r="F920" s="8" t="inlineStr">
        <is>
          <t>1</t>
        </is>
      </c>
      <c r="G920" s="9" t="n">
        <v>91.47</v>
      </c>
      <c r="H920" s="8" t="inlineStr">
        <is>
          <t>0.2</t>
        </is>
      </c>
      <c r="I920" s="8" t="inlineStr">
        <is>
          <t>Express Air</t>
        </is>
      </c>
      <c r="J920" s="8" t="inlineStr">
        <is>
          <t>Direct Web</t>
        </is>
      </c>
      <c r="K920" s="8" t="inlineStr">
        <is>
          <t>REG-EU</t>
        </is>
      </c>
    </row>
    <row r="921">
      <c r="A921" s="8" t="inlineStr">
        <is>
          <t>ORD-000462</t>
        </is>
      </c>
      <c r="B921" s="8" t="inlineStr">
        <is>
          <t>2025-02-02</t>
        </is>
      </c>
      <c r="C921" s="8" t="inlineStr">
        <is>
          <t>CUST-04885</t>
        </is>
      </c>
      <c r="D921" s="8" t="inlineStr">
        <is>
          <t>Steven Martinez</t>
        </is>
      </c>
      <c r="E921" s="8" t="inlineStr">
        <is>
          <t>PRD-0230</t>
        </is>
      </c>
      <c r="F921" s="8" t="inlineStr">
        <is>
          <t>1</t>
        </is>
      </c>
      <c r="G921" s="9" t="n">
        <v>54.32</v>
      </c>
      <c r="H921" s="8" t="inlineStr">
        <is>
          <t>0.0</t>
        </is>
      </c>
      <c r="I921" s="8" t="inlineStr">
        <is>
          <t>Express Air</t>
        </is>
      </c>
      <c r="J921" s="8" t="inlineStr">
        <is>
          <t>Direct Web</t>
        </is>
      </c>
      <c r="K921" s="8" t="inlineStr">
        <is>
          <t>REG-EU</t>
        </is>
      </c>
    </row>
    <row r="922">
      <c r="A922" s="8" t="inlineStr">
        <is>
          <t>ORD-000462</t>
        </is>
      </c>
      <c r="B922" s="8" t="inlineStr">
        <is>
          <t>2025-02-02</t>
        </is>
      </c>
      <c r="C922" s="8" t="inlineStr">
        <is>
          <t>CUST-04885</t>
        </is>
      </c>
      <c r="D922" s="8" t="inlineStr">
        <is>
          <t>Steven Martinez</t>
        </is>
      </c>
      <c r="E922" s="8" t="inlineStr">
        <is>
          <t>PRD-0147</t>
        </is>
      </c>
      <c r="F922" s="8" t="inlineStr">
        <is>
          <t>8</t>
        </is>
      </c>
      <c r="G922" s="9" t="n">
        <v>544.0700000000001</v>
      </c>
      <c r="H922" s="8" t="inlineStr">
        <is>
          <t>0.2</t>
        </is>
      </c>
      <c r="I922" s="8" t="inlineStr">
        <is>
          <t>Express Air</t>
        </is>
      </c>
      <c r="J922" s="8" t="inlineStr">
        <is>
          <t>Direct Web</t>
        </is>
      </c>
      <c r="K922" s="8" t="inlineStr">
        <is>
          <t>REG-EU</t>
        </is>
      </c>
    </row>
    <row r="923">
      <c r="A923" s="8" t="inlineStr">
        <is>
          <t>ORD-000463</t>
        </is>
      </c>
      <c r="B923" s="8" t="inlineStr">
        <is>
          <t>2025-09-12</t>
        </is>
      </c>
      <c r="C923" s="8" t="inlineStr">
        <is>
          <t>CUST-00773</t>
        </is>
      </c>
      <c r="D923" s="8" t="inlineStr">
        <is>
          <t>Sarah Phillips</t>
        </is>
      </c>
      <c r="E923" s="8" t="inlineStr">
        <is>
          <t>PRD-0420</t>
        </is>
      </c>
      <c r="F923" s="8" t="inlineStr">
        <is>
          <t>1</t>
        </is>
      </c>
      <c r="G923" s="9" t="n">
        <v>923.98</v>
      </c>
      <c r="H923" s="8" t="inlineStr">
        <is>
          <t>0.1</t>
        </is>
      </c>
      <c r="I923" s="8" t="inlineStr">
        <is>
          <t>Standard Ground</t>
        </is>
      </c>
      <c r="J923" s="8" t="inlineStr">
        <is>
          <t>Mobile App</t>
        </is>
      </c>
      <c r="K923" s="8" t="inlineStr">
        <is>
          <t>REG-APAC</t>
        </is>
      </c>
    </row>
    <row r="924">
      <c r="A924" s="8" t="inlineStr">
        <is>
          <t>ORD-000464</t>
        </is>
      </c>
      <c r="B924" s="8" t="inlineStr">
        <is>
          <t>2025-08-25</t>
        </is>
      </c>
      <c r="C924" s="8" t="inlineStr">
        <is>
          <t>CUST-06196</t>
        </is>
      </c>
      <c r="D924" s="8" t="inlineStr">
        <is>
          <t>Katherine Sanchez</t>
        </is>
      </c>
      <c r="E924" s="8" t="inlineStr">
        <is>
          <t>PRD-0287</t>
        </is>
      </c>
      <c r="F924" s="8" t="inlineStr">
        <is>
          <t>4</t>
        </is>
      </c>
      <c r="G924" s="9" t="n">
        <v>214.91</v>
      </c>
      <c r="H924" s="8" t="inlineStr">
        <is>
          <t>0.1</t>
        </is>
      </c>
      <c r="I924" s="8" t="inlineStr">
        <is>
          <t>Express Air</t>
        </is>
      </c>
      <c r="J924" s="8" t="inlineStr">
        <is>
          <t>Direct Web</t>
        </is>
      </c>
      <c r="K924" s="8" t="inlineStr">
        <is>
          <t>REG-NA</t>
        </is>
      </c>
    </row>
    <row r="925">
      <c r="A925" s="8" t="inlineStr">
        <is>
          <t>ORD-000464</t>
        </is>
      </c>
      <c r="B925" s="8" t="inlineStr">
        <is>
          <t>2025-08-25</t>
        </is>
      </c>
      <c r="C925" s="8" t="inlineStr">
        <is>
          <t>CUST-06196</t>
        </is>
      </c>
      <c r="D925" s="8" t="inlineStr">
        <is>
          <t>Katherine Sanchez</t>
        </is>
      </c>
      <c r="E925" s="8" t="inlineStr">
        <is>
          <t>PRD-0276</t>
        </is>
      </c>
      <c r="F925" s="8" t="inlineStr">
        <is>
          <t>1</t>
        </is>
      </c>
      <c r="G925" s="9" t="n">
        <v>1183.89</v>
      </c>
      <c r="H925" s="8" t="inlineStr">
        <is>
          <t>0.0</t>
        </is>
      </c>
      <c r="I925" s="8" t="inlineStr">
        <is>
          <t>Express Air</t>
        </is>
      </c>
      <c r="J925" s="8" t="inlineStr">
        <is>
          <t>Direct Web</t>
        </is>
      </c>
      <c r="K925" s="8" t="inlineStr">
        <is>
          <t>REG-NA</t>
        </is>
      </c>
    </row>
    <row r="926">
      <c r="A926" s="8" t="inlineStr">
        <is>
          <t>ORD-000464</t>
        </is>
      </c>
      <c r="B926" s="8" t="inlineStr">
        <is>
          <t>2025-08-25</t>
        </is>
      </c>
      <c r="C926" s="8" t="inlineStr">
        <is>
          <t>CUST-06196</t>
        </is>
      </c>
      <c r="D926" s="8" t="inlineStr">
        <is>
          <t>Katherine Sanchez</t>
        </is>
      </c>
      <c r="E926" s="8" t="inlineStr">
        <is>
          <t>PRD-0152</t>
        </is>
      </c>
      <c r="F926" s="8" t="inlineStr">
        <is>
          <t>3</t>
        </is>
      </c>
      <c r="G926" s="9" t="n">
        <v>1157.61</v>
      </c>
      <c r="H926" s="8" t="inlineStr">
        <is>
          <t>0.05</t>
        </is>
      </c>
      <c r="I926" s="8" t="inlineStr">
        <is>
          <t>Express Air</t>
        </is>
      </c>
      <c r="J926" s="8" t="inlineStr">
        <is>
          <t>Direct Web</t>
        </is>
      </c>
      <c r="K926" s="8" t="inlineStr">
        <is>
          <t>REG-NA</t>
        </is>
      </c>
    </row>
    <row r="927">
      <c r="A927" s="8" t="inlineStr">
        <is>
          <t>ORD-000465</t>
        </is>
      </c>
      <c r="B927" s="8" t="inlineStr">
        <is>
          <t>22-02-2023</t>
        </is>
      </c>
      <c r="C927" s="8" t="inlineStr">
        <is>
          <t>CUST-04288</t>
        </is>
      </c>
      <c r="D927" s="8" t="inlineStr">
        <is>
          <t>Rebecca Lopez</t>
        </is>
      </c>
      <c r="E927" s="8" t="inlineStr">
        <is>
          <t>PRD-0006</t>
        </is>
      </c>
      <c r="F927" s="8" t="inlineStr">
        <is>
          <t>1</t>
        </is>
      </c>
      <c r="G927" s="9" t="n">
        <v>64.34</v>
      </c>
      <c r="H927" s="8" t="inlineStr">
        <is>
          <t>0.0</t>
        </is>
      </c>
      <c r="I927" s="8" t="inlineStr">
        <is>
          <t>Express Air</t>
        </is>
      </c>
      <c r="J927" s="8" t="inlineStr">
        <is>
          <t>Affiliate Partner</t>
        </is>
      </c>
      <c r="K927" s="8" t="inlineStr">
        <is>
          <t>REG-EU</t>
        </is>
      </c>
    </row>
    <row r="928">
      <c r="A928" s="8" t="inlineStr">
        <is>
          <t>ORD-000466</t>
        </is>
      </c>
      <c r="B928" s="8" t="inlineStr">
        <is>
          <t>2024-02-16</t>
        </is>
      </c>
      <c r="C928" s="8" t="inlineStr">
        <is>
          <t>CUST-06185</t>
        </is>
      </c>
      <c r="D928" s="8" t="inlineStr">
        <is>
          <t>Patricia Johnson</t>
        </is>
      </c>
      <c r="E928" s="8" t="inlineStr">
        <is>
          <t>PRD-0077</t>
        </is>
      </c>
      <c r="F928" s="8" t="inlineStr">
        <is>
          <t>4</t>
        </is>
      </c>
      <c r="G928" s="9" t="n">
        <v>1210.48</v>
      </c>
      <c r="H928" s="8" t="inlineStr">
        <is>
          <t>0.1</t>
        </is>
      </c>
      <c r="I928" s="8" t="inlineStr">
        <is>
          <t>Express Air</t>
        </is>
      </c>
      <c r="J928" s="8" t="inlineStr">
        <is>
          <t>B2B Portal</t>
        </is>
      </c>
      <c r="K928" s="8" t="inlineStr">
        <is>
          <t>REG-NA</t>
        </is>
      </c>
    </row>
    <row r="929">
      <c r="A929" s="8" t="inlineStr">
        <is>
          <t>ORD-000466</t>
        </is>
      </c>
      <c r="B929" s="8" t="inlineStr">
        <is>
          <t>2024-02-16</t>
        </is>
      </c>
      <c r="C929" s="8" t="inlineStr">
        <is>
          <t>CUST-06185</t>
        </is>
      </c>
      <c r="D929" s="8" t="inlineStr">
        <is>
          <t>Patricia Johnson</t>
        </is>
      </c>
      <c r="E929" s="8" t="inlineStr">
        <is>
          <t>PRD-0114</t>
        </is>
      </c>
      <c r="F929" s="8" t="inlineStr">
        <is>
          <t>1</t>
        </is>
      </c>
      <c r="G929" s="9" t="n">
        <v>49.56</v>
      </c>
      <c r="H929" s="8" t="inlineStr">
        <is>
          <t>0.05</t>
        </is>
      </c>
      <c r="I929" s="8" t="inlineStr">
        <is>
          <t>Express Air</t>
        </is>
      </c>
      <c r="J929" s="8" t="inlineStr">
        <is>
          <t>B2B Portal</t>
        </is>
      </c>
      <c r="K929" s="8" t="inlineStr">
        <is>
          <t>REG-NA</t>
        </is>
      </c>
    </row>
    <row r="930">
      <c r="A930" s="8" t="inlineStr">
        <is>
          <t>ORD-000466</t>
        </is>
      </c>
      <c r="B930" s="8" t="inlineStr">
        <is>
          <t>2024-02-16</t>
        </is>
      </c>
      <c r="C930" s="8" t="inlineStr">
        <is>
          <t>CUST-06185</t>
        </is>
      </c>
      <c r="D930" s="8" t="inlineStr">
        <is>
          <t>Patricia Johnson</t>
        </is>
      </c>
      <c r="E930" s="8" t="inlineStr">
        <is>
          <t>PRD-0429</t>
        </is>
      </c>
      <c r="F930" s="8" t="inlineStr">
        <is>
          <t>1</t>
        </is>
      </c>
      <c r="G930" s="9" t="n">
        <v>790.21</v>
      </c>
      <c r="H930" s="8" t="inlineStr">
        <is>
          <t>0.0</t>
        </is>
      </c>
      <c r="I930" s="8" t="inlineStr">
        <is>
          <t>Express Air</t>
        </is>
      </c>
      <c r="J930" s="8" t="inlineStr">
        <is>
          <t>B2B Portal</t>
        </is>
      </c>
      <c r="K930" s="8" t="inlineStr">
        <is>
          <t>REG-NA</t>
        </is>
      </c>
    </row>
    <row r="931">
      <c r="A931" s="8" t="inlineStr">
        <is>
          <t>ORD-000467</t>
        </is>
      </c>
      <c r="B931" s="8" t="inlineStr">
        <is>
          <t>2025-08-13</t>
        </is>
      </c>
      <c r="C931" s="8" t="inlineStr">
        <is>
          <t>CUST-06615</t>
        </is>
      </c>
      <c r="D931" s="8" t="inlineStr">
        <is>
          <t>Amanda Wilson</t>
        </is>
      </c>
      <c r="E931" s="8" t="inlineStr">
        <is>
          <t>PRD-0436</t>
        </is>
      </c>
      <c r="F931" s="8" t="inlineStr">
        <is>
          <t>1</t>
        </is>
      </c>
      <c r="G931" s="9" t="n">
        <v>325.02</v>
      </c>
      <c r="H931" s="8" t="inlineStr">
        <is>
          <t>0.15</t>
        </is>
      </c>
      <c r="I931" s="8" t="inlineStr">
        <is>
          <t>Express Air</t>
        </is>
      </c>
      <c r="J931" s="8" t="inlineStr">
        <is>
          <t>Affiliate Partner</t>
        </is>
      </c>
      <c r="K931" s="8" t="inlineStr">
        <is>
          <t>REG-EU</t>
        </is>
      </c>
    </row>
    <row r="932">
      <c r="A932" s="8" t="inlineStr">
        <is>
          <t>ORD-000467</t>
        </is>
      </c>
      <c r="B932" s="8" t="inlineStr">
        <is>
          <t>2025-08-13</t>
        </is>
      </c>
      <c r="C932" s="8" t="inlineStr">
        <is>
          <t>CUST-06615</t>
        </is>
      </c>
      <c r="D932" s="8" t="inlineStr">
        <is>
          <t>Amanda Wilson</t>
        </is>
      </c>
      <c r="E932" s="8" t="inlineStr">
        <is>
          <t>PRD-0439</t>
        </is>
      </c>
      <c r="F932" s="8" t="inlineStr">
        <is>
          <t>1</t>
        </is>
      </c>
      <c r="G932" s="9" t="n">
        <v>807.98</v>
      </c>
      <c r="H932" s="8" t="inlineStr">
        <is>
          <t>0.0</t>
        </is>
      </c>
      <c r="I932" s="8" t="inlineStr">
        <is>
          <t>Express Air</t>
        </is>
      </c>
      <c r="J932" s="8" t="inlineStr">
        <is>
          <t>Affiliate Partner</t>
        </is>
      </c>
      <c r="K932" s="8" t="inlineStr">
        <is>
          <t>REG-EU</t>
        </is>
      </c>
    </row>
    <row r="933">
      <c r="A933" s="8" t="inlineStr">
        <is>
          <t>ORD-000467</t>
        </is>
      </c>
      <c r="B933" s="8" t="inlineStr">
        <is>
          <t>2025-08-13</t>
        </is>
      </c>
      <c r="C933" s="8" t="inlineStr">
        <is>
          <t>CUST-06615</t>
        </is>
      </c>
      <c r="D933" s="8" t="inlineStr">
        <is>
          <t>Amanda Wilson</t>
        </is>
      </c>
      <c r="E933" s="8" t="inlineStr">
        <is>
          <t>PRD-0251</t>
        </is>
      </c>
      <c r="F933" s="8" t="inlineStr">
        <is>
          <t>5</t>
        </is>
      </c>
      <c r="G933" s="9" t="n">
        <v>314.05</v>
      </c>
      <c r="H933" s="8" t="inlineStr">
        <is>
          <t>0.0</t>
        </is>
      </c>
      <c r="I933" s="8" t="inlineStr">
        <is>
          <t>Express Air</t>
        </is>
      </c>
      <c r="J933" s="8" t="inlineStr">
        <is>
          <t>Affiliate Partner</t>
        </is>
      </c>
      <c r="K933" s="8" t="inlineStr">
        <is>
          <t>REG-EU</t>
        </is>
      </c>
    </row>
    <row r="934">
      <c r="A934" s="8" t="inlineStr">
        <is>
          <t>ORD-000468</t>
        </is>
      </c>
      <c r="B934" s="8" t="inlineStr">
        <is>
          <t>2024-12-08</t>
        </is>
      </c>
      <c r="C934" s="8" t="inlineStr">
        <is>
          <t>CUST-06362</t>
        </is>
      </c>
      <c r="D934" s="8" t="inlineStr">
        <is>
          <t>George Robinson</t>
        </is>
      </c>
      <c r="E934" s="8" t="inlineStr">
        <is>
          <t>PRD-0155</t>
        </is>
      </c>
      <c r="F934" s="8" t="inlineStr">
        <is>
          <t>2</t>
        </is>
      </c>
      <c r="G934" s="9" t="n">
        <v>472.85</v>
      </c>
      <c r="H934" s="8" t="inlineStr">
        <is>
          <t>0.0</t>
        </is>
      </c>
      <c r="I934" s="8" t="inlineStr">
        <is>
          <t>Standard Ground</t>
        </is>
      </c>
      <c r="J934" s="8" t="inlineStr">
        <is>
          <t>Affiliate Partner</t>
        </is>
      </c>
      <c r="K934" s="8" t="inlineStr">
        <is>
          <t>REG-APAC</t>
        </is>
      </c>
    </row>
    <row r="935">
      <c r="A935" s="8" t="inlineStr">
        <is>
          <t>ORD-000469</t>
        </is>
      </c>
      <c r="B935" s="8" t="inlineStr">
        <is>
          <t>2024-05-15</t>
        </is>
      </c>
      <c r="C935" s="8" t="inlineStr">
        <is>
          <t>CUST-06333</t>
        </is>
      </c>
      <c r="D935" s="8" t="inlineStr">
        <is>
          <t>Anthony Mendoza</t>
        </is>
      </c>
      <c r="E935" s="8" t="inlineStr">
        <is>
          <t>PRD-0248</t>
        </is>
      </c>
      <c r="F935" s="8" t="inlineStr">
        <is>
          <t>1</t>
        </is>
      </c>
      <c r="G935" s="9" t="n">
        <v>603.58</v>
      </c>
      <c r="H935" s="8" t="inlineStr">
        <is>
          <t>0.0</t>
        </is>
      </c>
      <c r="I935" s="8" t="inlineStr">
        <is>
          <t>Standard Ground</t>
        </is>
      </c>
      <c r="J935" s="8" t="inlineStr">
        <is>
          <t>Mobile App</t>
        </is>
      </c>
      <c r="K935" s="8" t="inlineStr">
        <is>
          <t>REG-APAC</t>
        </is>
      </c>
    </row>
    <row r="936">
      <c r="A936" s="8" t="inlineStr">
        <is>
          <t>ORD-000470</t>
        </is>
      </c>
      <c r="B936" s="8" t="inlineStr">
        <is>
          <t>2023-04-21</t>
        </is>
      </c>
      <c r="C936" s="8" t="inlineStr">
        <is>
          <t>CUST-00808</t>
        </is>
      </c>
      <c r="D936" s="8" t="inlineStr">
        <is>
          <t>Jacob James</t>
        </is>
      </c>
      <c r="E936" s="8" t="inlineStr">
        <is>
          <t>PRD-0424</t>
        </is>
      </c>
      <c r="F936" s="8" t="inlineStr">
        <is>
          <t>1</t>
        </is>
      </c>
      <c r="G936" s="9" t="n">
        <v>268.72</v>
      </c>
      <c r="H936" s="8" t="inlineStr">
        <is>
          <t>0.0</t>
        </is>
      </c>
      <c r="I936" s="8" t="inlineStr">
        <is>
          <t>Standard Ground</t>
        </is>
      </c>
      <c r="J936" s="8" t="inlineStr">
        <is>
          <t>Direct Web</t>
        </is>
      </c>
      <c r="K936" s="8" t="inlineStr">
        <is>
          <t>REG-NA</t>
        </is>
      </c>
    </row>
    <row r="937">
      <c r="A937" s="8" t="inlineStr">
        <is>
          <t>ORD-000470</t>
        </is>
      </c>
      <c r="B937" s="8" t="inlineStr">
        <is>
          <t>2023-04-21</t>
        </is>
      </c>
      <c r="C937" s="8" t="inlineStr">
        <is>
          <t>CUST-00808</t>
        </is>
      </c>
      <c r="D937" s="8" t="inlineStr">
        <is>
          <t>Jacob James</t>
        </is>
      </c>
      <c r="E937" s="8" t="inlineStr">
        <is>
          <t>PRD-0322</t>
        </is>
      </c>
      <c r="F937" s="8" t="inlineStr">
        <is>
          <t>1</t>
        </is>
      </c>
      <c r="G937" s="9" t="n">
        <v>1239.4</v>
      </c>
      <c r="H937" s="8" t="inlineStr">
        <is>
          <t>0.0</t>
        </is>
      </c>
      <c r="I937" s="8" t="inlineStr">
        <is>
          <t>Standard Ground</t>
        </is>
      </c>
      <c r="J937" s="8" t="inlineStr">
        <is>
          <t>Direct Web</t>
        </is>
      </c>
      <c r="K937" s="8" t="inlineStr">
        <is>
          <t>REG-NA</t>
        </is>
      </c>
    </row>
    <row r="938">
      <c r="A938" s="8" t="inlineStr">
        <is>
          <t>ORD-000470</t>
        </is>
      </c>
      <c r="B938" s="8" t="inlineStr">
        <is>
          <t>2023-04-21</t>
        </is>
      </c>
      <c r="C938" s="8" t="inlineStr">
        <is>
          <t>CUST-00808</t>
        </is>
      </c>
      <c r="D938" s="8" t="inlineStr">
        <is>
          <t>Jacob James</t>
        </is>
      </c>
      <c r="E938" s="8" t="inlineStr">
        <is>
          <t>PRD-0058</t>
        </is>
      </c>
      <c r="F938" s="8" t="inlineStr">
        <is>
          <t>1</t>
        </is>
      </c>
      <c r="G938" s="9" t="n">
        <v>809.52</v>
      </c>
      <c r="H938" s="8" t="inlineStr">
        <is>
          <t>0.2</t>
        </is>
      </c>
      <c r="I938" s="8" t="inlineStr">
        <is>
          <t>Standard Ground</t>
        </is>
      </c>
      <c r="J938" s="8" t="inlineStr">
        <is>
          <t>Direct Web</t>
        </is>
      </c>
      <c r="K938" s="8" t="inlineStr">
        <is>
          <t>REG-NA</t>
        </is>
      </c>
    </row>
    <row r="939">
      <c r="A939" s="8" t="inlineStr">
        <is>
          <t>ORD-000471</t>
        </is>
      </c>
      <c r="B939" s="8" t="inlineStr">
        <is>
          <t>2024-09-14</t>
        </is>
      </c>
      <c r="C939" s="8" t="inlineStr">
        <is>
          <t>CUST-07726</t>
        </is>
      </c>
      <c r="D939" s="8" t="inlineStr">
        <is>
          <t>Larry Mitchell</t>
        </is>
      </c>
      <c r="E939" s="8" t="inlineStr">
        <is>
          <t>PRD-0449</t>
        </is>
      </c>
      <c r="F939" s="8" t="inlineStr">
        <is>
          <t>1</t>
        </is>
      </c>
      <c r="G939" s="9" t="n">
        <v>856.09</v>
      </c>
      <c r="H939" s="8" t="inlineStr">
        <is>
          <t>0.0</t>
        </is>
      </c>
      <c r="I939" s="8" t="inlineStr">
        <is>
          <t>Express Air</t>
        </is>
      </c>
      <c r="J939" s="8" t="inlineStr">
        <is>
          <t>Mobile App</t>
        </is>
      </c>
      <c r="K939" s="8" t="inlineStr">
        <is>
          <t>REG-EU</t>
        </is>
      </c>
    </row>
    <row r="940">
      <c r="A940" s="8" t="inlineStr">
        <is>
          <t>ORD-000472</t>
        </is>
      </c>
      <c r="B940" s="8" t="inlineStr">
        <is>
          <t>2025-09-11</t>
        </is>
      </c>
      <c r="C940" s="8" t="inlineStr">
        <is>
          <t>CUST-02640</t>
        </is>
      </c>
      <c r="D940" s="8" t="inlineStr">
        <is>
          <t>Jason Smith</t>
        </is>
      </c>
      <c r="E940" s="8" t="inlineStr">
        <is>
          <t>PRD-0296</t>
        </is>
      </c>
      <c r="F940" s="8" t="inlineStr">
        <is>
          <t>1</t>
        </is>
      </c>
      <c r="G940" s="9" t="n">
        <v>52.93</v>
      </c>
      <c r="H940" s="8" t="inlineStr">
        <is>
          <t>0.1</t>
        </is>
      </c>
      <c r="I940" s="8" t="inlineStr">
        <is>
          <t>Standard Ground</t>
        </is>
      </c>
      <c r="J940" s="8" t="inlineStr">
        <is>
          <t>Direct Web</t>
        </is>
      </c>
      <c r="K940" s="8" t="inlineStr">
        <is>
          <t>REG-EU</t>
        </is>
      </c>
    </row>
    <row r="941">
      <c r="A941" s="8" t="inlineStr">
        <is>
          <t>ORD-000472</t>
        </is>
      </c>
      <c r="B941" s="8" t="inlineStr">
        <is>
          <t>2025-09-11</t>
        </is>
      </c>
      <c r="C941" s="8" t="inlineStr">
        <is>
          <t>CUST-02640</t>
        </is>
      </c>
      <c r="D941" s="8" t="inlineStr">
        <is>
          <t>Jason Smith</t>
        </is>
      </c>
      <c r="E941" s="8" t="inlineStr">
        <is>
          <t>PRD-0038</t>
        </is>
      </c>
      <c r="F941" s="8" t="inlineStr">
        <is>
          <t>3</t>
        </is>
      </c>
      <c r="G941" s="9" t="n">
        <v>220.46</v>
      </c>
      <c r="H941" s="8" t="inlineStr">
        <is>
          <t>0.2</t>
        </is>
      </c>
      <c r="I941" s="8" t="inlineStr">
        <is>
          <t>Standard Ground</t>
        </is>
      </c>
      <c r="J941" s="8" t="inlineStr">
        <is>
          <t>Direct Web</t>
        </is>
      </c>
      <c r="K941" s="8" t="inlineStr">
        <is>
          <t>REG-EU</t>
        </is>
      </c>
    </row>
    <row r="942">
      <c r="A942" s="8" t="inlineStr">
        <is>
          <t>ORD-000473</t>
        </is>
      </c>
      <c r="B942" s="8" t="inlineStr">
        <is>
          <t>2023-11-08</t>
        </is>
      </c>
      <c r="C942" s="8" t="inlineStr">
        <is>
          <t>CUST-03517</t>
        </is>
      </c>
      <c r="D942" s="8" t="inlineStr">
        <is>
          <t>Paul Wilson</t>
        </is>
      </c>
      <c r="E942" s="8" t="inlineStr">
        <is>
          <t>PRD-0013</t>
        </is>
      </c>
      <c r="F942" s="8" t="inlineStr">
        <is>
          <t>1</t>
        </is>
      </c>
      <c r="G942" s="9" t="n">
        <v>990.85</v>
      </c>
      <c r="H942" s="8" t="inlineStr">
        <is>
          <t>0.0</t>
        </is>
      </c>
      <c r="I942" s="8" t="inlineStr">
        <is>
          <t>Standard Ground</t>
        </is>
      </c>
      <c r="J942" s="8" t="inlineStr">
        <is>
          <t>Mobile App</t>
        </is>
      </c>
      <c r="K942" s="8" t="inlineStr">
        <is>
          <t>REG-NA</t>
        </is>
      </c>
    </row>
    <row r="943">
      <c r="A943" s="8" t="inlineStr">
        <is>
          <t>ORD-000474</t>
        </is>
      </c>
      <c r="B943" s="8" t="inlineStr">
        <is>
          <t>2025-10-07</t>
        </is>
      </c>
      <c r="C943" s="8" t="inlineStr">
        <is>
          <t>CUST-03306</t>
        </is>
      </c>
      <c r="D943" s="8" t="inlineStr">
        <is>
          <t>Gregory Bennett</t>
        </is>
      </c>
      <c r="E943" s="8" t="inlineStr">
        <is>
          <t>PRD-0202</t>
        </is>
      </c>
      <c r="F943" s="8" t="inlineStr">
        <is>
          <t>2</t>
        </is>
      </c>
      <c r="G943" s="9" t="n">
        <v>43.87</v>
      </c>
      <c r="H943" s="8" t="inlineStr">
        <is>
          <t>0.15</t>
        </is>
      </c>
      <c r="I943" s="8" t="inlineStr">
        <is>
          <t>Freight</t>
        </is>
      </c>
      <c r="J943" s="8" t="inlineStr">
        <is>
          <t>Mobile App</t>
        </is>
      </c>
      <c r="K943" s="8" t="inlineStr">
        <is>
          <t>REG-NA</t>
        </is>
      </c>
    </row>
    <row r="944">
      <c r="A944" s="8" t="inlineStr">
        <is>
          <t>ORD-000475</t>
        </is>
      </c>
      <c r="B944" s="8" t="inlineStr">
        <is>
          <t>2023-09-21</t>
        </is>
      </c>
      <c r="C944" s="8" t="inlineStr">
        <is>
          <t>CUST-07461</t>
        </is>
      </c>
      <c r="D944" s="8" t="inlineStr">
        <is>
          <t>Jack Patel</t>
        </is>
      </c>
      <c r="E944" s="8" t="inlineStr">
        <is>
          <t>PRD-0451</t>
        </is>
      </c>
      <c r="F944" s="8" t="inlineStr">
        <is>
          <t>2</t>
        </is>
      </c>
      <c r="G944" s="9" t="n">
        <v>664.9400000000001</v>
      </c>
      <c r="H944" s="8" t="inlineStr">
        <is>
          <t>0.05</t>
        </is>
      </c>
      <c r="I944" s="8" t="inlineStr">
        <is>
          <t>Standard Ground</t>
        </is>
      </c>
      <c r="J944" s="8" t="inlineStr">
        <is>
          <t>Direct Web</t>
        </is>
      </c>
      <c r="K944" s="8" t="inlineStr">
        <is>
          <t>REG-EU</t>
        </is>
      </c>
    </row>
    <row r="945">
      <c r="A945" s="8" t="inlineStr">
        <is>
          <t>ORD-000476</t>
        </is>
      </c>
      <c r="B945" s="8" t="inlineStr">
        <is>
          <t>2025-08-31</t>
        </is>
      </c>
      <c r="C945" s="8" t="inlineStr">
        <is>
          <t>CUST-01996</t>
        </is>
      </c>
      <c r="D945" s="8" t="inlineStr">
        <is>
          <t>Jacob Hughes</t>
        </is>
      </c>
      <c r="E945" s="8" t="inlineStr">
        <is>
          <t>PRD-0407</t>
        </is>
      </c>
      <c r="F945" s="8" t="inlineStr">
        <is>
          <t>2</t>
        </is>
      </c>
      <c r="G945" s="9" t="n">
        <v>515.9299999999999</v>
      </c>
      <c r="H945" s="8" t="inlineStr">
        <is>
          <t>0.0</t>
        </is>
      </c>
      <c r="I945" s="8" t="inlineStr">
        <is>
          <t>Standard Ground</t>
        </is>
      </c>
      <c r="J945" s="8" t="inlineStr">
        <is>
          <t>Mobile App</t>
        </is>
      </c>
      <c r="K945" s="8" t="inlineStr">
        <is>
          <t>REG-NA</t>
        </is>
      </c>
    </row>
    <row r="946">
      <c r="A946" s="8" t="inlineStr">
        <is>
          <t>ORD-000476</t>
        </is>
      </c>
      <c r="B946" s="8" t="inlineStr">
        <is>
          <t>2025-08-31</t>
        </is>
      </c>
      <c r="C946" s="8" t="inlineStr">
        <is>
          <t>CUST-01996</t>
        </is>
      </c>
      <c r="D946" s="8" t="inlineStr">
        <is>
          <t>Jacob Hughes</t>
        </is>
      </c>
      <c r="E946" s="8" t="inlineStr">
        <is>
          <t>PRD-0380</t>
        </is>
      </c>
      <c r="F946" s="8" t="inlineStr">
        <is>
          <t>3</t>
        </is>
      </c>
      <c r="G946" s="9" t="n">
        <v>141.11</v>
      </c>
      <c r="H946" s="8" t="inlineStr">
        <is>
          <t>0.05</t>
        </is>
      </c>
      <c r="I946" s="8" t="inlineStr">
        <is>
          <t>Standard Ground</t>
        </is>
      </c>
      <c r="J946" s="8" t="inlineStr">
        <is>
          <t>Mobile App</t>
        </is>
      </c>
      <c r="K946" s="8" t="inlineStr">
        <is>
          <t>REG-NA</t>
        </is>
      </c>
    </row>
    <row r="947">
      <c r="A947" s="8" t="inlineStr">
        <is>
          <t>ORD-000476</t>
        </is>
      </c>
      <c r="B947" s="8" t="inlineStr">
        <is>
          <t>2025-08-31</t>
        </is>
      </c>
      <c r="C947" s="8" t="inlineStr">
        <is>
          <t>CUST-01996</t>
        </is>
      </c>
      <c r="D947" s="8" t="inlineStr">
        <is>
          <t>Jacob Hughes</t>
        </is>
      </c>
      <c r="E947" s="8" t="inlineStr">
        <is>
          <t>PRD-0354</t>
        </is>
      </c>
      <c r="F947" s="8" t="inlineStr">
        <is>
          <t>3</t>
        </is>
      </c>
      <c r="G947" s="9" t="n">
        <v>70.98999999999999</v>
      </c>
      <c r="H947" s="8" t="inlineStr">
        <is>
          <t>0.0</t>
        </is>
      </c>
      <c r="I947" s="8" t="inlineStr">
        <is>
          <t>Standard Ground</t>
        </is>
      </c>
      <c r="J947" s="8" t="inlineStr">
        <is>
          <t>Mobile App</t>
        </is>
      </c>
      <c r="K947" s="8" t="inlineStr">
        <is>
          <t>REG-NA</t>
        </is>
      </c>
    </row>
    <row r="948">
      <c r="A948" s="8" t="inlineStr">
        <is>
          <t>ORD-000476</t>
        </is>
      </c>
      <c r="B948" s="8" t="inlineStr">
        <is>
          <t>2025-08-31</t>
        </is>
      </c>
      <c r="C948" s="8" t="inlineStr">
        <is>
          <t>CUST-01996</t>
        </is>
      </c>
      <c r="D948" s="8" t="inlineStr">
        <is>
          <t>Jacob Hughes</t>
        </is>
      </c>
      <c r="E948" s="8" t="inlineStr">
        <is>
          <t>PRD-0203</t>
        </is>
      </c>
      <c r="F948" s="8" t="inlineStr">
        <is>
          <t>2</t>
        </is>
      </c>
      <c r="G948" s="9" t="n">
        <v>991.36</v>
      </c>
      <c r="H948" s="8" t="inlineStr">
        <is>
          <t>0.05</t>
        </is>
      </c>
      <c r="I948" s="8" t="inlineStr">
        <is>
          <t>Standard Ground</t>
        </is>
      </c>
      <c r="J948" s="8" t="inlineStr">
        <is>
          <t>Mobile App</t>
        </is>
      </c>
      <c r="K948" s="8" t="inlineStr">
        <is>
          <t>REG-NA</t>
        </is>
      </c>
    </row>
    <row r="949">
      <c r="A949" s="8" t="inlineStr">
        <is>
          <t>ORD-000476</t>
        </is>
      </c>
      <c r="B949" s="8" t="inlineStr">
        <is>
          <t>2025-08-31</t>
        </is>
      </c>
      <c r="C949" s="8" t="inlineStr">
        <is>
          <t>CUST-01996</t>
        </is>
      </c>
      <c r="D949" s="8" t="inlineStr">
        <is>
          <t>Jacob Hughes</t>
        </is>
      </c>
      <c r="E949" s="8" t="inlineStr">
        <is>
          <t>PRD-0136</t>
        </is>
      </c>
      <c r="F949" s="8" t="inlineStr">
        <is>
          <t>1</t>
        </is>
      </c>
      <c r="G949" s="9" t="n">
        <v>12.16</v>
      </c>
      <c r="H949" s="8" t="inlineStr">
        <is>
          <t>0.05</t>
        </is>
      </c>
      <c r="I949" s="8" t="inlineStr">
        <is>
          <t>Standard Ground</t>
        </is>
      </c>
      <c r="J949" s="8" t="inlineStr">
        <is>
          <t>Mobile App</t>
        </is>
      </c>
      <c r="K949" s="8" t="inlineStr">
        <is>
          <t>REG-NA</t>
        </is>
      </c>
    </row>
    <row r="950">
      <c r="A950" s="8" t="inlineStr">
        <is>
          <t>ORD-000477</t>
        </is>
      </c>
      <c r="B950" s="8" t="inlineStr">
        <is>
          <t>10/03/2023</t>
        </is>
      </c>
      <c r="C950" s="8" t="inlineStr">
        <is>
          <t>CUST-04353</t>
        </is>
      </c>
      <c r="D950" s="8" t="inlineStr">
        <is>
          <t>Ruth Lewis</t>
        </is>
      </c>
      <c r="E950" s="8" t="inlineStr">
        <is>
          <t>PRD-0386</t>
        </is>
      </c>
      <c r="F950" s="8" t="inlineStr">
        <is>
          <t>3</t>
        </is>
      </c>
      <c r="G950" s="9" t="n">
        <v>339.98</v>
      </c>
      <c r="H950" s="8" t="inlineStr">
        <is>
          <t>0.05</t>
        </is>
      </c>
      <c r="I950" s="8" t="inlineStr">
        <is>
          <t>Standard Ground</t>
        </is>
      </c>
      <c r="J950" s="8" t="inlineStr">
        <is>
          <t>Direct Web</t>
        </is>
      </c>
      <c r="K950" s="8" t="inlineStr">
        <is>
          <t>REG-APAC</t>
        </is>
      </c>
    </row>
    <row r="951">
      <c r="A951" s="8" t="inlineStr">
        <is>
          <t>ORD-000478</t>
        </is>
      </c>
      <c r="B951" s="8" t="inlineStr">
        <is>
          <t>03/02/2024</t>
        </is>
      </c>
      <c r="C951" s="8" t="inlineStr">
        <is>
          <t>CUST-03540</t>
        </is>
      </c>
      <c r="D951" s="8" t="inlineStr">
        <is>
          <t>Benjamin Moore</t>
        </is>
      </c>
      <c r="E951" s="8" t="inlineStr">
        <is>
          <t>PRD-0234</t>
        </is>
      </c>
      <c r="F951" s="8" t="inlineStr">
        <is>
          <t>2</t>
        </is>
      </c>
      <c r="G951" s="9" t="n">
        <v>608.75</v>
      </c>
      <c r="H951" s="8" t="inlineStr">
        <is>
          <t>10%</t>
        </is>
      </c>
      <c r="I951" s="8" t="inlineStr">
        <is>
          <t>Standard Ground</t>
        </is>
      </c>
      <c r="J951" s="8" t="inlineStr">
        <is>
          <t>Direct Web</t>
        </is>
      </c>
      <c r="K951" s="8" t="inlineStr">
        <is>
          <t>REG-EU</t>
        </is>
      </c>
    </row>
    <row r="952">
      <c r="A952" s="8" t="inlineStr">
        <is>
          <t>ORD-000478</t>
        </is>
      </c>
      <c r="B952" s="8" t="inlineStr">
        <is>
          <t>03/02/2024</t>
        </is>
      </c>
      <c r="C952" s="8" t="inlineStr">
        <is>
          <t>CUST-03540</t>
        </is>
      </c>
      <c r="D952" s="8" t="inlineStr">
        <is>
          <t>Benjamin Moore</t>
        </is>
      </c>
      <c r="E952" s="8" t="inlineStr">
        <is>
          <t>PRD-0088</t>
        </is>
      </c>
      <c r="F952" s="8" t="inlineStr">
        <is>
          <t>2</t>
        </is>
      </c>
      <c r="G952" s="9" t="n">
        <v>952.03</v>
      </c>
      <c r="H952" s="8" t="inlineStr">
        <is>
          <t>0.0</t>
        </is>
      </c>
      <c r="I952" s="8" t="inlineStr">
        <is>
          <t>Standard Ground</t>
        </is>
      </c>
      <c r="J952" s="8" t="inlineStr">
        <is>
          <t>Direct Web</t>
        </is>
      </c>
      <c r="K952" s="8" t="inlineStr">
        <is>
          <t>REG-EU</t>
        </is>
      </c>
    </row>
    <row r="953">
      <c r="A953" s="8" t="inlineStr">
        <is>
          <t>ORD-000478</t>
        </is>
      </c>
      <c r="B953" s="8" t="inlineStr">
        <is>
          <t>03/02/2024</t>
        </is>
      </c>
      <c r="C953" s="8" t="inlineStr">
        <is>
          <t>CUST-03540</t>
        </is>
      </c>
      <c r="D953" s="8" t="inlineStr">
        <is>
          <t>Benjamin Moore</t>
        </is>
      </c>
      <c r="E953" s="8" t="inlineStr">
        <is>
          <t>PRD-0244</t>
        </is>
      </c>
      <c r="F953" s="8" t="inlineStr">
        <is>
          <t>1</t>
        </is>
      </c>
      <c r="G953" s="9" t="n">
        <v>395.39</v>
      </c>
      <c r="H953" s="8" t="inlineStr">
        <is>
          <t>0.1</t>
        </is>
      </c>
      <c r="I953" s="8" t="inlineStr">
        <is>
          <t>Standard Ground</t>
        </is>
      </c>
      <c r="J953" s="8" t="inlineStr">
        <is>
          <t>Direct Web</t>
        </is>
      </c>
      <c r="K953" s="8" t="inlineStr">
        <is>
          <t>REG-EU</t>
        </is>
      </c>
    </row>
    <row r="954">
      <c r="A954" s="8" t="inlineStr">
        <is>
          <t>ORD-000478</t>
        </is>
      </c>
      <c r="B954" s="8" t="inlineStr">
        <is>
          <t>03/02/2024</t>
        </is>
      </c>
      <c r="C954" s="8" t="inlineStr">
        <is>
          <t>CUST-03540</t>
        </is>
      </c>
      <c r="D954" s="8" t="inlineStr">
        <is>
          <t>Benjamin Moore</t>
        </is>
      </c>
      <c r="E954" s="8" t="inlineStr">
        <is>
          <t>PRD-0105</t>
        </is>
      </c>
      <c r="F954" s="8" t="inlineStr">
        <is>
          <t>1</t>
        </is>
      </c>
      <c r="G954" s="9" t="n">
        <v>39.83</v>
      </c>
      <c r="H954" s="8" t="inlineStr">
        <is>
          <t>0.0</t>
        </is>
      </c>
      <c r="I954" s="8" t="inlineStr">
        <is>
          <t>Standard Ground</t>
        </is>
      </c>
      <c r="J954" s="8" t="inlineStr">
        <is>
          <t>Direct Web</t>
        </is>
      </c>
      <c r="K954" s="8" t="inlineStr">
        <is>
          <t>REG-EU</t>
        </is>
      </c>
    </row>
    <row r="955">
      <c r="A955" s="8" t="inlineStr">
        <is>
          <t>ORD-000478</t>
        </is>
      </c>
      <c r="B955" s="8" t="inlineStr">
        <is>
          <t>03/02/2024</t>
        </is>
      </c>
      <c r="C955" s="8" t="inlineStr">
        <is>
          <t>CUST-03540</t>
        </is>
      </c>
      <c r="D955" s="8" t="inlineStr">
        <is>
          <t>Benjamin Moore</t>
        </is>
      </c>
      <c r="E955" s="8" t="inlineStr">
        <is>
          <t>PRD-0257</t>
        </is>
      </c>
      <c r="F955" s="8" t="inlineStr">
        <is>
          <t>1</t>
        </is>
      </c>
      <c r="G955" s="9" t="n">
        <v>31.28</v>
      </c>
      <c r="H955" s="8" t="inlineStr">
        <is>
          <t>0.05</t>
        </is>
      </c>
      <c r="I955" s="8" t="inlineStr">
        <is>
          <t>Standard Ground</t>
        </is>
      </c>
      <c r="J955" s="8" t="inlineStr">
        <is>
          <t>Direct Web</t>
        </is>
      </c>
      <c r="K955" s="8" t="inlineStr">
        <is>
          <t>REG-EU</t>
        </is>
      </c>
    </row>
    <row r="956">
      <c r="A956" s="8" t="inlineStr">
        <is>
          <t>ORD-000479</t>
        </is>
      </c>
      <c r="B956" s="8" t="inlineStr">
        <is>
          <t>2024-07-09</t>
        </is>
      </c>
      <c r="C956" s="8" t="inlineStr">
        <is>
          <t>CUST-02872</t>
        </is>
      </c>
      <c r="D956" s="8" t="inlineStr">
        <is>
          <t>Janet Scott</t>
        </is>
      </c>
      <c r="E956" s="8" t="inlineStr">
        <is>
          <t>PRD-0193</t>
        </is>
      </c>
      <c r="F956" s="8" t="inlineStr">
        <is>
          <t>1</t>
        </is>
      </c>
      <c r="G956" s="9" t="n">
        <v>791.5</v>
      </c>
      <c r="H956" s="8" t="inlineStr">
        <is>
          <t>0.0</t>
        </is>
      </c>
      <c r="I956" s="8" t="inlineStr">
        <is>
          <t>Standard Ground</t>
        </is>
      </c>
      <c r="J956" s="8" t="inlineStr">
        <is>
          <t>Direct Web</t>
        </is>
      </c>
      <c r="K956" s="8" t="inlineStr">
        <is>
          <t>REG-LATAM</t>
        </is>
      </c>
    </row>
    <row r="957">
      <c r="A957" s="8" t="inlineStr">
        <is>
          <t>ORD-000480</t>
        </is>
      </c>
      <c r="B957" s="8" t="inlineStr">
        <is>
          <t>2025-12-11</t>
        </is>
      </c>
      <c r="C957" s="8" t="inlineStr">
        <is>
          <t>CUST-00029</t>
        </is>
      </c>
      <c r="D957" s="8" t="inlineStr">
        <is>
          <t>Steven Miller</t>
        </is>
      </c>
      <c r="E957" s="8" t="inlineStr">
        <is>
          <t>PRD-0435</t>
        </is>
      </c>
      <c r="F957" s="8" t="inlineStr">
        <is>
          <t>1</t>
        </is>
      </c>
      <c r="G957" s="9" t="n">
        <v>446.59</v>
      </c>
      <c r="H957" s="8" t="inlineStr">
        <is>
          <t>0.05</t>
        </is>
      </c>
      <c r="I957" s="8" t="inlineStr">
        <is>
          <t>Express Air</t>
        </is>
      </c>
      <c r="J957" s="8" t="inlineStr">
        <is>
          <t>Direct Web</t>
        </is>
      </c>
      <c r="K957" s="8" t="inlineStr">
        <is>
          <t>REG-EU</t>
        </is>
      </c>
    </row>
    <row r="958">
      <c r="A958" s="8" t="inlineStr">
        <is>
          <t>ORD-000480</t>
        </is>
      </c>
      <c r="B958" s="8" t="inlineStr">
        <is>
          <t>2025-12-11</t>
        </is>
      </c>
      <c r="C958" s="8" t="inlineStr">
        <is>
          <t>CUST-00029</t>
        </is>
      </c>
      <c r="D958" s="8" t="inlineStr">
        <is>
          <t>Steven Miller</t>
        </is>
      </c>
      <c r="E958" s="8" t="inlineStr">
        <is>
          <t>PRD-0294</t>
        </is>
      </c>
      <c r="F958" s="8" t="inlineStr">
        <is>
          <t>3</t>
        </is>
      </c>
      <c r="G958" s="9" t="n">
        <v>159.21</v>
      </c>
      <c r="H958" s="8" t="inlineStr">
        <is>
          <t>0.2</t>
        </is>
      </c>
      <c r="I958" s="8" t="inlineStr">
        <is>
          <t>Express Air</t>
        </is>
      </c>
      <c r="J958" s="8" t="inlineStr">
        <is>
          <t>Direct Web</t>
        </is>
      </c>
      <c r="K958" s="8" t="inlineStr">
        <is>
          <t>REG-EU</t>
        </is>
      </c>
    </row>
    <row r="959">
      <c r="A959" s="8" t="inlineStr">
        <is>
          <t>ORD-000481</t>
        </is>
      </c>
      <c r="B959" s="8" t="inlineStr">
        <is>
          <t>2024-12-03</t>
        </is>
      </c>
      <c r="C959" s="8" t="inlineStr">
        <is>
          <t>CUST-03801</t>
        </is>
      </c>
      <c r="D959" s="8" t="inlineStr">
        <is>
          <t>Larry Brooks</t>
        </is>
      </c>
      <c r="E959" s="8" t="inlineStr">
        <is>
          <t>PRD-0464</t>
        </is>
      </c>
      <c r="F959" s="8" t="inlineStr">
        <is>
          <t>1</t>
        </is>
      </c>
      <c r="G959" s="9" t="n">
        <v>21.08</v>
      </c>
      <c r="H959" s="8" t="inlineStr">
        <is>
          <t>0.15</t>
        </is>
      </c>
      <c r="I959" s="8" t="inlineStr">
        <is>
          <t>Freight</t>
        </is>
      </c>
      <c r="J959" s="8" t="inlineStr">
        <is>
          <t>B2B Portal</t>
        </is>
      </c>
      <c r="K959" s="8" t="inlineStr">
        <is>
          <t>REG-EU</t>
        </is>
      </c>
    </row>
    <row r="960">
      <c r="A960" s="8" t="inlineStr">
        <is>
          <t>ORD-000481</t>
        </is>
      </c>
      <c r="B960" s="8" t="inlineStr">
        <is>
          <t>2024-12-03</t>
        </is>
      </c>
      <c r="C960" s="8" t="inlineStr">
        <is>
          <t>CUST-03801</t>
        </is>
      </c>
      <c r="D960" s="8" t="inlineStr">
        <is>
          <t>Larry Brooks</t>
        </is>
      </c>
      <c r="E960" s="8" t="inlineStr">
        <is>
          <t>PRD-0212</t>
        </is>
      </c>
      <c r="F960" s="8" t="inlineStr">
        <is>
          <t>2</t>
        </is>
      </c>
      <c r="G960" s="9" t="n">
        <v>15.71</v>
      </c>
      <c r="H960" s="8" t="inlineStr">
        <is>
          <t>0.05</t>
        </is>
      </c>
      <c r="I960" s="8" t="inlineStr">
        <is>
          <t>Freight</t>
        </is>
      </c>
      <c r="J960" s="8" t="inlineStr">
        <is>
          <t>B2B Portal</t>
        </is>
      </c>
      <c r="K960" s="8" t="inlineStr">
        <is>
          <t>REG-EU</t>
        </is>
      </c>
    </row>
    <row r="961">
      <c r="A961" s="8" t="inlineStr">
        <is>
          <t>ORD-000482</t>
        </is>
      </c>
      <c r="B961" s="8" t="inlineStr">
        <is>
          <t>2024-01-19</t>
        </is>
      </c>
      <c r="C961" s="8" t="inlineStr">
        <is>
          <t>CUST-01599</t>
        </is>
      </c>
      <c r="D961" s="8" t="inlineStr">
        <is>
          <t>Larry Chavez</t>
        </is>
      </c>
      <c r="E961" s="8" t="inlineStr">
        <is>
          <t>PRD-0400</t>
        </is>
      </c>
      <c r="F961" s="8" t="inlineStr">
        <is>
          <t>1</t>
        </is>
      </c>
      <c r="G961" s="9" t="n">
        <v>409.11</v>
      </c>
      <c r="H961" s="8" t="inlineStr">
        <is>
          <t>0.05</t>
        </is>
      </c>
      <c r="I961" s="8" t="inlineStr">
        <is>
          <t>Standard Ground</t>
        </is>
      </c>
      <c r="J961" s="8" t="inlineStr">
        <is>
          <t>Direct Web</t>
        </is>
      </c>
      <c r="K961" s="8" t="inlineStr">
        <is>
          <t>REG-LATAM</t>
        </is>
      </c>
    </row>
    <row r="962">
      <c r="A962" s="8" t="inlineStr">
        <is>
          <t>ORD-000482</t>
        </is>
      </c>
      <c r="B962" s="8" t="inlineStr">
        <is>
          <t>2024-01-19</t>
        </is>
      </c>
      <c r="C962" s="8" t="inlineStr">
        <is>
          <t>CUST-01599</t>
        </is>
      </c>
      <c r="D962" s="8" t="inlineStr">
        <is>
          <t>Larry Chavez</t>
        </is>
      </c>
      <c r="E962" s="8" t="inlineStr">
        <is>
          <t>PRD-0092</t>
        </is>
      </c>
      <c r="F962" s="8" t="inlineStr">
        <is>
          <t>2</t>
        </is>
      </c>
      <c r="G962" s="9" t="n">
        <v>63.9</v>
      </c>
      <c r="H962" s="8" t="inlineStr">
        <is>
          <t>0.15</t>
        </is>
      </c>
      <c r="I962" s="8" t="inlineStr">
        <is>
          <t>Standard Ground</t>
        </is>
      </c>
      <c r="J962" s="8" t="inlineStr">
        <is>
          <t>Direct Web</t>
        </is>
      </c>
      <c r="K962" s="8" t="inlineStr">
        <is>
          <t>REG-LATAM</t>
        </is>
      </c>
    </row>
    <row r="963">
      <c r="A963" s="8" t="inlineStr">
        <is>
          <t>ORD-000483</t>
        </is>
      </c>
      <c r="B963" s="8" t="inlineStr">
        <is>
          <t>2023-11-30</t>
        </is>
      </c>
      <c r="C963" s="8" t="inlineStr">
        <is>
          <t>CUST-03300</t>
        </is>
      </c>
      <c r="D963" s="8" t="inlineStr">
        <is>
          <t>Dennis Ross</t>
        </is>
      </c>
      <c r="E963" s="8" t="inlineStr">
        <is>
          <t>PRD-0099</t>
        </is>
      </c>
      <c r="F963" s="8" t="inlineStr">
        <is>
          <t>2</t>
        </is>
      </c>
      <c r="G963" s="9" t="n">
        <v>201.48</v>
      </c>
      <c r="H963" s="8" t="inlineStr">
        <is>
          <t>0.0</t>
        </is>
      </c>
      <c r="I963" s="8" t="inlineStr">
        <is>
          <t>Standard Ground</t>
        </is>
      </c>
      <c r="J963" s="8" t="inlineStr">
        <is>
          <t>Direct Web</t>
        </is>
      </c>
      <c r="K963" s="8" t="inlineStr">
        <is>
          <t>REG-NA</t>
        </is>
      </c>
    </row>
    <row r="964">
      <c r="A964" s="8" t="inlineStr">
        <is>
          <t>ORD-000483</t>
        </is>
      </c>
      <c r="B964" s="8" t="inlineStr">
        <is>
          <t>2023-11-30</t>
        </is>
      </c>
      <c r="C964" s="8" t="inlineStr">
        <is>
          <t>CUST-03300</t>
        </is>
      </c>
      <c r="D964" s="8" t="inlineStr">
        <is>
          <t>Dennis Ross</t>
        </is>
      </c>
      <c r="E964" s="8" t="inlineStr">
        <is>
          <t>PRD-0458</t>
        </is>
      </c>
      <c r="F964" s="8" t="inlineStr">
        <is>
          <t>1</t>
        </is>
      </c>
      <c r="G964" s="9" t="n">
        <v>75.83</v>
      </c>
      <c r="H964" s="8" t="inlineStr">
        <is>
          <t>0.2</t>
        </is>
      </c>
      <c r="I964" s="8" t="inlineStr">
        <is>
          <t>Standard Ground</t>
        </is>
      </c>
      <c r="J964" s="8" t="inlineStr">
        <is>
          <t>Direct Web</t>
        </is>
      </c>
      <c r="K964" s="8" t="inlineStr">
        <is>
          <t>REG-NA</t>
        </is>
      </c>
    </row>
    <row r="965">
      <c r="A965" s="8" t="inlineStr">
        <is>
          <t>ORD-000483</t>
        </is>
      </c>
      <c r="B965" s="8" t="inlineStr">
        <is>
          <t>2023-11-30</t>
        </is>
      </c>
      <c r="C965" s="8" t="inlineStr">
        <is>
          <t>CUST-03300</t>
        </is>
      </c>
      <c r="D965" s="8" t="inlineStr">
        <is>
          <t>Dennis Ross</t>
        </is>
      </c>
      <c r="E965" s="8" t="inlineStr">
        <is>
          <t>PRD-0021</t>
        </is>
      </c>
      <c r="F965" s="8" t="inlineStr">
        <is>
          <t>3</t>
        </is>
      </c>
      <c r="G965" s="9" t="n">
        <v>41.09</v>
      </c>
      <c r="H965" s="8" t="inlineStr">
        <is>
          <t>0.1</t>
        </is>
      </c>
      <c r="I965" s="8" t="inlineStr">
        <is>
          <t>Standard Ground</t>
        </is>
      </c>
      <c r="J965" s="8" t="inlineStr">
        <is>
          <t>Direct Web</t>
        </is>
      </c>
      <c r="K965" s="8" t="inlineStr">
        <is>
          <t>REG-NA</t>
        </is>
      </c>
    </row>
    <row r="966">
      <c r="A966" s="8" t="inlineStr">
        <is>
          <t>ORD-000483</t>
        </is>
      </c>
      <c r="B966" s="8" t="inlineStr">
        <is>
          <t>2023-11-30</t>
        </is>
      </c>
      <c r="C966" s="8" t="inlineStr">
        <is>
          <t>CUST-03300</t>
        </is>
      </c>
      <c r="D966" s="8" t="inlineStr">
        <is>
          <t>Dennis Ross</t>
        </is>
      </c>
      <c r="E966" s="8" t="inlineStr">
        <is>
          <t>PRD-0127</t>
        </is>
      </c>
      <c r="F966" s="8" t="inlineStr">
        <is>
          <t>1</t>
        </is>
      </c>
      <c r="G966" s="9" t="n">
        <v>646.33</v>
      </c>
      <c r="H966" s="8" t="inlineStr">
        <is>
          <t>0.05</t>
        </is>
      </c>
      <c r="I966" s="8" t="inlineStr">
        <is>
          <t>Standard Ground</t>
        </is>
      </c>
      <c r="J966" s="8" t="inlineStr">
        <is>
          <t>Direct Web</t>
        </is>
      </c>
      <c r="K966" s="8" t="inlineStr">
        <is>
          <t>REG-NA</t>
        </is>
      </c>
    </row>
    <row r="967">
      <c r="A967" s="8" t="inlineStr">
        <is>
          <t>ORD-000483</t>
        </is>
      </c>
      <c r="B967" s="8" t="inlineStr">
        <is>
          <t>2023-11-30</t>
        </is>
      </c>
      <c r="C967" s="8" t="inlineStr">
        <is>
          <t>CUST-03300</t>
        </is>
      </c>
      <c r="D967" s="8" t="inlineStr">
        <is>
          <t>Dennis Ross</t>
        </is>
      </c>
      <c r="E967" s="8" t="inlineStr">
        <is>
          <t>PRD-0478</t>
        </is>
      </c>
      <c r="F967" s="8" t="inlineStr">
        <is>
          <t>1</t>
        </is>
      </c>
      <c r="G967" s="9" t="n">
        <v>61.5</v>
      </c>
      <c r="H967" s="8" t="inlineStr">
        <is>
          <t>0.05</t>
        </is>
      </c>
      <c r="I967" s="8" t="inlineStr">
        <is>
          <t>Standard Ground</t>
        </is>
      </c>
      <c r="J967" s="8" t="inlineStr">
        <is>
          <t>Direct Web</t>
        </is>
      </c>
      <c r="K967" s="8" t="inlineStr">
        <is>
          <t>REG-NA</t>
        </is>
      </c>
    </row>
    <row r="968">
      <c r="A968" s="8" t="inlineStr">
        <is>
          <t>ORD-000484</t>
        </is>
      </c>
      <c r="B968" s="8" t="inlineStr">
        <is>
          <t>2025-06-25</t>
        </is>
      </c>
      <c r="C968" s="8" t="inlineStr">
        <is>
          <t>CUST-00982</t>
        </is>
      </c>
      <c r="D968" s="8" t="inlineStr">
        <is>
          <t>Tyler Johnson</t>
        </is>
      </c>
      <c r="E968" s="8" t="inlineStr">
        <is>
          <t>PRD-0286</t>
        </is>
      </c>
      <c r="F968" s="8" t="inlineStr">
        <is>
          <t>1</t>
        </is>
      </c>
      <c r="G968" s="9" t="n">
        <v>232.89</v>
      </c>
      <c r="H968" s="8" t="inlineStr">
        <is>
          <t>0.0</t>
        </is>
      </c>
      <c r="I968" s="8" t="inlineStr">
        <is>
          <t>Express Air</t>
        </is>
      </c>
      <c r="J968" s="8" t="inlineStr">
        <is>
          <t>Mobile App</t>
        </is>
      </c>
      <c r="K968" s="8" t="inlineStr">
        <is>
          <t>REG-APAC</t>
        </is>
      </c>
    </row>
    <row r="969">
      <c r="A969" s="8" t="inlineStr">
        <is>
          <t>ORD-000484</t>
        </is>
      </c>
      <c r="B969" s="8" t="inlineStr">
        <is>
          <t>2025-06-25</t>
        </is>
      </c>
      <c r="C969" s="8" t="inlineStr">
        <is>
          <t>CUST-00982</t>
        </is>
      </c>
      <c r="D969" s="8" t="inlineStr">
        <is>
          <t>Tyler Johnson</t>
        </is>
      </c>
      <c r="E969" s="8" t="inlineStr">
        <is>
          <t>PRD-0376</t>
        </is>
      </c>
      <c r="F969" s="8" t="inlineStr">
        <is>
          <t>2</t>
        </is>
      </c>
      <c r="G969" s="9" t="n">
        <v>219.88</v>
      </c>
      <c r="H969" s="8" t="inlineStr">
        <is>
          <t>0.15</t>
        </is>
      </c>
      <c r="I969" s="8" t="inlineStr">
        <is>
          <t>Express Air</t>
        </is>
      </c>
      <c r="J969" s="8" t="inlineStr">
        <is>
          <t>Mobile App</t>
        </is>
      </c>
      <c r="K969" s="8" t="inlineStr">
        <is>
          <t>REG-APAC</t>
        </is>
      </c>
    </row>
    <row r="970">
      <c r="A970" s="8" t="inlineStr">
        <is>
          <t>ORD-000485</t>
        </is>
      </c>
      <c r="B970" s="8" t="inlineStr">
        <is>
          <t>2023-10-18</t>
        </is>
      </c>
      <c r="C970" s="8" t="inlineStr">
        <is>
          <t>CUST-03268</t>
        </is>
      </c>
      <c r="D970" s="8" t="inlineStr">
        <is>
          <t>Ashley Torres</t>
        </is>
      </c>
      <c r="E970" s="8" t="inlineStr">
        <is>
          <t>PRD-0439</t>
        </is>
      </c>
      <c r="F970" s="8" t="inlineStr">
        <is>
          <t>1</t>
        </is>
      </c>
      <c r="G970" s="9" t="n">
        <v>807.98</v>
      </c>
      <c r="H970" s="8" t="inlineStr">
        <is>
          <t>0.15</t>
        </is>
      </c>
      <c r="I970" s="8" t="inlineStr">
        <is>
          <t>Express Air</t>
        </is>
      </c>
      <c r="J970" s="8" t="inlineStr">
        <is>
          <t>Mobile App</t>
        </is>
      </c>
      <c r="K970" s="8" t="inlineStr">
        <is>
          <t>REG-NA</t>
        </is>
      </c>
    </row>
    <row r="971">
      <c r="A971" s="8" t="inlineStr">
        <is>
          <t>ORD-000485</t>
        </is>
      </c>
      <c r="B971" s="8" t="inlineStr">
        <is>
          <t>2023-10-18</t>
        </is>
      </c>
      <c r="C971" s="8" t="inlineStr">
        <is>
          <t>CUST-03268</t>
        </is>
      </c>
      <c r="D971" s="8" t="inlineStr">
        <is>
          <t>Ashley Torres</t>
        </is>
      </c>
      <c r="E971" s="8" t="inlineStr">
        <is>
          <t>PRD-0058</t>
        </is>
      </c>
      <c r="F971" s="8" t="inlineStr">
        <is>
          <t>1</t>
        </is>
      </c>
      <c r="G971" s="9" t="n">
        <v>809.52</v>
      </c>
      <c r="H971" s="8" t="inlineStr">
        <is>
          <t>0.1</t>
        </is>
      </c>
      <c r="I971" s="8" t="inlineStr">
        <is>
          <t>Express Air</t>
        </is>
      </c>
      <c r="J971" s="8" t="inlineStr">
        <is>
          <t>Mobile App</t>
        </is>
      </c>
      <c r="K971" s="8" t="inlineStr">
        <is>
          <t>REG-NA</t>
        </is>
      </c>
    </row>
    <row r="972">
      <c r="A972" s="8" t="inlineStr">
        <is>
          <t>ORD-000486</t>
        </is>
      </c>
      <c r="B972" s="8" t="inlineStr">
        <is>
          <t>2025-04-03</t>
        </is>
      </c>
      <c r="C972" s="8" t="inlineStr">
        <is>
          <t>CUST-02889</t>
        </is>
      </c>
      <c r="D972" s="8" t="inlineStr">
        <is>
          <t xml:space="preserve">  emma cruz  </t>
        </is>
      </c>
      <c r="E972" s="8" t="inlineStr">
        <is>
          <t>PRD-0162</t>
        </is>
      </c>
      <c r="F972" s="8" t="inlineStr">
        <is>
          <t>8</t>
        </is>
      </c>
      <c r="G972" s="9" t="n">
        <v>192.43</v>
      </c>
      <c r="H972" s="8" t="inlineStr">
        <is>
          <t>0.05</t>
        </is>
      </c>
      <c r="I972" s="8" t="inlineStr">
        <is>
          <t>Standard Ground</t>
        </is>
      </c>
      <c r="J972" s="8" t="inlineStr">
        <is>
          <t>B2B Portal</t>
        </is>
      </c>
      <c r="K972" s="8" t="inlineStr">
        <is>
          <t>REG-EU</t>
        </is>
      </c>
    </row>
    <row r="973">
      <c r="A973" s="8" t="inlineStr">
        <is>
          <t>ORD-000486</t>
        </is>
      </c>
      <c r="B973" s="8" t="inlineStr">
        <is>
          <t>2025-04-03</t>
        </is>
      </c>
      <c r="C973" s="8" t="inlineStr">
        <is>
          <t>CUST-02889</t>
        </is>
      </c>
      <c r="D973" s="8" t="inlineStr">
        <is>
          <t xml:space="preserve">  emma cruz  </t>
        </is>
      </c>
      <c r="E973" s="8" t="inlineStr">
        <is>
          <t>PRD-0407</t>
        </is>
      </c>
      <c r="F973" s="8" t="inlineStr">
        <is>
          <t>2</t>
        </is>
      </c>
      <c r="G973" s="9" t="n">
        <v>515.9299999999999</v>
      </c>
      <c r="H973" s="8" t="inlineStr">
        <is>
          <t>0.15</t>
        </is>
      </c>
      <c r="I973" s="8" t="inlineStr">
        <is>
          <t>Standard Ground</t>
        </is>
      </c>
      <c r="J973" s="8" t="inlineStr">
        <is>
          <t>B2B Portal</t>
        </is>
      </c>
      <c r="K973" s="8" t="inlineStr">
        <is>
          <t>REG-EU</t>
        </is>
      </c>
    </row>
    <row r="974">
      <c r="A974" s="8" t="inlineStr">
        <is>
          <t>ORD-000486</t>
        </is>
      </c>
      <c r="B974" s="8" t="inlineStr">
        <is>
          <t>2025-04-03</t>
        </is>
      </c>
      <c r="C974" s="8" t="inlineStr">
        <is>
          <t>CUST-02889</t>
        </is>
      </c>
      <c r="D974" s="8" t="inlineStr">
        <is>
          <t xml:space="preserve">  emma cruz  </t>
        </is>
      </c>
      <c r="E974" s="8" t="inlineStr">
        <is>
          <t>PRD-0171</t>
        </is>
      </c>
      <c r="F974" s="8" t="inlineStr">
        <is>
          <t>1</t>
        </is>
      </c>
      <c r="G974" s="9" t="n">
        <v>143.61</v>
      </c>
      <c r="H974" s="8" t="inlineStr">
        <is>
          <t>0.05</t>
        </is>
      </c>
      <c r="I974" s="8" t="inlineStr">
        <is>
          <t>Standard Ground</t>
        </is>
      </c>
      <c r="J974" s="8" t="inlineStr">
        <is>
          <t>B2B Portal</t>
        </is>
      </c>
      <c r="K974" s="8" t="inlineStr">
        <is>
          <t>REG-EU</t>
        </is>
      </c>
    </row>
    <row r="975">
      <c r="A975" s="8" t="inlineStr">
        <is>
          <t>ORD-000486</t>
        </is>
      </c>
      <c r="B975" s="8" t="inlineStr">
        <is>
          <t>2025-04-03</t>
        </is>
      </c>
      <c r="C975" s="8" t="inlineStr">
        <is>
          <t>CUST-02889</t>
        </is>
      </c>
      <c r="D975" s="8" t="inlineStr">
        <is>
          <t xml:space="preserve">  emma cruz  </t>
        </is>
      </c>
      <c r="E975" s="8" t="inlineStr">
        <is>
          <t>PRD-0047</t>
        </is>
      </c>
      <c r="F975" s="8" t="inlineStr">
        <is>
          <t>1</t>
        </is>
      </c>
      <c r="G975" s="9" t="n">
        <v>43.83</v>
      </c>
      <c r="H975" s="8" t="inlineStr">
        <is>
          <t>0.0</t>
        </is>
      </c>
      <c r="I975" s="8" t="inlineStr">
        <is>
          <t>Standard Ground</t>
        </is>
      </c>
      <c r="J975" s="8" t="inlineStr">
        <is>
          <t>B2B Portal</t>
        </is>
      </c>
      <c r="K975" s="8" t="inlineStr">
        <is>
          <t>REG-EU</t>
        </is>
      </c>
    </row>
    <row r="976">
      <c r="A976" s="8" t="inlineStr">
        <is>
          <t>ORD-000486</t>
        </is>
      </c>
      <c r="B976" s="8" t="inlineStr">
        <is>
          <t>2025-04-03</t>
        </is>
      </c>
      <c r="C976" s="8" t="inlineStr">
        <is>
          <t>CUST-02889</t>
        </is>
      </c>
      <c r="D976" s="8" t="inlineStr">
        <is>
          <t xml:space="preserve">  emma cruz  </t>
        </is>
      </c>
      <c r="E976" s="8" t="inlineStr">
        <is>
          <t>PRD-0141</t>
        </is>
      </c>
      <c r="F976" s="8" t="inlineStr">
        <is>
          <t>1</t>
        </is>
      </c>
      <c r="G976" s="9" t="n">
        <v>53.7</v>
      </c>
      <c r="H976" s="8" t="inlineStr">
        <is>
          <t>0.05</t>
        </is>
      </c>
      <c r="I976" s="8" t="inlineStr">
        <is>
          <t>Standard Ground</t>
        </is>
      </c>
      <c r="J976" s="8" t="inlineStr">
        <is>
          <t>B2B Portal</t>
        </is>
      </c>
      <c r="K976" s="8" t="inlineStr">
        <is>
          <t>REG-EU</t>
        </is>
      </c>
    </row>
    <row r="977">
      <c r="A977" s="8" t="inlineStr">
        <is>
          <t>ORD-000487</t>
        </is>
      </c>
      <c r="B977" s="8" t="inlineStr">
        <is>
          <t>2023-01-14</t>
        </is>
      </c>
      <c r="C977" s="8" t="inlineStr">
        <is>
          <t>CUST-01937</t>
        </is>
      </c>
      <c r="D977" s="8" t="inlineStr">
        <is>
          <t>Nicole Bailey</t>
        </is>
      </c>
      <c r="E977" s="8" t="inlineStr">
        <is>
          <t>PRD-0138</t>
        </is>
      </c>
      <c r="F977" s="8" t="inlineStr">
        <is>
          <t>1</t>
        </is>
      </c>
      <c r="G977" s="9" t="n">
        <v>113.13</v>
      </c>
      <c r="H977" s="8" t="inlineStr">
        <is>
          <t>0.05</t>
        </is>
      </c>
      <c r="I977" s="8" t="inlineStr">
        <is>
          <t>Same-Day Priority</t>
        </is>
      </c>
      <c r="J977" s="8" t="inlineStr">
        <is>
          <t>Direct Web</t>
        </is>
      </c>
      <c r="K977" s="8" t="inlineStr">
        <is>
          <t>REG-NA</t>
        </is>
      </c>
    </row>
    <row r="978">
      <c r="A978" s="8" t="inlineStr">
        <is>
          <t>ORD-000487</t>
        </is>
      </c>
      <c r="B978" s="8" t="inlineStr">
        <is>
          <t>2023-01-14</t>
        </is>
      </c>
      <c r="C978" s="8" t="inlineStr">
        <is>
          <t>CUST-01937</t>
        </is>
      </c>
      <c r="D978" s="8" t="inlineStr">
        <is>
          <t>Nicole Bailey</t>
        </is>
      </c>
      <c r="E978" s="8" t="inlineStr">
        <is>
          <t>PRD-0238</t>
        </is>
      </c>
      <c r="F978" s="8" t="inlineStr">
        <is>
          <t>2</t>
        </is>
      </c>
      <c r="G978" s="9" t="n">
        <v>88.5</v>
      </c>
      <c r="H978" s="8" t="inlineStr">
        <is>
          <t>0.15</t>
        </is>
      </c>
      <c r="I978" s="8" t="inlineStr">
        <is>
          <t>Same-Day Priority</t>
        </is>
      </c>
      <c r="J978" s="8" t="inlineStr">
        <is>
          <t>Direct Web</t>
        </is>
      </c>
      <c r="K978" s="8" t="inlineStr">
        <is>
          <t>REG-NA</t>
        </is>
      </c>
    </row>
    <row r="979">
      <c r="A979" s="8" t="inlineStr">
        <is>
          <t>ORD-000487</t>
        </is>
      </c>
      <c r="B979" s="8" t="inlineStr">
        <is>
          <t>2023-01-14</t>
        </is>
      </c>
      <c r="C979" s="8" t="inlineStr">
        <is>
          <t>CUST-01937</t>
        </is>
      </c>
      <c r="D979" s="8" t="inlineStr">
        <is>
          <t>Nicole Bailey</t>
        </is>
      </c>
      <c r="E979" s="8" t="inlineStr">
        <is>
          <t>PRD-0348</t>
        </is>
      </c>
      <c r="F979" s="8" t="inlineStr">
        <is>
          <t>1</t>
        </is>
      </c>
      <c r="G979" s="9" t="n">
        <v>792.8200000000001</v>
      </c>
      <c r="H979" s="8" t="inlineStr">
        <is>
          <t>0.2</t>
        </is>
      </c>
      <c r="I979" s="8" t="inlineStr">
        <is>
          <t>Same-Day Priority</t>
        </is>
      </c>
      <c r="J979" s="8" t="inlineStr">
        <is>
          <t>Direct Web</t>
        </is>
      </c>
      <c r="K979" s="8" t="inlineStr">
        <is>
          <t>REG-NA</t>
        </is>
      </c>
    </row>
    <row r="980">
      <c r="A980" s="8" t="inlineStr">
        <is>
          <t>ORD-000488</t>
        </is>
      </c>
      <c r="B980" s="8" t="inlineStr">
        <is>
          <t>2024-11-23</t>
        </is>
      </c>
      <c r="C980" s="8" t="inlineStr">
        <is>
          <t>CUST-05306</t>
        </is>
      </c>
      <c r="D980" s="8" t="inlineStr">
        <is>
          <t>Patrick James</t>
        </is>
      </c>
      <c r="E980" s="8" t="inlineStr">
        <is>
          <t>PRD-0491</t>
        </is>
      </c>
      <c r="F980" s="8" t="inlineStr">
        <is>
          <t>1</t>
        </is>
      </c>
      <c r="G980" s="9" t="n">
        <v>39.93</v>
      </c>
      <c r="H980" s="8" t="inlineStr">
        <is>
          <t>0.05</t>
        </is>
      </c>
      <c r="I980" s="8" t="inlineStr">
        <is>
          <t>Standard Ground</t>
        </is>
      </c>
      <c r="J980" s="8" t="inlineStr">
        <is>
          <t>Affiliate Partner</t>
        </is>
      </c>
      <c r="K980" s="8" t="inlineStr">
        <is>
          <t>REG-LATAM</t>
        </is>
      </c>
    </row>
    <row r="981">
      <c r="A981" s="8" t="inlineStr">
        <is>
          <t>ORD-000489</t>
        </is>
      </c>
      <c r="B981" s="8" t="inlineStr">
        <is>
          <t>2023-12-22</t>
        </is>
      </c>
      <c r="C981" s="8" t="inlineStr">
        <is>
          <t>CUST-07102</t>
        </is>
      </c>
      <c r="D981" s="8" t="inlineStr">
        <is>
          <t>David Stewart</t>
        </is>
      </c>
      <c r="E981" s="8" t="inlineStr">
        <is>
          <t>PRD-0290</t>
        </is>
      </c>
      <c r="F981" s="8" t="inlineStr">
        <is>
          <t>1</t>
        </is>
      </c>
      <c r="G981" s="9" t="n">
        <v>404.49</v>
      </c>
      <c r="H981" s="8" t="inlineStr">
        <is>
          <t>0.1</t>
        </is>
      </c>
      <c r="I981" s="8" t="inlineStr">
        <is>
          <t>Standard Ground</t>
        </is>
      </c>
      <c r="J981" s="8" t="inlineStr">
        <is>
          <t>Affiliate Partner</t>
        </is>
      </c>
      <c r="K981" s="8" t="inlineStr">
        <is>
          <t>REG-LATAM</t>
        </is>
      </c>
    </row>
    <row r="982">
      <c r="A982" s="8" t="inlineStr">
        <is>
          <t>ORD-000490</t>
        </is>
      </c>
      <c r="B982" s="8" t="inlineStr">
        <is>
          <t>2024-03-12</t>
        </is>
      </c>
      <c r="C982" s="8" t="inlineStr"/>
      <c r="D982" s="8" t="inlineStr"/>
      <c r="E982" s="8" t="inlineStr">
        <is>
          <t>PRD-0091</t>
        </is>
      </c>
      <c r="F982" s="8" t="inlineStr">
        <is>
          <t>1</t>
        </is>
      </c>
      <c r="G982" s="9" t="n">
        <v>57.04</v>
      </c>
      <c r="H982" s="8" t="inlineStr">
        <is>
          <t>0.05</t>
        </is>
      </c>
      <c r="I982" s="8" t="inlineStr">
        <is>
          <t>Express Air</t>
        </is>
      </c>
      <c r="J982" s="8" t="inlineStr">
        <is>
          <t>Direct Web</t>
        </is>
      </c>
      <c r="K982" s="8" t="inlineStr"/>
    </row>
    <row r="983">
      <c r="A983" s="8" t="inlineStr">
        <is>
          <t>ORD-000490</t>
        </is>
      </c>
      <c r="B983" s="8" t="inlineStr">
        <is>
          <t>2024-03-12</t>
        </is>
      </c>
      <c r="C983" s="8" t="inlineStr"/>
      <c r="D983" s="8" t="inlineStr"/>
      <c r="E983" s="8" t="inlineStr">
        <is>
          <t>PRD-0480</t>
        </is>
      </c>
      <c r="F983" s="8" t="inlineStr">
        <is>
          <t>1</t>
        </is>
      </c>
      <c r="G983" s="9" t="n">
        <v>122.63</v>
      </c>
      <c r="H983" s="8" t="inlineStr">
        <is>
          <t>0.0</t>
        </is>
      </c>
      <c r="I983" s="8" t="inlineStr">
        <is>
          <t>Express Air</t>
        </is>
      </c>
      <c r="J983" s="8" t="inlineStr">
        <is>
          <t>Direct Web</t>
        </is>
      </c>
      <c r="K983" s="8" t="inlineStr"/>
    </row>
    <row r="984">
      <c r="A984" s="8" t="inlineStr">
        <is>
          <t>ORD-000490</t>
        </is>
      </c>
      <c r="B984" s="8" t="inlineStr">
        <is>
          <t>2024-03-12</t>
        </is>
      </c>
      <c r="C984" s="8" t="inlineStr"/>
      <c r="D984" s="8" t="inlineStr"/>
      <c r="E984" s="8" t="inlineStr">
        <is>
          <t>PRD-0060</t>
        </is>
      </c>
      <c r="F984" s="8" t="inlineStr">
        <is>
          <t>4</t>
        </is>
      </c>
      <c r="G984" s="9" t="n">
        <v>826.74</v>
      </c>
      <c r="H984" s="8" t="inlineStr">
        <is>
          <t>0.05</t>
        </is>
      </c>
      <c r="I984" s="8" t="inlineStr">
        <is>
          <t>Express Air</t>
        </is>
      </c>
      <c r="J984" s="8" t="inlineStr">
        <is>
          <t>Direct Web</t>
        </is>
      </c>
      <c r="K984" s="8" t="inlineStr"/>
    </row>
    <row r="985">
      <c r="A985" s="8" t="inlineStr">
        <is>
          <t>ORD-000491</t>
        </is>
      </c>
      <c r="B985" s="8" t="inlineStr">
        <is>
          <t>2023-03-20</t>
        </is>
      </c>
      <c r="C985" s="8" t="inlineStr">
        <is>
          <t>CUST-03899</t>
        </is>
      </c>
      <c r="D985" s="8" t="inlineStr">
        <is>
          <t>Jacob Howard</t>
        </is>
      </c>
      <c r="E985" s="8" t="inlineStr">
        <is>
          <t>PRD-0189</t>
        </is>
      </c>
      <c r="F985" s="8" t="inlineStr">
        <is>
          <t>1</t>
        </is>
      </c>
      <c r="G985" s="9" t="n">
        <v>526.66</v>
      </c>
      <c r="H985" s="8" t="inlineStr">
        <is>
          <t>0.0</t>
        </is>
      </c>
      <c r="I985" s="8" t="inlineStr">
        <is>
          <t>Express Air</t>
        </is>
      </c>
      <c r="J985" s="8" t="inlineStr">
        <is>
          <t>Mobile App</t>
        </is>
      </c>
      <c r="K985" s="8" t="inlineStr">
        <is>
          <t>REG-NA</t>
        </is>
      </c>
    </row>
    <row r="986">
      <c r="A986" s="8" t="inlineStr">
        <is>
          <t>ORD-000491</t>
        </is>
      </c>
      <c r="B986" s="8" t="inlineStr">
        <is>
          <t>2023-03-20</t>
        </is>
      </c>
      <c r="C986" s="8" t="inlineStr">
        <is>
          <t>CUST-03899</t>
        </is>
      </c>
      <c r="D986" s="8" t="inlineStr">
        <is>
          <t>Jacob Howard</t>
        </is>
      </c>
      <c r="E986" s="8" t="inlineStr">
        <is>
          <t>PRD-0184</t>
        </is>
      </c>
      <c r="F986" s="8" t="inlineStr">
        <is>
          <t>2</t>
        </is>
      </c>
      <c r="G986" s="9" t="n">
        <v>79.56999999999999</v>
      </c>
      <c r="H986" s="8" t="inlineStr">
        <is>
          <t>0.1</t>
        </is>
      </c>
      <c r="I986" s="8" t="inlineStr">
        <is>
          <t>Express Air</t>
        </is>
      </c>
      <c r="J986" s="8" t="inlineStr">
        <is>
          <t>Mobile App</t>
        </is>
      </c>
      <c r="K986" s="8" t="inlineStr">
        <is>
          <t>REG-NA</t>
        </is>
      </c>
    </row>
    <row r="987">
      <c r="A987" s="8" t="inlineStr">
        <is>
          <t>ORD-000492</t>
        </is>
      </c>
      <c r="B987" s="8" t="inlineStr">
        <is>
          <t>2024-01-03</t>
        </is>
      </c>
      <c r="C987" s="8" t="inlineStr">
        <is>
          <t>CUST-01486</t>
        </is>
      </c>
      <c r="D987" s="8" t="inlineStr">
        <is>
          <t>Angela Walker</t>
        </is>
      </c>
      <c r="E987" s="8" t="inlineStr">
        <is>
          <t>PRD-0211</t>
        </is>
      </c>
      <c r="F987" s="8" t="inlineStr">
        <is>
          <t>4</t>
        </is>
      </c>
      <c r="G987" s="9" t="n">
        <v>28.2</v>
      </c>
      <c r="H987" s="8" t="inlineStr">
        <is>
          <t>0.05</t>
        </is>
      </c>
      <c r="I987" s="8" t="inlineStr">
        <is>
          <t>Standard Ground</t>
        </is>
      </c>
      <c r="J987" s="8" t="inlineStr">
        <is>
          <t>Mobile App</t>
        </is>
      </c>
      <c r="K987" s="8" t="inlineStr">
        <is>
          <t>REG-NA</t>
        </is>
      </c>
    </row>
    <row r="988">
      <c r="A988" s="8" t="inlineStr">
        <is>
          <t>ORD-000493</t>
        </is>
      </c>
      <c r="B988" s="8" t="inlineStr">
        <is>
          <t>2024-04-02</t>
        </is>
      </c>
      <c r="C988" s="8" t="inlineStr">
        <is>
          <t>CUST-07913</t>
        </is>
      </c>
      <c r="D988" s="8" t="inlineStr">
        <is>
          <t>Matthew Myers</t>
        </is>
      </c>
      <c r="E988" s="8" t="inlineStr">
        <is>
          <t>PRD-0397</t>
        </is>
      </c>
      <c r="F988" s="8" t="inlineStr">
        <is>
          <t>1</t>
        </is>
      </c>
      <c r="G988" s="9" t="n">
        <v>909.83</v>
      </c>
      <c r="H988" s="8" t="inlineStr">
        <is>
          <t>0.05</t>
        </is>
      </c>
      <c r="I988" s="8" t="inlineStr">
        <is>
          <t>Standard Ground</t>
        </is>
      </c>
      <c r="J988" s="8" t="inlineStr">
        <is>
          <t>Direct Web</t>
        </is>
      </c>
      <c r="K988" s="8" t="inlineStr">
        <is>
          <t>REG-EU</t>
        </is>
      </c>
    </row>
    <row r="989">
      <c r="A989" s="8" t="inlineStr">
        <is>
          <t>ORD-000493</t>
        </is>
      </c>
      <c r="B989" s="8" t="inlineStr">
        <is>
          <t>2024-04-02</t>
        </is>
      </c>
      <c r="C989" s="8" t="inlineStr">
        <is>
          <t>CUST-07913</t>
        </is>
      </c>
      <c r="D989" s="8" t="inlineStr">
        <is>
          <t>Matthew Myers</t>
        </is>
      </c>
      <c r="E989" s="8" t="inlineStr">
        <is>
          <t>PRD-0416</t>
        </is>
      </c>
      <c r="F989" s="8" t="inlineStr">
        <is>
          <t>3</t>
        </is>
      </c>
      <c r="G989" s="9" t="n">
        <v>39.54</v>
      </c>
      <c r="H989" s="8" t="inlineStr">
        <is>
          <t>0.1</t>
        </is>
      </c>
      <c r="I989" s="8" t="inlineStr">
        <is>
          <t>Standard Ground</t>
        </is>
      </c>
      <c r="J989" s="8" t="inlineStr">
        <is>
          <t>Direct Web</t>
        </is>
      </c>
      <c r="K989" s="8" t="inlineStr">
        <is>
          <t>REG-EU</t>
        </is>
      </c>
    </row>
    <row r="990">
      <c r="A990" s="8" t="inlineStr">
        <is>
          <t>ORD-000494</t>
        </is>
      </c>
      <c r="B990" s="8" t="inlineStr">
        <is>
          <t>2024-02-27</t>
        </is>
      </c>
      <c r="C990" s="8" t="inlineStr">
        <is>
          <t>CUST-02954</t>
        </is>
      </c>
      <c r="D990" s="8" t="inlineStr">
        <is>
          <t>Benjamin Perez</t>
        </is>
      </c>
      <c r="E990" s="8" t="inlineStr">
        <is>
          <t>PRD-0432</t>
        </is>
      </c>
      <c r="F990" s="8" t="inlineStr">
        <is>
          <t>2</t>
        </is>
      </c>
      <c r="G990" s="9" t="n">
        <v>25.28</v>
      </c>
      <c r="H990" s="8" t="inlineStr">
        <is>
          <t>0.15</t>
        </is>
      </c>
      <c r="I990" s="8" t="inlineStr">
        <is>
          <t>Standard Ground</t>
        </is>
      </c>
      <c r="J990" s="8" t="inlineStr">
        <is>
          <t>Direct Web</t>
        </is>
      </c>
      <c r="K990" s="8" t="inlineStr">
        <is>
          <t>REG-EU</t>
        </is>
      </c>
    </row>
    <row r="991">
      <c r="A991" s="8" t="inlineStr">
        <is>
          <t>ORD-000495</t>
        </is>
      </c>
      <c r="B991" s="8" t="inlineStr">
        <is>
          <t>2024-02-21</t>
        </is>
      </c>
      <c r="C991" s="8" t="inlineStr">
        <is>
          <t>CUST-04592</t>
        </is>
      </c>
      <c r="D991" s="8" t="inlineStr">
        <is>
          <t xml:space="preserve">  patricia hall  </t>
        </is>
      </c>
      <c r="E991" s="8" t="inlineStr">
        <is>
          <t>PRD-0251</t>
        </is>
      </c>
      <c r="F991" s="8" t="inlineStr">
        <is>
          <t>2</t>
        </is>
      </c>
      <c r="G991" s="9" t="n">
        <v>314.05</v>
      </c>
      <c r="H991" s="8" t="inlineStr">
        <is>
          <t>0.0</t>
        </is>
      </c>
      <c r="I991" s="8" t="inlineStr">
        <is>
          <t>Standard Ground</t>
        </is>
      </c>
      <c r="J991" s="8" t="inlineStr">
        <is>
          <t>Direct Web</t>
        </is>
      </c>
      <c r="K991" s="8" t="inlineStr">
        <is>
          <t>REG-LATAM</t>
        </is>
      </c>
    </row>
    <row r="992">
      <c r="A992" s="8" t="inlineStr">
        <is>
          <t>ORD-000496</t>
        </is>
      </c>
      <c r="B992" s="8" t="inlineStr">
        <is>
          <t>2025-12-12</t>
        </is>
      </c>
      <c r="C992" s="8" t="inlineStr">
        <is>
          <t>CUST-07529</t>
        </is>
      </c>
      <c r="D992" s="8" t="inlineStr">
        <is>
          <t>Thomas Campbell</t>
        </is>
      </c>
      <c r="E992" s="8" t="inlineStr">
        <is>
          <t>PRD-0220</t>
        </is>
      </c>
      <c r="F992" s="8" t="inlineStr">
        <is>
          <t>2</t>
        </is>
      </c>
      <c r="G992" s="9" t="n">
        <v>472.5</v>
      </c>
      <c r="H992" s="8" t="inlineStr">
        <is>
          <t>0.1</t>
        </is>
      </c>
      <c r="I992" s="8" t="inlineStr">
        <is>
          <t>Standard Ground</t>
        </is>
      </c>
      <c r="J992" s="8" t="inlineStr">
        <is>
          <t>Mobile App</t>
        </is>
      </c>
      <c r="K992" s="8" t="inlineStr">
        <is>
          <t>REG-APAC</t>
        </is>
      </c>
    </row>
    <row r="993">
      <c r="A993" s="8" t="inlineStr">
        <is>
          <t>ORD-000496</t>
        </is>
      </c>
      <c r="B993" s="8" t="inlineStr">
        <is>
          <t>2025-12-12</t>
        </is>
      </c>
      <c r="C993" s="8" t="inlineStr">
        <is>
          <t>CUST-07529</t>
        </is>
      </c>
      <c r="D993" s="8" t="inlineStr">
        <is>
          <t>Thomas Campbell</t>
        </is>
      </c>
      <c r="E993" s="8" t="inlineStr">
        <is>
          <t>PRD-0132</t>
        </is>
      </c>
      <c r="F993" s="8" t="inlineStr">
        <is>
          <t>2</t>
        </is>
      </c>
      <c r="G993" s="9" t="n">
        <v>792.09</v>
      </c>
      <c r="H993" s="8" t="inlineStr">
        <is>
          <t>0.05</t>
        </is>
      </c>
      <c r="I993" s="8" t="inlineStr">
        <is>
          <t>Standard Ground</t>
        </is>
      </c>
      <c r="J993" s="8" t="inlineStr">
        <is>
          <t>Mobile App</t>
        </is>
      </c>
      <c r="K993" s="8" t="inlineStr">
        <is>
          <t>REG-APAC</t>
        </is>
      </c>
    </row>
    <row r="994">
      <c r="A994" s="8" t="inlineStr">
        <is>
          <t>ORD-000497</t>
        </is>
      </c>
      <c r="B994" s="8" t="inlineStr">
        <is>
          <t>2024-11-04</t>
        </is>
      </c>
      <c r="C994" s="8" t="inlineStr">
        <is>
          <t>CUST-00891</t>
        </is>
      </c>
      <c r="D994" s="8" t="inlineStr">
        <is>
          <t>William Sanders</t>
        </is>
      </c>
      <c r="E994" s="8" t="inlineStr">
        <is>
          <t>PRD-0112</t>
        </is>
      </c>
      <c r="F994" s="8" t="inlineStr">
        <is>
          <t>1</t>
        </is>
      </c>
      <c r="G994" s="9" t="n">
        <v>54.82</v>
      </c>
      <c r="H994" s="8" t="inlineStr">
        <is>
          <t>0.05</t>
        </is>
      </c>
      <c r="I994" s="8" t="inlineStr">
        <is>
          <t>Standard Ground</t>
        </is>
      </c>
      <c r="J994" s="8" t="inlineStr">
        <is>
          <t>Direct Web</t>
        </is>
      </c>
      <c r="K994" s="8" t="inlineStr">
        <is>
          <t>REG-NA</t>
        </is>
      </c>
    </row>
    <row r="995">
      <c r="A995" s="8" t="inlineStr">
        <is>
          <t>ORD-000497</t>
        </is>
      </c>
      <c r="B995" s="8" t="inlineStr">
        <is>
          <t>2024-11-04</t>
        </is>
      </c>
      <c r="C995" s="8" t="inlineStr">
        <is>
          <t>CUST-00891</t>
        </is>
      </c>
      <c r="D995" s="8" t="inlineStr">
        <is>
          <t>William Sanders</t>
        </is>
      </c>
      <c r="E995" s="8" t="inlineStr">
        <is>
          <t>PRD-0280</t>
        </is>
      </c>
      <c r="F995" s="8" t="inlineStr">
        <is>
          <t>4</t>
        </is>
      </c>
      <c r="G995" s="9" t="n">
        <v>408.85</v>
      </c>
      <c r="H995" s="8" t="inlineStr">
        <is>
          <t>0.1</t>
        </is>
      </c>
      <c r="I995" s="8" t="inlineStr">
        <is>
          <t>Standard Ground</t>
        </is>
      </c>
      <c r="J995" s="8" t="inlineStr">
        <is>
          <t>Direct Web</t>
        </is>
      </c>
      <c r="K995" s="8" t="inlineStr">
        <is>
          <t>REG-NA</t>
        </is>
      </c>
    </row>
    <row r="996">
      <c r="A996" s="8" t="inlineStr">
        <is>
          <t>ORD-000498</t>
        </is>
      </c>
      <c r="B996" s="8" t="inlineStr">
        <is>
          <t>2024-07-18</t>
        </is>
      </c>
      <c r="C996" s="8" t="inlineStr">
        <is>
          <t>CUST-06947</t>
        </is>
      </c>
      <c r="D996" s="8" t="inlineStr">
        <is>
          <t>Samantha Murphy</t>
        </is>
      </c>
      <c r="E996" s="8" t="inlineStr">
        <is>
          <t>PRD-0025</t>
        </is>
      </c>
      <c r="F996" s="8" t="inlineStr">
        <is>
          <t>4</t>
        </is>
      </c>
      <c r="G996" s="9" t="n">
        <v>537.5700000000001</v>
      </c>
      <c r="H996" s="8" t="inlineStr">
        <is>
          <t>0.0</t>
        </is>
      </c>
      <c r="I996" s="8" t="inlineStr">
        <is>
          <t>Freight</t>
        </is>
      </c>
      <c r="J996" s="8" t="inlineStr">
        <is>
          <t>Direct Web</t>
        </is>
      </c>
      <c r="K996" s="8" t="inlineStr">
        <is>
          <t>REG-NA</t>
        </is>
      </c>
    </row>
    <row r="997">
      <c r="A997" s="8" t="inlineStr">
        <is>
          <t>ORD-000499</t>
        </is>
      </c>
      <c r="B997" s="8" t="inlineStr">
        <is>
          <t>2025-11-21</t>
        </is>
      </c>
      <c r="C997" s="8" t="inlineStr">
        <is>
          <t>CUST-00598</t>
        </is>
      </c>
      <c r="D997" s="8" t="inlineStr">
        <is>
          <t>William Cruz</t>
        </is>
      </c>
      <c r="E997" s="8" t="inlineStr">
        <is>
          <t>PRD-0371</t>
        </is>
      </c>
      <c r="F997" s="8" t="inlineStr">
        <is>
          <t>1</t>
        </is>
      </c>
      <c r="G997" s="9" t="n">
        <v>41.78</v>
      </c>
      <c r="H997" s="8" t="inlineStr">
        <is>
          <t>0.1</t>
        </is>
      </c>
      <c r="I997" s="8" t="inlineStr">
        <is>
          <t>Standard Ground</t>
        </is>
      </c>
      <c r="J997" s="8" t="inlineStr">
        <is>
          <t>Direct Web</t>
        </is>
      </c>
      <c r="K997" s="8" t="inlineStr">
        <is>
          <t>REG-APAC</t>
        </is>
      </c>
    </row>
    <row r="998">
      <c r="A998" s="8" t="inlineStr">
        <is>
          <t>ORD-000499</t>
        </is>
      </c>
      <c r="B998" s="8" t="inlineStr">
        <is>
          <t>2025-11-21</t>
        </is>
      </c>
      <c r="C998" s="8" t="inlineStr">
        <is>
          <t>CUST-00598</t>
        </is>
      </c>
      <c r="D998" s="8" t="inlineStr">
        <is>
          <t>William Cruz</t>
        </is>
      </c>
      <c r="E998" s="8" t="inlineStr">
        <is>
          <t>PRD-0343</t>
        </is>
      </c>
      <c r="F998" s="8" t="inlineStr">
        <is>
          <t>5</t>
        </is>
      </c>
      <c r="G998" s="9" t="n">
        <v>52.81</v>
      </c>
      <c r="H998" s="8" t="inlineStr">
        <is>
          <t>0.05</t>
        </is>
      </c>
      <c r="I998" s="8" t="inlineStr">
        <is>
          <t>Standard Ground</t>
        </is>
      </c>
      <c r="J998" s="8" t="inlineStr">
        <is>
          <t>Direct Web</t>
        </is>
      </c>
      <c r="K998" s="8" t="inlineStr">
        <is>
          <t>REG-APAC</t>
        </is>
      </c>
    </row>
    <row r="999">
      <c r="A999" s="8" t="inlineStr">
        <is>
          <t>ORD-000500</t>
        </is>
      </c>
      <c r="B999" s="8" t="inlineStr">
        <is>
          <t>07/27/2025</t>
        </is>
      </c>
      <c r="C999" s="8" t="inlineStr">
        <is>
          <t>CUST-05668</t>
        </is>
      </c>
      <c r="D999" s="8" t="inlineStr">
        <is>
          <t>James Hill</t>
        </is>
      </c>
      <c r="E999" s="8" t="inlineStr">
        <is>
          <t>PRD-0481</t>
        </is>
      </c>
      <c r="F999" s="8" t="inlineStr">
        <is>
          <t>2</t>
        </is>
      </c>
      <c r="G999" s="9" t="n">
        <v>143.11</v>
      </c>
      <c r="H999" s="8" t="inlineStr">
        <is>
          <t>0.05</t>
        </is>
      </c>
      <c r="I999" s="8" t="inlineStr">
        <is>
          <t>Express Air</t>
        </is>
      </c>
      <c r="J999" s="8" t="inlineStr">
        <is>
          <t>Direct Web</t>
        </is>
      </c>
      <c r="K999" s="8" t="inlineStr">
        <is>
          <t>REG-NA</t>
        </is>
      </c>
    </row>
    <row r="1000">
      <c r="A1000" s="8" t="inlineStr">
        <is>
          <t>ORD-000501</t>
        </is>
      </c>
      <c r="B1000" s="8" t="inlineStr">
        <is>
          <t>2023-12-16</t>
        </is>
      </c>
      <c r="C1000" s="8" t="inlineStr">
        <is>
          <t>CUST-01962</t>
        </is>
      </c>
      <c r="D1000" s="8" t="inlineStr">
        <is>
          <t>Barbara Jones</t>
        </is>
      </c>
      <c r="E1000" s="8" t="inlineStr">
        <is>
          <t>PRD-0008</t>
        </is>
      </c>
      <c r="F1000" s="8" t="inlineStr">
        <is>
          <t>1</t>
        </is>
      </c>
      <c r="G1000" s="9" t="n">
        <v>323.49</v>
      </c>
      <c r="H1000" s="8" t="inlineStr">
        <is>
          <t>0.05</t>
        </is>
      </c>
      <c r="I1000" s="8" t="inlineStr">
        <is>
          <t>Standard Ground</t>
        </is>
      </c>
      <c r="J1000" s="8" t="inlineStr">
        <is>
          <t>Direct Web</t>
        </is>
      </c>
      <c r="K1000" s="8" t="inlineStr">
        <is>
          <t>REG-EU</t>
        </is>
      </c>
    </row>
    <row r="1001">
      <c r="A1001" s="8" t="inlineStr">
        <is>
          <t>ORD-000502</t>
        </is>
      </c>
      <c r="B1001" s="8" t="inlineStr">
        <is>
          <t>2024-11-20</t>
        </is>
      </c>
      <c r="C1001" s="8" t="inlineStr">
        <is>
          <t>CUST-01707</t>
        </is>
      </c>
      <c r="D1001" s="8" t="inlineStr">
        <is>
          <t>Joseph Kim</t>
        </is>
      </c>
      <c r="E1001" s="8" t="inlineStr">
        <is>
          <t>PRD-0491</t>
        </is>
      </c>
      <c r="F1001" s="8" t="inlineStr">
        <is>
          <t>2</t>
        </is>
      </c>
      <c r="G1001" s="9" t="n">
        <v>39.93</v>
      </c>
      <c r="H1001" s="8" t="inlineStr">
        <is>
          <t>0.15</t>
        </is>
      </c>
      <c r="I1001" s="8" t="inlineStr">
        <is>
          <t>Express Air</t>
        </is>
      </c>
      <c r="J1001" s="8" t="inlineStr">
        <is>
          <t>Direct Web</t>
        </is>
      </c>
      <c r="K1001" s="8" t="inlineStr">
        <is>
          <t>REG-NA</t>
        </is>
      </c>
    </row>
    <row r="1002">
      <c r="A1002" s="8" t="inlineStr">
        <is>
          <t>ORD-000502</t>
        </is>
      </c>
      <c r="B1002" s="8" t="inlineStr">
        <is>
          <t>2024-11-20</t>
        </is>
      </c>
      <c r="C1002" s="8" t="inlineStr">
        <is>
          <t>CUST-01707</t>
        </is>
      </c>
      <c r="D1002" s="8" t="inlineStr">
        <is>
          <t>Joseph Kim</t>
        </is>
      </c>
      <c r="E1002" s="8" t="inlineStr">
        <is>
          <t>PRD-0318</t>
        </is>
      </c>
      <c r="F1002" s="8" t="inlineStr">
        <is>
          <t>8</t>
        </is>
      </c>
      <c r="G1002" s="9" t="n">
        <v>130.98</v>
      </c>
      <c r="H1002" s="8" t="inlineStr">
        <is>
          <t>0.15</t>
        </is>
      </c>
      <c r="I1002" s="8" t="inlineStr">
        <is>
          <t>Express Air</t>
        </is>
      </c>
      <c r="J1002" s="8" t="inlineStr">
        <is>
          <t>Direct Web</t>
        </is>
      </c>
      <c r="K1002" s="8" t="inlineStr">
        <is>
          <t>REG-NA</t>
        </is>
      </c>
    </row>
    <row r="1003">
      <c r="A1003" s="8" t="inlineStr">
        <is>
          <t>ORD-000503</t>
        </is>
      </c>
      <c r="B1003" s="8" t="inlineStr">
        <is>
          <t>2024-11-02</t>
        </is>
      </c>
      <c r="C1003" s="8" t="inlineStr">
        <is>
          <t>CUST-06482</t>
        </is>
      </c>
      <c r="D1003" s="8" t="inlineStr">
        <is>
          <t>Rachel Torres</t>
        </is>
      </c>
      <c r="E1003" s="8" t="inlineStr">
        <is>
          <t>PRD-0085</t>
        </is>
      </c>
      <c r="F1003" s="8" t="inlineStr">
        <is>
          <t>1</t>
        </is>
      </c>
      <c r="G1003" s="9" t="n">
        <v>202.1</v>
      </c>
      <c r="H1003" s="8" t="inlineStr">
        <is>
          <t>10%</t>
        </is>
      </c>
      <c r="I1003" s="8" t="inlineStr">
        <is>
          <t>Express Air</t>
        </is>
      </c>
      <c r="J1003" s="8" t="inlineStr">
        <is>
          <t>B2B Portal</t>
        </is>
      </c>
      <c r="K1003" s="8" t="inlineStr">
        <is>
          <t>REG-NA</t>
        </is>
      </c>
    </row>
    <row r="1004">
      <c r="A1004" s="8" t="inlineStr">
        <is>
          <t>ORD-000504</t>
        </is>
      </c>
      <c r="B1004" s="8" t="inlineStr">
        <is>
          <t>2023-11-21</t>
        </is>
      </c>
      <c r="C1004" s="8" t="inlineStr">
        <is>
          <t>CUST-04696</t>
        </is>
      </c>
      <c r="D1004" s="8" t="inlineStr">
        <is>
          <t xml:space="preserve">  debra williams  </t>
        </is>
      </c>
      <c r="E1004" s="8" t="inlineStr">
        <is>
          <t>PRD-0469</t>
        </is>
      </c>
      <c r="F1004" s="8" t="inlineStr">
        <is>
          <t>-8</t>
        </is>
      </c>
      <c r="G1004" s="9" t="n">
        <v>892.14</v>
      </c>
      <c r="H1004" s="8" t="inlineStr">
        <is>
          <t>0.05</t>
        </is>
      </c>
      <c r="I1004" s="8" t="inlineStr">
        <is>
          <t>Express Air</t>
        </is>
      </c>
      <c r="J1004" s="8" t="inlineStr">
        <is>
          <t>Mobile App</t>
        </is>
      </c>
      <c r="K1004" s="8" t="inlineStr">
        <is>
          <t>REG-NA</t>
        </is>
      </c>
    </row>
    <row r="1005">
      <c r="A1005" s="8" t="inlineStr">
        <is>
          <t>ORD-000505</t>
        </is>
      </c>
      <c r="B1005" s="8" t="inlineStr">
        <is>
          <t>2024-08-16</t>
        </is>
      </c>
      <c r="C1005" s="8" t="inlineStr">
        <is>
          <t>CUST-05188</t>
        </is>
      </c>
      <c r="D1005" s="8" t="inlineStr">
        <is>
          <t>Robert Bailey</t>
        </is>
      </c>
      <c r="E1005" s="8" t="inlineStr">
        <is>
          <t>PRD-0307</t>
        </is>
      </c>
      <c r="F1005" s="8" t="inlineStr">
        <is>
          <t>1</t>
        </is>
      </c>
      <c r="G1005" s="9" t="n">
        <v>762.88</v>
      </c>
      <c r="H1005" s="8" t="inlineStr">
        <is>
          <t>0.1</t>
        </is>
      </c>
      <c r="I1005" s="8" t="inlineStr">
        <is>
          <t>Standard Ground</t>
        </is>
      </c>
      <c r="J1005" s="8" t="inlineStr">
        <is>
          <t>Mobile App</t>
        </is>
      </c>
      <c r="K1005" s="8" t="inlineStr">
        <is>
          <t>REG-APAC</t>
        </is>
      </c>
    </row>
    <row r="1006">
      <c r="A1006" s="8" t="inlineStr">
        <is>
          <t>ORD-000506</t>
        </is>
      </c>
      <c r="B1006" s="8" t="inlineStr">
        <is>
          <t>2025-06-10</t>
        </is>
      </c>
      <c r="C1006" s="8" t="inlineStr">
        <is>
          <t>CUST-04879</t>
        </is>
      </c>
      <c r="D1006" s="8" t="inlineStr">
        <is>
          <t>Anna Lee</t>
        </is>
      </c>
      <c r="E1006" s="8" t="inlineStr">
        <is>
          <t>PRD-0167</t>
        </is>
      </c>
      <c r="F1006" s="8" t="inlineStr">
        <is>
          <t>1</t>
        </is>
      </c>
      <c r="G1006" s="9" t="n">
        <v>606.8099999999999</v>
      </c>
      <c r="H1006" s="8" t="inlineStr">
        <is>
          <t>0.1</t>
        </is>
      </c>
      <c r="I1006" s="8" t="inlineStr">
        <is>
          <t>Express Air</t>
        </is>
      </c>
      <c r="J1006" s="8" t="inlineStr">
        <is>
          <t>Mobile App</t>
        </is>
      </c>
      <c r="K1006" s="8" t="inlineStr">
        <is>
          <t>REG-EU</t>
        </is>
      </c>
    </row>
    <row r="1007">
      <c r="A1007" s="8" t="inlineStr">
        <is>
          <t>ORD-000506</t>
        </is>
      </c>
      <c r="B1007" s="8" t="inlineStr">
        <is>
          <t>2025-06-10</t>
        </is>
      </c>
      <c r="C1007" s="8" t="inlineStr">
        <is>
          <t>CUST-04879</t>
        </is>
      </c>
      <c r="D1007" s="8" t="inlineStr">
        <is>
          <t>Anna Lee</t>
        </is>
      </c>
      <c r="E1007" s="8" t="inlineStr">
        <is>
          <t>PRD-0290</t>
        </is>
      </c>
      <c r="F1007" s="8" t="inlineStr">
        <is>
          <t>1</t>
        </is>
      </c>
      <c r="G1007" s="9" t="n">
        <v>404.49</v>
      </c>
      <c r="H1007" s="8" t="inlineStr">
        <is>
          <t>0.0</t>
        </is>
      </c>
      <c r="I1007" s="8" t="inlineStr">
        <is>
          <t>Express Air</t>
        </is>
      </c>
      <c r="J1007" s="8" t="inlineStr">
        <is>
          <t>Mobile App</t>
        </is>
      </c>
      <c r="K1007" s="8" t="inlineStr">
        <is>
          <t>REG-EU</t>
        </is>
      </c>
    </row>
    <row r="1008">
      <c r="A1008" s="8" t="inlineStr">
        <is>
          <t>ORD-000507</t>
        </is>
      </c>
      <c r="B1008" s="8" t="inlineStr">
        <is>
          <t>2023-09-19</t>
        </is>
      </c>
      <c r="C1008" s="8" t="inlineStr">
        <is>
          <t>CUST-00336</t>
        </is>
      </c>
      <c r="D1008" s="8" t="inlineStr">
        <is>
          <t>Rebecca Howard</t>
        </is>
      </c>
      <c r="E1008" s="8" t="inlineStr">
        <is>
          <t>PRD-0113</t>
        </is>
      </c>
      <c r="F1008" s="8" t="inlineStr">
        <is>
          <t>1</t>
        </is>
      </c>
      <c r="G1008" s="9" t="n">
        <v>70.09</v>
      </c>
      <c r="H1008" s="8" t="inlineStr">
        <is>
          <t>0.05</t>
        </is>
      </c>
      <c r="I1008" s="8" t="inlineStr">
        <is>
          <t>Same-Day Priority</t>
        </is>
      </c>
      <c r="J1008" s="8" t="inlineStr">
        <is>
          <t>B2B Portal</t>
        </is>
      </c>
      <c r="K1008" s="8" t="inlineStr">
        <is>
          <t>REG-EU</t>
        </is>
      </c>
    </row>
    <row r="1009">
      <c r="A1009" s="8" t="inlineStr">
        <is>
          <t>ORD-000508</t>
        </is>
      </c>
      <c r="B1009" s="8" t="inlineStr">
        <is>
          <t>2025-10-17</t>
        </is>
      </c>
      <c r="C1009" s="8" t="inlineStr">
        <is>
          <t>CUST-05728</t>
        </is>
      </c>
      <c r="D1009" s="8" t="inlineStr">
        <is>
          <t>Ruth Davis</t>
        </is>
      </c>
      <c r="E1009" s="8" t="inlineStr">
        <is>
          <t>PRD-0040</t>
        </is>
      </c>
      <c r="F1009" s="8" t="inlineStr">
        <is>
          <t>1</t>
        </is>
      </c>
      <c r="G1009" s="9" t="n">
        <v>28.56</v>
      </c>
      <c r="H1009" s="8" t="inlineStr">
        <is>
          <t>0.05</t>
        </is>
      </c>
      <c r="I1009" s="8" t="inlineStr">
        <is>
          <t>Express Air</t>
        </is>
      </c>
      <c r="J1009" s="8" t="inlineStr">
        <is>
          <t>Direct Web</t>
        </is>
      </c>
      <c r="K1009" s="8" t="inlineStr">
        <is>
          <t>REG-APAC</t>
        </is>
      </c>
    </row>
    <row r="1010">
      <c r="A1010" s="8" t="inlineStr">
        <is>
          <t>ORD-000509</t>
        </is>
      </c>
      <c r="B1010" s="8" t="inlineStr">
        <is>
          <t>2025-11-23</t>
        </is>
      </c>
      <c r="C1010" s="8" t="inlineStr">
        <is>
          <t>CUST-05561</t>
        </is>
      </c>
      <c r="D1010" s="8" t="inlineStr">
        <is>
          <t>Emily Jackson</t>
        </is>
      </c>
      <c r="E1010" s="8" t="inlineStr">
        <is>
          <t>PRD-0358</t>
        </is>
      </c>
      <c r="F1010" s="8" t="inlineStr">
        <is>
          <t>1</t>
        </is>
      </c>
      <c r="G1010" s="9" t="n">
        <v>795.41</v>
      </c>
      <c r="H1010" s="8" t="inlineStr">
        <is>
          <t>0.0</t>
        </is>
      </c>
      <c r="I1010" s="8" t="inlineStr">
        <is>
          <t>Standard Ground</t>
        </is>
      </c>
      <c r="J1010" s="8" t="inlineStr">
        <is>
          <t>Direct Web</t>
        </is>
      </c>
      <c r="K1010" s="8" t="inlineStr">
        <is>
          <t>REG-NA</t>
        </is>
      </c>
    </row>
    <row r="1011">
      <c r="A1011" s="8" t="inlineStr">
        <is>
          <t>ORD-000509</t>
        </is>
      </c>
      <c r="B1011" s="8" t="inlineStr">
        <is>
          <t>2025-11-23</t>
        </is>
      </c>
      <c r="C1011" s="8" t="inlineStr">
        <is>
          <t>CUST-05561</t>
        </is>
      </c>
      <c r="D1011" s="8" t="inlineStr">
        <is>
          <t>Emily Jackson</t>
        </is>
      </c>
      <c r="E1011" s="8" t="inlineStr">
        <is>
          <t>PRD-0020</t>
        </is>
      </c>
      <c r="F1011" s="8" t="inlineStr">
        <is>
          <t>3</t>
        </is>
      </c>
      <c r="G1011" s="9" t="n">
        <v>22.42</v>
      </c>
      <c r="H1011" s="8" t="inlineStr">
        <is>
          <t>0.1</t>
        </is>
      </c>
      <c r="I1011" s="8" t="inlineStr">
        <is>
          <t>Standard Ground</t>
        </is>
      </c>
      <c r="J1011" s="8" t="inlineStr">
        <is>
          <t>Direct Web</t>
        </is>
      </c>
      <c r="K1011" s="8" t="inlineStr">
        <is>
          <t>REG-NA</t>
        </is>
      </c>
    </row>
    <row r="1012">
      <c r="A1012" s="8" t="inlineStr">
        <is>
          <t>ORD-000509</t>
        </is>
      </c>
      <c r="B1012" s="8" t="inlineStr">
        <is>
          <t>2025-11-23</t>
        </is>
      </c>
      <c r="C1012" s="8" t="inlineStr">
        <is>
          <t>CUST-05561</t>
        </is>
      </c>
      <c r="D1012" s="8" t="inlineStr">
        <is>
          <t>Emily Jackson</t>
        </is>
      </c>
      <c r="E1012" s="8" t="inlineStr">
        <is>
          <t>PRD-0432</t>
        </is>
      </c>
      <c r="F1012" s="8" t="inlineStr">
        <is>
          <t>1</t>
        </is>
      </c>
      <c r="G1012" s="9" t="n">
        <v>25.28</v>
      </c>
      <c r="H1012" s="8" t="inlineStr">
        <is>
          <t>0.05</t>
        </is>
      </c>
      <c r="I1012" s="8" t="inlineStr">
        <is>
          <t>Standard Ground</t>
        </is>
      </c>
      <c r="J1012" s="8" t="inlineStr">
        <is>
          <t>Direct Web</t>
        </is>
      </c>
      <c r="K1012" s="8" t="inlineStr">
        <is>
          <t>REG-NA</t>
        </is>
      </c>
    </row>
    <row r="1013">
      <c r="A1013" s="8" t="inlineStr">
        <is>
          <t>ORD-000510</t>
        </is>
      </c>
      <c r="B1013" s="8" t="inlineStr">
        <is>
          <t>2023-03-16</t>
        </is>
      </c>
      <c r="C1013" s="8" t="inlineStr">
        <is>
          <t>CUST-03961</t>
        </is>
      </c>
      <c r="D1013" s="8" t="inlineStr">
        <is>
          <t>Michelle Wright</t>
        </is>
      </c>
      <c r="E1013" s="8" t="inlineStr">
        <is>
          <t>PRD-0217</t>
        </is>
      </c>
      <c r="F1013" s="8" t="inlineStr">
        <is>
          <t>2</t>
        </is>
      </c>
      <c r="G1013" s="9" t="n">
        <v>457.08</v>
      </c>
      <c r="H1013" s="8" t="inlineStr">
        <is>
          <t>0.0</t>
        </is>
      </c>
      <c r="I1013" s="8" t="inlineStr">
        <is>
          <t>Same-Day Priority</t>
        </is>
      </c>
      <c r="J1013" s="8" t="inlineStr">
        <is>
          <t>Mobile App</t>
        </is>
      </c>
      <c r="K1013" s="8" t="inlineStr">
        <is>
          <t>REG-NA</t>
        </is>
      </c>
    </row>
    <row r="1014">
      <c r="A1014" s="8" t="inlineStr">
        <is>
          <t>ORD-000510</t>
        </is>
      </c>
      <c r="B1014" s="8" t="inlineStr">
        <is>
          <t>2023-03-16</t>
        </is>
      </c>
      <c r="C1014" s="8" t="inlineStr">
        <is>
          <t>CUST-03961</t>
        </is>
      </c>
      <c r="D1014" s="8" t="inlineStr">
        <is>
          <t>Michelle Wright</t>
        </is>
      </c>
      <c r="E1014" s="8" t="inlineStr">
        <is>
          <t>PRD-0341</t>
        </is>
      </c>
      <c r="F1014" s="8" t="inlineStr">
        <is>
          <t>2</t>
        </is>
      </c>
      <c r="G1014" s="9" t="n">
        <v>26.88</v>
      </c>
      <c r="H1014" s="8" t="inlineStr">
        <is>
          <t>0.25</t>
        </is>
      </c>
      <c r="I1014" s="8" t="inlineStr">
        <is>
          <t>Same-Day Priority</t>
        </is>
      </c>
      <c r="J1014" s="8" t="inlineStr">
        <is>
          <t>Mobile App</t>
        </is>
      </c>
      <c r="K1014" s="8" t="inlineStr">
        <is>
          <t>REG-NA</t>
        </is>
      </c>
    </row>
    <row r="1015">
      <c r="A1015" s="8" t="inlineStr">
        <is>
          <t>ORD-000510</t>
        </is>
      </c>
      <c r="B1015" s="8" t="inlineStr">
        <is>
          <t>2023-03-16</t>
        </is>
      </c>
      <c r="C1015" s="8" t="inlineStr">
        <is>
          <t>CUST-03961</t>
        </is>
      </c>
      <c r="D1015" s="8" t="inlineStr">
        <is>
          <t>Michelle Wright</t>
        </is>
      </c>
      <c r="E1015" s="8" t="inlineStr">
        <is>
          <t>PRD-0003</t>
        </is>
      </c>
      <c r="F1015" s="8" t="inlineStr">
        <is>
          <t>2</t>
        </is>
      </c>
      <c r="G1015" s="9" t="n">
        <v>807.39</v>
      </c>
      <c r="H1015" s="8" t="inlineStr">
        <is>
          <t>0.0</t>
        </is>
      </c>
      <c r="I1015" s="8" t="inlineStr">
        <is>
          <t>Same-Day Priority</t>
        </is>
      </c>
      <c r="J1015" s="8" t="inlineStr">
        <is>
          <t>Mobile App</t>
        </is>
      </c>
      <c r="K1015" s="8" t="inlineStr">
        <is>
          <t>REG-NA</t>
        </is>
      </c>
    </row>
    <row r="1016">
      <c r="A1016" s="8" t="inlineStr">
        <is>
          <t>ORD-000511</t>
        </is>
      </c>
      <c r="B1016" s="8" t="inlineStr">
        <is>
          <t>2025-07-04</t>
        </is>
      </c>
      <c r="C1016" s="8" t="inlineStr">
        <is>
          <t>CUST-01260</t>
        </is>
      </c>
      <c r="D1016" s="8" t="inlineStr">
        <is>
          <t>Charles Taylor</t>
        </is>
      </c>
      <c r="E1016" s="8" t="inlineStr">
        <is>
          <t>PRD-0242</t>
        </is>
      </c>
      <c r="F1016" s="8" t="inlineStr">
        <is>
          <t>2</t>
        </is>
      </c>
      <c r="G1016" s="9" t="n">
        <v>745.0599999999999</v>
      </c>
      <c r="H1016" s="8" t="inlineStr">
        <is>
          <t>0.05</t>
        </is>
      </c>
      <c r="I1016" s="8" t="inlineStr">
        <is>
          <t>Standard Ground</t>
        </is>
      </c>
      <c r="J1016" s="8" t="inlineStr">
        <is>
          <t>Direct Web</t>
        </is>
      </c>
      <c r="K1016" s="8" t="inlineStr">
        <is>
          <t>REG-APAC</t>
        </is>
      </c>
    </row>
    <row r="1017">
      <c r="A1017" s="8" t="inlineStr">
        <is>
          <t>ORD-000511</t>
        </is>
      </c>
      <c r="B1017" s="8" t="inlineStr">
        <is>
          <t>2025-07-04</t>
        </is>
      </c>
      <c r="C1017" s="8" t="inlineStr">
        <is>
          <t>CUST-01260</t>
        </is>
      </c>
      <c r="D1017" s="8" t="inlineStr">
        <is>
          <t>Charles Taylor</t>
        </is>
      </c>
      <c r="E1017" s="8" t="inlineStr">
        <is>
          <t>PRD-0443</t>
        </is>
      </c>
      <c r="F1017" s="8" t="inlineStr">
        <is>
          <t>1</t>
        </is>
      </c>
      <c r="G1017" s="9" t="n">
        <v>101.81</v>
      </c>
      <c r="H1017" s="8" t="inlineStr">
        <is>
          <t>0.05</t>
        </is>
      </c>
      <c r="I1017" s="8" t="inlineStr">
        <is>
          <t>Standard Ground</t>
        </is>
      </c>
      <c r="J1017" s="8" t="inlineStr">
        <is>
          <t>Direct Web</t>
        </is>
      </c>
      <c r="K1017" s="8" t="inlineStr">
        <is>
          <t>REG-APAC</t>
        </is>
      </c>
    </row>
    <row r="1018">
      <c r="A1018" s="8" t="inlineStr">
        <is>
          <t>ORD-000511</t>
        </is>
      </c>
      <c r="B1018" s="8" t="inlineStr">
        <is>
          <t>2025-07-04</t>
        </is>
      </c>
      <c r="C1018" s="8" t="inlineStr">
        <is>
          <t>CUST-01260</t>
        </is>
      </c>
      <c r="D1018" s="8" t="inlineStr">
        <is>
          <t>Charles Taylor</t>
        </is>
      </c>
      <c r="E1018" s="8" t="inlineStr">
        <is>
          <t>PRD-0157</t>
        </is>
      </c>
      <c r="F1018" s="8" t="inlineStr">
        <is>
          <t>1</t>
        </is>
      </c>
      <c r="G1018" s="9" t="n">
        <v>227.8</v>
      </c>
      <c r="H1018" s="8" t="inlineStr">
        <is>
          <t>0.05</t>
        </is>
      </c>
      <c r="I1018" s="8" t="inlineStr">
        <is>
          <t>Standard Ground</t>
        </is>
      </c>
      <c r="J1018" s="8" t="inlineStr">
        <is>
          <t>Direct Web</t>
        </is>
      </c>
      <c r="K1018" s="8" t="inlineStr">
        <is>
          <t>REG-APAC</t>
        </is>
      </c>
    </row>
    <row r="1019">
      <c r="A1019" s="8" t="inlineStr">
        <is>
          <t>ORD-000511</t>
        </is>
      </c>
      <c r="B1019" s="8" t="inlineStr">
        <is>
          <t>2025-07-04</t>
        </is>
      </c>
      <c r="C1019" s="8" t="inlineStr">
        <is>
          <t>CUST-01260</t>
        </is>
      </c>
      <c r="D1019" s="8" t="inlineStr">
        <is>
          <t>Charles Taylor</t>
        </is>
      </c>
      <c r="E1019" s="8" t="inlineStr">
        <is>
          <t>PRD-0070</t>
        </is>
      </c>
      <c r="F1019" s="8" t="inlineStr">
        <is>
          <t>2</t>
        </is>
      </c>
      <c r="G1019" s="9" t="n">
        <v>70.34999999999999</v>
      </c>
      <c r="H1019" s="8" t="inlineStr">
        <is>
          <t>0.0</t>
        </is>
      </c>
      <c r="I1019" s="8" t="inlineStr">
        <is>
          <t>Standard Ground</t>
        </is>
      </c>
      <c r="J1019" s="8" t="inlineStr">
        <is>
          <t>Direct Web</t>
        </is>
      </c>
      <c r="K1019" s="8" t="inlineStr">
        <is>
          <t>REG-APAC</t>
        </is>
      </c>
    </row>
    <row r="1020">
      <c r="A1020" s="8" t="inlineStr">
        <is>
          <t>ORD-000511</t>
        </is>
      </c>
      <c r="B1020" s="8" t="inlineStr">
        <is>
          <t>2025-07-04</t>
        </is>
      </c>
      <c r="C1020" s="8" t="inlineStr">
        <is>
          <t>CUST-01260</t>
        </is>
      </c>
      <c r="D1020" s="8" t="inlineStr">
        <is>
          <t>Charles Taylor</t>
        </is>
      </c>
      <c r="E1020" s="8" t="inlineStr">
        <is>
          <t>PRD-0376</t>
        </is>
      </c>
      <c r="F1020" s="8" t="inlineStr">
        <is>
          <t>1</t>
        </is>
      </c>
      <c r="G1020" s="9" t="n">
        <v>219.88</v>
      </c>
      <c r="H1020" s="8" t="inlineStr">
        <is>
          <t>0.05</t>
        </is>
      </c>
      <c r="I1020" s="8" t="inlineStr">
        <is>
          <t>Standard Ground</t>
        </is>
      </c>
      <c r="J1020" s="8" t="inlineStr">
        <is>
          <t>Direct Web</t>
        </is>
      </c>
      <c r="K1020" s="8" t="inlineStr">
        <is>
          <t>REG-APAC</t>
        </is>
      </c>
    </row>
    <row r="1021">
      <c r="A1021" s="8" t="inlineStr">
        <is>
          <t>ORD-000512</t>
        </is>
      </c>
      <c r="B1021" s="8" t="inlineStr">
        <is>
          <t>2023-10-27</t>
        </is>
      </c>
      <c r="C1021" s="8" t="inlineStr">
        <is>
          <t>CUST-05032</t>
        </is>
      </c>
      <c r="D1021" s="8" t="inlineStr">
        <is>
          <t>Ryan Johnson</t>
        </is>
      </c>
      <c r="E1021" s="8" t="inlineStr">
        <is>
          <t>PRD-0425</t>
        </is>
      </c>
      <c r="F1021" s="8" t="inlineStr">
        <is>
          <t>3</t>
        </is>
      </c>
      <c r="G1021" s="9" t="n">
        <v>805.83</v>
      </c>
      <c r="H1021" s="8" t="inlineStr">
        <is>
          <t>0.1</t>
        </is>
      </c>
      <c r="I1021" s="8" t="inlineStr">
        <is>
          <t>Standard Ground</t>
        </is>
      </c>
      <c r="J1021" s="8" t="inlineStr">
        <is>
          <t>Mobile App</t>
        </is>
      </c>
      <c r="K1021" s="8" t="inlineStr">
        <is>
          <t>REG-NA</t>
        </is>
      </c>
    </row>
    <row r="1022">
      <c r="A1022" s="8" t="inlineStr">
        <is>
          <t>ORD-000513</t>
        </is>
      </c>
      <c r="B1022" s="8" t="inlineStr">
        <is>
          <t>2025-07-09</t>
        </is>
      </c>
      <c r="C1022" s="8" t="inlineStr">
        <is>
          <t>CUST-02942</t>
        </is>
      </c>
      <c r="D1022" s="8" t="inlineStr">
        <is>
          <t>Sandra Morales</t>
        </is>
      </c>
      <c r="E1022" s="8" t="inlineStr">
        <is>
          <t>PRD-0463</t>
        </is>
      </c>
      <c r="F1022" s="8" t="inlineStr">
        <is>
          <t>1</t>
        </is>
      </c>
      <c r="G1022" s="9" t="n">
        <v>123.72</v>
      </c>
      <c r="H1022" s="8" t="inlineStr">
        <is>
          <t>0.0</t>
        </is>
      </c>
      <c r="I1022" s="8" t="inlineStr">
        <is>
          <t>Standard Ground</t>
        </is>
      </c>
      <c r="J1022" s="8" t="inlineStr">
        <is>
          <t>Direct Web</t>
        </is>
      </c>
      <c r="K1022" s="8" t="inlineStr">
        <is>
          <t>REG-NA</t>
        </is>
      </c>
    </row>
    <row r="1023">
      <c r="A1023" s="8" t="inlineStr">
        <is>
          <t>ORD-000513</t>
        </is>
      </c>
      <c r="B1023" s="8" t="inlineStr">
        <is>
          <t>2025-07-09</t>
        </is>
      </c>
      <c r="C1023" s="8" t="inlineStr">
        <is>
          <t>CUST-02942</t>
        </is>
      </c>
      <c r="D1023" s="8" t="inlineStr">
        <is>
          <t>Sandra Morales</t>
        </is>
      </c>
      <c r="E1023" s="8" t="inlineStr">
        <is>
          <t>PRD-0287</t>
        </is>
      </c>
      <c r="F1023" s="8" t="inlineStr">
        <is>
          <t>3</t>
        </is>
      </c>
      <c r="G1023" s="9" t="n">
        <v>214.91</v>
      </c>
      <c r="H1023" s="8" t="inlineStr">
        <is>
          <t>0.1</t>
        </is>
      </c>
      <c r="I1023" s="8" t="inlineStr">
        <is>
          <t>Standard Ground</t>
        </is>
      </c>
      <c r="J1023" s="8" t="inlineStr">
        <is>
          <t>Direct Web</t>
        </is>
      </c>
      <c r="K1023" s="8" t="inlineStr">
        <is>
          <t>REG-NA</t>
        </is>
      </c>
    </row>
    <row r="1024">
      <c r="A1024" s="8" t="inlineStr">
        <is>
          <t>ORD-000514</t>
        </is>
      </c>
      <c r="B1024" s="8" t="inlineStr">
        <is>
          <t>2024-12-16</t>
        </is>
      </c>
      <c r="C1024" s="8" t="inlineStr">
        <is>
          <t>CUST-04932</t>
        </is>
      </c>
      <c r="D1024" s="8" t="inlineStr">
        <is>
          <t>Pamela Anderson</t>
        </is>
      </c>
      <c r="E1024" s="8" t="inlineStr">
        <is>
          <t>PRD-0120</t>
        </is>
      </c>
      <c r="F1024" s="8" t="inlineStr">
        <is>
          <t>1</t>
        </is>
      </c>
      <c r="G1024" s="9" t="n">
        <v>1001.04</v>
      </c>
      <c r="H1024" s="8" t="inlineStr">
        <is>
          <t>0.0</t>
        </is>
      </c>
      <c r="I1024" s="8" t="inlineStr">
        <is>
          <t>Express Air</t>
        </is>
      </c>
      <c r="J1024" s="8" t="inlineStr">
        <is>
          <t>Mobile App</t>
        </is>
      </c>
      <c r="K1024" s="8" t="inlineStr">
        <is>
          <t>REG-NA</t>
        </is>
      </c>
    </row>
    <row r="1025">
      <c r="A1025" s="8" t="inlineStr">
        <is>
          <t>ORD-000515</t>
        </is>
      </c>
      <c r="B1025" s="8" t="inlineStr">
        <is>
          <t>2023-02-07</t>
        </is>
      </c>
      <c r="C1025" s="8" t="inlineStr">
        <is>
          <t>CUST-03152</t>
        </is>
      </c>
      <c r="D1025" s="8" t="inlineStr">
        <is>
          <t>Michelle Ramirez</t>
        </is>
      </c>
      <c r="E1025" s="8" t="inlineStr">
        <is>
          <t>PRD-0274</t>
        </is>
      </c>
      <c r="F1025" s="8" t="inlineStr">
        <is>
          <t>1</t>
        </is>
      </c>
      <c r="G1025" s="9" t="n">
        <v>74.98999999999999</v>
      </c>
      <c r="H1025" s="8" t="inlineStr">
        <is>
          <t>0.0</t>
        </is>
      </c>
      <c r="I1025" s="8" t="inlineStr">
        <is>
          <t>Standard Ground</t>
        </is>
      </c>
      <c r="J1025" s="8" t="inlineStr">
        <is>
          <t>B2B Portal</t>
        </is>
      </c>
      <c r="K1025" s="8" t="inlineStr">
        <is>
          <t>REG-APAC</t>
        </is>
      </c>
    </row>
    <row r="1026">
      <c r="A1026" s="8" t="inlineStr">
        <is>
          <t>ORD-000515</t>
        </is>
      </c>
      <c r="B1026" s="8" t="inlineStr">
        <is>
          <t>2023-02-07</t>
        </is>
      </c>
      <c r="C1026" s="8" t="inlineStr">
        <is>
          <t>CUST-03152</t>
        </is>
      </c>
      <c r="D1026" s="8" t="inlineStr">
        <is>
          <t>Michelle Ramirez</t>
        </is>
      </c>
      <c r="E1026" s="8" t="inlineStr">
        <is>
          <t>PRD-0341</t>
        </is>
      </c>
      <c r="F1026" s="8" t="inlineStr">
        <is>
          <t>3</t>
        </is>
      </c>
      <c r="G1026" s="9" t="n">
        <v>26.88</v>
      </c>
      <c r="H1026" s="8" t="inlineStr">
        <is>
          <t>0.0</t>
        </is>
      </c>
      <c r="I1026" s="8" t="inlineStr">
        <is>
          <t>Standard Ground</t>
        </is>
      </c>
      <c r="J1026" s="8" t="inlineStr">
        <is>
          <t>B2B Portal</t>
        </is>
      </c>
      <c r="K1026" s="8" t="inlineStr">
        <is>
          <t>REG-APAC</t>
        </is>
      </c>
    </row>
    <row r="1027">
      <c r="A1027" s="8" t="inlineStr">
        <is>
          <t>ORD-000516</t>
        </is>
      </c>
      <c r="B1027" s="8" t="inlineStr">
        <is>
          <t>2024-05-27</t>
        </is>
      </c>
      <c r="C1027" s="8" t="inlineStr">
        <is>
          <t>CUST-01928</t>
        </is>
      </c>
      <c r="D1027" s="8" t="inlineStr">
        <is>
          <t>Amy Flores</t>
        </is>
      </c>
      <c r="E1027" s="8" t="inlineStr">
        <is>
          <t>PRD-0275</t>
        </is>
      </c>
      <c r="F1027" s="8" t="inlineStr">
        <is>
          <t>1</t>
        </is>
      </c>
      <c r="G1027" s="9" t="n">
        <v>786.53</v>
      </c>
      <c r="H1027" s="8" t="inlineStr">
        <is>
          <t>0.0</t>
        </is>
      </c>
      <c r="I1027" s="8" t="inlineStr">
        <is>
          <t>Express Air</t>
        </is>
      </c>
      <c r="J1027" s="8" t="inlineStr">
        <is>
          <t>Affiliate Partner</t>
        </is>
      </c>
      <c r="K1027" s="8" t="inlineStr">
        <is>
          <t>REG-NA</t>
        </is>
      </c>
    </row>
    <row r="1028">
      <c r="A1028" s="8" t="inlineStr">
        <is>
          <t>ORD-000517</t>
        </is>
      </c>
      <c r="B1028" s="8" t="inlineStr">
        <is>
          <t>2025-11-09</t>
        </is>
      </c>
      <c r="C1028" s="8" t="inlineStr">
        <is>
          <t>CUST-00115</t>
        </is>
      </c>
      <c r="D1028" s="8" t="inlineStr">
        <is>
          <t>Shirley Long</t>
        </is>
      </c>
      <c r="E1028" s="8" t="inlineStr">
        <is>
          <t>PRD-0214</t>
        </is>
      </c>
      <c r="F1028" s="8" t="inlineStr">
        <is>
          <t>2</t>
        </is>
      </c>
      <c r="G1028" s="9" t="n">
        <v>482.72</v>
      </c>
      <c r="H1028" s="8" t="inlineStr">
        <is>
          <t>0%</t>
        </is>
      </c>
      <c r="I1028" s="8" t="inlineStr">
        <is>
          <t>Express Air</t>
        </is>
      </c>
      <c r="J1028" s="8" t="inlineStr">
        <is>
          <t>Direct Web</t>
        </is>
      </c>
      <c r="K1028" s="8" t="inlineStr">
        <is>
          <t>REG-NA</t>
        </is>
      </c>
    </row>
    <row r="1029">
      <c r="A1029" s="8" t="inlineStr">
        <is>
          <t>ORD-000518</t>
        </is>
      </c>
      <c r="B1029" s="8" t="inlineStr">
        <is>
          <t>2023-12-09</t>
        </is>
      </c>
      <c r="C1029" s="8" t="inlineStr">
        <is>
          <t>CUST-03015</t>
        </is>
      </c>
      <c r="D1029" s="8" t="inlineStr">
        <is>
          <t>Nicole Ramirez</t>
        </is>
      </c>
      <c r="E1029" s="8" t="inlineStr">
        <is>
          <t>PRD-0292</t>
        </is>
      </c>
      <c r="F1029" s="8" t="inlineStr">
        <is>
          <t>3</t>
        </is>
      </c>
      <c r="G1029" s="9" t="n">
        <v>44.76</v>
      </c>
      <c r="H1029" s="8" t="inlineStr">
        <is>
          <t>0.1</t>
        </is>
      </c>
      <c r="I1029" s="8" t="inlineStr">
        <is>
          <t>Standard Ground</t>
        </is>
      </c>
      <c r="J1029" s="8" t="inlineStr">
        <is>
          <t>Mobile App</t>
        </is>
      </c>
      <c r="K1029" s="8" t="inlineStr">
        <is>
          <t>REG-APAC</t>
        </is>
      </c>
    </row>
    <row r="1030">
      <c r="A1030" s="8" t="inlineStr">
        <is>
          <t>ORD-000519</t>
        </is>
      </c>
      <c r="B1030" s="8" t="inlineStr">
        <is>
          <t>2025-10-26</t>
        </is>
      </c>
      <c r="C1030" s="8" t="inlineStr">
        <is>
          <t>CUST-01952</t>
        </is>
      </c>
      <c r="D1030" s="8" t="inlineStr">
        <is>
          <t>John Clark</t>
        </is>
      </c>
      <c r="E1030" s="8" t="inlineStr">
        <is>
          <t>PRD-0289</t>
        </is>
      </c>
      <c r="F1030" s="8" t="inlineStr">
        <is>
          <t>4</t>
        </is>
      </c>
      <c r="G1030" s="9" t="n">
        <v>579.4</v>
      </c>
      <c r="H1030" s="8" t="inlineStr">
        <is>
          <t>0.15</t>
        </is>
      </c>
      <c r="I1030" s="8" t="inlineStr">
        <is>
          <t>Standard Ground</t>
        </is>
      </c>
      <c r="J1030" s="8" t="inlineStr">
        <is>
          <t>Mobile App</t>
        </is>
      </c>
      <c r="K1030" s="8" t="inlineStr">
        <is>
          <t>REG-EU</t>
        </is>
      </c>
    </row>
    <row r="1031">
      <c r="A1031" s="8" t="inlineStr">
        <is>
          <t>ORD-000519</t>
        </is>
      </c>
      <c r="B1031" s="8" t="inlineStr">
        <is>
          <t>2025-10-26</t>
        </is>
      </c>
      <c r="C1031" s="8" t="inlineStr">
        <is>
          <t>CUST-01952</t>
        </is>
      </c>
      <c r="D1031" s="8" t="inlineStr">
        <is>
          <t>John Clark</t>
        </is>
      </c>
      <c r="E1031" s="8" t="inlineStr">
        <is>
          <t>PRD-0111</t>
        </is>
      </c>
      <c r="F1031" s="8" t="inlineStr">
        <is>
          <t>1</t>
        </is>
      </c>
      <c r="G1031" s="9" t="n">
        <v>63.37</v>
      </c>
      <c r="H1031" s="8" t="inlineStr">
        <is>
          <t>0.15</t>
        </is>
      </c>
      <c r="I1031" s="8" t="inlineStr">
        <is>
          <t>Standard Ground</t>
        </is>
      </c>
      <c r="J1031" s="8" t="inlineStr">
        <is>
          <t>Mobile App</t>
        </is>
      </c>
      <c r="K1031" s="8" t="inlineStr">
        <is>
          <t>REG-EU</t>
        </is>
      </c>
    </row>
    <row r="1032">
      <c r="A1032" s="8" t="inlineStr">
        <is>
          <t>ORD-000520</t>
        </is>
      </c>
      <c r="B1032" s="8" t="inlineStr">
        <is>
          <t>2023-04-26</t>
        </is>
      </c>
      <c r="C1032" s="8" t="inlineStr">
        <is>
          <t>CUST-03468</t>
        </is>
      </c>
      <c r="D1032" s="8" t="inlineStr">
        <is>
          <t>Betty Collins</t>
        </is>
      </c>
      <c r="E1032" s="8" t="inlineStr">
        <is>
          <t>PRD-0316</t>
        </is>
      </c>
      <c r="F1032" s="8" t="inlineStr">
        <is>
          <t>1</t>
        </is>
      </c>
      <c r="G1032" s="9" t="n">
        <v>575.96</v>
      </c>
      <c r="H1032" s="8" t="inlineStr">
        <is>
          <t>0.0</t>
        </is>
      </c>
      <c r="I1032" s="8" t="inlineStr">
        <is>
          <t>Freight</t>
        </is>
      </c>
      <c r="J1032" s="8" t="inlineStr">
        <is>
          <t>Affiliate Partner</t>
        </is>
      </c>
      <c r="K1032" s="8" t="inlineStr">
        <is>
          <t>REG-APAC</t>
        </is>
      </c>
    </row>
    <row r="1033">
      <c r="A1033" s="8" t="inlineStr">
        <is>
          <t>ORD-000521</t>
        </is>
      </c>
      <c r="B1033" s="8" t="inlineStr">
        <is>
          <t>2024-11-13</t>
        </is>
      </c>
      <c r="C1033" s="8" t="inlineStr">
        <is>
          <t>CUST-00837</t>
        </is>
      </c>
      <c r="D1033" s="8" t="inlineStr">
        <is>
          <t>Robert Gray</t>
        </is>
      </c>
      <c r="E1033" s="8" t="inlineStr">
        <is>
          <t>PRD-0327</t>
        </is>
      </c>
      <c r="F1033" s="8" t="inlineStr">
        <is>
          <t>2</t>
        </is>
      </c>
      <c r="G1033" s="9" t="n">
        <v>165.39</v>
      </c>
      <c r="H1033" s="8" t="inlineStr">
        <is>
          <t>0.05</t>
        </is>
      </c>
      <c r="I1033" s="8" t="inlineStr">
        <is>
          <t>Same-Day Priority</t>
        </is>
      </c>
      <c r="J1033" s="8" t="inlineStr">
        <is>
          <t>B2B Portal</t>
        </is>
      </c>
      <c r="K1033" s="8" t="inlineStr">
        <is>
          <t>REG-NA</t>
        </is>
      </c>
    </row>
    <row r="1034">
      <c r="A1034" s="8" t="inlineStr">
        <is>
          <t>ORD-000521</t>
        </is>
      </c>
      <c r="B1034" s="8" t="inlineStr">
        <is>
          <t>2024-11-13</t>
        </is>
      </c>
      <c r="C1034" s="8" t="inlineStr">
        <is>
          <t>CUST-00837</t>
        </is>
      </c>
      <c r="D1034" s="8" t="inlineStr">
        <is>
          <t>Robert Gray</t>
        </is>
      </c>
      <c r="E1034" s="8" t="inlineStr">
        <is>
          <t>PRD-0191</t>
        </is>
      </c>
      <c r="F1034" s="8" t="inlineStr">
        <is>
          <t>2</t>
        </is>
      </c>
      <c r="G1034" s="9" t="n">
        <v>45.09</v>
      </c>
      <c r="H1034" s="8" t="inlineStr">
        <is>
          <t>0.05</t>
        </is>
      </c>
      <c r="I1034" s="8" t="inlineStr">
        <is>
          <t>Same-Day Priority</t>
        </is>
      </c>
      <c r="J1034" s="8" t="inlineStr">
        <is>
          <t>B2B Portal</t>
        </is>
      </c>
      <c r="K1034" s="8" t="inlineStr">
        <is>
          <t>REG-NA</t>
        </is>
      </c>
    </row>
    <row r="1035">
      <c r="A1035" s="8" t="inlineStr">
        <is>
          <t>ORD-000522</t>
        </is>
      </c>
      <c r="B1035" s="8" t="inlineStr">
        <is>
          <t>16-07-2023</t>
        </is>
      </c>
      <c r="C1035" s="8" t="inlineStr">
        <is>
          <t>CUST-03756</t>
        </is>
      </c>
      <c r="D1035" s="8" t="inlineStr">
        <is>
          <t>David Kim</t>
        </is>
      </c>
      <c r="E1035" s="8" t="inlineStr">
        <is>
          <t>PRD-0263</t>
        </is>
      </c>
      <c r="F1035" s="8" t="inlineStr">
        <is>
          <t>2</t>
        </is>
      </c>
      <c r="G1035" s="9" t="n">
        <v>59.33</v>
      </c>
      <c r="H1035" s="8" t="inlineStr">
        <is>
          <t>0.05</t>
        </is>
      </c>
      <c r="I1035" s="8" t="inlineStr">
        <is>
          <t>Standard Ground</t>
        </is>
      </c>
      <c r="J1035" s="8" t="inlineStr">
        <is>
          <t>Mobile App</t>
        </is>
      </c>
      <c r="K1035" s="8" t="inlineStr">
        <is>
          <t>REG-NA</t>
        </is>
      </c>
    </row>
    <row r="1036">
      <c r="A1036" s="8" t="inlineStr">
        <is>
          <t>ORD-000522</t>
        </is>
      </c>
      <c r="B1036" s="8" t="inlineStr">
        <is>
          <t>16-07-2023</t>
        </is>
      </c>
      <c r="C1036" s="8" t="inlineStr">
        <is>
          <t>CUST-03756</t>
        </is>
      </c>
      <c r="D1036" s="8" t="inlineStr">
        <is>
          <t>David Kim</t>
        </is>
      </c>
      <c r="E1036" s="8" t="inlineStr">
        <is>
          <t>PRD-0418</t>
        </is>
      </c>
      <c r="F1036" s="8" t="inlineStr">
        <is>
          <t>1</t>
        </is>
      </c>
      <c r="G1036" s="9" t="n">
        <v>287.35</v>
      </c>
      <c r="H1036" s="8" t="inlineStr">
        <is>
          <t>0.1</t>
        </is>
      </c>
      <c r="I1036" s="8" t="inlineStr">
        <is>
          <t>Standard Ground</t>
        </is>
      </c>
      <c r="J1036" s="8" t="inlineStr">
        <is>
          <t>Mobile App</t>
        </is>
      </c>
      <c r="K1036" s="8" t="inlineStr">
        <is>
          <t>REG-NA</t>
        </is>
      </c>
    </row>
    <row r="1037">
      <c r="A1037" s="8" t="inlineStr">
        <is>
          <t>ORD-000523</t>
        </is>
      </c>
      <c r="B1037" s="8" t="inlineStr">
        <is>
          <t>2023-07-29</t>
        </is>
      </c>
      <c r="C1037" s="8" t="inlineStr">
        <is>
          <t>CUST-07543</t>
        </is>
      </c>
      <c r="D1037" s="8" t="inlineStr">
        <is>
          <t>Justin Harris</t>
        </is>
      </c>
      <c r="E1037" s="8" t="inlineStr">
        <is>
          <t>PRD-0109</t>
        </is>
      </c>
      <c r="F1037" s="8" t="inlineStr">
        <is>
          <t>3</t>
        </is>
      </c>
      <c r="G1037" s="9" t="n">
        <v>53.86</v>
      </c>
      <c r="H1037" s="8" t="inlineStr">
        <is>
          <t>0.1</t>
        </is>
      </c>
      <c r="I1037" s="8" t="inlineStr">
        <is>
          <t>Same-Day Priority</t>
        </is>
      </c>
      <c r="J1037" s="8" t="inlineStr">
        <is>
          <t>B2B Portal</t>
        </is>
      </c>
      <c r="K1037" s="8" t="inlineStr">
        <is>
          <t>REG-NA</t>
        </is>
      </c>
    </row>
    <row r="1038">
      <c r="A1038" s="8" t="inlineStr">
        <is>
          <t>ORD-000524</t>
        </is>
      </c>
      <c r="B1038" s="8" t="inlineStr">
        <is>
          <t>2023-10-25</t>
        </is>
      </c>
      <c r="C1038" s="8" t="inlineStr">
        <is>
          <t>CUST-05377</t>
        </is>
      </c>
      <c r="D1038" s="8" t="inlineStr">
        <is>
          <t>Katherine Wright</t>
        </is>
      </c>
      <c r="E1038" s="8" t="inlineStr">
        <is>
          <t>PRD-0017</t>
        </is>
      </c>
      <c r="F1038" s="8" t="inlineStr">
        <is>
          <t>2</t>
        </is>
      </c>
      <c r="G1038" s="9" t="n">
        <v>931.16</v>
      </c>
      <c r="H1038" s="8" t="inlineStr">
        <is>
          <t>0.05</t>
        </is>
      </c>
      <c r="I1038" s="8" t="inlineStr">
        <is>
          <t>Standard Ground</t>
        </is>
      </c>
      <c r="J1038" s="8" t="inlineStr">
        <is>
          <t>Direct Web</t>
        </is>
      </c>
      <c r="K1038" s="8" t="inlineStr">
        <is>
          <t>REG-LATAM</t>
        </is>
      </c>
    </row>
    <row r="1039">
      <c r="A1039" s="8" t="inlineStr">
        <is>
          <t>ORD-000524</t>
        </is>
      </c>
      <c r="B1039" s="8" t="inlineStr">
        <is>
          <t>2023-10-25</t>
        </is>
      </c>
      <c r="C1039" s="8" t="inlineStr">
        <is>
          <t>CUST-05377</t>
        </is>
      </c>
      <c r="D1039" s="8" t="inlineStr">
        <is>
          <t>Katherine Wright</t>
        </is>
      </c>
      <c r="E1039" s="8" t="inlineStr">
        <is>
          <t>PRD-0151</t>
        </is>
      </c>
      <c r="F1039" s="8" t="inlineStr">
        <is>
          <t>1</t>
        </is>
      </c>
      <c r="G1039" s="9" t="n">
        <v>643.51</v>
      </c>
      <c r="H1039" s="8" t="inlineStr">
        <is>
          <t>0.0</t>
        </is>
      </c>
      <c r="I1039" s="8" t="inlineStr">
        <is>
          <t>Standard Ground</t>
        </is>
      </c>
      <c r="J1039" s="8" t="inlineStr">
        <is>
          <t>Direct Web</t>
        </is>
      </c>
      <c r="K1039" s="8" t="inlineStr">
        <is>
          <t>REG-LATAM</t>
        </is>
      </c>
    </row>
    <row r="1040">
      <c r="A1040" s="8" t="inlineStr">
        <is>
          <t>ORD-000524</t>
        </is>
      </c>
      <c r="B1040" s="8" t="inlineStr">
        <is>
          <t>2023-10-25</t>
        </is>
      </c>
      <c r="C1040" s="8" t="inlineStr">
        <is>
          <t>CUST-05377</t>
        </is>
      </c>
      <c r="D1040" s="8" t="inlineStr">
        <is>
          <t>Katherine Wright</t>
        </is>
      </c>
      <c r="E1040" s="8" t="inlineStr">
        <is>
          <t>PRD-0128</t>
        </is>
      </c>
      <c r="F1040" s="8" t="inlineStr">
        <is>
          <t>1</t>
        </is>
      </c>
      <c r="G1040" s="9" t="n">
        <v>570.3200000000001</v>
      </c>
      <c r="H1040" s="8" t="inlineStr">
        <is>
          <t>0.05</t>
        </is>
      </c>
      <c r="I1040" s="8" t="inlineStr">
        <is>
          <t>Standard Ground</t>
        </is>
      </c>
      <c r="J1040" s="8" t="inlineStr">
        <is>
          <t>Direct Web</t>
        </is>
      </c>
      <c r="K1040" s="8" t="inlineStr">
        <is>
          <t>REG-LATAM</t>
        </is>
      </c>
    </row>
    <row r="1041">
      <c r="A1041" s="8" t="inlineStr">
        <is>
          <t>ORD-000525</t>
        </is>
      </c>
      <c r="B1041" s="8" t="inlineStr">
        <is>
          <t>2024-03-19</t>
        </is>
      </c>
      <c r="C1041" s="8" t="inlineStr">
        <is>
          <t>CUST-04061</t>
        </is>
      </c>
      <c r="D1041" s="8" t="inlineStr">
        <is>
          <t>Cynthia Ruiz</t>
        </is>
      </c>
      <c r="E1041" s="8" t="inlineStr">
        <is>
          <t>PRD-0126</t>
        </is>
      </c>
      <c r="F1041" s="8" t="inlineStr">
        <is>
          <t>2</t>
        </is>
      </c>
      <c r="G1041" s="9" t="n">
        <v>195.24</v>
      </c>
      <c r="H1041" s="8" t="inlineStr">
        <is>
          <t>0.1</t>
        </is>
      </c>
      <c r="I1041" s="8" t="inlineStr">
        <is>
          <t>Standard Ground</t>
        </is>
      </c>
      <c r="J1041" s="8" t="inlineStr">
        <is>
          <t>Affiliate Partner</t>
        </is>
      </c>
      <c r="K1041" s="8" t="inlineStr">
        <is>
          <t>REG-NA</t>
        </is>
      </c>
    </row>
    <row r="1042">
      <c r="A1042" s="8" t="inlineStr">
        <is>
          <t>ORD-000526</t>
        </is>
      </c>
      <c r="B1042" s="8" t="inlineStr">
        <is>
          <t>2023-10-06</t>
        </is>
      </c>
      <c r="C1042" s="8" t="inlineStr">
        <is>
          <t>CUST-07575</t>
        </is>
      </c>
      <c r="D1042" s="8" t="inlineStr">
        <is>
          <t>Mary Flores</t>
        </is>
      </c>
      <c r="E1042" s="8" t="inlineStr">
        <is>
          <t>PRD-0273</t>
        </is>
      </c>
      <c r="F1042" s="8" t="inlineStr">
        <is>
          <t>3</t>
        </is>
      </c>
      <c r="G1042" s="9" t="n">
        <v>19.23</v>
      </c>
      <c r="H1042" s="8" t="inlineStr">
        <is>
          <t>0.15</t>
        </is>
      </c>
      <c r="I1042" s="8" t="inlineStr">
        <is>
          <t>Freight</t>
        </is>
      </c>
      <c r="J1042" s="8" t="inlineStr">
        <is>
          <t>Affiliate Partner</t>
        </is>
      </c>
      <c r="K1042" s="8" t="inlineStr">
        <is>
          <t>REG-EU</t>
        </is>
      </c>
    </row>
    <row r="1043">
      <c r="A1043" s="8" t="inlineStr">
        <is>
          <t>ORD-000527</t>
        </is>
      </c>
      <c r="B1043" s="8" t="inlineStr">
        <is>
          <t>2025-12-01</t>
        </is>
      </c>
      <c r="C1043" s="8" t="inlineStr">
        <is>
          <t>CUST-07597</t>
        </is>
      </c>
      <c r="D1043" s="8" t="inlineStr">
        <is>
          <t>Amy Martin</t>
        </is>
      </c>
      <c r="E1043" s="8" t="inlineStr">
        <is>
          <t>PRD-0192</t>
        </is>
      </c>
      <c r="F1043" s="8" t="inlineStr">
        <is>
          <t>1</t>
        </is>
      </c>
      <c r="G1043" s="9" t="n">
        <v>26.26</v>
      </c>
      <c r="H1043" s="8" t="inlineStr">
        <is>
          <t>0.05</t>
        </is>
      </c>
      <c r="I1043" s="8" t="inlineStr">
        <is>
          <t>Express Air</t>
        </is>
      </c>
      <c r="J1043" s="8" t="inlineStr">
        <is>
          <t>Mobile App</t>
        </is>
      </c>
      <c r="K1043" s="8" t="inlineStr">
        <is>
          <t>REG-EU</t>
        </is>
      </c>
    </row>
    <row r="1044">
      <c r="A1044" s="8" t="inlineStr">
        <is>
          <t>ORD-000527</t>
        </is>
      </c>
      <c r="B1044" s="8" t="inlineStr">
        <is>
          <t>2025-12-01</t>
        </is>
      </c>
      <c r="C1044" s="8" t="inlineStr">
        <is>
          <t>CUST-07597</t>
        </is>
      </c>
      <c r="D1044" s="8" t="inlineStr">
        <is>
          <t>Amy Martin</t>
        </is>
      </c>
      <c r="E1044" s="8" t="inlineStr">
        <is>
          <t>PRD-0452</t>
        </is>
      </c>
      <c r="F1044" s="8" t="inlineStr">
        <is>
          <t>1</t>
        </is>
      </c>
      <c r="G1044" s="9" t="n">
        <v>52.31</v>
      </c>
      <c r="H1044" s="8" t="inlineStr">
        <is>
          <t>0.15</t>
        </is>
      </c>
      <c r="I1044" s="8" t="inlineStr">
        <is>
          <t>Express Air</t>
        </is>
      </c>
      <c r="J1044" s="8" t="inlineStr">
        <is>
          <t>Mobile App</t>
        </is>
      </c>
      <c r="K1044" s="8" t="inlineStr">
        <is>
          <t>REG-EU</t>
        </is>
      </c>
    </row>
    <row r="1045">
      <c r="A1045" s="8" t="inlineStr">
        <is>
          <t>ORD-000528</t>
        </is>
      </c>
      <c r="B1045" s="8" t="inlineStr">
        <is>
          <t>2025-11-29</t>
        </is>
      </c>
      <c r="C1045" s="8" t="inlineStr">
        <is>
          <t>CUST-07915</t>
        </is>
      </c>
      <c r="D1045" s="8" t="inlineStr">
        <is>
          <t>Diane Bailey</t>
        </is>
      </c>
      <c r="E1045" s="8" t="inlineStr">
        <is>
          <t>PRD-0457</t>
        </is>
      </c>
      <c r="F1045" s="8" t="inlineStr">
        <is>
          <t>3</t>
        </is>
      </c>
      <c r="G1045" s="9" t="n">
        <v>29.97</v>
      </c>
      <c r="H1045" s="8" t="inlineStr">
        <is>
          <t>0.1</t>
        </is>
      </c>
      <c r="I1045" s="8" t="inlineStr">
        <is>
          <t>Express Air</t>
        </is>
      </c>
      <c r="J1045" s="8" t="inlineStr">
        <is>
          <t>Mobile App</t>
        </is>
      </c>
      <c r="K1045" s="8" t="inlineStr">
        <is>
          <t>REG-APAC</t>
        </is>
      </c>
    </row>
    <row r="1046">
      <c r="A1046" s="8" t="inlineStr">
        <is>
          <t>ORD-000528</t>
        </is>
      </c>
      <c r="B1046" s="8" t="inlineStr">
        <is>
          <t>2025-11-29</t>
        </is>
      </c>
      <c r="C1046" s="8" t="inlineStr">
        <is>
          <t>CUST-07915</t>
        </is>
      </c>
      <c r="D1046" s="8" t="inlineStr">
        <is>
          <t>Diane Bailey</t>
        </is>
      </c>
      <c r="E1046" s="8" t="inlineStr">
        <is>
          <t>PRD-0428</t>
        </is>
      </c>
      <c r="F1046" s="8" t="inlineStr">
        <is>
          <t>2</t>
        </is>
      </c>
      <c r="G1046" s="9" t="n">
        <v>991.23</v>
      </c>
      <c r="H1046" s="8" t="inlineStr">
        <is>
          <t>0.2</t>
        </is>
      </c>
      <c r="I1046" s="8" t="inlineStr">
        <is>
          <t>Express Air</t>
        </is>
      </c>
      <c r="J1046" s="8" t="inlineStr">
        <is>
          <t>Mobile App</t>
        </is>
      </c>
      <c r="K1046" s="8" t="inlineStr">
        <is>
          <t>REG-APAC</t>
        </is>
      </c>
    </row>
    <row r="1047">
      <c r="A1047" s="8" t="inlineStr">
        <is>
          <t>ORD-000528</t>
        </is>
      </c>
      <c r="B1047" s="8" t="inlineStr">
        <is>
          <t>2025-11-29</t>
        </is>
      </c>
      <c r="C1047" s="8" t="inlineStr">
        <is>
          <t>CUST-07915</t>
        </is>
      </c>
      <c r="D1047" s="8" t="inlineStr">
        <is>
          <t>Diane Bailey</t>
        </is>
      </c>
      <c r="E1047" s="8" t="inlineStr">
        <is>
          <t>PRD-0137</t>
        </is>
      </c>
      <c r="F1047" s="8" t="inlineStr">
        <is>
          <t>5</t>
        </is>
      </c>
      <c r="G1047" s="9" t="n">
        <v>438.3</v>
      </c>
      <c r="H1047" s="8" t="inlineStr">
        <is>
          <t>0.0</t>
        </is>
      </c>
      <c r="I1047" s="8" t="inlineStr">
        <is>
          <t>Express Air</t>
        </is>
      </c>
      <c r="J1047" s="8" t="inlineStr">
        <is>
          <t>Mobile App</t>
        </is>
      </c>
      <c r="K1047" s="8" t="inlineStr">
        <is>
          <t>REG-APAC</t>
        </is>
      </c>
    </row>
    <row r="1048">
      <c r="A1048" s="8" t="inlineStr">
        <is>
          <t>ORD-000528</t>
        </is>
      </c>
      <c r="B1048" s="8" t="inlineStr">
        <is>
          <t>2025-11-29</t>
        </is>
      </c>
      <c r="C1048" s="8" t="inlineStr">
        <is>
          <t>CUST-07915</t>
        </is>
      </c>
      <c r="D1048" s="8" t="inlineStr">
        <is>
          <t>Diane Bailey</t>
        </is>
      </c>
      <c r="E1048" s="8" t="inlineStr">
        <is>
          <t>PRD-0355</t>
        </is>
      </c>
      <c r="F1048" s="8" t="inlineStr">
        <is>
          <t>1</t>
        </is>
      </c>
      <c r="G1048" s="9" t="n">
        <v>95.40000000000001</v>
      </c>
      <c r="H1048" s="8" t="inlineStr">
        <is>
          <t>0.0</t>
        </is>
      </c>
      <c r="I1048" s="8" t="inlineStr">
        <is>
          <t>Express Air</t>
        </is>
      </c>
      <c r="J1048" s="8" t="inlineStr">
        <is>
          <t>Mobile App</t>
        </is>
      </c>
      <c r="K1048" s="8" t="inlineStr">
        <is>
          <t>REG-APAC</t>
        </is>
      </c>
    </row>
    <row r="1049">
      <c r="A1049" s="8" t="inlineStr">
        <is>
          <t>ORD-000529</t>
        </is>
      </c>
      <c r="B1049" s="8" t="inlineStr">
        <is>
          <t>2023-07-02</t>
        </is>
      </c>
      <c r="C1049" s="8" t="inlineStr">
        <is>
          <t>CUST-05130</t>
        </is>
      </c>
      <c r="D1049" s="8" t="inlineStr">
        <is>
          <t>Daniel Evans</t>
        </is>
      </c>
      <c r="E1049" s="8" t="inlineStr">
        <is>
          <t>PRD-0459</t>
        </is>
      </c>
      <c r="F1049" s="8" t="inlineStr">
        <is>
          <t>1</t>
        </is>
      </c>
      <c r="G1049" s="9" t="n">
        <v>55.95</v>
      </c>
      <c r="H1049" s="8" t="inlineStr">
        <is>
          <t>0.05</t>
        </is>
      </c>
      <c r="I1049" s="8" t="inlineStr">
        <is>
          <t>Standard Ground</t>
        </is>
      </c>
      <c r="J1049" s="8" t="inlineStr">
        <is>
          <t>Direct Web</t>
        </is>
      </c>
      <c r="K1049" s="8" t="inlineStr">
        <is>
          <t>REG-LATAM</t>
        </is>
      </c>
    </row>
    <row r="1050">
      <c r="A1050" s="8" t="inlineStr">
        <is>
          <t>ORD-000529</t>
        </is>
      </c>
      <c r="B1050" s="8" t="inlineStr">
        <is>
          <t>2023-07-02</t>
        </is>
      </c>
      <c r="C1050" s="8" t="inlineStr">
        <is>
          <t>CUST-05130</t>
        </is>
      </c>
      <c r="D1050" s="8" t="inlineStr">
        <is>
          <t>Daniel Evans</t>
        </is>
      </c>
      <c r="E1050" s="8" t="inlineStr">
        <is>
          <t>PRD-0368</t>
        </is>
      </c>
      <c r="F1050" s="8" t="inlineStr">
        <is>
          <t>1</t>
        </is>
      </c>
      <c r="G1050" s="9" t="n">
        <v>590.05</v>
      </c>
      <c r="H1050" s="8" t="inlineStr">
        <is>
          <t>0.05</t>
        </is>
      </c>
      <c r="I1050" s="8" t="inlineStr">
        <is>
          <t>Standard Ground</t>
        </is>
      </c>
      <c r="J1050" s="8" t="inlineStr">
        <is>
          <t>Direct Web</t>
        </is>
      </c>
      <c r="K1050" s="8" t="inlineStr">
        <is>
          <t>REG-LATAM</t>
        </is>
      </c>
    </row>
    <row r="1051">
      <c r="A1051" s="8" t="inlineStr">
        <is>
          <t>ORD-000530</t>
        </is>
      </c>
      <c r="B1051" s="8" t="inlineStr">
        <is>
          <t>2024-03-15</t>
        </is>
      </c>
      <c r="C1051" s="8" t="inlineStr">
        <is>
          <t>CUST-05558</t>
        </is>
      </c>
      <c r="D1051" s="8" t="inlineStr">
        <is>
          <t>Mark Ortiz</t>
        </is>
      </c>
      <c r="E1051" s="8" t="inlineStr">
        <is>
          <t>PRD-0436</t>
        </is>
      </c>
      <c r="F1051" s="8" t="inlineStr">
        <is>
          <t>4</t>
        </is>
      </c>
      <c r="G1051" s="9" t="n">
        <v>325.02</v>
      </c>
      <c r="H1051" s="8" t="inlineStr">
        <is>
          <t>0.0</t>
        </is>
      </c>
      <c r="I1051" s="8" t="inlineStr">
        <is>
          <t>Express Air</t>
        </is>
      </c>
      <c r="J1051" s="8" t="inlineStr">
        <is>
          <t>Affiliate Partner</t>
        </is>
      </c>
      <c r="K1051" s="8" t="inlineStr">
        <is>
          <t>REG-NA</t>
        </is>
      </c>
    </row>
    <row r="1052">
      <c r="A1052" s="8" t="inlineStr">
        <is>
          <t>ORD-000530</t>
        </is>
      </c>
      <c r="B1052" s="8" t="inlineStr">
        <is>
          <t>2024-03-15</t>
        </is>
      </c>
      <c r="C1052" s="8" t="inlineStr">
        <is>
          <t>CUST-05558</t>
        </is>
      </c>
      <c r="D1052" s="8" t="inlineStr">
        <is>
          <t>Mark Ortiz</t>
        </is>
      </c>
      <c r="E1052" s="8" t="inlineStr">
        <is>
          <t>PRD-0406</t>
        </is>
      </c>
      <c r="F1052" s="8" t="inlineStr">
        <is>
          <t>2</t>
        </is>
      </c>
      <c r="G1052" s="9" t="n">
        <v>666.52</v>
      </c>
      <c r="H1052" s="8" t="inlineStr">
        <is>
          <t>0.05</t>
        </is>
      </c>
      <c r="I1052" s="8" t="inlineStr">
        <is>
          <t>Express Air</t>
        </is>
      </c>
      <c r="J1052" s="8" t="inlineStr">
        <is>
          <t>Affiliate Partner</t>
        </is>
      </c>
      <c r="K1052" s="8" t="inlineStr">
        <is>
          <t>REG-NA</t>
        </is>
      </c>
    </row>
    <row r="1053">
      <c r="A1053" s="8" t="inlineStr">
        <is>
          <t>ORD-000531</t>
        </is>
      </c>
      <c r="B1053" s="8" t="inlineStr">
        <is>
          <t>2024-02-15</t>
        </is>
      </c>
      <c r="C1053" s="8" t="inlineStr">
        <is>
          <t>CUST-06099</t>
        </is>
      </c>
      <c r="D1053" s="8" t="inlineStr">
        <is>
          <t>Catherine Lee</t>
        </is>
      </c>
      <c r="E1053" s="8" t="inlineStr">
        <is>
          <t>PRD-0145</t>
        </is>
      </c>
      <c r="F1053" s="8" t="inlineStr">
        <is>
          <t>1</t>
        </is>
      </c>
      <c r="G1053" s="9" t="n">
        <v>37.95</v>
      </c>
      <c r="H1053" s="8" t="inlineStr">
        <is>
          <t>0%</t>
        </is>
      </c>
      <c r="I1053" s="8" t="inlineStr">
        <is>
          <t>Standard Ground</t>
        </is>
      </c>
      <c r="J1053" s="8" t="inlineStr">
        <is>
          <t>B2B Portal</t>
        </is>
      </c>
      <c r="K1053" s="8" t="inlineStr">
        <is>
          <t>REG-LATAM</t>
        </is>
      </c>
    </row>
    <row r="1054">
      <c r="A1054" s="8" t="inlineStr">
        <is>
          <t>ORD-000532</t>
        </is>
      </c>
      <c r="B1054" s="8" t="inlineStr">
        <is>
          <t>2024-03-15</t>
        </is>
      </c>
      <c r="C1054" s="8" t="inlineStr">
        <is>
          <t>CUST-03418</t>
        </is>
      </c>
      <c r="D1054" s="8" t="inlineStr">
        <is>
          <t>Steven Wright</t>
        </is>
      </c>
      <c r="E1054" s="8" t="inlineStr">
        <is>
          <t>PRD-0006</t>
        </is>
      </c>
      <c r="F1054" s="8" t="inlineStr">
        <is>
          <t>1</t>
        </is>
      </c>
      <c r="G1054" s="9" t="n">
        <v>64.34</v>
      </c>
      <c r="H1054" s="8" t="inlineStr">
        <is>
          <t>0.0</t>
        </is>
      </c>
      <c r="I1054" s="8" t="inlineStr">
        <is>
          <t>Standard Ground</t>
        </is>
      </c>
      <c r="J1054" s="8" t="inlineStr">
        <is>
          <t>Mobile App</t>
        </is>
      </c>
      <c r="K1054" s="8" t="inlineStr">
        <is>
          <t>REG-NA</t>
        </is>
      </c>
    </row>
    <row r="1055">
      <c r="A1055" s="8" t="inlineStr">
        <is>
          <t>ORD-000533</t>
        </is>
      </c>
      <c r="B1055" s="8" t="inlineStr">
        <is>
          <t>2025-06-26</t>
        </is>
      </c>
      <c r="C1055" s="8" t="inlineStr">
        <is>
          <t>CUST-06850</t>
        </is>
      </c>
      <c r="D1055" s="8" t="inlineStr">
        <is>
          <t>Andrew Martin</t>
        </is>
      </c>
      <c r="E1055" s="8" t="inlineStr">
        <is>
          <t>PRD-0237</t>
        </is>
      </c>
      <c r="F1055" s="8" t="inlineStr">
        <is>
          <t>1</t>
        </is>
      </c>
      <c r="G1055" s="9" t="n">
        <v>59.7</v>
      </c>
      <c r="H1055" s="8" t="inlineStr">
        <is>
          <t>0.05</t>
        </is>
      </c>
      <c r="I1055" s="8" t="inlineStr">
        <is>
          <t>Standard Ground</t>
        </is>
      </c>
      <c r="J1055" s="8" t="inlineStr">
        <is>
          <t>Mobile App</t>
        </is>
      </c>
      <c r="K1055" s="8" t="inlineStr">
        <is>
          <t>REG-APAC</t>
        </is>
      </c>
    </row>
    <row r="1056">
      <c r="A1056" s="8" t="inlineStr">
        <is>
          <t>ORD-000534</t>
        </is>
      </c>
      <c r="B1056" s="8" t="inlineStr">
        <is>
          <t>2025-04-14</t>
        </is>
      </c>
      <c r="C1056" s="8" t="inlineStr">
        <is>
          <t>CUST-03322</t>
        </is>
      </c>
      <c r="D1056" s="8" t="inlineStr">
        <is>
          <t>George Martinez</t>
        </is>
      </c>
      <c r="E1056" s="8" t="inlineStr">
        <is>
          <t>PRD-0058</t>
        </is>
      </c>
      <c r="F1056" s="8" t="inlineStr">
        <is>
          <t>1</t>
        </is>
      </c>
      <c r="G1056" s="9" t="n">
        <v>809.52</v>
      </c>
      <c r="H1056" s="8" t="inlineStr">
        <is>
          <t>0.0</t>
        </is>
      </c>
      <c r="I1056" s="8" t="inlineStr">
        <is>
          <t>Express Air</t>
        </is>
      </c>
      <c r="J1056" s="8" t="inlineStr">
        <is>
          <t>Direct Web</t>
        </is>
      </c>
      <c r="K1056" s="8" t="inlineStr">
        <is>
          <t>REG-EU</t>
        </is>
      </c>
    </row>
    <row r="1057">
      <c r="A1057" s="8" t="inlineStr">
        <is>
          <t>ORD-000535</t>
        </is>
      </c>
      <c r="B1057" s="8" t="inlineStr">
        <is>
          <t>2024-11-23</t>
        </is>
      </c>
      <c r="C1057" s="8" t="inlineStr">
        <is>
          <t>CUST-03926</t>
        </is>
      </c>
      <c r="D1057" s="8" t="inlineStr">
        <is>
          <t>David Taylor</t>
        </is>
      </c>
      <c r="E1057" s="8" t="inlineStr">
        <is>
          <t>PRD-0146</t>
        </is>
      </c>
      <c r="F1057" s="8" t="inlineStr">
        <is>
          <t>1</t>
        </is>
      </c>
      <c r="G1057" s="9" t="n">
        <v>195.73</v>
      </c>
      <c r="H1057" s="8" t="inlineStr">
        <is>
          <t>0.0</t>
        </is>
      </c>
      <c r="I1057" s="8" t="inlineStr">
        <is>
          <t>Express Air</t>
        </is>
      </c>
      <c r="J1057" s="8" t="inlineStr">
        <is>
          <t>Direct Web</t>
        </is>
      </c>
      <c r="K1057" s="8" t="inlineStr">
        <is>
          <t>REG-EU</t>
        </is>
      </c>
    </row>
    <row r="1058">
      <c r="A1058" s="8" t="inlineStr">
        <is>
          <t>ORD-000536</t>
        </is>
      </c>
      <c r="B1058" s="8" t="inlineStr">
        <is>
          <t>2023-03-06</t>
        </is>
      </c>
      <c r="C1058" s="8" t="inlineStr">
        <is>
          <t>CUST-06783</t>
        </is>
      </c>
      <c r="D1058" s="8" t="inlineStr">
        <is>
          <t>Rebecca Phillips</t>
        </is>
      </c>
      <c r="E1058" s="8" t="inlineStr">
        <is>
          <t>PRD-0344</t>
        </is>
      </c>
      <c r="F1058" s="8" t="inlineStr">
        <is>
          <t>3</t>
        </is>
      </c>
      <c r="G1058" s="9" t="n">
        <v>337.02</v>
      </c>
      <c r="H1058" s="8" t="inlineStr">
        <is>
          <t>0.1</t>
        </is>
      </c>
      <c r="I1058" s="8" t="inlineStr">
        <is>
          <t>Express Air</t>
        </is>
      </c>
      <c r="J1058" s="8" t="inlineStr">
        <is>
          <t>B2B Portal</t>
        </is>
      </c>
      <c r="K1058" s="8" t="inlineStr">
        <is>
          <t>REG-EU</t>
        </is>
      </c>
    </row>
    <row r="1059">
      <c r="A1059" s="8" t="inlineStr">
        <is>
          <t>ORD-000536</t>
        </is>
      </c>
      <c r="B1059" s="8" t="inlineStr">
        <is>
          <t>2023-03-06</t>
        </is>
      </c>
      <c r="C1059" s="8" t="inlineStr">
        <is>
          <t>CUST-06783</t>
        </is>
      </c>
      <c r="D1059" s="8" t="inlineStr">
        <is>
          <t>Rebecca Phillips</t>
        </is>
      </c>
      <c r="E1059" s="8" t="inlineStr">
        <is>
          <t>PRD-0142</t>
        </is>
      </c>
      <c r="F1059" s="8" t="inlineStr">
        <is>
          <t>1</t>
        </is>
      </c>
      <c r="G1059" s="9" t="n">
        <v>44.6</v>
      </c>
      <c r="H1059" s="8" t="inlineStr">
        <is>
          <t>0.05</t>
        </is>
      </c>
      <c r="I1059" s="8" t="inlineStr">
        <is>
          <t>Express Air</t>
        </is>
      </c>
      <c r="J1059" s="8" t="inlineStr">
        <is>
          <t>B2B Portal</t>
        </is>
      </c>
      <c r="K1059" s="8" t="inlineStr">
        <is>
          <t>REG-EU</t>
        </is>
      </c>
    </row>
    <row r="1060">
      <c r="A1060" s="8" t="inlineStr">
        <is>
          <t>ORD-000537</t>
        </is>
      </c>
      <c r="B1060" s="8" t="inlineStr">
        <is>
          <t>2023-05-18</t>
        </is>
      </c>
      <c r="C1060" s="8" t="inlineStr">
        <is>
          <t>CUST-06366</t>
        </is>
      </c>
      <c r="D1060" s="8" t="inlineStr">
        <is>
          <t xml:space="preserve">  anthony lewis  </t>
        </is>
      </c>
      <c r="E1060" s="8" t="inlineStr">
        <is>
          <t>PRD-0169</t>
        </is>
      </c>
      <c r="F1060" s="8" t="inlineStr">
        <is>
          <t>1</t>
        </is>
      </c>
      <c r="G1060" s="9" t="n">
        <v>68.87</v>
      </c>
      <c r="H1060" s="8" t="inlineStr">
        <is>
          <t>0.0</t>
        </is>
      </c>
      <c r="I1060" s="8" t="inlineStr">
        <is>
          <t>Same-Day Priority</t>
        </is>
      </c>
      <c r="J1060" s="8" t="inlineStr">
        <is>
          <t>Mobile App</t>
        </is>
      </c>
      <c r="K1060" s="8" t="inlineStr">
        <is>
          <t>REG-EU</t>
        </is>
      </c>
    </row>
    <row r="1061">
      <c r="A1061" s="8" t="inlineStr">
        <is>
          <t>ORD-000537</t>
        </is>
      </c>
      <c r="B1061" s="8" t="inlineStr">
        <is>
          <t>2023-05-18</t>
        </is>
      </c>
      <c r="C1061" s="8" t="inlineStr">
        <is>
          <t>CUST-06366</t>
        </is>
      </c>
      <c r="D1061" s="8" t="inlineStr">
        <is>
          <t xml:space="preserve">  anthony lewis  </t>
        </is>
      </c>
      <c r="E1061" s="8" t="inlineStr">
        <is>
          <t>PRD-0195</t>
        </is>
      </c>
      <c r="F1061" s="8" t="inlineStr">
        <is>
          <t>2</t>
        </is>
      </c>
      <c r="G1061" s="9" t="n">
        <v>193.08</v>
      </c>
      <c r="H1061" s="8" t="inlineStr">
        <is>
          <t>0.0</t>
        </is>
      </c>
      <c r="I1061" s="8" t="inlineStr">
        <is>
          <t>Same-Day Priority</t>
        </is>
      </c>
      <c r="J1061" s="8" t="inlineStr">
        <is>
          <t>Mobile App</t>
        </is>
      </c>
      <c r="K1061" s="8" t="inlineStr">
        <is>
          <t>REG-EU</t>
        </is>
      </c>
    </row>
    <row r="1062">
      <c r="A1062" s="8" t="inlineStr">
        <is>
          <t>ORD-000538</t>
        </is>
      </c>
      <c r="B1062" s="8" t="inlineStr">
        <is>
          <t>2025-02-25</t>
        </is>
      </c>
      <c r="C1062" s="8" t="inlineStr">
        <is>
          <t>CUST-05568</t>
        </is>
      </c>
      <c r="D1062" s="8" t="inlineStr">
        <is>
          <t>Timothy Lopez</t>
        </is>
      </c>
      <c r="E1062" s="8" t="inlineStr">
        <is>
          <t>PRD-0283</t>
        </is>
      </c>
      <c r="F1062" s="8" t="inlineStr">
        <is>
          <t>1</t>
        </is>
      </c>
      <c r="G1062" s="9" t="n">
        <v>778.89</v>
      </c>
      <c r="H1062" s="8" t="inlineStr">
        <is>
          <t>0.0</t>
        </is>
      </c>
      <c r="I1062" s="8" t="inlineStr">
        <is>
          <t>Standard Ground</t>
        </is>
      </c>
      <c r="J1062" s="8" t="inlineStr">
        <is>
          <t>Direct Web</t>
        </is>
      </c>
      <c r="K1062" s="8" t="inlineStr">
        <is>
          <t>REG-APAC</t>
        </is>
      </c>
    </row>
    <row r="1063">
      <c r="A1063" s="8" t="inlineStr">
        <is>
          <t>ORD-000538</t>
        </is>
      </c>
      <c r="B1063" s="8" t="inlineStr">
        <is>
          <t>2025-02-25</t>
        </is>
      </c>
      <c r="C1063" s="8" t="inlineStr">
        <is>
          <t>CUST-05568</t>
        </is>
      </c>
      <c r="D1063" s="8" t="inlineStr">
        <is>
          <t>Timothy Lopez</t>
        </is>
      </c>
      <c r="E1063" s="8" t="inlineStr">
        <is>
          <t>PRD-0077</t>
        </is>
      </c>
      <c r="F1063" s="8" t="inlineStr">
        <is>
          <t>1</t>
        </is>
      </c>
      <c r="G1063" s="9" t="n">
        <v>1210.48</v>
      </c>
      <c r="H1063" s="8" t="inlineStr">
        <is>
          <t>0.25</t>
        </is>
      </c>
      <c r="I1063" s="8" t="inlineStr">
        <is>
          <t>Standard Ground</t>
        </is>
      </c>
      <c r="J1063" s="8" t="inlineStr">
        <is>
          <t>Direct Web</t>
        </is>
      </c>
      <c r="K1063" s="8" t="inlineStr">
        <is>
          <t>REG-APAC</t>
        </is>
      </c>
    </row>
    <row r="1064">
      <c r="A1064" s="8" t="inlineStr">
        <is>
          <t>ORD-000538</t>
        </is>
      </c>
      <c r="B1064" s="8" t="inlineStr">
        <is>
          <t>2025-02-25</t>
        </is>
      </c>
      <c r="C1064" s="8" t="inlineStr">
        <is>
          <t>CUST-05568</t>
        </is>
      </c>
      <c r="D1064" s="8" t="inlineStr">
        <is>
          <t>Timothy Lopez</t>
        </is>
      </c>
      <c r="E1064" s="8" t="inlineStr">
        <is>
          <t>PRD-0277</t>
        </is>
      </c>
      <c r="F1064" s="8" t="inlineStr">
        <is>
          <t>2</t>
        </is>
      </c>
      <c r="G1064" s="9" t="n">
        <v>990.61</v>
      </c>
      <c r="H1064" s="8" t="inlineStr">
        <is>
          <t>0.0</t>
        </is>
      </c>
      <c r="I1064" s="8" t="inlineStr">
        <is>
          <t>Standard Ground</t>
        </is>
      </c>
      <c r="J1064" s="8" t="inlineStr">
        <is>
          <t>Direct Web</t>
        </is>
      </c>
      <c r="K1064" s="8" t="inlineStr">
        <is>
          <t>REG-APAC</t>
        </is>
      </c>
    </row>
    <row r="1065">
      <c r="A1065" s="8" t="inlineStr">
        <is>
          <t>ORD-000539</t>
        </is>
      </c>
      <c r="B1065" s="8" t="inlineStr">
        <is>
          <t>2024-03-20</t>
        </is>
      </c>
      <c r="C1065" s="8" t="inlineStr">
        <is>
          <t>CUST-04173</t>
        </is>
      </c>
      <c r="D1065" s="8" t="inlineStr">
        <is>
          <t>Anna Bennett</t>
        </is>
      </c>
      <c r="E1065" s="8" t="inlineStr">
        <is>
          <t>PRD-0218</t>
        </is>
      </c>
      <c r="F1065" s="8" t="inlineStr">
        <is>
          <t>8</t>
        </is>
      </c>
      <c r="G1065" s="9" t="n">
        <v>468.61</v>
      </c>
      <c r="H1065" s="8" t="inlineStr">
        <is>
          <t>0.2</t>
        </is>
      </c>
      <c r="I1065" s="8" t="inlineStr">
        <is>
          <t>Same-Day Priority</t>
        </is>
      </c>
      <c r="J1065" s="8" t="inlineStr">
        <is>
          <t>Direct Web</t>
        </is>
      </c>
      <c r="K1065" s="8" t="inlineStr">
        <is>
          <t>REG-NA</t>
        </is>
      </c>
    </row>
    <row r="1066">
      <c r="A1066" s="8" t="inlineStr">
        <is>
          <t>ORD-000539</t>
        </is>
      </c>
      <c r="B1066" s="8" t="inlineStr">
        <is>
          <t>2024-03-20</t>
        </is>
      </c>
      <c r="C1066" s="8" t="inlineStr">
        <is>
          <t>CUST-04173</t>
        </is>
      </c>
      <c r="D1066" s="8" t="inlineStr">
        <is>
          <t>Anna Bennett</t>
        </is>
      </c>
      <c r="E1066" s="8" t="inlineStr">
        <is>
          <t>PRD-0493</t>
        </is>
      </c>
      <c r="F1066" s="8" t="inlineStr">
        <is>
          <t>2</t>
        </is>
      </c>
      <c r="G1066" s="9" t="n">
        <v>502.97</v>
      </c>
      <c r="H1066" s="8" t="inlineStr">
        <is>
          <t>0.0</t>
        </is>
      </c>
      <c r="I1066" s="8" t="inlineStr">
        <is>
          <t>Same-Day Priority</t>
        </is>
      </c>
      <c r="J1066" s="8" t="inlineStr">
        <is>
          <t>Direct Web</t>
        </is>
      </c>
      <c r="K1066" s="8" t="inlineStr">
        <is>
          <t>REG-NA</t>
        </is>
      </c>
    </row>
    <row r="1067">
      <c r="A1067" s="8" t="inlineStr">
        <is>
          <t>ORD-000539</t>
        </is>
      </c>
      <c r="B1067" s="8" t="inlineStr">
        <is>
          <t>2024-03-20</t>
        </is>
      </c>
      <c r="C1067" s="8" t="inlineStr">
        <is>
          <t>CUST-04173</t>
        </is>
      </c>
      <c r="D1067" s="8" t="inlineStr">
        <is>
          <t>Anna Bennett</t>
        </is>
      </c>
      <c r="E1067" s="8" t="inlineStr">
        <is>
          <t>PRD-0497</t>
        </is>
      </c>
      <c r="F1067" s="8" t="inlineStr">
        <is>
          <t>1</t>
        </is>
      </c>
      <c r="G1067" s="9" t="n">
        <v>620.15</v>
      </c>
      <c r="H1067" s="8" t="inlineStr">
        <is>
          <t>0.0</t>
        </is>
      </c>
      <c r="I1067" s="8" t="inlineStr">
        <is>
          <t>Same-Day Priority</t>
        </is>
      </c>
      <c r="J1067" s="8" t="inlineStr">
        <is>
          <t>Direct Web</t>
        </is>
      </c>
      <c r="K1067" s="8" t="inlineStr">
        <is>
          <t>REG-NA</t>
        </is>
      </c>
    </row>
    <row r="1068">
      <c r="A1068" s="8" t="inlineStr">
        <is>
          <t>ORD-000539</t>
        </is>
      </c>
      <c r="B1068" s="8" t="inlineStr">
        <is>
          <t>2024-03-20</t>
        </is>
      </c>
      <c r="C1068" s="8" t="inlineStr">
        <is>
          <t>CUST-04173</t>
        </is>
      </c>
      <c r="D1068" s="8" t="inlineStr">
        <is>
          <t>Anna Bennett</t>
        </is>
      </c>
      <c r="E1068" s="8" t="inlineStr">
        <is>
          <t>PRD-0479</t>
        </is>
      </c>
      <c r="F1068" s="8" t="inlineStr">
        <is>
          <t>1</t>
        </is>
      </c>
      <c r="G1068" s="9" t="n">
        <v>816.11</v>
      </c>
      <c r="H1068" s="8" t="inlineStr">
        <is>
          <t>0.0</t>
        </is>
      </c>
      <c r="I1068" s="8" t="inlineStr">
        <is>
          <t>Same-Day Priority</t>
        </is>
      </c>
      <c r="J1068" s="8" t="inlineStr">
        <is>
          <t>Direct Web</t>
        </is>
      </c>
      <c r="K1068" s="8" t="inlineStr">
        <is>
          <t>REG-NA</t>
        </is>
      </c>
    </row>
    <row r="1069">
      <c r="A1069" s="8" t="inlineStr">
        <is>
          <t>ORD-000539</t>
        </is>
      </c>
      <c r="B1069" s="8" t="inlineStr">
        <is>
          <t>2024-03-20</t>
        </is>
      </c>
      <c r="C1069" s="8" t="inlineStr">
        <is>
          <t>CUST-04173</t>
        </is>
      </c>
      <c r="D1069" s="8" t="inlineStr">
        <is>
          <t>Anna Bennett</t>
        </is>
      </c>
      <c r="E1069" s="8" t="inlineStr">
        <is>
          <t>PRD-0154</t>
        </is>
      </c>
      <c r="F1069" s="8" t="inlineStr">
        <is>
          <t>1</t>
        </is>
      </c>
      <c r="G1069" s="9" t="n">
        <v>168.94</v>
      </c>
      <c r="H1069" s="8" t="inlineStr">
        <is>
          <t>0.0</t>
        </is>
      </c>
      <c r="I1069" s="8" t="inlineStr">
        <is>
          <t>Same-Day Priority</t>
        </is>
      </c>
      <c r="J1069" s="8" t="inlineStr">
        <is>
          <t>Direct Web</t>
        </is>
      </c>
      <c r="K1069" s="8" t="inlineStr">
        <is>
          <t>REG-NA</t>
        </is>
      </c>
    </row>
    <row r="1070">
      <c r="A1070" s="8" t="inlineStr">
        <is>
          <t>ORD-000540</t>
        </is>
      </c>
      <c r="B1070" s="8" t="inlineStr">
        <is>
          <t>2024-10-22</t>
        </is>
      </c>
      <c r="C1070" s="8" t="inlineStr">
        <is>
          <t>CUST-07421</t>
        </is>
      </c>
      <c r="D1070" s="8" t="inlineStr">
        <is>
          <t>Brandon Gutierrez</t>
        </is>
      </c>
      <c r="E1070" s="8" t="inlineStr">
        <is>
          <t>PRD-0483</t>
        </is>
      </c>
      <c r="F1070" s="8" t="inlineStr">
        <is>
          <t>1</t>
        </is>
      </c>
      <c r="G1070" s="9" t="n">
        <v>50.97</v>
      </c>
      <c r="H1070" s="8" t="inlineStr">
        <is>
          <t>0.15</t>
        </is>
      </c>
      <c r="I1070" s="8" t="inlineStr">
        <is>
          <t>Same-Day Priority</t>
        </is>
      </c>
      <c r="J1070" s="8" t="inlineStr">
        <is>
          <t>Direct Web</t>
        </is>
      </c>
      <c r="K1070" s="8" t="inlineStr">
        <is>
          <t>REG-EU</t>
        </is>
      </c>
    </row>
    <row r="1071">
      <c r="A1071" s="8" t="inlineStr">
        <is>
          <t>ORD-000540</t>
        </is>
      </c>
      <c r="B1071" s="8" t="inlineStr">
        <is>
          <t>2024-10-22</t>
        </is>
      </c>
      <c r="C1071" s="8" t="inlineStr">
        <is>
          <t>CUST-07421</t>
        </is>
      </c>
      <c r="D1071" s="8" t="inlineStr">
        <is>
          <t>Brandon Gutierrez</t>
        </is>
      </c>
      <c r="E1071" s="8" t="inlineStr">
        <is>
          <t>PRD-0303</t>
        </is>
      </c>
      <c r="F1071" s="8" t="inlineStr">
        <is>
          <t>1</t>
        </is>
      </c>
      <c r="G1071" s="9" t="n">
        <v>61.92</v>
      </c>
      <c r="H1071" s="8" t="inlineStr">
        <is>
          <t>0.0</t>
        </is>
      </c>
      <c r="I1071" s="8" t="inlineStr">
        <is>
          <t>Same-Day Priority</t>
        </is>
      </c>
      <c r="J1071" s="8" t="inlineStr">
        <is>
          <t>Direct Web</t>
        </is>
      </c>
      <c r="K1071" s="8" t="inlineStr">
        <is>
          <t>REG-EU</t>
        </is>
      </c>
    </row>
    <row r="1072">
      <c r="A1072" s="8" t="inlineStr">
        <is>
          <t>ORD-000541</t>
        </is>
      </c>
      <c r="B1072" s="8" t="inlineStr">
        <is>
          <t>2023-04-12</t>
        </is>
      </c>
      <c r="C1072" s="8" t="inlineStr">
        <is>
          <t>CUST-06245</t>
        </is>
      </c>
      <c r="D1072" s="8" t="inlineStr">
        <is>
          <t>Deborah Ramirez</t>
        </is>
      </c>
      <c r="E1072" s="8" t="inlineStr">
        <is>
          <t>PRD-0030</t>
        </is>
      </c>
      <c r="F1072" s="8" t="inlineStr">
        <is>
          <t>2</t>
        </is>
      </c>
      <c r="G1072" s="9" t="n">
        <v>298.29</v>
      </c>
      <c r="H1072" s="8" t="inlineStr">
        <is>
          <t>0.0</t>
        </is>
      </c>
      <c r="I1072" s="8" t="inlineStr">
        <is>
          <t>Same-Day Priority</t>
        </is>
      </c>
      <c r="J1072" s="8" t="inlineStr">
        <is>
          <t>Direct Web</t>
        </is>
      </c>
      <c r="K1072" s="8" t="inlineStr">
        <is>
          <t>REG-APAC</t>
        </is>
      </c>
    </row>
    <row r="1073">
      <c r="A1073" s="8" t="inlineStr">
        <is>
          <t>ORD-000542</t>
        </is>
      </c>
      <c r="B1073" s="8" t="inlineStr">
        <is>
          <t>2024-12-08</t>
        </is>
      </c>
      <c r="C1073" s="8" t="inlineStr">
        <is>
          <t>CUST-07985</t>
        </is>
      </c>
      <c r="D1073" s="8" t="inlineStr">
        <is>
          <t>Mark Harris</t>
        </is>
      </c>
      <c r="E1073" s="8" t="inlineStr">
        <is>
          <t>PRD-0275</t>
        </is>
      </c>
      <c r="F1073" s="8" t="inlineStr">
        <is>
          <t>2</t>
        </is>
      </c>
      <c r="G1073" s="9" t="n">
        <v>786.53</v>
      </c>
      <c r="H1073" s="8" t="inlineStr">
        <is>
          <t>0.25</t>
        </is>
      </c>
      <c r="I1073" s="8" t="inlineStr">
        <is>
          <t>Standard Ground</t>
        </is>
      </c>
      <c r="J1073" s="8" t="inlineStr">
        <is>
          <t>Affiliate Partner</t>
        </is>
      </c>
      <c r="K1073" s="8" t="inlineStr">
        <is>
          <t>REG-EU</t>
        </is>
      </c>
    </row>
    <row r="1074">
      <c r="A1074" s="8" t="inlineStr">
        <is>
          <t>ORD-000542</t>
        </is>
      </c>
      <c r="B1074" s="8" t="inlineStr">
        <is>
          <t>2024-12-08</t>
        </is>
      </c>
      <c r="C1074" s="8" t="inlineStr">
        <is>
          <t>CUST-07985</t>
        </is>
      </c>
      <c r="D1074" s="8" t="inlineStr">
        <is>
          <t>Mark Harris</t>
        </is>
      </c>
      <c r="E1074" s="8" t="inlineStr">
        <is>
          <t>PRD-0046</t>
        </is>
      </c>
      <c r="F1074" s="8" t="inlineStr">
        <is>
          <t>1</t>
        </is>
      </c>
      <c r="G1074" s="9" t="n">
        <v>692.9</v>
      </c>
      <c r="H1074" s="8" t="inlineStr">
        <is>
          <t>0.05</t>
        </is>
      </c>
      <c r="I1074" s="8" t="inlineStr">
        <is>
          <t>Standard Ground</t>
        </is>
      </c>
      <c r="J1074" s="8" t="inlineStr">
        <is>
          <t>Affiliate Partner</t>
        </is>
      </c>
      <c r="K1074" s="8" t="inlineStr">
        <is>
          <t>REG-EU</t>
        </is>
      </c>
    </row>
    <row r="1075">
      <c r="A1075" s="8" t="inlineStr">
        <is>
          <t>ORD-000542</t>
        </is>
      </c>
      <c r="B1075" s="8" t="inlineStr">
        <is>
          <t>2024-12-08</t>
        </is>
      </c>
      <c r="C1075" s="8" t="inlineStr">
        <is>
          <t>CUST-07985</t>
        </is>
      </c>
      <c r="D1075" s="8" t="inlineStr">
        <is>
          <t>Mark Harris</t>
        </is>
      </c>
      <c r="E1075" s="8" t="inlineStr">
        <is>
          <t>PRD-0189</t>
        </is>
      </c>
      <c r="F1075" s="8" t="inlineStr">
        <is>
          <t>1</t>
        </is>
      </c>
      <c r="G1075" s="9" t="n">
        <v>526.66</v>
      </c>
      <c r="H1075" s="8" t="inlineStr">
        <is>
          <t>0.1</t>
        </is>
      </c>
      <c r="I1075" s="8" t="inlineStr">
        <is>
          <t>Standard Ground</t>
        </is>
      </c>
      <c r="J1075" s="8" t="inlineStr">
        <is>
          <t>Affiliate Partner</t>
        </is>
      </c>
      <c r="K1075" s="8" t="inlineStr">
        <is>
          <t>REG-EU</t>
        </is>
      </c>
    </row>
    <row r="1076">
      <c r="A1076" s="8" t="inlineStr">
        <is>
          <t>ORD-000542</t>
        </is>
      </c>
      <c r="B1076" s="8" t="inlineStr">
        <is>
          <t>2024-12-08</t>
        </is>
      </c>
      <c r="C1076" s="8" t="inlineStr">
        <is>
          <t>CUST-07985</t>
        </is>
      </c>
      <c r="D1076" s="8" t="inlineStr">
        <is>
          <t>Mark Harris</t>
        </is>
      </c>
      <c r="E1076" s="8" t="inlineStr">
        <is>
          <t>PRD-0423</t>
        </is>
      </c>
      <c r="F1076" s="8" t="inlineStr">
        <is>
          <t>2</t>
        </is>
      </c>
      <c r="G1076" s="9" t="n">
        <v>922.78</v>
      </c>
      <c r="H1076" s="8" t="inlineStr">
        <is>
          <t>0.0</t>
        </is>
      </c>
      <c r="I1076" s="8" t="inlineStr">
        <is>
          <t>Standard Ground</t>
        </is>
      </c>
      <c r="J1076" s="8" t="inlineStr">
        <is>
          <t>Affiliate Partner</t>
        </is>
      </c>
      <c r="K1076" s="8" t="inlineStr">
        <is>
          <t>REG-EU</t>
        </is>
      </c>
    </row>
    <row r="1077">
      <c r="A1077" s="8" t="inlineStr">
        <is>
          <t>ORD-000543</t>
        </is>
      </c>
      <c r="B1077" s="8" t="inlineStr">
        <is>
          <t>2023-06-13</t>
        </is>
      </c>
      <c r="C1077" s="8" t="inlineStr">
        <is>
          <t>CUST-06840</t>
        </is>
      </c>
      <c r="D1077" s="8" t="inlineStr">
        <is>
          <t>Ronald Castillo</t>
        </is>
      </c>
      <c r="E1077" s="8" t="inlineStr">
        <is>
          <t>PRD-0450</t>
        </is>
      </c>
      <c r="F1077" s="8" t="inlineStr">
        <is>
          <t>1</t>
        </is>
      </c>
      <c r="G1077" s="9" t="n">
        <v>646.8099999999999</v>
      </c>
      <c r="H1077" s="8" t="inlineStr">
        <is>
          <t>0.05</t>
        </is>
      </c>
      <c r="I1077" s="8" t="inlineStr">
        <is>
          <t>Standard Ground</t>
        </is>
      </c>
      <c r="J1077" s="8" t="inlineStr">
        <is>
          <t>Direct Web</t>
        </is>
      </c>
      <c r="K1077" s="8" t="inlineStr">
        <is>
          <t>REG-NA</t>
        </is>
      </c>
    </row>
    <row r="1078">
      <c r="A1078" s="8" t="inlineStr">
        <is>
          <t>ORD-000544</t>
        </is>
      </c>
      <c r="B1078" s="8" t="inlineStr">
        <is>
          <t>2025-10-02</t>
        </is>
      </c>
      <c r="C1078" s="8" t="inlineStr">
        <is>
          <t>CUST-02631</t>
        </is>
      </c>
      <c r="D1078" s="8" t="inlineStr">
        <is>
          <t>Brenda Brown</t>
        </is>
      </c>
      <c r="E1078" s="8" t="inlineStr">
        <is>
          <t>PRD-0125</t>
        </is>
      </c>
      <c r="F1078" s="8" t="inlineStr">
        <is>
          <t>1</t>
        </is>
      </c>
      <c r="G1078" s="9" t="n">
        <v>1389.75</v>
      </c>
      <c r="H1078" s="8" t="inlineStr">
        <is>
          <t>0.0</t>
        </is>
      </c>
      <c r="I1078" s="8" t="inlineStr">
        <is>
          <t>Standard Ground</t>
        </is>
      </c>
      <c r="J1078" s="8" t="inlineStr">
        <is>
          <t>Mobile App</t>
        </is>
      </c>
      <c r="K1078" s="8" t="inlineStr">
        <is>
          <t>REG-EU</t>
        </is>
      </c>
    </row>
    <row r="1079">
      <c r="A1079" s="8" t="inlineStr">
        <is>
          <t>ORD-000545</t>
        </is>
      </c>
      <c r="B1079" s="8" t="inlineStr">
        <is>
          <t>2023-04-04</t>
        </is>
      </c>
      <c r="C1079" s="8" t="inlineStr">
        <is>
          <t>CUST-04306</t>
        </is>
      </c>
      <c r="D1079" s="8" t="inlineStr">
        <is>
          <t>Jacob Morales</t>
        </is>
      </c>
      <c r="E1079" s="8" t="inlineStr">
        <is>
          <t>PRD-0038</t>
        </is>
      </c>
      <c r="F1079" s="8" t="inlineStr">
        <is>
          <t>2</t>
        </is>
      </c>
      <c r="G1079" s="9" t="n">
        <v>220.46</v>
      </c>
      <c r="H1079" s="8" t="inlineStr">
        <is>
          <t>0.1</t>
        </is>
      </c>
      <c r="I1079" s="8" t="inlineStr">
        <is>
          <t>Standard Ground</t>
        </is>
      </c>
      <c r="J1079" s="8" t="inlineStr">
        <is>
          <t>Direct Web</t>
        </is>
      </c>
      <c r="K1079" s="8" t="inlineStr">
        <is>
          <t>REG-APAC</t>
        </is>
      </c>
    </row>
    <row r="1080">
      <c r="A1080" s="8" t="inlineStr">
        <is>
          <t>ORD-000546</t>
        </is>
      </c>
      <c r="B1080" s="8" t="inlineStr">
        <is>
          <t>2025-11-05</t>
        </is>
      </c>
      <c r="C1080" s="8" t="inlineStr">
        <is>
          <t>CUST-01522</t>
        </is>
      </c>
      <c r="D1080" s="8" t="inlineStr">
        <is>
          <t xml:space="preserve">  nancy sanchez  </t>
        </is>
      </c>
      <c r="E1080" s="8" t="inlineStr">
        <is>
          <t>PRD-0460</t>
        </is>
      </c>
      <c r="F1080" s="8" t="inlineStr">
        <is>
          <t>2</t>
        </is>
      </c>
      <c r="G1080" s="9" t="n">
        <v>331.54</v>
      </c>
      <c r="H1080" s="8" t="inlineStr">
        <is>
          <t>0.15</t>
        </is>
      </c>
      <c r="I1080" s="8" t="inlineStr">
        <is>
          <t>Express Air</t>
        </is>
      </c>
      <c r="J1080" s="8" t="inlineStr">
        <is>
          <t>Mobile App</t>
        </is>
      </c>
      <c r="K1080" s="8" t="inlineStr">
        <is>
          <t>REG-EU</t>
        </is>
      </c>
    </row>
    <row r="1081">
      <c r="A1081" s="8" t="inlineStr">
        <is>
          <t>ORD-000546</t>
        </is>
      </c>
      <c r="B1081" s="8" t="inlineStr">
        <is>
          <t>2025-11-05</t>
        </is>
      </c>
      <c r="C1081" s="8" t="inlineStr">
        <is>
          <t>CUST-01522</t>
        </is>
      </c>
      <c r="D1081" s="8" t="inlineStr">
        <is>
          <t xml:space="preserve">  nancy sanchez  </t>
        </is>
      </c>
      <c r="E1081" s="8" t="inlineStr">
        <is>
          <t>PRD-0321</t>
        </is>
      </c>
      <c r="F1081" s="8" t="inlineStr">
        <is>
          <t>1</t>
        </is>
      </c>
      <c r="G1081" s="9" t="n">
        <v>684.87</v>
      </c>
      <c r="H1081" s="8" t="inlineStr">
        <is>
          <t>0.2</t>
        </is>
      </c>
      <c r="I1081" s="8" t="inlineStr">
        <is>
          <t>Express Air</t>
        </is>
      </c>
      <c r="J1081" s="8" t="inlineStr">
        <is>
          <t>Mobile App</t>
        </is>
      </c>
      <c r="K1081" s="8" t="inlineStr">
        <is>
          <t>REG-EU</t>
        </is>
      </c>
    </row>
    <row r="1082">
      <c r="A1082" s="8" t="inlineStr">
        <is>
          <t>ORD-000547</t>
        </is>
      </c>
      <c r="B1082" s="8" t="inlineStr">
        <is>
          <t>2025-11-21</t>
        </is>
      </c>
      <c r="C1082" s="8" t="inlineStr">
        <is>
          <t>CUST-07742</t>
        </is>
      </c>
      <c r="D1082" s="8" t="inlineStr">
        <is>
          <t>Maria Taylor</t>
        </is>
      </c>
      <c r="E1082" s="8" t="inlineStr">
        <is>
          <t>PRD-0246</t>
        </is>
      </c>
      <c r="F1082" s="8" t="inlineStr">
        <is>
          <t>1</t>
        </is>
      </c>
      <c r="G1082" s="9" t="n">
        <v>1238.92</v>
      </c>
      <c r="H1082" s="8" t="inlineStr">
        <is>
          <t>0.0</t>
        </is>
      </c>
      <c r="I1082" s="8" t="inlineStr">
        <is>
          <t>Standard Ground</t>
        </is>
      </c>
      <c r="J1082" s="8" t="inlineStr">
        <is>
          <t>Affiliate Partner</t>
        </is>
      </c>
      <c r="K1082" s="8" t="inlineStr">
        <is>
          <t>REG-EU</t>
        </is>
      </c>
    </row>
    <row r="1083">
      <c r="A1083" s="8" t="inlineStr">
        <is>
          <t>ORD-000548</t>
        </is>
      </c>
      <c r="B1083" s="8" t="inlineStr">
        <is>
          <t>2024-04-29</t>
        </is>
      </c>
      <c r="C1083" s="8" t="inlineStr">
        <is>
          <t>CUST-04548</t>
        </is>
      </c>
      <c r="D1083" s="8" t="inlineStr">
        <is>
          <t>Alexander Baker</t>
        </is>
      </c>
      <c r="E1083" s="8" t="inlineStr">
        <is>
          <t>PRD-0043</t>
        </is>
      </c>
      <c r="F1083" s="8" t="inlineStr">
        <is>
          <t>1</t>
        </is>
      </c>
      <c r="G1083" s="9" t="n">
        <v>174.44</v>
      </c>
      <c r="H1083" s="8" t="inlineStr">
        <is>
          <t>0.2</t>
        </is>
      </c>
      <c r="I1083" s="8" t="inlineStr">
        <is>
          <t>Express Air</t>
        </is>
      </c>
      <c r="J1083" s="8" t="inlineStr">
        <is>
          <t>Direct Web</t>
        </is>
      </c>
      <c r="K1083" s="8" t="inlineStr">
        <is>
          <t>REG-APAC</t>
        </is>
      </c>
    </row>
    <row r="1084">
      <c r="A1084" s="8" t="inlineStr">
        <is>
          <t>ORD-000549</t>
        </is>
      </c>
      <c r="B1084" s="8" t="inlineStr">
        <is>
          <t>2025-07-17</t>
        </is>
      </c>
      <c r="C1084" s="8" t="inlineStr">
        <is>
          <t>CUST-00994</t>
        </is>
      </c>
      <c r="D1084" s="8" t="inlineStr">
        <is>
          <t>Anna Allen</t>
        </is>
      </c>
      <c r="E1084" s="8" t="inlineStr">
        <is>
          <t>PRD-0111</t>
        </is>
      </c>
      <c r="F1084" s="8" t="inlineStr">
        <is>
          <t>5</t>
        </is>
      </c>
      <c r="G1084" s="9" t="n">
        <v>63.37</v>
      </c>
      <c r="H1084" s="8" t="inlineStr">
        <is>
          <t>0.05</t>
        </is>
      </c>
      <c r="I1084" s="8" t="inlineStr">
        <is>
          <t>Express Air</t>
        </is>
      </c>
      <c r="J1084" s="8" t="inlineStr">
        <is>
          <t>Direct Web</t>
        </is>
      </c>
      <c r="K1084" s="8" t="inlineStr">
        <is>
          <t>REG-LATAM</t>
        </is>
      </c>
    </row>
    <row r="1085">
      <c r="A1085" s="8" t="inlineStr">
        <is>
          <t>ORD-000549</t>
        </is>
      </c>
      <c r="B1085" s="8" t="inlineStr">
        <is>
          <t>2025-07-17</t>
        </is>
      </c>
      <c r="C1085" s="8" t="inlineStr">
        <is>
          <t>CUST-00994</t>
        </is>
      </c>
      <c r="D1085" s="8" t="inlineStr">
        <is>
          <t>Anna Allen</t>
        </is>
      </c>
      <c r="E1085" s="8" t="inlineStr">
        <is>
          <t>PRD-0362</t>
        </is>
      </c>
      <c r="F1085" s="8" t="inlineStr">
        <is>
          <t>1</t>
        </is>
      </c>
      <c r="G1085" s="9" t="n">
        <v>110.63</v>
      </c>
      <c r="H1085" s="8" t="inlineStr">
        <is>
          <t>0.2</t>
        </is>
      </c>
      <c r="I1085" s="8" t="inlineStr">
        <is>
          <t>Express Air</t>
        </is>
      </c>
      <c r="J1085" s="8" t="inlineStr">
        <is>
          <t>Direct Web</t>
        </is>
      </c>
      <c r="K1085" s="8" t="inlineStr">
        <is>
          <t>REG-LATAM</t>
        </is>
      </c>
    </row>
    <row r="1086">
      <c r="A1086" s="8" t="inlineStr">
        <is>
          <t>ORD-000549</t>
        </is>
      </c>
      <c r="B1086" s="8" t="inlineStr">
        <is>
          <t>2025-07-17</t>
        </is>
      </c>
      <c r="C1086" s="8" t="inlineStr">
        <is>
          <t>CUST-00994</t>
        </is>
      </c>
      <c r="D1086" s="8" t="inlineStr">
        <is>
          <t>Anna Allen</t>
        </is>
      </c>
      <c r="E1086" s="8" t="inlineStr">
        <is>
          <t>PRD-0225</t>
        </is>
      </c>
      <c r="F1086" s="8" t="inlineStr">
        <is>
          <t>1</t>
        </is>
      </c>
      <c r="G1086" s="9" t="n">
        <v>266.58</v>
      </c>
      <c r="H1086" s="8" t="inlineStr">
        <is>
          <t>0.0</t>
        </is>
      </c>
      <c r="I1086" s="8" t="inlineStr">
        <is>
          <t>Express Air</t>
        </is>
      </c>
      <c r="J1086" s="8" t="inlineStr">
        <is>
          <t>Direct Web</t>
        </is>
      </c>
      <c r="K1086" s="8" t="inlineStr">
        <is>
          <t>REG-LATAM</t>
        </is>
      </c>
    </row>
    <row r="1087">
      <c r="A1087" s="8" t="inlineStr">
        <is>
          <t>ORD-000549</t>
        </is>
      </c>
      <c r="B1087" s="8" t="inlineStr">
        <is>
          <t>2025-07-17</t>
        </is>
      </c>
      <c r="C1087" s="8" t="inlineStr">
        <is>
          <t>CUST-00994</t>
        </is>
      </c>
      <c r="D1087" s="8" t="inlineStr">
        <is>
          <t>Anna Allen</t>
        </is>
      </c>
      <c r="E1087" s="8" t="inlineStr">
        <is>
          <t>PRD-0167</t>
        </is>
      </c>
      <c r="F1087" s="8" t="inlineStr">
        <is>
          <t>1</t>
        </is>
      </c>
      <c r="G1087" s="9" t="n">
        <v>606.8099999999999</v>
      </c>
      <c r="H1087" s="8" t="inlineStr">
        <is>
          <t>0.0</t>
        </is>
      </c>
      <c r="I1087" s="8" t="inlineStr">
        <is>
          <t>Express Air</t>
        </is>
      </c>
      <c r="J1087" s="8" t="inlineStr">
        <is>
          <t>Direct Web</t>
        </is>
      </c>
      <c r="K1087" s="8" t="inlineStr">
        <is>
          <t>REG-LATAM</t>
        </is>
      </c>
    </row>
    <row r="1088">
      <c r="A1088" s="8" t="inlineStr">
        <is>
          <t>ORD-000549</t>
        </is>
      </c>
      <c r="B1088" s="8" t="inlineStr">
        <is>
          <t>2025-07-17</t>
        </is>
      </c>
      <c r="C1088" s="8" t="inlineStr">
        <is>
          <t>CUST-00994</t>
        </is>
      </c>
      <c r="D1088" s="8" t="inlineStr">
        <is>
          <t>Anna Allen</t>
        </is>
      </c>
      <c r="E1088" s="8" t="inlineStr">
        <is>
          <t>PRD-0188</t>
        </is>
      </c>
      <c r="F1088" s="8" t="inlineStr">
        <is>
          <t>2</t>
        </is>
      </c>
      <c r="G1088" s="9" t="n">
        <v>946.83</v>
      </c>
      <c r="H1088" s="8" t="inlineStr">
        <is>
          <t>0.0</t>
        </is>
      </c>
      <c r="I1088" s="8" t="inlineStr">
        <is>
          <t>Express Air</t>
        </is>
      </c>
      <c r="J1088" s="8" t="inlineStr">
        <is>
          <t>Direct Web</t>
        </is>
      </c>
      <c r="K1088" s="8" t="inlineStr">
        <is>
          <t>REG-LATAM</t>
        </is>
      </c>
    </row>
    <row r="1089">
      <c r="A1089" s="8" t="inlineStr">
        <is>
          <t>ORD-000550</t>
        </is>
      </c>
      <c r="B1089" s="8" t="inlineStr">
        <is>
          <t>2023-07-23</t>
        </is>
      </c>
      <c r="C1089" s="8" t="inlineStr">
        <is>
          <t>CUST-02185</t>
        </is>
      </c>
      <c r="D1089" s="8" t="inlineStr">
        <is>
          <t xml:space="preserve">  linda gonzalez  </t>
        </is>
      </c>
      <c r="E1089" s="8" t="inlineStr">
        <is>
          <t>PRD-0457</t>
        </is>
      </c>
      <c r="F1089" s="8" t="inlineStr">
        <is>
          <t>1</t>
        </is>
      </c>
      <c r="G1089" s="9" t="n">
        <v>29.97</v>
      </c>
      <c r="H1089" s="8" t="inlineStr">
        <is>
          <t>0.1</t>
        </is>
      </c>
      <c r="I1089" s="8" t="inlineStr">
        <is>
          <t>Standard Ground</t>
        </is>
      </c>
      <c r="J1089" s="8" t="inlineStr">
        <is>
          <t>Direct Web</t>
        </is>
      </c>
      <c r="K1089" s="8" t="inlineStr">
        <is>
          <t>REG-EU</t>
        </is>
      </c>
    </row>
    <row r="1090">
      <c r="A1090" s="8" t="inlineStr">
        <is>
          <t>ORD-000551</t>
        </is>
      </c>
      <c r="B1090" s="8" t="inlineStr">
        <is>
          <t>2023-06-18</t>
        </is>
      </c>
      <c r="C1090" s="8" t="inlineStr">
        <is>
          <t>CUST-02919</t>
        </is>
      </c>
      <c r="D1090" s="8" t="inlineStr">
        <is>
          <t>Christopher Davis</t>
        </is>
      </c>
      <c r="E1090" s="8" t="inlineStr">
        <is>
          <t>PRD-0274</t>
        </is>
      </c>
      <c r="F1090" s="8" t="inlineStr">
        <is>
          <t>2</t>
        </is>
      </c>
      <c r="G1090" s="9" t="n">
        <v>74.98999999999999</v>
      </c>
      <c r="H1090" s="8" t="inlineStr">
        <is>
          <t>0.05</t>
        </is>
      </c>
      <c r="I1090" s="8" t="inlineStr">
        <is>
          <t>Express Air</t>
        </is>
      </c>
      <c r="J1090" s="8" t="inlineStr">
        <is>
          <t>B2B Portal</t>
        </is>
      </c>
      <c r="K1090" s="8" t="inlineStr">
        <is>
          <t>REG-EU</t>
        </is>
      </c>
    </row>
    <row r="1091">
      <c r="A1091" s="8" t="inlineStr">
        <is>
          <t>ORD-000551</t>
        </is>
      </c>
      <c r="B1091" s="8" t="inlineStr">
        <is>
          <t>2023-06-18</t>
        </is>
      </c>
      <c r="C1091" s="8" t="inlineStr">
        <is>
          <t>CUST-02919</t>
        </is>
      </c>
      <c r="D1091" s="8" t="inlineStr">
        <is>
          <t>Christopher Davis</t>
        </is>
      </c>
      <c r="E1091" s="8" t="inlineStr">
        <is>
          <t>PRD-0184</t>
        </is>
      </c>
      <c r="F1091" s="8" t="inlineStr">
        <is>
          <t>1</t>
        </is>
      </c>
      <c r="G1091" s="9" t="n">
        <v>79.56999999999999</v>
      </c>
      <c r="H1091" s="8" t="inlineStr">
        <is>
          <t>0.15</t>
        </is>
      </c>
      <c r="I1091" s="8" t="inlineStr">
        <is>
          <t>Express Air</t>
        </is>
      </c>
      <c r="J1091" s="8" t="inlineStr">
        <is>
          <t>B2B Portal</t>
        </is>
      </c>
      <c r="K1091" s="8" t="inlineStr">
        <is>
          <t>REG-EU</t>
        </is>
      </c>
    </row>
    <row r="1092">
      <c r="A1092" s="8" t="inlineStr">
        <is>
          <t>ORD-000551</t>
        </is>
      </c>
      <c r="B1092" s="8" t="inlineStr">
        <is>
          <t>2023-06-18</t>
        </is>
      </c>
      <c r="C1092" s="8" t="inlineStr">
        <is>
          <t>CUST-02919</t>
        </is>
      </c>
      <c r="D1092" s="8" t="inlineStr">
        <is>
          <t>Christopher Davis</t>
        </is>
      </c>
      <c r="E1092" s="8" t="inlineStr">
        <is>
          <t>PRD-0366</t>
        </is>
      </c>
      <c r="F1092" s="8" t="inlineStr">
        <is>
          <t>1</t>
        </is>
      </c>
      <c r="G1092" s="9" t="n">
        <v>772.59</v>
      </c>
      <c r="H1092" s="8" t="inlineStr">
        <is>
          <t>0.0</t>
        </is>
      </c>
      <c r="I1092" s="8" t="inlineStr">
        <is>
          <t>Express Air</t>
        </is>
      </c>
      <c r="J1092" s="8" t="inlineStr">
        <is>
          <t>B2B Portal</t>
        </is>
      </c>
      <c r="K1092" s="8" t="inlineStr">
        <is>
          <t>REG-EU</t>
        </is>
      </c>
    </row>
    <row r="1093">
      <c r="A1093" s="8" t="inlineStr">
        <is>
          <t>ORD-000552</t>
        </is>
      </c>
      <c r="B1093" s="8" t="inlineStr">
        <is>
          <t>2023-06-07</t>
        </is>
      </c>
      <c r="C1093" s="8" t="inlineStr">
        <is>
          <t>CUST-06591</t>
        </is>
      </c>
      <c r="D1093" s="8" t="inlineStr">
        <is>
          <t>Andrew Murphy</t>
        </is>
      </c>
      <c r="E1093" s="8" t="inlineStr">
        <is>
          <t>PRD-0225</t>
        </is>
      </c>
      <c r="F1093" s="8" t="inlineStr">
        <is>
          <t>4</t>
        </is>
      </c>
      <c r="G1093" s="9" t="n">
        <v>266.58</v>
      </c>
      <c r="H1093" s="8" t="inlineStr">
        <is>
          <t>20%</t>
        </is>
      </c>
      <c r="I1093" s="8" t="inlineStr">
        <is>
          <t>Same-Day Priority</t>
        </is>
      </c>
      <c r="J1093" s="8" t="inlineStr">
        <is>
          <t>Direct Web</t>
        </is>
      </c>
      <c r="K1093" s="8" t="inlineStr">
        <is>
          <t>REG-EU</t>
        </is>
      </c>
    </row>
    <row r="1094">
      <c r="A1094" s="8" t="inlineStr">
        <is>
          <t>ORD-000552</t>
        </is>
      </c>
      <c r="B1094" s="8" t="inlineStr">
        <is>
          <t>2023-06-07</t>
        </is>
      </c>
      <c r="C1094" s="8" t="inlineStr">
        <is>
          <t>CUST-06591</t>
        </is>
      </c>
      <c r="D1094" s="8" t="inlineStr">
        <is>
          <t>Andrew Murphy</t>
        </is>
      </c>
      <c r="E1094" s="8" t="inlineStr">
        <is>
          <t>PRD-0038</t>
        </is>
      </c>
      <c r="F1094" s="8" t="inlineStr">
        <is>
          <t>1</t>
        </is>
      </c>
      <c r="G1094" s="9" t="n">
        <v>220.46</v>
      </c>
      <c r="H1094" s="8" t="inlineStr">
        <is>
          <t>0.0</t>
        </is>
      </c>
      <c r="I1094" s="8" t="inlineStr">
        <is>
          <t>Same-Day Priority</t>
        </is>
      </c>
      <c r="J1094" s="8" t="inlineStr">
        <is>
          <t>Direct Web</t>
        </is>
      </c>
      <c r="K1094" s="8" t="inlineStr">
        <is>
          <t>REG-EU</t>
        </is>
      </c>
    </row>
    <row r="1095">
      <c r="A1095" s="8" t="inlineStr">
        <is>
          <t>ORD-000553</t>
        </is>
      </c>
      <c r="B1095" s="8" t="inlineStr">
        <is>
          <t>2025-02-11</t>
        </is>
      </c>
      <c r="C1095" s="8" t="inlineStr">
        <is>
          <t>CUST-03391</t>
        </is>
      </c>
      <c r="D1095" s="8" t="inlineStr">
        <is>
          <t>Patrick Cox</t>
        </is>
      </c>
      <c r="E1095" s="8" t="inlineStr">
        <is>
          <t>PRD-0033</t>
        </is>
      </c>
      <c r="F1095" s="8" t="inlineStr">
        <is>
          <t>1</t>
        </is>
      </c>
      <c r="G1095" s="9" t="n">
        <v>87.68000000000001</v>
      </c>
      <c r="H1095" s="8" t="inlineStr">
        <is>
          <t>0.0</t>
        </is>
      </c>
      <c r="I1095" s="8" t="inlineStr">
        <is>
          <t>Standard Ground</t>
        </is>
      </c>
      <c r="J1095" s="8" t="inlineStr">
        <is>
          <t>Direct Web</t>
        </is>
      </c>
      <c r="K1095" s="8" t="inlineStr">
        <is>
          <t>REG-NA</t>
        </is>
      </c>
    </row>
    <row r="1096">
      <c r="A1096" s="8" t="inlineStr">
        <is>
          <t>ORD-000553</t>
        </is>
      </c>
      <c r="B1096" s="8" t="inlineStr">
        <is>
          <t>2025-02-11</t>
        </is>
      </c>
      <c r="C1096" s="8" t="inlineStr">
        <is>
          <t>CUST-03391</t>
        </is>
      </c>
      <c r="D1096" s="8" t="inlineStr">
        <is>
          <t>Patrick Cox</t>
        </is>
      </c>
      <c r="E1096" s="8" t="inlineStr">
        <is>
          <t>PRD-0142</t>
        </is>
      </c>
      <c r="F1096" s="8" t="inlineStr">
        <is>
          <t>1</t>
        </is>
      </c>
      <c r="G1096" s="9" t="n">
        <v>44.6</v>
      </c>
      <c r="H1096" s="8" t="inlineStr">
        <is>
          <t>0.1</t>
        </is>
      </c>
      <c r="I1096" s="8" t="inlineStr">
        <is>
          <t>Standard Ground</t>
        </is>
      </c>
      <c r="J1096" s="8" t="inlineStr">
        <is>
          <t>Direct Web</t>
        </is>
      </c>
      <c r="K1096" s="8" t="inlineStr">
        <is>
          <t>REG-NA</t>
        </is>
      </c>
    </row>
    <row r="1097">
      <c r="A1097" s="8" t="inlineStr">
        <is>
          <t>ORD-000554</t>
        </is>
      </c>
      <c r="B1097" s="8" t="inlineStr">
        <is>
          <t>2023-11-22</t>
        </is>
      </c>
      <c r="C1097" s="8" t="inlineStr">
        <is>
          <t>CUST-06961</t>
        </is>
      </c>
      <c r="D1097" s="8" t="inlineStr">
        <is>
          <t>Jason Kelly</t>
        </is>
      </c>
      <c r="E1097" s="8" t="inlineStr">
        <is>
          <t>PRD-0173</t>
        </is>
      </c>
      <c r="F1097" s="8" t="inlineStr">
        <is>
          <t>4</t>
        </is>
      </c>
      <c r="G1097" s="9" t="n">
        <v>62.36</v>
      </c>
      <c r="H1097" s="8" t="inlineStr">
        <is>
          <t>0.15</t>
        </is>
      </c>
      <c r="I1097" s="8" t="inlineStr">
        <is>
          <t>Standard Ground</t>
        </is>
      </c>
      <c r="J1097" s="8" t="inlineStr">
        <is>
          <t>Affiliate Partner</t>
        </is>
      </c>
      <c r="K1097" s="8" t="inlineStr">
        <is>
          <t>REG-APAC</t>
        </is>
      </c>
    </row>
    <row r="1098">
      <c r="A1098" s="8" t="inlineStr">
        <is>
          <t>ORD-000554</t>
        </is>
      </c>
      <c r="B1098" s="8" t="inlineStr">
        <is>
          <t>2023-11-22</t>
        </is>
      </c>
      <c r="C1098" s="8" t="inlineStr">
        <is>
          <t>CUST-06961</t>
        </is>
      </c>
      <c r="D1098" s="8" t="inlineStr">
        <is>
          <t>Jason Kelly</t>
        </is>
      </c>
      <c r="E1098" s="8" t="inlineStr">
        <is>
          <t>PRD-0286</t>
        </is>
      </c>
      <c r="F1098" s="8" t="inlineStr">
        <is>
          <t>2</t>
        </is>
      </c>
      <c r="G1098" s="9" t="n">
        <v>232.89</v>
      </c>
      <c r="H1098" s="8" t="inlineStr">
        <is>
          <t>0.05</t>
        </is>
      </c>
      <c r="I1098" s="8" t="inlineStr">
        <is>
          <t>Standard Ground</t>
        </is>
      </c>
      <c r="J1098" s="8" t="inlineStr">
        <is>
          <t>Affiliate Partner</t>
        </is>
      </c>
      <c r="K1098" s="8" t="inlineStr">
        <is>
          <t>REG-APAC</t>
        </is>
      </c>
    </row>
    <row r="1099">
      <c r="A1099" s="8" t="inlineStr">
        <is>
          <t>ORD-000555</t>
        </is>
      </c>
      <c r="B1099" s="8" t="inlineStr">
        <is>
          <t>2024-04-01</t>
        </is>
      </c>
      <c r="C1099" s="8" t="inlineStr">
        <is>
          <t>CUST-01500</t>
        </is>
      </c>
      <c r="D1099" s="8" t="inlineStr">
        <is>
          <t>Raymond Murphy</t>
        </is>
      </c>
      <c r="E1099" s="8" t="inlineStr">
        <is>
          <t>PRD-0188</t>
        </is>
      </c>
      <c r="F1099" s="8" t="inlineStr">
        <is>
          <t>2</t>
        </is>
      </c>
      <c r="G1099" s="9" t="n">
        <v>946.83</v>
      </c>
      <c r="H1099" s="8" t="inlineStr">
        <is>
          <t>0.2</t>
        </is>
      </c>
      <c r="I1099" s="8" t="inlineStr">
        <is>
          <t>Standard Ground</t>
        </is>
      </c>
      <c r="J1099" s="8" t="inlineStr">
        <is>
          <t>Mobile App</t>
        </is>
      </c>
      <c r="K1099" s="8" t="inlineStr">
        <is>
          <t>REG-APAC</t>
        </is>
      </c>
    </row>
    <row r="1100">
      <c r="A1100" s="8" t="inlineStr">
        <is>
          <t>ORD-000555</t>
        </is>
      </c>
      <c r="B1100" s="8" t="inlineStr">
        <is>
          <t>2024-04-01</t>
        </is>
      </c>
      <c r="C1100" s="8" t="inlineStr">
        <is>
          <t>CUST-01500</t>
        </is>
      </c>
      <c r="D1100" s="8" t="inlineStr">
        <is>
          <t>Raymond Murphy</t>
        </is>
      </c>
      <c r="E1100" s="8" t="inlineStr">
        <is>
          <t>PRD-0130</t>
        </is>
      </c>
      <c r="F1100" s="8" t="inlineStr">
        <is>
          <t>1</t>
        </is>
      </c>
      <c r="G1100" s="9" t="n">
        <v>593.34</v>
      </c>
      <c r="H1100" s="8" t="inlineStr">
        <is>
          <t>20%</t>
        </is>
      </c>
      <c r="I1100" s="8" t="inlineStr">
        <is>
          <t>Standard Ground</t>
        </is>
      </c>
      <c r="J1100" s="8" t="inlineStr">
        <is>
          <t>Mobile App</t>
        </is>
      </c>
      <c r="K1100" s="8" t="inlineStr">
        <is>
          <t>REG-APAC</t>
        </is>
      </c>
    </row>
    <row r="1101">
      <c r="A1101" s="8" t="inlineStr">
        <is>
          <t>ORD-000555</t>
        </is>
      </c>
      <c r="B1101" s="8" t="inlineStr">
        <is>
          <t>2024-04-01</t>
        </is>
      </c>
      <c r="C1101" s="8" t="inlineStr">
        <is>
          <t>CUST-01500</t>
        </is>
      </c>
      <c r="D1101" s="8" t="inlineStr">
        <is>
          <t>Raymond Murphy</t>
        </is>
      </c>
      <c r="E1101" s="8" t="inlineStr">
        <is>
          <t>PRD-0421</t>
        </is>
      </c>
      <c r="F1101" s="8" t="inlineStr">
        <is>
          <t>2</t>
        </is>
      </c>
      <c r="G1101" s="9" t="n">
        <v>50.08</v>
      </c>
      <c r="H1101" s="8" t="inlineStr">
        <is>
          <t>0.05</t>
        </is>
      </c>
      <c r="I1101" s="8" t="inlineStr">
        <is>
          <t>Standard Ground</t>
        </is>
      </c>
      <c r="J1101" s="8" t="inlineStr">
        <is>
          <t>Mobile App</t>
        </is>
      </c>
      <c r="K1101" s="8" t="inlineStr">
        <is>
          <t>REG-APAC</t>
        </is>
      </c>
    </row>
    <row r="1102">
      <c r="A1102" s="8" t="inlineStr">
        <is>
          <t>ORD-000555</t>
        </is>
      </c>
      <c r="B1102" s="8" t="inlineStr">
        <is>
          <t>2024-04-01</t>
        </is>
      </c>
      <c r="C1102" s="8" t="inlineStr">
        <is>
          <t>CUST-01500</t>
        </is>
      </c>
      <c r="D1102" s="8" t="inlineStr">
        <is>
          <t>Raymond Murphy</t>
        </is>
      </c>
      <c r="E1102" s="8" t="inlineStr">
        <is>
          <t>PRD-0402</t>
        </is>
      </c>
      <c r="F1102" s="8" t="inlineStr">
        <is>
          <t>3</t>
        </is>
      </c>
      <c r="G1102" s="9" t="n">
        <v>1065.19</v>
      </c>
      <c r="H1102" s="8" t="inlineStr">
        <is>
          <t>0.0</t>
        </is>
      </c>
      <c r="I1102" s="8" t="inlineStr">
        <is>
          <t>Standard Ground</t>
        </is>
      </c>
      <c r="J1102" s="8" t="inlineStr">
        <is>
          <t>Mobile App</t>
        </is>
      </c>
      <c r="K1102" s="8" t="inlineStr">
        <is>
          <t>REG-APAC</t>
        </is>
      </c>
    </row>
    <row r="1103">
      <c r="A1103" s="8" t="inlineStr">
        <is>
          <t>ORD-000556</t>
        </is>
      </c>
      <c r="B1103" s="8" t="inlineStr">
        <is>
          <t>2024-11-27</t>
        </is>
      </c>
      <c r="C1103" s="8" t="inlineStr">
        <is>
          <t>CUST-05045</t>
        </is>
      </c>
      <c r="D1103" s="8" t="inlineStr">
        <is>
          <t>Michelle Lopez</t>
        </is>
      </c>
      <c r="E1103" s="8" t="inlineStr">
        <is>
          <t>PRD-0064</t>
        </is>
      </c>
      <c r="F1103" s="8" t="inlineStr">
        <is>
          <t>2</t>
        </is>
      </c>
      <c r="G1103" s="9" t="n">
        <v>36.84</v>
      </c>
      <c r="H1103" s="8" t="inlineStr">
        <is>
          <t>0.0</t>
        </is>
      </c>
      <c r="I1103" s="8" t="inlineStr">
        <is>
          <t>Express Air</t>
        </is>
      </c>
      <c r="J1103" s="8" t="inlineStr">
        <is>
          <t>Mobile App</t>
        </is>
      </c>
      <c r="K1103" s="8" t="inlineStr">
        <is>
          <t>REG-APAC</t>
        </is>
      </c>
    </row>
    <row r="1104">
      <c r="A1104" s="8" t="inlineStr">
        <is>
          <t>ORD-000556</t>
        </is>
      </c>
      <c r="B1104" s="8" t="inlineStr">
        <is>
          <t>2024-11-27</t>
        </is>
      </c>
      <c r="C1104" s="8" t="inlineStr">
        <is>
          <t>CUST-05045</t>
        </is>
      </c>
      <c r="D1104" s="8" t="inlineStr">
        <is>
          <t>Michelle Lopez</t>
        </is>
      </c>
      <c r="E1104" s="8" t="inlineStr">
        <is>
          <t>PRD-0400</t>
        </is>
      </c>
      <c r="F1104" s="8" t="inlineStr">
        <is>
          <t>1</t>
        </is>
      </c>
      <c r="G1104" s="9" t="n">
        <v>409.11</v>
      </c>
      <c r="H1104" s="8" t="inlineStr">
        <is>
          <t>0.0</t>
        </is>
      </c>
      <c r="I1104" s="8" t="inlineStr">
        <is>
          <t>Express Air</t>
        </is>
      </c>
      <c r="J1104" s="8" t="inlineStr">
        <is>
          <t>Mobile App</t>
        </is>
      </c>
      <c r="K1104" s="8" t="inlineStr">
        <is>
          <t>REG-APAC</t>
        </is>
      </c>
    </row>
    <row r="1105">
      <c r="A1105" s="8" t="inlineStr">
        <is>
          <t>ORD-000557</t>
        </is>
      </c>
      <c r="B1105" s="8" t="inlineStr">
        <is>
          <t>2023-03-16</t>
        </is>
      </c>
      <c r="C1105" s="8" t="inlineStr">
        <is>
          <t>CUST-02278</t>
        </is>
      </c>
      <c r="D1105" s="8" t="inlineStr">
        <is>
          <t>Diane Ramirez</t>
        </is>
      </c>
      <c r="E1105" s="8" t="inlineStr">
        <is>
          <t>PRD-0038</t>
        </is>
      </c>
      <c r="F1105" s="8" t="inlineStr">
        <is>
          <t>4</t>
        </is>
      </c>
      <c r="G1105" s="9" t="n">
        <v>220.46</v>
      </c>
      <c r="H1105" s="8" t="inlineStr">
        <is>
          <t>0.1</t>
        </is>
      </c>
      <c r="I1105" s="8" t="inlineStr">
        <is>
          <t>Standard Ground</t>
        </is>
      </c>
      <c r="J1105" s="8" t="inlineStr">
        <is>
          <t>B2B Portal</t>
        </is>
      </c>
      <c r="K1105" s="8" t="inlineStr">
        <is>
          <t>REG-EU</t>
        </is>
      </c>
    </row>
    <row r="1106">
      <c r="A1106" s="8" t="inlineStr">
        <is>
          <t>ORD-000558</t>
        </is>
      </c>
      <c r="B1106" s="8" t="inlineStr">
        <is>
          <t>2025-08-14</t>
        </is>
      </c>
      <c r="C1106" s="8" t="inlineStr">
        <is>
          <t>CUST-00225</t>
        </is>
      </c>
      <c r="D1106" s="8" t="inlineStr">
        <is>
          <t>Brandon Mendoza</t>
        </is>
      </c>
      <c r="E1106" s="8" t="inlineStr">
        <is>
          <t>PRD-0161</t>
        </is>
      </c>
      <c r="F1106" s="8" t="inlineStr">
        <is>
          <t>4</t>
        </is>
      </c>
      <c r="G1106" s="9" t="n">
        <v>192.49</v>
      </c>
      <c r="H1106" s="8" t="inlineStr">
        <is>
          <t>0.0</t>
        </is>
      </c>
      <c r="I1106" s="8" t="inlineStr">
        <is>
          <t>Standard Ground</t>
        </is>
      </c>
      <c r="J1106" s="8" t="inlineStr">
        <is>
          <t>Affiliate Partner</t>
        </is>
      </c>
      <c r="K1106" s="8" t="inlineStr">
        <is>
          <t>REG-LATAM</t>
        </is>
      </c>
    </row>
    <row r="1107">
      <c r="A1107" s="8" t="inlineStr">
        <is>
          <t>ORD-000558</t>
        </is>
      </c>
      <c r="B1107" s="8" t="inlineStr">
        <is>
          <t>2025-08-14</t>
        </is>
      </c>
      <c r="C1107" s="8" t="inlineStr">
        <is>
          <t>CUST-00225</t>
        </is>
      </c>
      <c r="D1107" s="8" t="inlineStr">
        <is>
          <t>Brandon Mendoza</t>
        </is>
      </c>
      <c r="E1107" s="8" t="inlineStr">
        <is>
          <t>PRD-0207</t>
        </is>
      </c>
      <c r="F1107" s="8" t="inlineStr">
        <is>
          <t>1</t>
        </is>
      </c>
      <c r="G1107" s="9" t="n">
        <v>1025.22</v>
      </c>
      <c r="H1107" s="8" t="inlineStr">
        <is>
          <t>0.1</t>
        </is>
      </c>
      <c r="I1107" s="8" t="inlineStr">
        <is>
          <t>Standard Ground</t>
        </is>
      </c>
      <c r="J1107" s="8" t="inlineStr">
        <is>
          <t>Affiliate Partner</t>
        </is>
      </c>
      <c r="K1107" s="8" t="inlineStr">
        <is>
          <t>REG-LATAM</t>
        </is>
      </c>
    </row>
    <row r="1108">
      <c r="A1108" s="8" t="inlineStr">
        <is>
          <t>ORD-000558</t>
        </is>
      </c>
      <c r="B1108" s="8" t="inlineStr">
        <is>
          <t>2025-08-14</t>
        </is>
      </c>
      <c r="C1108" s="8" t="inlineStr">
        <is>
          <t>CUST-00225</t>
        </is>
      </c>
      <c r="D1108" s="8" t="inlineStr">
        <is>
          <t>Brandon Mendoza</t>
        </is>
      </c>
      <c r="E1108" s="8" t="inlineStr">
        <is>
          <t>PRD-0155</t>
        </is>
      </c>
      <c r="F1108" s="8" t="inlineStr">
        <is>
          <t>2</t>
        </is>
      </c>
      <c r="G1108" s="9" t="n">
        <v>472.85</v>
      </c>
      <c r="H1108" s="8" t="inlineStr">
        <is>
          <t>0.0</t>
        </is>
      </c>
      <c r="I1108" s="8" t="inlineStr">
        <is>
          <t>Standard Ground</t>
        </is>
      </c>
      <c r="J1108" s="8" t="inlineStr">
        <is>
          <t>Affiliate Partner</t>
        </is>
      </c>
      <c r="K1108" s="8" t="inlineStr">
        <is>
          <t>REG-LATAM</t>
        </is>
      </c>
    </row>
    <row r="1109">
      <c r="A1109" s="8" t="inlineStr">
        <is>
          <t>ORD-000559</t>
        </is>
      </c>
      <c r="B1109" s="8" t="inlineStr">
        <is>
          <t>2025-05-27</t>
        </is>
      </c>
      <c r="C1109" s="8" t="inlineStr">
        <is>
          <t>CUST-05737</t>
        </is>
      </c>
      <c r="D1109" s="8" t="inlineStr">
        <is>
          <t>Sandra Harris</t>
        </is>
      </c>
      <c r="E1109" s="8" t="inlineStr">
        <is>
          <t>PRD-0354</t>
        </is>
      </c>
      <c r="F1109" s="8" t="inlineStr">
        <is>
          <t>2</t>
        </is>
      </c>
      <c r="G1109" s="9" t="n">
        <v>70.98999999999999</v>
      </c>
      <c r="H1109" s="8" t="inlineStr">
        <is>
          <t>0.15</t>
        </is>
      </c>
      <c r="I1109" s="8" t="inlineStr">
        <is>
          <t>Standard Ground</t>
        </is>
      </c>
      <c r="J1109" s="8" t="inlineStr">
        <is>
          <t>Mobile App</t>
        </is>
      </c>
      <c r="K1109" s="8" t="inlineStr">
        <is>
          <t>REG-APAC</t>
        </is>
      </c>
    </row>
    <row r="1110">
      <c r="A1110" s="8" t="inlineStr">
        <is>
          <t>ORD-000559</t>
        </is>
      </c>
      <c r="B1110" s="8" t="inlineStr">
        <is>
          <t>2025-05-27</t>
        </is>
      </c>
      <c r="C1110" s="8" t="inlineStr">
        <is>
          <t>CUST-05737</t>
        </is>
      </c>
      <c r="D1110" s="8" t="inlineStr">
        <is>
          <t>Sandra Harris</t>
        </is>
      </c>
      <c r="E1110" s="8" t="inlineStr">
        <is>
          <t>PRD-0184</t>
        </is>
      </c>
      <c r="F1110" s="8" t="inlineStr">
        <is>
          <t>1</t>
        </is>
      </c>
      <c r="G1110" s="9" t="n">
        <v>79.56999999999999</v>
      </c>
      <c r="H1110" s="8" t="inlineStr">
        <is>
          <t>0.15</t>
        </is>
      </c>
      <c r="I1110" s="8" t="inlineStr">
        <is>
          <t>Standard Ground</t>
        </is>
      </c>
      <c r="J1110" s="8" t="inlineStr">
        <is>
          <t>Mobile App</t>
        </is>
      </c>
      <c r="K1110" s="8" t="inlineStr">
        <is>
          <t>REG-APAC</t>
        </is>
      </c>
    </row>
    <row r="1111">
      <c r="A1111" s="8" t="inlineStr">
        <is>
          <t>ORD-000559</t>
        </is>
      </c>
      <c r="B1111" s="8" t="inlineStr">
        <is>
          <t>2025-05-27</t>
        </is>
      </c>
      <c r="C1111" s="8" t="inlineStr">
        <is>
          <t>CUST-05737</t>
        </is>
      </c>
      <c r="D1111" s="8" t="inlineStr">
        <is>
          <t>Sandra Harris</t>
        </is>
      </c>
      <c r="E1111" s="8" t="inlineStr">
        <is>
          <t>PRD-0355</t>
        </is>
      </c>
      <c r="F1111" s="8" t="inlineStr">
        <is>
          <t>1</t>
        </is>
      </c>
      <c r="G1111" s="9" t="n">
        <v>95.40000000000001</v>
      </c>
      <c r="H1111" s="8" t="inlineStr">
        <is>
          <t>0.0</t>
        </is>
      </c>
      <c r="I1111" s="8" t="inlineStr">
        <is>
          <t>Standard Ground</t>
        </is>
      </c>
      <c r="J1111" s="8" t="inlineStr">
        <is>
          <t>Mobile App</t>
        </is>
      </c>
      <c r="K1111" s="8" t="inlineStr">
        <is>
          <t>REG-APAC</t>
        </is>
      </c>
    </row>
    <row r="1112">
      <c r="A1112" s="8" t="inlineStr">
        <is>
          <t>ORD-000560</t>
        </is>
      </c>
      <c r="B1112" s="8" t="inlineStr">
        <is>
          <t>2025-04-08</t>
        </is>
      </c>
      <c r="C1112" s="8" t="inlineStr">
        <is>
          <t>CUST-03725</t>
        </is>
      </c>
      <c r="D1112" s="8" t="inlineStr">
        <is>
          <t>Donna White</t>
        </is>
      </c>
      <c r="E1112" s="8" t="inlineStr">
        <is>
          <t>PRD-0086</t>
        </is>
      </c>
      <c r="F1112" s="8" t="inlineStr">
        <is>
          <t>1</t>
        </is>
      </c>
      <c r="G1112" s="9" t="n">
        <v>996.2</v>
      </c>
      <c r="H1112" s="8" t="inlineStr">
        <is>
          <t>0.0</t>
        </is>
      </c>
      <c r="I1112" s="8" t="inlineStr">
        <is>
          <t>Standard Ground</t>
        </is>
      </c>
      <c r="J1112" s="8" t="inlineStr">
        <is>
          <t>Direct Web</t>
        </is>
      </c>
      <c r="K1112" s="8" t="inlineStr">
        <is>
          <t>REG-NA</t>
        </is>
      </c>
    </row>
    <row r="1113">
      <c r="A1113" s="8" t="inlineStr">
        <is>
          <t>ORD-000560</t>
        </is>
      </c>
      <c r="B1113" s="8" t="inlineStr">
        <is>
          <t>2025-04-08</t>
        </is>
      </c>
      <c r="C1113" s="8" t="inlineStr">
        <is>
          <t>CUST-03725</t>
        </is>
      </c>
      <c r="D1113" s="8" t="inlineStr">
        <is>
          <t>Donna White</t>
        </is>
      </c>
      <c r="E1113" s="8" t="inlineStr">
        <is>
          <t>PRD-0041</t>
        </is>
      </c>
      <c r="F1113" s="8" t="inlineStr">
        <is>
          <t>2</t>
        </is>
      </c>
      <c r="G1113" s="9" t="n">
        <v>71.67</v>
      </c>
      <c r="H1113" s="8" t="inlineStr">
        <is>
          <t>0.15</t>
        </is>
      </c>
      <c r="I1113" s="8" t="inlineStr">
        <is>
          <t>Standard Ground</t>
        </is>
      </c>
      <c r="J1113" s="8" t="inlineStr">
        <is>
          <t>Direct Web</t>
        </is>
      </c>
      <c r="K1113" s="8" t="inlineStr">
        <is>
          <t>REG-NA</t>
        </is>
      </c>
    </row>
    <row r="1114">
      <c r="A1114" s="8" t="inlineStr">
        <is>
          <t>ORD-000561</t>
        </is>
      </c>
      <c r="B1114" s="8" t="inlineStr">
        <is>
          <t>24-01-2025</t>
        </is>
      </c>
      <c r="C1114" s="8" t="inlineStr">
        <is>
          <t>CUST-02154</t>
        </is>
      </c>
      <c r="D1114" s="8" t="inlineStr">
        <is>
          <t>Emma Jimenez</t>
        </is>
      </c>
      <c r="E1114" s="8" t="inlineStr">
        <is>
          <t>PRD-0042</t>
        </is>
      </c>
      <c r="F1114" s="8" t="inlineStr">
        <is>
          <t>1</t>
        </is>
      </c>
      <c r="G1114" s="9" t="n">
        <v>758.99</v>
      </c>
      <c r="H1114" s="8" t="inlineStr">
        <is>
          <t>0.05</t>
        </is>
      </c>
      <c r="I1114" s="8" t="inlineStr">
        <is>
          <t>Express Air</t>
        </is>
      </c>
      <c r="J1114" s="8" t="inlineStr">
        <is>
          <t>Affiliate Partner</t>
        </is>
      </c>
      <c r="K1114" s="8" t="inlineStr">
        <is>
          <t>REG-NA</t>
        </is>
      </c>
    </row>
    <row r="1115">
      <c r="A1115" s="8" t="inlineStr">
        <is>
          <t>ORD-000562</t>
        </is>
      </c>
      <c r="B1115" s="8" t="inlineStr">
        <is>
          <t>2023-03-17</t>
        </is>
      </c>
      <c r="C1115" s="8" t="inlineStr">
        <is>
          <t>CUST-00500</t>
        </is>
      </c>
      <c r="D1115" s="8" t="inlineStr">
        <is>
          <t>Joseph Thompson</t>
        </is>
      </c>
      <c r="E1115" s="8" t="inlineStr">
        <is>
          <t>PRD-0452</t>
        </is>
      </c>
      <c r="F1115" s="8" t="inlineStr">
        <is>
          <t>1</t>
        </is>
      </c>
      <c r="G1115" s="9" t="n">
        <v>52.31</v>
      </c>
      <c r="H1115" s="8" t="inlineStr">
        <is>
          <t>0.05</t>
        </is>
      </c>
      <c r="I1115" s="8" t="inlineStr">
        <is>
          <t>Standard Ground</t>
        </is>
      </c>
      <c r="J1115" s="8" t="inlineStr">
        <is>
          <t>Mobile App</t>
        </is>
      </c>
      <c r="K1115" s="8" t="inlineStr">
        <is>
          <t>REG-NA</t>
        </is>
      </c>
    </row>
    <row r="1116">
      <c r="A1116" s="8" t="inlineStr">
        <is>
          <t>ORD-000563</t>
        </is>
      </c>
      <c r="B1116" s="8" t="inlineStr">
        <is>
          <t>2024-03-26</t>
        </is>
      </c>
      <c r="C1116" s="8" t="inlineStr">
        <is>
          <t>CUST-05133</t>
        </is>
      </c>
      <c r="D1116" s="8" t="inlineStr">
        <is>
          <t>Justin Taylor</t>
        </is>
      </c>
      <c r="E1116" s="8" t="inlineStr">
        <is>
          <t>PRD-0338</t>
        </is>
      </c>
      <c r="F1116" s="8" t="inlineStr">
        <is>
          <t>1</t>
        </is>
      </c>
      <c r="G1116" s="9" t="n">
        <v>76.98999999999999</v>
      </c>
      <c r="H1116" s="8" t="inlineStr">
        <is>
          <t>0.1</t>
        </is>
      </c>
      <c r="I1116" s="8" t="inlineStr">
        <is>
          <t>Express Air</t>
        </is>
      </c>
      <c r="J1116" s="8" t="inlineStr">
        <is>
          <t>Direct Web</t>
        </is>
      </c>
      <c r="K1116" s="8" t="inlineStr">
        <is>
          <t>REG-APAC</t>
        </is>
      </c>
    </row>
    <row r="1117">
      <c r="A1117" s="8" t="inlineStr">
        <is>
          <t>ORD-000563</t>
        </is>
      </c>
      <c r="B1117" s="8" t="inlineStr">
        <is>
          <t>2024-03-26</t>
        </is>
      </c>
      <c r="C1117" s="8" t="inlineStr">
        <is>
          <t>CUST-05133</t>
        </is>
      </c>
      <c r="D1117" s="8" t="inlineStr">
        <is>
          <t>Justin Taylor</t>
        </is>
      </c>
      <c r="E1117" s="8" t="inlineStr">
        <is>
          <t>PRD-0359</t>
        </is>
      </c>
      <c r="F1117" s="8" t="inlineStr">
        <is>
          <t>2</t>
        </is>
      </c>
      <c r="G1117" s="9" t="n">
        <v>1075.75</v>
      </c>
      <c r="H1117" s="8" t="inlineStr">
        <is>
          <t>0.1</t>
        </is>
      </c>
      <c r="I1117" s="8" t="inlineStr">
        <is>
          <t>Express Air</t>
        </is>
      </c>
      <c r="J1117" s="8" t="inlineStr">
        <is>
          <t>Direct Web</t>
        </is>
      </c>
      <c r="K1117" s="8" t="inlineStr">
        <is>
          <t>REG-APAC</t>
        </is>
      </c>
    </row>
    <row r="1118">
      <c r="A1118" s="8" t="inlineStr">
        <is>
          <t>ORD-000564</t>
        </is>
      </c>
      <c r="B1118" s="8" t="inlineStr">
        <is>
          <t>2023-06-12</t>
        </is>
      </c>
      <c r="C1118" s="8" t="inlineStr">
        <is>
          <t>CUST-02510</t>
        </is>
      </c>
      <c r="D1118" s="8" t="inlineStr">
        <is>
          <t>Barbara Mendoza</t>
        </is>
      </c>
      <c r="E1118" s="8" t="inlineStr">
        <is>
          <t>PRD-0414</t>
        </is>
      </c>
      <c r="F1118" s="8" t="inlineStr">
        <is>
          <t>1</t>
        </is>
      </c>
      <c r="G1118" s="9" t="n">
        <v>101.77</v>
      </c>
      <c r="H1118" s="8" t="inlineStr">
        <is>
          <t>0.05</t>
        </is>
      </c>
      <c r="I1118" s="8" t="inlineStr">
        <is>
          <t>Standard Ground</t>
        </is>
      </c>
      <c r="J1118" s="8" t="inlineStr">
        <is>
          <t>Mobile App</t>
        </is>
      </c>
      <c r="K1118" s="8" t="inlineStr">
        <is>
          <t>REG-NA</t>
        </is>
      </c>
    </row>
    <row r="1119">
      <c r="A1119" s="8" t="inlineStr">
        <is>
          <t>ORD-000564</t>
        </is>
      </c>
      <c r="B1119" s="8" t="inlineStr">
        <is>
          <t>2023-06-12</t>
        </is>
      </c>
      <c r="C1119" s="8" t="inlineStr">
        <is>
          <t>CUST-02510</t>
        </is>
      </c>
      <c r="D1119" s="8" t="inlineStr">
        <is>
          <t>Barbara Mendoza</t>
        </is>
      </c>
      <c r="E1119" s="8" t="inlineStr">
        <is>
          <t>PRD-0365</t>
        </is>
      </c>
      <c r="F1119" s="8" t="inlineStr">
        <is>
          <t>1</t>
        </is>
      </c>
      <c r="G1119" s="9" t="n">
        <v>81.7</v>
      </c>
      <c r="H1119" s="8" t="inlineStr">
        <is>
          <t>0.15</t>
        </is>
      </c>
      <c r="I1119" s="8" t="inlineStr">
        <is>
          <t>Standard Ground</t>
        </is>
      </c>
      <c r="J1119" s="8" t="inlineStr">
        <is>
          <t>Mobile App</t>
        </is>
      </c>
      <c r="K1119" s="8" t="inlineStr">
        <is>
          <t>REG-NA</t>
        </is>
      </c>
    </row>
    <row r="1120">
      <c r="A1120" s="8" t="inlineStr">
        <is>
          <t>ORD-000564</t>
        </is>
      </c>
      <c r="B1120" s="8" t="inlineStr">
        <is>
          <t>2023-06-12</t>
        </is>
      </c>
      <c r="C1120" s="8" t="inlineStr">
        <is>
          <t>CUST-02510</t>
        </is>
      </c>
      <c r="D1120" s="8" t="inlineStr">
        <is>
          <t>Barbara Mendoza</t>
        </is>
      </c>
      <c r="E1120" s="8" t="inlineStr">
        <is>
          <t>PRD-0158</t>
        </is>
      </c>
      <c r="F1120" s="8" t="inlineStr">
        <is>
          <t>1</t>
        </is>
      </c>
      <c r="G1120" s="9" t="n">
        <v>68.3</v>
      </c>
      <c r="H1120" s="8" t="inlineStr">
        <is>
          <t>0.0</t>
        </is>
      </c>
      <c r="I1120" s="8" t="inlineStr">
        <is>
          <t>Standard Ground</t>
        </is>
      </c>
      <c r="J1120" s="8" t="inlineStr">
        <is>
          <t>Mobile App</t>
        </is>
      </c>
      <c r="K1120" s="8" t="inlineStr">
        <is>
          <t>REG-NA</t>
        </is>
      </c>
    </row>
    <row r="1121">
      <c r="A1121" s="8" t="inlineStr">
        <is>
          <t>ORD-000565</t>
        </is>
      </c>
      <c r="B1121" s="8" t="inlineStr">
        <is>
          <t>2024-04-18</t>
        </is>
      </c>
      <c r="C1121" s="8" t="inlineStr">
        <is>
          <t>CUST-01604</t>
        </is>
      </c>
      <c r="D1121" s="8" t="inlineStr">
        <is>
          <t xml:space="preserve">  linda anderson  </t>
        </is>
      </c>
      <c r="E1121" s="8" t="inlineStr">
        <is>
          <t>PRD-0257</t>
        </is>
      </c>
      <c r="F1121" s="8" t="inlineStr">
        <is>
          <t>1</t>
        </is>
      </c>
      <c r="G1121" s="9" t="n">
        <v>31.28</v>
      </c>
      <c r="H1121" s="8" t="inlineStr">
        <is>
          <t>0.2</t>
        </is>
      </c>
      <c r="I1121" s="8" t="inlineStr">
        <is>
          <t>Express Air</t>
        </is>
      </c>
      <c r="J1121" s="8" t="inlineStr">
        <is>
          <t>Mobile App</t>
        </is>
      </c>
      <c r="K1121" s="8" t="inlineStr">
        <is>
          <t>REG-NA</t>
        </is>
      </c>
    </row>
    <row r="1122">
      <c r="A1122" s="8" t="inlineStr">
        <is>
          <t>ORD-000566</t>
        </is>
      </c>
      <c r="B1122" s="8" t="inlineStr">
        <is>
          <t>2024-10-06</t>
        </is>
      </c>
      <c r="C1122" s="8" t="inlineStr">
        <is>
          <t>CUST-00720</t>
        </is>
      </c>
      <c r="D1122" s="8" t="inlineStr">
        <is>
          <t>Brian Cook</t>
        </is>
      </c>
      <c r="E1122" s="8" t="inlineStr">
        <is>
          <t>PRD-0151</t>
        </is>
      </c>
      <c r="F1122" s="8" t="inlineStr">
        <is>
          <t>1</t>
        </is>
      </c>
      <c r="G1122" s="9" t="n">
        <v>643.51</v>
      </c>
      <c r="H1122" s="8" t="inlineStr">
        <is>
          <t>0.15</t>
        </is>
      </c>
      <c r="I1122" s="8" t="inlineStr">
        <is>
          <t>Standard Ground</t>
        </is>
      </c>
      <c r="J1122" s="8" t="inlineStr">
        <is>
          <t>Mobile App</t>
        </is>
      </c>
      <c r="K1122" s="8" t="inlineStr">
        <is>
          <t>REG-EU</t>
        </is>
      </c>
    </row>
    <row r="1123">
      <c r="A1123" s="8" t="inlineStr">
        <is>
          <t>ORD-000566</t>
        </is>
      </c>
      <c r="B1123" s="8" t="inlineStr">
        <is>
          <t>2024-10-06</t>
        </is>
      </c>
      <c r="C1123" s="8" t="inlineStr">
        <is>
          <t>CUST-00720</t>
        </is>
      </c>
      <c r="D1123" s="8" t="inlineStr">
        <is>
          <t>Brian Cook</t>
        </is>
      </c>
      <c r="E1123" s="8" t="inlineStr">
        <is>
          <t>PRD-0418</t>
        </is>
      </c>
      <c r="F1123" s="8" t="inlineStr">
        <is>
          <t>1</t>
        </is>
      </c>
      <c r="G1123" s="9" t="n">
        <v>287.35</v>
      </c>
      <c r="H1123" s="8" t="inlineStr">
        <is>
          <t>0%</t>
        </is>
      </c>
      <c r="I1123" s="8" t="inlineStr">
        <is>
          <t>Standard Ground</t>
        </is>
      </c>
      <c r="J1123" s="8" t="inlineStr">
        <is>
          <t>Mobile App</t>
        </is>
      </c>
      <c r="K1123" s="8" t="inlineStr">
        <is>
          <t>REG-EU</t>
        </is>
      </c>
    </row>
    <row r="1124">
      <c r="A1124" s="8" t="inlineStr">
        <is>
          <t>ORD-000567</t>
        </is>
      </c>
      <c r="B1124" s="8" t="inlineStr">
        <is>
          <t>2023-05-25</t>
        </is>
      </c>
      <c r="C1124" s="8" t="inlineStr">
        <is>
          <t>CUST-01204</t>
        </is>
      </c>
      <c r="D1124" s="8" t="inlineStr">
        <is>
          <t>Brian Jimenez</t>
        </is>
      </c>
      <c r="E1124" s="8" t="inlineStr">
        <is>
          <t>PRD-0350</t>
        </is>
      </c>
      <c r="F1124" s="8" t="inlineStr">
        <is>
          <t>2</t>
        </is>
      </c>
      <c r="G1124" s="9" t="n">
        <v>66.90000000000001</v>
      </c>
      <c r="H1124" s="8" t="inlineStr">
        <is>
          <t>0.1</t>
        </is>
      </c>
      <c r="I1124" s="8" t="inlineStr">
        <is>
          <t>Standard Ground</t>
        </is>
      </c>
      <c r="J1124" s="8" t="inlineStr">
        <is>
          <t>Direct Web</t>
        </is>
      </c>
      <c r="K1124" s="8" t="inlineStr">
        <is>
          <t>REG-LATAM</t>
        </is>
      </c>
    </row>
    <row r="1125">
      <c r="A1125" s="8" t="inlineStr">
        <is>
          <t>ORD-000567</t>
        </is>
      </c>
      <c r="B1125" s="8" t="inlineStr">
        <is>
          <t>2023-05-25</t>
        </is>
      </c>
      <c r="C1125" s="8" t="inlineStr">
        <is>
          <t>CUST-01204</t>
        </is>
      </c>
      <c r="D1125" s="8" t="inlineStr">
        <is>
          <t>Brian Jimenez</t>
        </is>
      </c>
      <c r="E1125" s="8" t="inlineStr">
        <is>
          <t>PRD-0173</t>
        </is>
      </c>
      <c r="F1125" s="8" t="inlineStr">
        <is>
          <t>1</t>
        </is>
      </c>
      <c r="G1125" s="9" t="n">
        <v>62.36</v>
      </c>
      <c r="H1125" s="8" t="inlineStr">
        <is>
          <t>0.0</t>
        </is>
      </c>
      <c r="I1125" s="8" t="inlineStr">
        <is>
          <t>Standard Ground</t>
        </is>
      </c>
      <c r="J1125" s="8" t="inlineStr">
        <is>
          <t>Direct Web</t>
        </is>
      </c>
      <c r="K1125" s="8" t="inlineStr">
        <is>
          <t>REG-LATAM</t>
        </is>
      </c>
    </row>
    <row r="1126">
      <c r="A1126" s="8" t="inlineStr">
        <is>
          <t>ORD-000567</t>
        </is>
      </c>
      <c r="B1126" s="8" t="inlineStr">
        <is>
          <t>2023-05-25</t>
        </is>
      </c>
      <c r="C1126" s="8" t="inlineStr">
        <is>
          <t>CUST-01204</t>
        </is>
      </c>
      <c r="D1126" s="8" t="inlineStr">
        <is>
          <t>Brian Jimenez</t>
        </is>
      </c>
      <c r="E1126" s="8" t="inlineStr">
        <is>
          <t>PRD-0250</t>
        </is>
      </c>
      <c r="F1126" s="8" t="inlineStr">
        <is>
          <t>1</t>
        </is>
      </c>
      <c r="G1126" s="9" t="n">
        <v>91.75</v>
      </c>
      <c r="H1126" s="8" t="inlineStr">
        <is>
          <t>0.0</t>
        </is>
      </c>
      <c r="I1126" s="8" t="inlineStr">
        <is>
          <t>Standard Ground</t>
        </is>
      </c>
      <c r="J1126" s="8" t="inlineStr">
        <is>
          <t>Direct Web</t>
        </is>
      </c>
      <c r="K1126" s="8" t="inlineStr">
        <is>
          <t>REG-LATAM</t>
        </is>
      </c>
    </row>
    <row r="1127">
      <c r="A1127" s="8" t="inlineStr">
        <is>
          <t>ORD-000567</t>
        </is>
      </c>
      <c r="B1127" s="8" t="inlineStr">
        <is>
          <t>2023-05-25</t>
        </is>
      </c>
      <c r="C1127" s="8" t="inlineStr">
        <is>
          <t>CUST-01204</t>
        </is>
      </c>
      <c r="D1127" s="8" t="inlineStr">
        <is>
          <t>Brian Jimenez</t>
        </is>
      </c>
      <c r="E1127" s="8" t="inlineStr">
        <is>
          <t>PRD-0032</t>
        </is>
      </c>
      <c r="F1127" s="8" t="inlineStr">
        <is>
          <t>1</t>
        </is>
      </c>
      <c r="G1127" s="9" t="n">
        <v>226.36</v>
      </c>
      <c r="H1127" s="8" t="inlineStr">
        <is>
          <t>0.15</t>
        </is>
      </c>
      <c r="I1127" s="8" t="inlineStr">
        <is>
          <t>Standard Ground</t>
        </is>
      </c>
      <c r="J1127" s="8" t="inlineStr">
        <is>
          <t>Direct Web</t>
        </is>
      </c>
      <c r="K1127" s="8" t="inlineStr">
        <is>
          <t>REG-LATAM</t>
        </is>
      </c>
    </row>
    <row r="1128">
      <c r="A1128" s="8" t="inlineStr">
        <is>
          <t>ORD-000567</t>
        </is>
      </c>
      <c r="B1128" s="8" t="inlineStr">
        <is>
          <t>2023-05-25</t>
        </is>
      </c>
      <c r="C1128" s="8" t="inlineStr">
        <is>
          <t>CUST-01204</t>
        </is>
      </c>
      <c r="D1128" s="8" t="inlineStr">
        <is>
          <t>Brian Jimenez</t>
        </is>
      </c>
      <c r="E1128" s="8" t="inlineStr">
        <is>
          <t>PRD-0287</t>
        </is>
      </c>
      <c r="F1128" s="8" t="inlineStr">
        <is>
          <t>2</t>
        </is>
      </c>
      <c r="G1128" s="9" t="n">
        <v>214.91</v>
      </c>
      <c r="H1128" s="8" t="inlineStr">
        <is>
          <t>0.05</t>
        </is>
      </c>
      <c r="I1128" s="8" t="inlineStr">
        <is>
          <t>Standard Ground</t>
        </is>
      </c>
      <c r="J1128" s="8" t="inlineStr">
        <is>
          <t>Direct Web</t>
        </is>
      </c>
      <c r="K1128" s="8" t="inlineStr">
        <is>
          <t>REG-LATAM</t>
        </is>
      </c>
    </row>
    <row r="1129">
      <c r="A1129" s="8" t="inlineStr">
        <is>
          <t>ORD-000568</t>
        </is>
      </c>
      <c r="B1129" s="8" t="inlineStr">
        <is>
          <t>2024-05-20</t>
        </is>
      </c>
      <c r="C1129" s="8" t="inlineStr">
        <is>
          <t>CUST-00817</t>
        </is>
      </c>
      <c r="D1129" s="8" t="inlineStr">
        <is>
          <t>Charles Kim</t>
        </is>
      </c>
      <c r="E1129" s="8" t="inlineStr">
        <is>
          <t>PRD-0128</t>
        </is>
      </c>
      <c r="F1129" s="8" t="inlineStr">
        <is>
          <t>1</t>
        </is>
      </c>
      <c r="G1129" s="9" t="n">
        <v>570.3200000000001</v>
      </c>
      <c r="H1129" s="8" t="inlineStr">
        <is>
          <t>0.0</t>
        </is>
      </c>
      <c r="I1129" s="8" t="inlineStr">
        <is>
          <t>Standard Ground</t>
        </is>
      </c>
      <c r="J1129" s="8" t="inlineStr">
        <is>
          <t>Mobile App</t>
        </is>
      </c>
      <c r="K1129" s="8" t="inlineStr">
        <is>
          <t>REG-EU</t>
        </is>
      </c>
    </row>
    <row r="1130">
      <c r="A1130" s="8" t="inlineStr">
        <is>
          <t>ORD-000568</t>
        </is>
      </c>
      <c r="B1130" s="8" t="inlineStr">
        <is>
          <t>2024-05-20</t>
        </is>
      </c>
      <c r="C1130" s="8" t="inlineStr">
        <is>
          <t>CUST-00817</t>
        </is>
      </c>
      <c r="D1130" s="8" t="inlineStr">
        <is>
          <t>Charles Kim</t>
        </is>
      </c>
      <c r="E1130" s="8" t="inlineStr">
        <is>
          <t>PRD-0469</t>
        </is>
      </c>
      <c r="F1130" s="8" t="inlineStr">
        <is>
          <t>1</t>
        </is>
      </c>
      <c r="G1130" s="9" t="n">
        <v>892.14</v>
      </c>
      <c r="H1130" s="8" t="inlineStr">
        <is>
          <t>0.15</t>
        </is>
      </c>
      <c r="I1130" s="8" t="inlineStr">
        <is>
          <t>Standard Ground</t>
        </is>
      </c>
      <c r="J1130" s="8" t="inlineStr">
        <is>
          <t>Mobile App</t>
        </is>
      </c>
      <c r="K1130" s="8" t="inlineStr">
        <is>
          <t>REG-EU</t>
        </is>
      </c>
    </row>
    <row r="1131">
      <c r="A1131" s="8" t="inlineStr">
        <is>
          <t>ORD-000568</t>
        </is>
      </c>
      <c r="B1131" s="8" t="inlineStr">
        <is>
          <t>2024-05-20</t>
        </is>
      </c>
      <c r="C1131" s="8" t="inlineStr">
        <is>
          <t>CUST-00817</t>
        </is>
      </c>
      <c r="D1131" s="8" t="inlineStr">
        <is>
          <t>Charles Kim</t>
        </is>
      </c>
      <c r="E1131" s="8" t="inlineStr">
        <is>
          <t>PRD-0223</t>
        </is>
      </c>
      <c r="F1131" s="8" t="inlineStr">
        <is>
          <t>1</t>
        </is>
      </c>
      <c r="G1131" s="9" t="n">
        <v>31.04</v>
      </c>
      <c r="H1131" s="8" t="inlineStr">
        <is>
          <t>0.0</t>
        </is>
      </c>
      <c r="I1131" s="8" t="inlineStr">
        <is>
          <t>Standard Ground</t>
        </is>
      </c>
      <c r="J1131" s="8" t="inlineStr">
        <is>
          <t>Mobile App</t>
        </is>
      </c>
      <c r="K1131" s="8" t="inlineStr">
        <is>
          <t>REG-EU</t>
        </is>
      </c>
    </row>
    <row r="1132">
      <c r="A1132" s="8" t="inlineStr">
        <is>
          <t>ORD-000568</t>
        </is>
      </c>
      <c r="B1132" s="8" t="inlineStr">
        <is>
          <t>2024-05-20</t>
        </is>
      </c>
      <c r="C1132" s="8" t="inlineStr">
        <is>
          <t>CUST-00817</t>
        </is>
      </c>
      <c r="D1132" s="8" t="inlineStr">
        <is>
          <t>Charles Kim</t>
        </is>
      </c>
      <c r="E1132" s="8" t="inlineStr">
        <is>
          <t>PRD-0432</t>
        </is>
      </c>
      <c r="F1132" s="8" t="inlineStr">
        <is>
          <t>3</t>
        </is>
      </c>
      <c r="G1132" s="9" t="n">
        <v>25.28</v>
      </c>
      <c r="H1132" s="8" t="inlineStr">
        <is>
          <t>0.05</t>
        </is>
      </c>
      <c r="I1132" s="8" t="inlineStr">
        <is>
          <t>Standard Ground</t>
        </is>
      </c>
      <c r="J1132" s="8" t="inlineStr">
        <is>
          <t>Mobile App</t>
        </is>
      </c>
      <c r="K1132" s="8" t="inlineStr">
        <is>
          <t>REG-EU</t>
        </is>
      </c>
    </row>
    <row r="1133">
      <c r="A1133" s="8" t="inlineStr">
        <is>
          <t>ORD-000569</t>
        </is>
      </c>
      <c r="B1133" s="8" t="inlineStr">
        <is>
          <t>2023-03-25</t>
        </is>
      </c>
      <c r="C1133" s="8" t="inlineStr">
        <is>
          <t>CUST-04656</t>
        </is>
      </c>
      <c r="D1133" s="8" t="inlineStr">
        <is>
          <t>Richard Ruiz</t>
        </is>
      </c>
      <c r="E1133" s="8" t="inlineStr">
        <is>
          <t>PRD-0058</t>
        </is>
      </c>
      <c r="F1133" s="8" t="inlineStr">
        <is>
          <t>2</t>
        </is>
      </c>
      <c r="G1133" s="9" t="n">
        <v>809.52</v>
      </c>
      <c r="H1133" s="8" t="inlineStr">
        <is>
          <t>0.05</t>
        </is>
      </c>
      <c r="I1133" s="8" t="inlineStr">
        <is>
          <t>Express Air</t>
        </is>
      </c>
      <c r="J1133" s="8" t="inlineStr">
        <is>
          <t>Direct Web</t>
        </is>
      </c>
      <c r="K1133" s="8" t="inlineStr">
        <is>
          <t>REG-EU</t>
        </is>
      </c>
    </row>
    <row r="1134">
      <c r="A1134" s="8" t="inlineStr">
        <is>
          <t>ORD-000569</t>
        </is>
      </c>
      <c r="B1134" s="8" t="inlineStr">
        <is>
          <t>2023-03-25</t>
        </is>
      </c>
      <c r="C1134" s="8" t="inlineStr">
        <is>
          <t>CUST-04656</t>
        </is>
      </c>
      <c r="D1134" s="8" t="inlineStr">
        <is>
          <t>Richard Ruiz</t>
        </is>
      </c>
      <c r="E1134" s="8" t="inlineStr">
        <is>
          <t>PRD-0088</t>
        </is>
      </c>
      <c r="F1134" s="8" t="inlineStr">
        <is>
          <t>1</t>
        </is>
      </c>
      <c r="G1134" s="9" t="n">
        <v>952.03</v>
      </c>
      <c r="H1134" s="8" t="inlineStr">
        <is>
          <t>0.0</t>
        </is>
      </c>
      <c r="I1134" s="8" t="inlineStr">
        <is>
          <t>Express Air</t>
        </is>
      </c>
      <c r="J1134" s="8" t="inlineStr">
        <is>
          <t>Direct Web</t>
        </is>
      </c>
      <c r="K1134" s="8" t="inlineStr">
        <is>
          <t>REG-EU</t>
        </is>
      </c>
    </row>
    <row r="1135">
      <c r="A1135" s="8" t="inlineStr">
        <is>
          <t>ORD-000569</t>
        </is>
      </c>
      <c r="B1135" s="8" t="inlineStr">
        <is>
          <t>2023-03-25</t>
        </is>
      </c>
      <c r="C1135" s="8" t="inlineStr">
        <is>
          <t>CUST-04656</t>
        </is>
      </c>
      <c r="D1135" s="8" t="inlineStr">
        <is>
          <t>Richard Ruiz</t>
        </is>
      </c>
      <c r="E1135" s="8" t="inlineStr">
        <is>
          <t>PRD-0301</t>
        </is>
      </c>
      <c r="F1135" s="8" t="inlineStr">
        <is>
          <t>1</t>
        </is>
      </c>
      <c r="G1135" s="9" t="n">
        <v>528.29</v>
      </c>
      <c r="H1135" s="8" t="inlineStr">
        <is>
          <t>0.0</t>
        </is>
      </c>
      <c r="I1135" s="8" t="inlineStr">
        <is>
          <t>Express Air</t>
        </is>
      </c>
      <c r="J1135" s="8" t="inlineStr">
        <is>
          <t>Direct Web</t>
        </is>
      </c>
      <c r="K1135" s="8" t="inlineStr">
        <is>
          <t>REG-EU</t>
        </is>
      </c>
    </row>
    <row r="1136">
      <c r="A1136" s="8" t="inlineStr">
        <is>
          <t>ORD-000570</t>
        </is>
      </c>
      <c r="B1136" s="8" t="inlineStr">
        <is>
          <t>2025-08-12</t>
        </is>
      </c>
      <c r="C1136" s="8" t="inlineStr">
        <is>
          <t>CUST-05199</t>
        </is>
      </c>
      <c r="D1136" s="8" t="inlineStr">
        <is>
          <t>Steven Ward</t>
        </is>
      </c>
      <c r="E1136" s="8" t="inlineStr">
        <is>
          <t>PRD-0065</t>
        </is>
      </c>
      <c r="F1136" s="8" t="inlineStr">
        <is>
          <t>2</t>
        </is>
      </c>
      <c r="G1136" s="9" t="n">
        <v>184.25</v>
      </c>
      <c r="H1136" s="8" t="inlineStr">
        <is>
          <t>0.0</t>
        </is>
      </c>
      <c r="I1136" s="8" t="inlineStr">
        <is>
          <t>Express Air</t>
        </is>
      </c>
      <c r="J1136" s="8" t="inlineStr">
        <is>
          <t>Direct Web</t>
        </is>
      </c>
      <c r="K1136" s="8" t="inlineStr">
        <is>
          <t>REG-NA</t>
        </is>
      </c>
    </row>
    <row r="1137">
      <c r="A1137" s="8" t="inlineStr">
        <is>
          <t>ORD-000570</t>
        </is>
      </c>
      <c r="B1137" s="8" t="inlineStr">
        <is>
          <t>2025-08-12</t>
        </is>
      </c>
      <c r="C1137" s="8" t="inlineStr">
        <is>
          <t>CUST-05199</t>
        </is>
      </c>
      <c r="D1137" s="8" t="inlineStr">
        <is>
          <t>Steven Ward</t>
        </is>
      </c>
      <c r="E1137" s="8" t="inlineStr">
        <is>
          <t>PRD-0316</t>
        </is>
      </c>
      <c r="F1137" s="8" t="inlineStr">
        <is>
          <t>1</t>
        </is>
      </c>
      <c r="G1137" s="9" t="n">
        <v>575.96</v>
      </c>
      <c r="H1137" s="8" t="inlineStr">
        <is>
          <t>0.0</t>
        </is>
      </c>
      <c r="I1137" s="8" t="inlineStr">
        <is>
          <t>Express Air</t>
        </is>
      </c>
      <c r="J1137" s="8" t="inlineStr">
        <is>
          <t>Direct Web</t>
        </is>
      </c>
      <c r="K1137" s="8" t="inlineStr">
        <is>
          <t>REG-NA</t>
        </is>
      </c>
    </row>
    <row r="1138">
      <c r="A1138" s="8" t="inlineStr">
        <is>
          <t>ORD-000570</t>
        </is>
      </c>
      <c r="B1138" s="8" t="inlineStr">
        <is>
          <t>2025-08-12</t>
        </is>
      </c>
      <c r="C1138" s="8" t="inlineStr">
        <is>
          <t>CUST-05199</t>
        </is>
      </c>
      <c r="D1138" s="8" t="inlineStr">
        <is>
          <t>Steven Ward</t>
        </is>
      </c>
      <c r="E1138" s="8" t="inlineStr">
        <is>
          <t>PRD-0070</t>
        </is>
      </c>
      <c r="F1138" s="8" t="inlineStr">
        <is>
          <t>2</t>
        </is>
      </c>
      <c r="G1138" s="9" t="n">
        <v>70.34999999999999</v>
      </c>
      <c r="H1138" s="8" t="inlineStr">
        <is>
          <t>0.0</t>
        </is>
      </c>
      <c r="I1138" s="8" t="inlineStr">
        <is>
          <t>Express Air</t>
        </is>
      </c>
      <c r="J1138" s="8" t="inlineStr">
        <is>
          <t>Direct Web</t>
        </is>
      </c>
      <c r="K1138" s="8" t="inlineStr">
        <is>
          <t>REG-NA</t>
        </is>
      </c>
    </row>
    <row r="1139">
      <c r="A1139" s="8" t="inlineStr">
        <is>
          <t>ORD-000571</t>
        </is>
      </c>
      <c r="B1139" s="8" t="inlineStr">
        <is>
          <t>2023-11-26</t>
        </is>
      </c>
      <c r="C1139" s="8" t="inlineStr">
        <is>
          <t>CUST-07309</t>
        </is>
      </c>
      <c r="D1139" s="8" t="inlineStr">
        <is>
          <t>Nicholas Bailey</t>
        </is>
      </c>
      <c r="E1139" s="8" t="inlineStr">
        <is>
          <t>PRD-0406</t>
        </is>
      </c>
      <c r="F1139" s="8" t="inlineStr">
        <is>
          <t>2</t>
        </is>
      </c>
      <c r="G1139" s="9" t="n">
        <v>666.52</v>
      </c>
      <c r="H1139" s="8" t="inlineStr">
        <is>
          <t>0.1</t>
        </is>
      </c>
      <c r="I1139" s="8" t="inlineStr">
        <is>
          <t>Standard Ground</t>
        </is>
      </c>
      <c r="J1139" s="8" t="inlineStr">
        <is>
          <t>Mobile App</t>
        </is>
      </c>
      <c r="K1139" s="8" t="inlineStr">
        <is>
          <t>REG-EU</t>
        </is>
      </c>
    </row>
    <row r="1140">
      <c r="A1140" s="8" t="inlineStr">
        <is>
          <t>ORD-000571</t>
        </is>
      </c>
      <c r="B1140" s="8" t="inlineStr">
        <is>
          <t>2023-11-26</t>
        </is>
      </c>
      <c r="C1140" s="8" t="inlineStr">
        <is>
          <t>CUST-07309</t>
        </is>
      </c>
      <c r="D1140" s="8" t="inlineStr">
        <is>
          <t>Nicholas Bailey</t>
        </is>
      </c>
      <c r="E1140" s="8" t="inlineStr">
        <is>
          <t>PRD-0351</t>
        </is>
      </c>
      <c r="F1140" s="8" t="inlineStr">
        <is>
          <t>2</t>
        </is>
      </c>
      <c r="G1140" s="9" t="n">
        <v>65.14</v>
      </c>
      <c r="H1140" s="8" t="inlineStr">
        <is>
          <t>0.05</t>
        </is>
      </c>
      <c r="I1140" s="8" t="inlineStr">
        <is>
          <t>Standard Ground</t>
        </is>
      </c>
      <c r="J1140" s="8" t="inlineStr">
        <is>
          <t>Mobile App</t>
        </is>
      </c>
      <c r="K1140" s="8" t="inlineStr">
        <is>
          <t>REG-EU</t>
        </is>
      </c>
    </row>
    <row r="1141">
      <c r="A1141" s="8" t="inlineStr">
        <is>
          <t>ORD-000571</t>
        </is>
      </c>
      <c r="B1141" s="8" t="inlineStr">
        <is>
          <t>2023-11-26</t>
        </is>
      </c>
      <c r="C1141" s="8" t="inlineStr">
        <is>
          <t>CUST-07309</t>
        </is>
      </c>
      <c r="D1141" s="8" t="inlineStr">
        <is>
          <t>Nicholas Bailey</t>
        </is>
      </c>
      <c r="E1141" s="8" t="inlineStr">
        <is>
          <t>PRD-0006</t>
        </is>
      </c>
      <c r="F1141" s="8" t="inlineStr">
        <is>
          <t>1</t>
        </is>
      </c>
      <c r="G1141" s="9" t="n">
        <v>64.34</v>
      </c>
      <c r="H1141" s="8" t="inlineStr">
        <is>
          <t>0.1</t>
        </is>
      </c>
      <c r="I1141" s="8" t="inlineStr">
        <is>
          <t>Standard Ground</t>
        </is>
      </c>
      <c r="J1141" s="8" t="inlineStr">
        <is>
          <t>Mobile App</t>
        </is>
      </c>
      <c r="K1141" s="8" t="inlineStr">
        <is>
          <t>REG-EU</t>
        </is>
      </c>
    </row>
    <row r="1142">
      <c r="A1142" s="8" t="inlineStr">
        <is>
          <t>ORD-000572</t>
        </is>
      </c>
      <c r="B1142" s="8" t="inlineStr">
        <is>
          <t>2025-12-29</t>
        </is>
      </c>
      <c r="C1142" s="8" t="inlineStr">
        <is>
          <t>CUST-06086</t>
        </is>
      </c>
      <c r="D1142" s="8" t="inlineStr">
        <is>
          <t>Sarah Ortiz</t>
        </is>
      </c>
      <c r="E1142" s="8" t="inlineStr">
        <is>
          <t>PRD-0322</t>
        </is>
      </c>
      <c r="F1142" s="8" t="inlineStr">
        <is>
          <t>1</t>
        </is>
      </c>
      <c r="G1142" s="9" t="n">
        <v>1239.4</v>
      </c>
      <c r="H1142" s="8" t="inlineStr">
        <is>
          <t>0.2</t>
        </is>
      </c>
      <c r="I1142" s="8" t="inlineStr">
        <is>
          <t>Standard Ground</t>
        </is>
      </c>
      <c r="J1142" s="8" t="inlineStr">
        <is>
          <t>B2B Portal</t>
        </is>
      </c>
      <c r="K1142" s="8" t="inlineStr">
        <is>
          <t>REG-LATAM</t>
        </is>
      </c>
    </row>
    <row r="1143">
      <c r="A1143" s="8" t="inlineStr">
        <is>
          <t>ORD-000573</t>
        </is>
      </c>
      <c r="B1143" s="8" t="inlineStr">
        <is>
          <t>2024-10-02</t>
        </is>
      </c>
      <c r="C1143" s="8" t="inlineStr">
        <is>
          <t>CUST-05931</t>
        </is>
      </c>
      <c r="D1143" s="8" t="inlineStr">
        <is>
          <t>Nicholas Diaz</t>
        </is>
      </c>
      <c r="E1143" s="8" t="inlineStr">
        <is>
          <t>PRD-0302</t>
        </is>
      </c>
      <c r="F1143" s="8" t="inlineStr">
        <is>
          <t>2</t>
        </is>
      </c>
      <c r="G1143" s="9" t="n">
        <v>51.82</v>
      </c>
      <c r="H1143" s="8" t="inlineStr">
        <is>
          <t>0.05</t>
        </is>
      </c>
      <c r="I1143" s="8" t="inlineStr">
        <is>
          <t>Freight</t>
        </is>
      </c>
      <c r="J1143" s="8" t="inlineStr">
        <is>
          <t>B2B Portal</t>
        </is>
      </c>
      <c r="K1143" s="8" t="inlineStr">
        <is>
          <t>REG-EU</t>
        </is>
      </c>
    </row>
    <row r="1144">
      <c r="A1144" s="8" t="inlineStr">
        <is>
          <t>ORD-000574</t>
        </is>
      </c>
      <c r="B1144" s="8" t="inlineStr">
        <is>
          <t>24-05-2025</t>
        </is>
      </c>
      <c r="C1144" s="8" t="inlineStr">
        <is>
          <t>CUST-06855</t>
        </is>
      </c>
      <c r="D1144" s="8" t="inlineStr">
        <is>
          <t>Susan Alvarez</t>
        </is>
      </c>
      <c r="E1144" s="8" t="inlineStr">
        <is>
          <t>PRD-0040</t>
        </is>
      </c>
      <c r="F1144" s="8" t="inlineStr">
        <is>
          <t>1</t>
        </is>
      </c>
      <c r="G1144" s="9" t="n">
        <v>28.56</v>
      </c>
      <c r="H1144" s="8" t="inlineStr">
        <is>
          <t>0.1</t>
        </is>
      </c>
      <c r="I1144" s="8" t="inlineStr">
        <is>
          <t>Standard Ground</t>
        </is>
      </c>
      <c r="J1144" s="8" t="inlineStr">
        <is>
          <t>Direct Web</t>
        </is>
      </c>
      <c r="K1144" s="8" t="inlineStr">
        <is>
          <t>REG-APAC</t>
        </is>
      </c>
    </row>
    <row r="1145">
      <c r="A1145" s="8" t="inlineStr">
        <is>
          <t>ORD-000574</t>
        </is>
      </c>
      <c r="B1145" s="8" t="inlineStr">
        <is>
          <t>24-05-2025</t>
        </is>
      </c>
      <c r="C1145" s="8" t="inlineStr">
        <is>
          <t>CUST-06855</t>
        </is>
      </c>
      <c r="D1145" s="8" t="inlineStr">
        <is>
          <t>Susan Alvarez</t>
        </is>
      </c>
      <c r="E1145" s="8" t="inlineStr">
        <is>
          <t>PRD-0185</t>
        </is>
      </c>
      <c r="F1145" s="8" t="inlineStr">
        <is>
          <t>1</t>
        </is>
      </c>
      <c r="G1145" s="9" t="n">
        <v>1296.57</v>
      </c>
      <c r="H1145" s="8" t="inlineStr">
        <is>
          <t>0.05</t>
        </is>
      </c>
      <c r="I1145" s="8" t="inlineStr">
        <is>
          <t>Standard Ground</t>
        </is>
      </c>
      <c r="J1145" s="8" t="inlineStr">
        <is>
          <t>Direct Web</t>
        </is>
      </c>
      <c r="K1145" s="8" t="inlineStr">
        <is>
          <t>REG-APAC</t>
        </is>
      </c>
    </row>
    <row r="1146">
      <c r="A1146" s="8" t="inlineStr">
        <is>
          <t>ORD-000575</t>
        </is>
      </c>
      <c r="B1146" s="8" t="inlineStr">
        <is>
          <t>2023-10-16</t>
        </is>
      </c>
      <c r="C1146" s="8" t="inlineStr">
        <is>
          <t>CUST-07051</t>
        </is>
      </c>
      <c r="D1146" s="8" t="inlineStr">
        <is>
          <t>Frank Nelson</t>
        </is>
      </c>
      <c r="E1146" s="8" t="inlineStr">
        <is>
          <t>PRD-0363</t>
        </is>
      </c>
      <c r="F1146" s="8" t="inlineStr">
        <is>
          <t>4</t>
        </is>
      </c>
      <c r="G1146" s="9" t="n">
        <v>40.42</v>
      </c>
      <c r="H1146" s="8" t="inlineStr">
        <is>
          <t>0.25</t>
        </is>
      </c>
      <c r="I1146" s="8" t="inlineStr">
        <is>
          <t>Express Air</t>
        </is>
      </c>
      <c r="J1146" s="8" t="inlineStr">
        <is>
          <t>Direct Web</t>
        </is>
      </c>
      <c r="K1146" s="8" t="inlineStr">
        <is>
          <t>REG-NA</t>
        </is>
      </c>
    </row>
    <row r="1147">
      <c r="A1147" s="8" t="inlineStr">
        <is>
          <t>ORD-000575</t>
        </is>
      </c>
      <c r="B1147" s="8" t="inlineStr">
        <is>
          <t>2023-10-16</t>
        </is>
      </c>
      <c r="C1147" s="8" t="inlineStr">
        <is>
          <t>CUST-07051</t>
        </is>
      </c>
      <c r="D1147" s="8" t="inlineStr">
        <is>
          <t>Frank Nelson</t>
        </is>
      </c>
      <c r="E1147" s="8" t="inlineStr">
        <is>
          <t>PRD-0308</t>
        </is>
      </c>
      <c r="F1147" s="8" t="inlineStr">
        <is>
          <t>5</t>
        </is>
      </c>
      <c r="G1147" s="9" t="n">
        <v>61.03</v>
      </c>
      <c r="H1147" s="8" t="inlineStr">
        <is>
          <t>0.05</t>
        </is>
      </c>
      <c r="I1147" s="8" t="inlineStr">
        <is>
          <t>Express Air</t>
        </is>
      </c>
      <c r="J1147" s="8" t="inlineStr">
        <is>
          <t>Direct Web</t>
        </is>
      </c>
      <c r="K1147" s="8" t="inlineStr">
        <is>
          <t>REG-NA</t>
        </is>
      </c>
    </row>
    <row r="1148">
      <c r="A1148" s="8" t="inlineStr">
        <is>
          <t>ORD-000575</t>
        </is>
      </c>
      <c r="B1148" s="8" t="inlineStr">
        <is>
          <t>2023-10-16</t>
        </is>
      </c>
      <c r="C1148" s="8" t="inlineStr">
        <is>
          <t>CUST-07051</t>
        </is>
      </c>
      <c r="D1148" s="8" t="inlineStr">
        <is>
          <t>Frank Nelson</t>
        </is>
      </c>
      <c r="E1148" s="8" t="inlineStr">
        <is>
          <t>PRD-0102</t>
        </is>
      </c>
      <c r="F1148" s="8" t="inlineStr">
        <is>
          <t>1</t>
        </is>
      </c>
      <c r="G1148" s="9" t="n">
        <v>933.64</v>
      </c>
      <c r="H1148" s="8" t="inlineStr">
        <is>
          <t>0.0</t>
        </is>
      </c>
      <c r="I1148" s="8" t="inlineStr">
        <is>
          <t>Express Air</t>
        </is>
      </c>
      <c r="J1148" s="8" t="inlineStr">
        <is>
          <t>Direct Web</t>
        </is>
      </c>
      <c r="K1148" s="8" t="inlineStr">
        <is>
          <t>REG-NA</t>
        </is>
      </c>
    </row>
    <row r="1149">
      <c r="A1149" s="8" t="inlineStr">
        <is>
          <t>ORD-000575</t>
        </is>
      </c>
      <c r="B1149" s="8" t="inlineStr">
        <is>
          <t>2023-10-16</t>
        </is>
      </c>
      <c r="C1149" s="8" t="inlineStr">
        <is>
          <t>CUST-07051</t>
        </is>
      </c>
      <c r="D1149" s="8" t="inlineStr">
        <is>
          <t>Frank Nelson</t>
        </is>
      </c>
      <c r="E1149" s="8" t="inlineStr">
        <is>
          <t>PRD-0362</t>
        </is>
      </c>
      <c r="F1149" s="8" t="inlineStr">
        <is>
          <t>1</t>
        </is>
      </c>
      <c r="G1149" s="9" t="n">
        <v>110.63</v>
      </c>
      <c r="H1149" s="8" t="inlineStr">
        <is>
          <t>0.25</t>
        </is>
      </c>
      <c r="I1149" s="8" t="inlineStr">
        <is>
          <t>Express Air</t>
        </is>
      </c>
      <c r="J1149" s="8" t="inlineStr">
        <is>
          <t>Direct Web</t>
        </is>
      </c>
      <c r="K1149" s="8" t="inlineStr">
        <is>
          <t>REG-NA</t>
        </is>
      </c>
    </row>
    <row r="1150">
      <c r="A1150" s="8" t="inlineStr">
        <is>
          <t>ORD-000576</t>
        </is>
      </c>
      <c r="B1150" s="8" t="inlineStr">
        <is>
          <t>06/09/2025</t>
        </is>
      </c>
      <c r="C1150" s="8" t="inlineStr">
        <is>
          <t>CUST-07516</t>
        </is>
      </c>
      <c r="D1150" s="8" t="inlineStr">
        <is>
          <t>Kimberly Cox</t>
        </is>
      </c>
      <c r="E1150" s="8" t="inlineStr">
        <is>
          <t>PRD-0179</t>
        </is>
      </c>
      <c r="F1150" s="8" t="inlineStr">
        <is>
          <t>1</t>
        </is>
      </c>
      <c r="G1150" s="9" t="n">
        <v>409.29</v>
      </c>
      <c r="H1150" s="8" t="inlineStr">
        <is>
          <t>0.0</t>
        </is>
      </c>
      <c r="I1150" s="8" t="inlineStr">
        <is>
          <t>Express Air</t>
        </is>
      </c>
      <c r="J1150" s="8" t="inlineStr">
        <is>
          <t>Direct Web</t>
        </is>
      </c>
      <c r="K1150" s="8" t="inlineStr">
        <is>
          <t>REG-APAC</t>
        </is>
      </c>
    </row>
    <row r="1151">
      <c r="A1151" s="8" t="inlineStr">
        <is>
          <t>ORD-000577</t>
        </is>
      </c>
      <c r="B1151" s="8" t="inlineStr">
        <is>
          <t>2025-05-11</t>
        </is>
      </c>
      <c r="C1151" s="8" t="inlineStr">
        <is>
          <t>CUST-07908</t>
        </is>
      </c>
      <c r="D1151" s="8" t="inlineStr">
        <is>
          <t>Mary Jones</t>
        </is>
      </c>
      <c r="E1151" s="8" t="inlineStr">
        <is>
          <t>PRD-0277</t>
        </is>
      </c>
      <c r="F1151" s="8" t="inlineStr">
        <is>
          <t>1</t>
        </is>
      </c>
      <c r="G1151" s="9" t="n">
        <v>990.61</v>
      </c>
      <c r="H1151" s="8" t="inlineStr">
        <is>
          <t>0.05</t>
        </is>
      </c>
      <c r="I1151" s="8" t="inlineStr">
        <is>
          <t>Standard Ground</t>
        </is>
      </c>
      <c r="J1151" s="8" t="inlineStr">
        <is>
          <t>Direct Web</t>
        </is>
      </c>
      <c r="K1151" s="8" t="inlineStr">
        <is>
          <t>REG-APAC</t>
        </is>
      </c>
    </row>
    <row r="1152">
      <c r="A1152" s="8" t="inlineStr">
        <is>
          <t>ORD-000577</t>
        </is>
      </c>
      <c r="B1152" s="8" t="inlineStr">
        <is>
          <t>2025-05-11</t>
        </is>
      </c>
      <c r="C1152" s="8" t="inlineStr">
        <is>
          <t>CUST-07908</t>
        </is>
      </c>
      <c r="D1152" s="8" t="inlineStr">
        <is>
          <t>Mary Jones</t>
        </is>
      </c>
      <c r="E1152" s="8" t="inlineStr">
        <is>
          <t>PRD-0039</t>
        </is>
      </c>
      <c r="F1152" s="8" t="inlineStr">
        <is>
          <t>1</t>
        </is>
      </c>
      <c r="G1152" s="9" t="n">
        <v>1365.37</v>
      </c>
      <c r="H1152" s="8" t="inlineStr">
        <is>
          <t>0.1</t>
        </is>
      </c>
      <c r="I1152" s="8" t="inlineStr">
        <is>
          <t>Standard Ground</t>
        </is>
      </c>
      <c r="J1152" s="8" t="inlineStr">
        <is>
          <t>Direct Web</t>
        </is>
      </c>
      <c r="K1152" s="8" t="inlineStr">
        <is>
          <t>REG-APAC</t>
        </is>
      </c>
    </row>
    <row r="1153">
      <c r="A1153" s="8" t="inlineStr">
        <is>
          <t>ORD-000577</t>
        </is>
      </c>
      <c r="B1153" s="8" t="inlineStr">
        <is>
          <t>2025-05-11</t>
        </is>
      </c>
      <c r="C1153" s="8" t="inlineStr">
        <is>
          <t>CUST-07908</t>
        </is>
      </c>
      <c r="D1153" s="8" t="inlineStr">
        <is>
          <t>Mary Jones</t>
        </is>
      </c>
      <c r="E1153" s="8" t="inlineStr">
        <is>
          <t>PRD-0279</t>
        </is>
      </c>
      <c r="F1153" s="8" t="inlineStr">
        <is>
          <t>1</t>
        </is>
      </c>
      <c r="G1153" s="9" t="n">
        <v>783.46</v>
      </c>
      <c r="H1153" s="8" t="inlineStr">
        <is>
          <t>0.0</t>
        </is>
      </c>
      <c r="I1153" s="8" t="inlineStr">
        <is>
          <t>Standard Ground</t>
        </is>
      </c>
      <c r="J1153" s="8" t="inlineStr">
        <is>
          <t>Direct Web</t>
        </is>
      </c>
      <c r="K1153" s="8" t="inlineStr">
        <is>
          <t>REG-APAC</t>
        </is>
      </c>
    </row>
    <row r="1154">
      <c r="A1154" s="8" t="inlineStr">
        <is>
          <t>ORD-000577</t>
        </is>
      </c>
      <c r="B1154" s="8" t="inlineStr">
        <is>
          <t>2025-05-11</t>
        </is>
      </c>
      <c r="C1154" s="8" t="inlineStr">
        <is>
          <t>CUST-07908</t>
        </is>
      </c>
      <c r="D1154" s="8" t="inlineStr">
        <is>
          <t>Mary Jones</t>
        </is>
      </c>
      <c r="E1154" s="8" t="inlineStr">
        <is>
          <t>PRD-0353</t>
        </is>
      </c>
      <c r="F1154" s="8" t="inlineStr">
        <is>
          <t>1</t>
        </is>
      </c>
      <c r="G1154" s="9" t="n">
        <v>438.24</v>
      </c>
      <c r="H1154" s="8" t="inlineStr">
        <is>
          <t>0.0</t>
        </is>
      </c>
      <c r="I1154" s="8" t="inlineStr">
        <is>
          <t>Standard Ground</t>
        </is>
      </c>
      <c r="J1154" s="8" t="inlineStr">
        <is>
          <t>Direct Web</t>
        </is>
      </c>
      <c r="K1154" s="8" t="inlineStr">
        <is>
          <t>REG-APAC</t>
        </is>
      </c>
    </row>
    <row r="1155">
      <c r="A1155" s="8" t="inlineStr">
        <is>
          <t>ORD-000577</t>
        </is>
      </c>
      <c r="B1155" s="8" t="inlineStr">
        <is>
          <t>2025-05-11</t>
        </is>
      </c>
      <c r="C1155" s="8" t="inlineStr">
        <is>
          <t>CUST-07908</t>
        </is>
      </c>
      <c r="D1155" s="8" t="inlineStr">
        <is>
          <t>Mary Jones</t>
        </is>
      </c>
      <c r="E1155" s="8" t="inlineStr">
        <is>
          <t>PRD-0379</t>
        </is>
      </c>
      <c r="F1155" s="8" t="inlineStr">
        <is>
          <t>2</t>
        </is>
      </c>
      <c r="G1155" s="9" t="n">
        <v>626.4</v>
      </c>
      <c r="H1155" s="8" t="inlineStr">
        <is>
          <t>0.1</t>
        </is>
      </c>
      <c r="I1155" s="8" t="inlineStr">
        <is>
          <t>Standard Ground</t>
        </is>
      </c>
      <c r="J1155" s="8" t="inlineStr">
        <is>
          <t>Direct Web</t>
        </is>
      </c>
      <c r="K1155" s="8" t="inlineStr">
        <is>
          <t>REG-APAC</t>
        </is>
      </c>
    </row>
    <row r="1156">
      <c r="A1156" s="8" t="inlineStr">
        <is>
          <t>ORD-000578</t>
        </is>
      </c>
      <c r="B1156" s="8" t="inlineStr">
        <is>
          <t>2024-08-16</t>
        </is>
      </c>
      <c r="C1156" s="8" t="inlineStr">
        <is>
          <t>CUST-05952</t>
        </is>
      </c>
      <c r="D1156" s="8" t="inlineStr">
        <is>
          <t>Jonathan Ross</t>
        </is>
      </c>
      <c r="E1156" s="8" t="inlineStr">
        <is>
          <t>PRD-0120</t>
        </is>
      </c>
      <c r="F1156" s="8" t="inlineStr">
        <is>
          <t>2</t>
        </is>
      </c>
      <c r="G1156" s="9" t="n">
        <v>1001.04</v>
      </c>
      <c r="H1156" s="8" t="inlineStr">
        <is>
          <t>0.0</t>
        </is>
      </c>
      <c r="I1156" s="8" t="inlineStr">
        <is>
          <t>Standard Ground</t>
        </is>
      </c>
      <c r="J1156" s="8" t="inlineStr">
        <is>
          <t>Mobile App</t>
        </is>
      </c>
      <c r="K1156" s="8" t="inlineStr">
        <is>
          <t>REG-NA</t>
        </is>
      </c>
    </row>
    <row r="1157">
      <c r="A1157" s="8" t="inlineStr">
        <is>
          <t>ORD-000579</t>
        </is>
      </c>
      <c r="B1157" s="8" t="inlineStr">
        <is>
          <t>2024-12-10</t>
        </is>
      </c>
      <c r="C1157" s="8" t="inlineStr">
        <is>
          <t>CUST-05815</t>
        </is>
      </c>
      <c r="D1157" s="8" t="inlineStr">
        <is>
          <t>Andrew Lee</t>
        </is>
      </c>
      <c r="E1157" s="8" t="inlineStr">
        <is>
          <t>PRD-0332</t>
        </is>
      </c>
      <c r="F1157" s="8" t="inlineStr">
        <is>
          <t>3</t>
        </is>
      </c>
      <c r="G1157" s="9" t="n">
        <v>82.03</v>
      </c>
      <c r="H1157" s="8" t="inlineStr">
        <is>
          <t>0.25</t>
        </is>
      </c>
      <c r="I1157" s="8" t="inlineStr">
        <is>
          <t>Standard Ground</t>
        </is>
      </c>
      <c r="J1157" s="8" t="inlineStr">
        <is>
          <t>Direct Web</t>
        </is>
      </c>
      <c r="K1157" s="8" t="inlineStr">
        <is>
          <t>REG-APAC</t>
        </is>
      </c>
    </row>
    <row r="1158">
      <c r="A1158" s="8" t="inlineStr">
        <is>
          <t>ORD-000580</t>
        </is>
      </c>
      <c r="B1158" s="8" t="inlineStr">
        <is>
          <t>2023-09-19</t>
        </is>
      </c>
      <c r="C1158" s="8" t="inlineStr">
        <is>
          <t>CUST-07907</t>
        </is>
      </c>
      <c r="D1158" s="8" t="inlineStr">
        <is>
          <t>Michael Cook</t>
        </is>
      </c>
      <c r="E1158" s="8" t="inlineStr">
        <is>
          <t>PRD-0304</t>
        </is>
      </c>
      <c r="F1158" s="8" t="inlineStr">
        <is>
          <t>1</t>
        </is>
      </c>
      <c r="G1158" s="9" t="n">
        <v>489.86</v>
      </c>
      <c r="H1158" s="8" t="inlineStr">
        <is>
          <t>0.0</t>
        </is>
      </c>
      <c r="I1158" s="8" t="inlineStr">
        <is>
          <t>Standard Ground</t>
        </is>
      </c>
      <c r="J1158" s="8" t="inlineStr">
        <is>
          <t>Affiliate Partner</t>
        </is>
      </c>
      <c r="K1158" s="8" t="inlineStr">
        <is>
          <t>REG-EU</t>
        </is>
      </c>
    </row>
    <row r="1159">
      <c r="A1159" s="8" t="inlineStr">
        <is>
          <t>ORD-000580</t>
        </is>
      </c>
      <c r="B1159" s="8" t="inlineStr">
        <is>
          <t>2023-09-19</t>
        </is>
      </c>
      <c r="C1159" s="8" t="inlineStr">
        <is>
          <t>CUST-07907</t>
        </is>
      </c>
      <c r="D1159" s="8" t="inlineStr">
        <is>
          <t>Michael Cook</t>
        </is>
      </c>
      <c r="E1159" s="8" t="inlineStr">
        <is>
          <t>PRD-0209</t>
        </is>
      </c>
      <c r="F1159" s="8" t="inlineStr">
        <is>
          <t>-1</t>
        </is>
      </c>
      <c r="G1159" s="9" t="n">
        <v>306.02</v>
      </c>
      <c r="H1159" s="8" t="inlineStr">
        <is>
          <t>0.05</t>
        </is>
      </c>
      <c r="I1159" s="8" t="inlineStr">
        <is>
          <t>Standard Ground</t>
        </is>
      </c>
      <c r="J1159" s="8" t="inlineStr">
        <is>
          <t>Affiliate Partner</t>
        </is>
      </c>
      <c r="K1159" s="8" t="inlineStr">
        <is>
          <t>REG-EU</t>
        </is>
      </c>
    </row>
    <row r="1160">
      <c r="A1160" s="8" t="inlineStr">
        <is>
          <t>ORD-000581</t>
        </is>
      </c>
      <c r="B1160" s="8" t="inlineStr">
        <is>
          <t>2025-11-25</t>
        </is>
      </c>
      <c r="C1160" s="8" t="inlineStr">
        <is>
          <t>CUST-00163</t>
        </is>
      </c>
      <c r="D1160" s="8" t="inlineStr">
        <is>
          <t>Kenneth White</t>
        </is>
      </c>
      <c r="E1160" s="8" t="inlineStr">
        <is>
          <t>PRD-0132</t>
        </is>
      </c>
      <c r="F1160" s="8" t="inlineStr">
        <is>
          <t>5</t>
        </is>
      </c>
      <c r="G1160" s="9" t="n">
        <v>792.09</v>
      </c>
      <c r="H1160" s="8" t="inlineStr">
        <is>
          <t>0.1</t>
        </is>
      </c>
      <c r="I1160" s="8" t="inlineStr">
        <is>
          <t>Standard Ground</t>
        </is>
      </c>
      <c r="J1160" s="8" t="inlineStr">
        <is>
          <t>Direct Web</t>
        </is>
      </c>
      <c r="K1160" s="8" t="inlineStr">
        <is>
          <t>REG-APAC</t>
        </is>
      </c>
    </row>
    <row r="1161">
      <c r="A1161" s="8" t="inlineStr">
        <is>
          <t>ORD-000581</t>
        </is>
      </c>
      <c r="B1161" s="8" t="inlineStr">
        <is>
          <t>2025-11-25</t>
        </is>
      </c>
      <c r="C1161" s="8" t="inlineStr">
        <is>
          <t>CUST-00163</t>
        </is>
      </c>
      <c r="D1161" s="8" t="inlineStr">
        <is>
          <t>Kenneth White</t>
        </is>
      </c>
      <c r="E1161" s="8" t="inlineStr">
        <is>
          <t>PRD-0219</t>
        </is>
      </c>
      <c r="F1161" s="8" t="inlineStr">
        <is>
          <t>1</t>
        </is>
      </c>
      <c r="G1161" s="9" t="n">
        <v>20.51</v>
      </c>
      <c r="H1161" s="8" t="inlineStr">
        <is>
          <t>0.05</t>
        </is>
      </c>
      <c r="I1161" s="8" t="inlineStr">
        <is>
          <t>Standard Ground</t>
        </is>
      </c>
      <c r="J1161" s="8" t="inlineStr">
        <is>
          <t>Direct Web</t>
        </is>
      </c>
      <c r="K1161" s="8" t="inlineStr">
        <is>
          <t>REG-APAC</t>
        </is>
      </c>
    </row>
    <row r="1162">
      <c r="A1162" s="8" t="inlineStr">
        <is>
          <t>ORD-000581</t>
        </is>
      </c>
      <c r="B1162" s="8" t="inlineStr">
        <is>
          <t>2025-11-25</t>
        </is>
      </c>
      <c r="C1162" s="8" t="inlineStr">
        <is>
          <t>CUST-00163</t>
        </is>
      </c>
      <c r="D1162" s="8" t="inlineStr">
        <is>
          <t>Kenneth White</t>
        </is>
      </c>
      <c r="E1162" s="8" t="inlineStr">
        <is>
          <t>PRD-0380</t>
        </is>
      </c>
      <c r="F1162" s="8" t="inlineStr">
        <is>
          <t>1</t>
        </is>
      </c>
      <c r="G1162" s="9" t="n">
        <v>141.11</v>
      </c>
      <c r="H1162" s="8" t="inlineStr">
        <is>
          <t>0.15</t>
        </is>
      </c>
      <c r="I1162" s="8" t="inlineStr">
        <is>
          <t>Standard Ground</t>
        </is>
      </c>
      <c r="J1162" s="8" t="inlineStr">
        <is>
          <t>Direct Web</t>
        </is>
      </c>
      <c r="K1162" s="8" t="inlineStr">
        <is>
          <t>REG-APAC</t>
        </is>
      </c>
    </row>
    <row r="1163">
      <c r="A1163" s="8" t="inlineStr">
        <is>
          <t>ORD-000581</t>
        </is>
      </c>
      <c r="B1163" s="8" t="inlineStr">
        <is>
          <t>2025-11-25</t>
        </is>
      </c>
      <c r="C1163" s="8" t="inlineStr">
        <is>
          <t>CUST-00163</t>
        </is>
      </c>
      <c r="D1163" s="8" t="inlineStr">
        <is>
          <t>Kenneth White</t>
        </is>
      </c>
      <c r="E1163" s="8" t="inlineStr">
        <is>
          <t>PRD-0408</t>
        </is>
      </c>
      <c r="F1163" s="8" t="inlineStr">
        <is>
          <t>2</t>
        </is>
      </c>
      <c r="G1163" s="9" t="n">
        <v>117.01</v>
      </c>
      <c r="H1163" s="8" t="inlineStr">
        <is>
          <t>0.1</t>
        </is>
      </c>
      <c r="I1163" s="8" t="inlineStr">
        <is>
          <t>Standard Ground</t>
        </is>
      </c>
      <c r="J1163" s="8" t="inlineStr">
        <is>
          <t>Direct Web</t>
        </is>
      </c>
      <c r="K1163" s="8" t="inlineStr">
        <is>
          <t>REG-APAC</t>
        </is>
      </c>
    </row>
    <row r="1164">
      <c r="A1164" s="8" t="inlineStr">
        <is>
          <t>ORD-000582</t>
        </is>
      </c>
      <c r="B1164" s="8" t="inlineStr">
        <is>
          <t>2025-01-01</t>
        </is>
      </c>
      <c r="C1164" s="8" t="inlineStr">
        <is>
          <t>CUST-00528</t>
        </is>
      </c>
      <c r="D1164" s="8" t="inlineStr">
        <is>
          <t>Jack Mitchell</t>
        </is>
      </c>
      <c r="E1164" s="8" t="inlineStr">
        <is>
          <t>PRD-0296</t>
        </is>
      </c>
      <c r="F1164" s="8" t="inlineStr">
        <is>
          <t>1</t>
        </is>
      </c>
      <c r="G1164" s="9" t="n">
        <v>52.93</v>
      </c>
      <c r="H1164" s="8" t="inlineStr">
        <is>
          <t>0.0</t>
        </is>
      </c>
      <c r="I1164" s="8" t="inlineStr">
        <is>
          <t>Express Air</t>
        </is>
      </c>
      <c r="J1164" s="8" t="inlineStr">
        <is>
          <t>Direct Web</t>
        </is>
      </c>
      <c r="K1164" s="8" t="inlineStr">
        <is>
          <t>REG-LATAM</t>
        </is>
      </c>
    </row>
    <row r="1165">
      <c r="A1165" s="8" t="inlineStr">
        <is>
          <t>ORD-000582</t>
        </is>
      </c>
      <c r="B1165" s="8" t="inlineStr">
        <is>
          <t>2025-01-01</t>
        </is>
      </c>
      <c r="C1165" s="8" t="inlineStr">
        <is>
          <t>CUST-00528</t>
        </is>
      </c>
      <c r="D1165" s="8" t="inlineStr">
        <is>
          <t>Jack Mitchell</t>
        </is>
      </c>
      <c r="E1165" s="8" t="inlineStr">
        <is>
          <t>PRD-0459</t>
        </is>
      </c>
      <c r="F1165" s="8" t="inlineStr">
        <is>
          <t>1</t>
        </is>
      </c>
      <c r="G1165" s="9" t="n">
        <v>55.95</v>
      </c>
      <c r="H1165" s="8" t="inlineStr">
        <is>
          <t>0.1</t>
        </is>
      </c>
      <c r="I1165" s="8" t="inlineStr">
        <is>
          <t>Express Air</t>
        </is>
      </c>
      <c r="J1165" s="8" t="inlineStr">
        <is>
          <t>Direct Web</t>
        </is>
      </c>
      <c r="K1165" s="8" t="inlineStr">
        <is>
          <t>REG-LATAM</t>
        </is>
      </c>
    </row>
    <row r="1166">
      <c r="A1166" s="8" t="inlineStr">
        <is>
          <t>ORD-000582</t>
        </is>
      </c>
      <c r="B1166" s="8" t="inlineStr">
        <is>
          <t>2025-01-01</t>
        </is>
      </c>
      <c r="C1166" s="8" t="inlineStr">
        <is>
          <t>CUST-00528</t>
        </is>
      </c>
      <c r="D1166" s="8" t="inlineStr">
        <is>
          <t>Jack Mitchell</t>
        </is>
      </c>
      <c r="E1166" s="8" t="inlineStr">
        <is>
          <t>PRD-0463</t>
        </is>
      </c>
      <c r="F1166" s="8" t="inlineStr">
        <is>
          <t>2</t>
        </is>
      </c>
      <c r="G1166" s="9" t="n">
        <v>123.72</v>
      </c>
      <c r="H1166" s="8" t="inlineStr">
        <is>
          <t>10%</t>
        </is>
      </c>
      <c r="I1166" s="8" t="inlineStr">
        <is>
          <t>Express Air</t>
        </is>
      </c>
      <c r="J1166" s="8" t="inlineStr">
        <is>
          <t>Direct Web</t>
        </is>
      </c>
      <c r="K1166" s="8" t="inlineStr">
        <is>
          <t>REG-LATAM</t>
        </is>
      </c>
    </row>
    <row r="1167">
      <c r="A1167" s="8" t="inlineStr">
        <is>
          <t>ORD-000582</t>
        </is>
      </c>
      <c r="B1167" s="8" t="inlineStr">
        <is>
          <t>2025-01-01</t>
        </is>
      </c>
      <c r="C1167" s="8" t="inlineStr">
        <is>
          <t>CUST-00528</t>
        </is>
      </c>
      <c r="D1167" s="8" t="inlineStr">
        <is>
          <t>Jack Mitchell</t>
        </is>
      </c>
      <c r="E1167" s="8" t="inlineStr">
        <is>
          <t>PRD-0139</t>
        </is>
      </c>
      <c r="F1167" s="8" t="inlineStr">
        <is>
          <t>2</t>
        </is>
      </c>
      <c r="G1167" s="9" t="n">
        <v>402.87</v>
      </c>
      <c r="H1167" s="8" t="inlineStr">
        <is>
          <t>0.0</t>
        </is>
      </c>
      <c r="I1167" s="8" t="inlineStr">
        <is>
          <t>Express Air</t>
        </is>
      </c>
      <c r="J1167" s="8" t="inlineStr">
        <is>
          <t>Direct Web</t>
        </is>
      </c>
      <c r="K1167" s="8" t="inlineStr">
        <is>
          <t>REG-LATAM</t>
        </is>
      </c>
    </row>
    <row r="1168">
      <c r="A1168" s="8" t="inlineStr">
        <is>
          <t>ORD-000582</t>
        </is>
      </c>
      <c r="B1168" s="8" t="inlineStr">
        <is>
          <t>2025-01-01</t>
        </is>
      </c>
      <c r="C1168" s="8" t="inlineStr">
        <is>
          <t>CUST-00528</t>
        </is>
      </c>
      <c r="D1168" s="8" t="inlineStr">
        <is>
          <t>Jack Mitchell</t>
        </is>
      </c>
      <c r="E1168" s="8" t="inlineStr">
        <is>
          <t>PRD-0082</t>
        </is>
      </c>
      <c r="F1168" s="8" t="inlineStr">
        <is>
          <t>1</t>
        </is>
      </c>
      <c r="G1168" s="9" t="n">
        <v>629.04</v>
      </c>
      <c r="H1168" s="8" t="inlineStr">
        <is>
          <t>0.0</t>
        </is>
      </c>
      <c r="I1168" s="8" t="inlineStr">
        <is>
          <t>Express Air</t>
        </is>
      </c>
      <c r="J1168" s="8" t="inlineStr">
        <is>
          <t>Direct Web</t>
        </is>
      </c>
      <c r="K1168" s="8" t="inlineStr">
        <is>
          <t>REG-LATAM</t>
        </is>
      </c>
    </row>
    <row r="1169">
      <c r="A1169" s="8" t="inlineStr">
        <is>
          <t>ORD-000583</t>
        </is>
      </c>
      <c r="B1169" s="8" t="inlineStr">
        <is>
          <t>2025-09-01</t>
        </is>
      </c>
      <c r="C1169" s="8" t="inlineStr">
        <is>
          <t>CUST-01796</t>
        </is>
      </c>
      <c r="D1169" s="8" t="inlineStr">
        <is>
          <t>Brenda Jimenez</t>
        </is>
      </c>
      <c r="E1169" s="8" t="inlineStr">
        <is>
          <t>PRD-0085</t>
        </is>
      </c>
      <c r="F1169" s="8" t="inlineStr">
        <is>
          <t>2</t>
        </is>
      </c>
      <c r="G1169" s="9" t="n">
        <v>202.1</v>
      </c>
      <c r="H1169" s="8" t="inlineStr">
        <is>
          <t>0.05</t>
        </is>
      </c>
      <c r="I1169" s="8" t="inlineStr">
        <is>
          <t>Standard Ground</t>
        </is>
      </c>
      <c r="J1169" s="8" t="inlineStr">
        <is>
          <t>Affiliate Partner</t>
        </is>
      </c>
      <c r="K1169" s="8" t="inlineStr">
        <is>
          <t>REG-APAC</t>
        </is>
      </c>
    </row>
    <row r="1170">
      <c r="A1170" s="8" t="inlineStr">
        <is>
          <t>ORD-000584</t>
        </is>
      </c>
      <c r="B1170" s="8" t="inlineStr">
        <is>
          <t>2023-07-04</t>
        </is>
      </c>
      <c r="C1170" s="8" t="inlineStr">
        <is>
          <t>CUST-00029</t>
        </is>
      </c>
      <c r="D1170" s="8" t="inlineStr">
        <is>
          <t>Steven Miller</t>
        </is>
      </c>
      <c r="E1170" s="8" t="inlineStr">
        <is>
          <t>PRD-0110</t>
        </is>
      </c>
      <c r="F1170" s="8" t="inlineStr">
        <is>
          <t>2</t>
        </is>
      </c>
      <c r="G1170" s="9" t="n">
        <v>84.14</v>
      </c>
      <c r="H1170" s="8" t="inlineStr">
        <is>
          <t>0.1</t>
        </is>
      </c>
      <c r="I1170" s="8" t="inlineStr">
        <is>
          <t>Standard Ground</t>
        </is>
      </c>
      <c r="J1170" s="8" t="inlineStr">
        <is>
          <t>Direct Web</t>
        </is>
      </c>
      <c r="K1170" s="8" t="inlineStr">
        <is>
          <t>REG-EU</t>
        </is>
      </c>
    </row>
    <row r="1171">
      <c r="A1171" s="8" t="inlineStr">
        <is>
          <t>ORD-000585</t>
        </is>
      </c>
      <c r="B1171" s="8" t="inlineStr">
        <is>
          <t>2025-07-21</t>
        </is>
      </c>
      <c r="C1171" s="8" t="inlineStr">
        <is>
          <t>CUST-03313</t>
        </is>
      </c>
      <c r="D1171" s="8" t="inlineStr">
        <is>
          <t xml:space="preserve">  scott rivera  </t>
        </is>
      </c>
      <c r="E1171" s="8" t="inlineStr">
        <is>
          <t>PRD-0120</t>
        </is>
      </c>
      <c r="F1171" s="8" t="inlineStr">
        <is>
          <t>2</t>
        </is>
      </c>
      <c r="G1171" s="9" t="n">
        <v>1001.04</v>
      </c>
      <c r="H1171" s="8" t="inlineStr">
        <is>
          <t>0.0</t>
        </is>
      </c>
      <c r="I1171" s="8" t="inlineStr">
        <is>
          <t>Express Air</t>
        </is>
      </c>
      <c r="J1171" s="8" t="inlineStr">
        <is>
          <t>Mobile App</t>
        </is>
      </c>
      <c r="K1171" s="8" t="inlineStr">
        <is>
          <t>REG-APAC</t>
        </is>
      </c>
    </row>
    <row r="1172">
      <c r="A1172" s="8" t="inlineStr">
        <is>
          <t>ORD-000586</t>
        </is>
      </c>
      <c r="B1172" s="8" t="inlineStr">
        <is>
          <t>2025-08-13</t>
        </is>
      </c>
      <c r="C1172" s="8" t="inlineStr">
        <is>
          <t>CUST-05870</t>
        </is>
      </c>
      <c r="D1172" s="8" t="inlineStr">
        <is>
          <t>Angela Rodriguez</t>
        </is>
      </c>
      <c r="E1172" s="8" t="inlineStr">
        <is>
          <t>PRD-0147</t>
        </is>
      </c>
      <c r="F1172" s="8" t="inlineStr">
        <is>
          <t>3</t>
        </is>
      </c>
      <c r="G1172" s="9" t="n">
        <v>544.0700000000001</v>
      </c>
      <c r="H1172" s="8" t="inlineStr">
        <is>
          <t>0.15</t>
        </is>
      </c>
      <c r="I1172" s="8" t="inlineStr">
        <is>
          <t>Express Air</t>
        </is>
      </c>
      <c r="J1172" s="8" t="inlineStr">
        <is>
          <t>B2B Portal</t>
        </is>
      </c>
      <c r="K1172" s="8" t="inlineStr">
        <is>
          <t>REG-NA</t>
        </is>
      </c>
    </row>
    <row r="1173">
      <c r="A1173" s="8" t="inlineStr">
        <is>
          <t>ORD-000587</t>
        </is>
      </c>
      <c r="B1173" s="8" t="inlineStr">
        <is>
          <t>2023-02-27</t>
        </is>
      </c>
      <c r="C1173" s="8" t="inlineStr">
        <is>
          <t>CUST-07034</t>
        </is>
      </c>
      <c r="D1173" s="8" t="inlineStr">
        <is>
          <t>Benjamin Lee</t>
        </is>
      </c>
      <c r="E1173" s="8" t="inlineStr">
        <is>
          <t>PRD-0071</t>
        </is>
      </c>
      <c r="F1173" s="8" t="inlineStr">
        <is>
          <t>2</t>
        </is>
      </c>
      <c r="G1173" s="9" t="n">
        <v>993.21</v>
      </c>
      <c r="H1173" s="8" t="inlineStr">
        <is>
          <t>0.05</t>
        </is>
      </c>
      <c r="I1173" s="8" t="inlineStr">
        <is>
          <t>Standard Ground</t>
        </is>
      </c>
      <c r="J1173" s="8" t="inlineStr">
        <is>
          <t>Direct Web</t>
        </is>
      </c>
      <c r="K1173" s="8" t="inlineStr">
        <is>
          <t>REG-NA</t>
        </is>
      </c>
    </row>
    <row r="1174">
      <c r="A1174" s="8" t="inlineStr">
        <is>
          <t>ORD-000587</t>
        </is>
      </c>
      <c r="B1174" s="8" t="inlineStr">
        <is>
          <t>2023-02-27</t>
        </is>
      </c>
      <c r="C1174" s="8" t="inlineStr">
        <is>
          <t>CUST-07034</t>
        </is>
      </c>
      <c r="D1174" s="8" t="inlineStr">
        <is>
          <t>Benjamin Lee</t>
        </is>
      </c>
      <c r="E1174" s="8" t="inlineStr">
        <is>
          <t>PRD-0052</t>
        </is>
      </c>
      <c r="F1174" s="8" t="inlineStr">
        <is>
          <t>1</t>
        </is>
      </c>
      <c r="G1174" s="9" t="n">
        <v>354.02</v>
      </c>
      <c r="H1174" s="8" t="inlineStr">
        <is>
          <t>0.0</t>
        </is>
      </c>
      <c r="I1174" s="8" t="inlineStr">
        <is>
          <t>Standard Ground</t>
        </is>
      </c>
      <c r="J1174" s="8" t="inlineStr">
        <is>
          <t>Direct Web</t>
        </is>
      </c>
      <c r="K1174" s="8" t="inlineStr">
        <is>
          <t>REG-NA</t>
        </is>
      </c>
    </row>
    <row r="1175">
      <c r="A1175" s="8" t="inlineStr">
        <is>
          <t>ORD-000587</t>
        </is>
      </c>
      <c r="B1175" s="8" t="inlineStr">
        <is>
          <t>2023-02-27</t>
        </is>
      </c>
      <c r="C1175" s="8" t="inlineStr">
        <is>
          <t>CUST-07034</t>
        </is>
      </c>
      <c r="D1175" s="8" t="inlineStr">
        <is>
          <t>Benjamin Lee</t>
        </is>
      </c>
      <c r="E1175" s="8" t="inlineStr">
        <is>
          <t>PRD-0107</t>
        </is>
      </c>
      <c r="F1175" s="8" t="inlineStr">
        <is>
          <t>1</t>
        </is>
      </c>
      <c r="G1175" s="9" t="n">
        <v>754.95</v>
      </c>
      <c r="H1175" s="8" t="inlineStr">
        <is>
          <t>0.1</t>
        </is>
      </c>
      <c r="I1175" s="8" t="inlineStr">
        <is>
          <t>Standard Ground</t>
        </is>
      </c>
      <c r="J1175" s="8" t="inlineStr">
        <is>
          <t>Direct Web</t>
        </is>
      </c>
      <c r="K1175" s="8" t="inlineStr">
        <is>
          <t>REG-NA</t>
        </is>
      </c>
    </row>
    <row r="1176">
      <c r="A1176" s="8" t="inlineStr">
        <is>
          <t>ORD-000587</t>
        </is>
      </c>
      <c r="B1176" s="8" t="inlineStr">
        <is>
          <t>2023-02-27</t>
        </is>
      </c>
      <c r="C1176" s="8" t="inlineStr">
        <is>
          <t>CUST-07034</t>
        </is>
      </c>
      <c r="D1176" s="8" t="inlineStr">
        <is>
          <t>Benjamin Lee</t>
        </is>
      </c>
      <c r="E1176" s="8" t="inlineStr">
        <is>
          <t>PRD-0216</t>
        </is>
      </c>
      <c r="F1176" s="8" t="inlineStr">
        <is>
          <t>2</t>
        </is>
      </c>
      <c r="G1176" s="9" t="n">
        <v>177.38</v>
      </c>
      <c r="H1176" s="8" t="inlineStr">
        <is>
          <t>0.05</t>
        </is>
      </c>
      <c r="I1176" s="8" t="inlineStr">
        <is>
          <t>Standard Ground</t>
        </is>
      </c>
      <c r="J1176" s="8" t="inlineStr">
        <is>
          <t>Direct Web</t>
        </is>
      </c>
      <c r="K1176" s="8" t="inlineStr">
        <is>
          <t>REG-NA</t>
        </is>
      </c>
    </row>
    <row r="1177">
      <c r="A1177" s="8" t="inlineStr">
        <is>
          <t>ORD-000587</t>
        </is>
      </c>
      <c r="B1177" s="8" t="inlineStr">
        <is>
          <t>2023-02-27</t>
        </is>
      </c>
      <c r="C1177" s="8" t="inlineStr">
        <is>
          <t>CUST-07034</t>
        </is>
      </c>
      <c r="D1177" s="8" t="inlineStr">
        <is>
          <t>Benjamin Lee</t>
        </is>
      </c>
      <c r="E1177" s="8" t="inlineStr">
        <is>
          <t>PRD-0179</t>
        </is>
      </c>
      <c r="F1177" s="8" t="inlineStr">
        <is>
          <t>1</t>
        </is>
      </c>
      <c r="G1177" s="9" t="n">
        <v>409.29</v>
      </c>
      <c r="H1177" s="8" t="inlineStr">
        <is>
          <t>0.0</t>
        </is>
      </c>
      <c r="I1177" s="8" t="inlineStr">
        <is>
          <t>Standard Ground</t>
        </is>
      </c>
      <c r="J1177" s="8" t="inlineStr">
        <is>
          <t>Direct Web</t>
        </is>
      </c>
      <c r="K1177" s="8" t="inlineStr">
        <is>
          <t>REG-NA</t>
        </is>
      </c>
    </row>
    <row r="1178">
      <c r="A1178" s="8" t="inlineStr">
        <is>
          <t>ORD-000588</t>
        </is>
      </c>
      <c r="B1178" s="8" t="inlineStr">
        <is>
          <t>2025-12-08</t>
        </is>
      </c>
      <c r="C1178" s="8" t="inlineStr">
        <is>
          <t>CUST-02574</t>
        </is>
      </c>
      <c r="D1178" s="8" t="inlineStr">
        <is>
          <t>Shirley Martinez</t>
        </is>
      </c>
      <c r="E1178" s="8" t="inlineStr">
        <is>
          <t>PRD-0282</t>
        </is>
      </c>
      <c r="F1178" s="8" t="inlineStr">
        <is>
          <t>2</t>
        </is>
      </c>
      <c r="G1178" s="9" t="n">
        <v>48.43</v>
      </c>
      <c r="H1178" s="8" t="inlineStr">
        <is>
          <t>0.1</t>
        </is>
      </c>
      <c r="I1178" s="8" t="inlineStr">
        <is>
          <t>Standard Ground</t>
        </is>
      </c>
      <c r="J1178" s="8" t="inlineStr">
        <is>
          <t>Direct Web</t>
        </is>
      </c>
      <c r="K1178" s="8" t="inlineStr">
        <is>
          <t>REG-EU</t>
        </is>
      </c>
    </row>
    <row r="1179">
      <c r="A1179" s="8" t="inlineStr">
        <is>
          <t>ORD-000588</t>
        </is>
      </c>
      <c r="B1179" s="8" t="inlineStr">
        <is>
          <t>2025-12-08</t>
        </is>
      </c>
      <c r="C1179" s="8" t="inlineStr">
        <is>
          <t>CUST-02574</t>
        </is>
      </c>
      <c r="D1179" s="8" t="inlineStr">
        <is>
          <t>Shirley Martinez</t>
        </is>
      </c>
      <c r="E1179" s="8" t="inlineStr">
        <is>
          <t>PRD-0432</t>
        </is>
      </c>
      <c r="F1179" s="8" t="inlineStr">
        <is>
          <t>1</t>
        </is>
      </c>
      <c r="G1179" s="9" t="n">
        <v>25.28</v>
      </c>
      <c r="H1179" s="8" t="inlineStr">
        <is>
          <t>0.3</t>
        </is>
      </c>
      <c r="I1179" s="8" t="inlineStr">
        <is>
          <t>Standard Ground</t>
        </is>
      </c>
      <c r="J1179" s="8" t="inlineStr">
        <is>
          <t>Direct Web</t>
        </is>
      </c>
      <c r="K1179" s="8" t="inlineStr">
        <is>
          <t>REG-EU</t>
        </is>
      </c>
    </row>
    <row r="1180">
      <c r="A1180" s="8" t="inlineStr">
        <is>
          <t>ORD-000589</t>
        </is>
      </c>
      <c r="B1180" s="8" t="inlineStr">
        <is>
          <t>2023-03-08</t>
        </is>
      </c>
      <c r="C1180" s="8" t="inlineStr">
        <is>
          <t>CUST-05071</t>
        </is>
      </c>
      <c r="D1180" s="8" t="inlineStr">
        <is>
          <t>Amanda Jones</t>
        </is>
      </c>
      <c r="E1180" s="8" t="inlineStr">
        <is>
          <t>PRD-0448</t>
        </is>
      </c>
      <c r="F1180" s="8" t="inlineStr">
        <is>
          <t>1</t>
        </is>
      </c>
      <c r="G1180" s="9" t="n">
        <v>338.65</v>
      </c>
      <c r="H1180" s="8" t="inlineStr">
        <is>
          <t>0.2</t>
        </is>
      </c>
      <c r="I1180" s="8" t="inlineStr">
        <is>
          <t>Express Air</t>
        </is>
      </c>
      <c r="J1180" s="8" t="inlineStr">
        <is>
          <t>Mobile App</t>
        </is>
      </c>
      <c r="K1180" s="8" t="inlineStr">
        <is>
          <t>REG-NA</t>
        </is>
      </c>
    </row>
    <row r="1181">
      <c r="A1181" s="8" t="inlineStr">
        <is>
          <t>ORD-000590</t>
        </is>
      </c>
      <c r="B1181" s="8" t="inlineStr">
        <is>
          <t>2025-09-09</t>
        </is>
      </c>
      <c r="C1181" s="8" t="inlineStr">
        <is>
          <t>CUST-06979</t>
        </is>
      </c>
      <c r="D1181" s="8" t="inlineStr">
        <is>
          <t>Benjamin Ward</t>
        </is>
      </c>
      <c r="E1181" s="8" t="inlineStr">
        <is>
          <t>PRD-0248</t>
        </is>
      </c>
      <c r="F1181" s="8" t="inlineStr">
        <is>
          <t>1</t>
        </is>
      </c>
      <c r="G1181" s="9" t="n">
        <v>603.58</v>
      </c>
      <c r="H1181" s="8" t="inlineStr">
        <is>
          <t>0.1</t>
        </is>
      </c>
      <c r="I1181" s="8" t="inlineStr">
        <is>
          <t>Standard Ground</t>
        </is>
      </c>
      <c r="J1181" s="8" t="inlineStr">
        <is>
          <t>Direct Web</t>
        </is>
      </c>
      <c r="K1181" s="8" t="inlineStr">
        <is>
          <t>REG-LATAM</t>
        </is>
      </c>
    </row>
    <row r="1182">
      <c r="A1182" s="8" t="inlineStr">
        <is>
          <t>ORD-000590</t>
        </is>
      </c>
      <c r="B1182" s="8" t="inlineStr">
        <is>
          <t>2025-09-09</t>
        </is>
      </c>
      <c r="C1182" s="8" t="inlineStr">
        <is>
          <t>CUST-06979</t>
        </is>
      </c>
      <c r="D1182" s="8" t="inlineStr">
        <is>
          <t>Benjamin Ward</t>
        </is>
      </c>
      <c r="E1182" s="8" t="inlineStr">
        <is>
          <t>PRD-0352</t>
        </is>
      </c>
      <c r="F1182" s="8" t="inlineStr">
        <is>
          <t>4</t>
        </is>
      </c>
      <c r="G1182" s="9" t="n">
        <v>840.7</v>
      </c>
      <c r="H1182" s="8" t="inlineStr">
        <is>
          <t>0.05</t>
        </is>
      </c>
      <c r="I1182" s="8" t="inlineStr">
        <is>
          <t>Standard Ground</t>
        </is>
      </c>
      <c r="J1182" s="8" t="inlineStr">
        <is>
          <t>Direct Web</t>
        </is>
      </c>
      <c r="K1182" s="8" t="inlineStr">
        <is>
          <t>REG-LATAM</t>
        </is>
      </c>
    </row>
    <row r="1183">
      <c r="A1183" s="8" t="inlineStr">
        <is>
          <t>ORD-000590</t>
        </is>
      </c>
      <c r="B1183" s="8" t="inlineStr">
        <is>
          <t>2025-09-09</t>
        </is>
      </c>
      <c r="C1183" s="8" t="inlineStr">
        <is>
          <t>CUST-06979</t>
        </is>
      </c>
      <c r="D1183" s="8" t="inlineStr">
        <is>
          <t>Benjamin Ward</t>
        </is>
      </c>
      <c r="E1183" s="8" t="inlineStr">
        <is>
          <t>PRD-0008</t>
        </is>
      </c>
      <c r="F1183" s="8" t="inlineStr">
        <is>
          <t>2</t>
        </is>
      </c>
      <c r="G1183" s="9" t="n">
        <v>323.49</v>
      </c>
      <c r="H1183" s="8" t="inlineStr">
        <is>
          <t>0.2</t>
        </is>
      </c>
      <c r="I1183" s="8" t="inlineStr">
        <is>
          <t>Standard Ground</t>
        </is>
      </c>
      <c r="J1183" s="8" t="inlineStr">
        <is>
          <t>Direct Web</t>
        </is>
      </c>
      <c r="K1183" s="8" t="inlineStr">
        <is>
          <t>REG-LATAM</t>
        </is>
      </c>
    </row>
    <row r="1184">
      <c r="A1184" s="8" t="inlineStr">
        <is>
          <t>ORD-000591</t>
        </is>
      </c>
      <c r="B1184" s="8" t="inlineStr">
        <is>
          <t>2024-03-04</t>
        </is>
      </c>
      <c r="C1184" s="8" t="inlineStr">
        <is>
          <t>CUST-00749</t>
        </is>
      </c>
      <c r="D1184" s="8" t="inlineStr">
        <is>
          <t>Michael Edwards</t>
        </is>
      </c>
      <c r="E1184" s="8" t="inlineStr">
        <is>
          <t>PRD-0203</t>
        </is>
      </c>
      <c r="F1184" s="8" t="inlineStr">
        <is>
          <t>1</t>
        </is>
      </c>
      <c r="G1184" s="9" t="n">
        <v>991.36</v>
      </c>
      <c r="H1184" s="8" t="inlineStr">
        <is>
          <t>0.1</t>
        </is>
      </c>
      <c r="I1184" s="8" t="inlineStr">
        <is>
          <t>Express Air</t>
        </is>
      </c>
      <c r="J1184" s="8" t="inlineStr">
        <is>
          <t>Direct Web</t>
        </is>
      </c>
      <c r="K1184" s="8" t="inlineStr">
        <is>
          <t>REG-NA</t>
        </is>
      </c>
    </row>
    <row r="1185">
      <c r="A1185" s="8" t="inlineStr">
        <is>
          <t>ORD-000592</t>
        </is>
      </c>
      <c r="B1185" s="8" t="inlineStr">
        <is>
          <t>2023-04-26</t>
        </is>
      </c>
      <c r="C1185" s="8" t="inlineStr">
        <is>
          <t>CUST-04192</t>
        </is>
      </c>
      <c r="D1185" s="8" t="inlineStr">
        <is>
          <t>Ashley Adams</t>
        </is>
      </c>
      <c r="E1185" s="8" t="inlineStr">
        <is>
          <t>PRD-0339</t>
        </is>
      </c>
      <c r="F1185" s="8" t="inlineStr">
        <is>
          <t>1</t>
        </is>
      </c>
      <c r="G1185" s="9" t="n">
        <v>30.04</v>
      </c>
      <c r="H1185" s="8" t="inlineStr">
        <is>
          <t>0.0</t>
        </is>
      </c>
      <c r="I1185" s="8" t="inlineStr">
        <is>
          <t>Same-Day Priority</t>
        </is>
      </c>
      <c r="J1185" s="8" t="inlineStr">
        <is>
          <t>B2B Portal</t>
        </is>
      </c>
      <c r="K1185" s="8" t="inlineStr">
        <is>
          <t>REG-APAC</t>
        </is>
      </c>
    </row>
    <row r="1186">
      <c r="A1186" s="8" t="inlineStr">
        <is>
          <t>ORD-000593</t>
        </is>
      </c>
      <c r="B1186" s="8" t="inlineStr">
        <is>
          <t>22-07-2023</t>
        </is>
      </c>
      <c r="C1186" s="8" t="inlineStr">
        <is>
          <t>CUST-02626</t>
        </is>
      </c>
      <c r="D1186" s="8" t="inlineStr">
        <is>
          <t>Stephanie Myers</t>
        </is>
      </c>
      <c r="E1186" s="8" t="inlineStr">
        <is>
          <t>PRD-0370</t>
        </is>
      </c>
      <c r="F1186" s="8" t="inlineStr">
        <is>
          <t>1</t>
        </is>
      </c>
      <c r="G1186" s="9" t="n">
        <v>1113.54</v>
      </c>
      <c r="H1186" s="8" t="inlineStr">
        <is>
          <t>0.05</t>
        </is>
      </c>
      <c r="I1186" s="8" t="inlineStr">
        <is>
          <t>Express Air</t>
        </is>
      </c>
      <c r="J1186" s="8" t="inlineStr">
        <is>
          <t>B2B Portal</t>
        </is>
      </c>
      <c r="K1186" s="8" t="inlineStr">
        <is>
          <t>REG-EU</t>
        </is>
      </c>
    </row>
    <row r="1187">
      <c r="A1187" s="8" t="inlineStr">
        <is>
          <t>ORD-000593</t>
        </is>
      </c>
      <c r="B1187" s="8" t="inlineStr">
        <is>
          <t>22-07-2023</t>
        </is>
      </c>
      <c r="C1187" s="8" t="inlineStr">
        <is>
          <t>CUST-02626</t>
        </is>
      </c>
      <c r="D1187" s="8" t="inlineStr">
        <is>
          <t>Stephanie Myers</t>
        </is>
      </c>
      <c r="E1187" s="8" t="inlineStr">
        <is>
          <t>PRD-0019</t>
        </is>
      </c>
      <c r="F1187" s="8" t="inlineStr">
        <is>
          <t>2</t>
        </is>
      </c>
      <c r="G1187" s="9" t="n">
        <v>444.46</v>
      </c>
      <c r="H1187" s="8" t="inlineStr">
        <is>
          <t>0.0</t>
        </is>
      </c>
      <c r="I1187" s="8" t="inlineStr">
        <is>
          <t>Express Air</t>
        </is>
      </c>
      <c r="J1187" s="8" t="inlineStr">
        <is>
          <t>B2B Portal</t>
        </is>
      </c>
      <c r="K1187" s="8" t="inlineStr">
        <is>
          <t>REG-EU</t>
        </is>
      </c>
    </row>
    <row r="1188">
      <c r="A1188" s="8" t="inlineStr">
        <is>
          <t>ORD-000594</t>
        </is>
      </c>
      <c r="B1188" s="8" t="inlineStr">
        <is>
          <t>2025-06-03</t>
        </is>
      </c>
      <c r="C1188" s="8" t="inlineStr">
        <is>
          <t>CUST-05556</t>
        </is>
      </c>
      <c r="D1188" s="8" t="inlineStr">
        <is>
          <t>Daniel Price</t>
        </is>
      </c>
      <c r="E1188" s="8" t="inlineStr">
        <is>
          <t>PRD-0315</t>
        </is>
      </c>
      <c r="F1188" s="8" t="inlineStr">
        <is>
          <t>1</t>
        </is>
      </c>
      <c r="G1188" s="9" t="n">
        <v>916</v>
      </c>
      <c r="H1188" s="8" t="inlineStr">
        <is>
          <t>0.2</t>
        </is>
      </c>
      <c r="I1188" s="8" t="inlineStr">
        <is>
          <t>Standard Ground</t>
        </is>
      </c>
      <c r="J1188" s="8" t="inlineStr">
        <is>
          <t>Direct Web</t>
        </is>
      </c>
      <c r="K1188" s="8" t="inlineStr">
        <is>
          <t>REG-EU</t>
        </is>
      </c>
    </row>
    <row r="1189">
      <c r="A1189" s="8" t="inlineStr">
        <is>
          <t>ORD-000594</t>
        </is>
      </c>
      <c r="B1189" s="8" t="inlineStr">
        <is>
          <t>2025-06-03</t>
        </is>
      </c>
      <c r="C1189" s="8" t="inlineStr">
        <is>
          <t>CUST-05556</t>
        </is>
      </c>
      <c r="D1189" s="8" t="inlineStr">
        <is>
          <t>Daniel Price</t>
        </is>
      </c>
      <c r="E1189" s="8" t="inlineStr">
        <is>
          <t>PRD-0230</t>
        </is>
      </c>
      <c r="F1189" s="8" t="inlineStr">
        <is>
          <t>3</t>
        </is>
      </c>
      <c r="G1189" s="9" t="n">
        <v>54.32</v>
      </c>
      <c r="H1189" s="8" t="inlineStr">
        <is>
          <t>0.05</t>
        </is>
      </c>
      <c r="I1189" s="8" t="inlineStr">
        <is>
          <t>Standard Ground</t>
        </is>
      </c>
      <c r="J1189" s="8" t="inlineStr">
        <is>
          <t>Direct Web</t>
        </is>
      </c>
      <c r="K1189" s="8" t="inlineStr">
        <is>
          <t>REG-EU</t>
        </is>
      </c>
    </row>
    <row r="1190">
      <c r="A1190" s="8" t="inlineStr">
        <is>
          <t>ORD-000594</t>
        </is>
      </c>
      <c r="B1190" s="8" t="inlineStr">
        <is>
          <t>2025-06-03</t>
        </is>
      </c>
      <c r="C1190" s="8" t="inlineStr">
        <is>
          <t>CUST-05556</t>
        </is>
      </c>
      <c r="D1190" s="8" t="inlineStr">
        <is>
          <t>Daniel Price</t>
        </is>
      </c>
      <c r="E1190" s="8" t="inlineStr">
        <is>
          <t>PRD-0426</t>
        </is>
      </c>
      <c r="F1190" s="8" t="inlineStr">
        <is>
          <t>1</t>
        </is>
      </c>
      <c r="G1190" s="9" t="n">
        <v>51.71</v>
      </c>
      <c r="H1190" s="8" t="inlineStr">
        <is>
          <t>0.1</t>
        </is>
      </c>
      <c r="I1190" s="8" t="inlineStr">
        <is>
          <t>Standard Ground</t>
        </is>
      </c>
      <c r="J1190" s="8" t="inlineStr">
        <is>
          <t>Direct Web</t>
        </is>
      </c>
      <c r="K1190" s="8" t="inlineStr">
        <is>
          <t>REG-EU</t>
        </is>
      </c>
    </row>
    <row r="1191">
      <c r="A1191" s="8" t="inlineStr">
        <is>
          <t>ORD-000594</t>
        </is>
      </c>
      <c r="B1191" s="8" t="inlineStr">
        <is>
          <t>2025-06-03</t>
        </is>
      </c>
      <c r="C1191" s="8" t="inlineStr">
        <is>
          <t>CUST-05556</t>
        </is>
      </c>
      <c r="D1191" s="8" t="inlineStr">
        <is>
          <t>Daniel Price</t>
        </is>
      </c>
      <c r="E1191" s="8" t="inlineStr">
        <is>
          <t>PRD-0364</t>
        </is>
      </c>
      <c r="F1191" s="8" t="inlineStr">
        <is>
          <t>1</t>
        </is>
      </c>
      <c r="G1191" s="9" t="n">
        <v>1083.88</v>
      </c>
      <c r="H1191" s="8" t="inlineStr">
        <is>
          <t>0.0</t>
        </is>
      </c>
      <c r="I1191" s="8" t="inlineStr">
        <is>
          <t>Standard Ground</t>
        </is>
      </c>
      <c r="J1191" s="8" t="inlineStr">
        <is>
          <t>Direct Web</t>
        </is>
      </c>
      <c r="K1191" s="8" t="inlineStr">
        <is>
          <t>REG-EU</t>
        </is>
      </c>
    </row>
    <row r="1192">
      <c r="A1192" s="8" t="inlineStr">
        <is>
          <t>ORD-000595</t>
        </is>
      </c>
      <c r="B1192" s="8" t="inlineStr">
        <is>
          <t>2025-08-22</t>
        </is>
      </c>
      <c r="C1192" s="8" t="inlineStr">
        <is>
          <t>CUST-03870</t>
        </is>
      </c>
      <c r="D1192" s="8" t="inlineStr">
        <is>
          <t>Donna Harris</t>
        </is>
      </c>
      <c r="E1192" s="8" t="inlineStr">
        <is>
          <t>PRD-0319</t>
        </is>
      </c>
      <c r="F1192" s="8" t="inlineStr">
        <is>
          <t>1</t>
        </is>
      </c>
      <c r="G1192" s="9" t="n">
        <v>941.33</v>
      </c>
      <c r="H1192" s="8" t="inlineStr">
        <is>
          <t>0.05</t>
        </is>
      </c>
      <c r="I1192" s="8" t="inlineStr">
        <is>
          <t>Express Air</t>
        </is>
      </c>
      <c r="J1192" s="8" t="inlineStr">
        <is>
          <t>Mobile App</t>
        </is>
      </c>
      <c r="K1192" s="8" t="inlineStr">
        <is>
          <t>REG-EU</t>
        </is>
      </c>
    </row>
    <row r="1193">
      <c r="A1193" s="8" t="inlineStr">
        <is>
          <t>ORD-000595</t>
        </is>
      </c>
      <c r="B1193" s="8" t="inlineStr">
        <is>
          <t>2025-08-22</t>
        </is>
      </c>
      <c r="C1193" s="8" t="inlineStr">
        <is>
          <t>CUST-03870</t>
        </is>
      </c>
      <c r="D1193" s="8" t="inlineStr">
        <is>
          <t>Donna Harris</t>
        </is>
      </c>
      <c r="E1193" s="8" t="inlineStr">
        <is>
          <t>PRD-0354</t>
        </is>
      </c>
      <c r="F1193" s="8" t="inlineStr">
        <is>
          <t>1</t>
        </is>
      </c>
      <c r="G1193" s="9" t="n">
        <v>70.98999999999999</v>
      </c>
      <c r="H1193" s="8" t="inlineStr">
        <is>
          <t>0.0</t>
        </is>
      </c>
      <c r="I1193" s="8" t="inlineStr">
        <is>
          <t>Express Air</t>
        </is>
      </c>
      <c r="J1193" s="8" t="inlineStr">
        <is>
          <t>Mobile App</t>
        </is>
      </c>
      <c r="K1193" s="8" t="inlineStr">
        <is>
          <t>REG-EU</t>
        </is>
      </c>
    </row>
    <row r="1194">
      <c r="A1194" s="8" t="inlineStr">
        <is>
          <t>ORD-000596</t>
        </is>
      </c>
      <c r="B1194" s="8" t="inlineStr">
        <is>
          <t>2024-05-11</t>
        </is>
      </c>
      <c r="C1194" s="8" t="inlineStr">
        <is>
          <t>CUST-03447</t>
        </is>
      </c>
      <c r="D1194" s="8" t="inlineStr">
        <is>
          <t>Jeffrey Howard</t>
        </is>
      </c>
      <c r="E1194" s="8" t="inlineStr">
        <is>
          <t>PRD-0262</t>
        </is>
      </c>
      <c r="F1194" s="8" t="inlineStr">
        <is>
          <t>2</t>
        </is>
      </c>
      <c r="G1194" s="9" t="n">
        <v>621.74</v>
      </c>
      <c r="H1194" s="8" t="inlineStr">
        <is>
          <t>0.0</t>
        </is>
      </c>
      <c r="I1194" s="8" t="inlineStr">
        <is>
          <t>Standard Ground</t>
        </is>
      </c>
      <c r="J1194" s="8" t="inlineStr">
        <is>
          <t>Direct Web</t>
        </is>
      </c>
      <c r="K1194" s="8" t="inlineStr">
        <is>
          <t>REG-APAC</t>
        </is>
      </c>
    </row>
    <row r="1195">
      <c r="A1195" s="8" t="inlineStr">
        <is>
          <t>ORD-000597</t>
        </is>
      </c>
      <c r="B1195" s="8" t="inlineStr">
        <is>
          <t>2025-11-26</t>
        </is>
      </c>
      <c r="C1195" s="8" t="inlineStr">
        <is>
          <t>CUST-01371</t>
        </is>
      </c>
      <c r="D1195" s="8" t="inlineStr">
        <is>
          <t>Joshua Nelson</t>
        </is>
      </c>
      <c r="E1195" s="8" t="inlineStr">
        <is>
          <t>PRD-0471</t>
        </is>
      </c>
      <c r="F1195" s="8" t="inlineStr">
        <is>
          <t>2</t>
        </is>
      </c>
      <c r="G1195" s="9" t="n">
        <v>642.74</v>
      </c>
      <c r="H1195" s="8" t="inlineStr">
        <is>
          <t>0.0</t>
        </is>
      </c>
      <c r="I1195" s="8" t="inlineStr">
        <is>
          <t>Standard Ground</t>
        </is>
      </c>
      <c r="J1195" s="8" t="inlineStr">
        <is>
          <t>B2B Portal</t>
        </is>
      </c>
      <c r="K1195" s="8" t="inlineStr">
        <is>
          <t>REG-APAC</t>
        </is>
      </c>
    </row>
    <row r="1196">
      <c r="A1196" s="8" t="inlineStr">
        <is>
          <t>ORD-000598</t>
        </is>
      </c>
      <c r="B1196" s="8" t="inlineStr">
        <is>
          <t>2024-09-15</t>
        </is>
      </c>
      <c r="C1196" s="8" t="inlineStr">
        <is>
          <t>CUST-06846</t>
        </is>
      </c>
      <c r="D1196" s="8" t="inlineStr">
        <is>
          <t>Linda Hernandez</t>
        </is>
      </c>
      <c r="E1196" s="8" t="inlineStr">
        <is>
          <t>PRD-0357</t>
        </is>
      </c>
      <c r="F1196" s="8" t="inlineStr">
        <is>
          <t>2</t>
        </is>
      </c>
      <c r="G1196" s="9" t="n">
        <v>305.71</v>
      </c>
      <c r="H1196" s="8" t="inlineStr">
        <is>
          <t>0.05</t>
        </is>
      </c>
      <c r="I1196" s="8" t="inlineStr">
        <is>
          <t>Express Air</t>
        </is>
      </c>
      <c r="J1196" s="8" t="inlineStr">
        <is>
          <t>Direct Web</t>
        </is>
      </c>
      <c r="K1196" s="8" t="inlineStr">
        <is>
          <t>REG-APAC</t>
        </is>
      </c>
    </row>
    <row r="1197">
      <c r="A1197" s="8" t="inlineStr">
        <is>
          <t>ORD-000598</t>
        </is>
      </c>
      <c r="B1197" s="8" t="inlineStr">
        <is>
          <t>2024-09-15</t>
        </is>
      </c>
      <c r="C1197" s="8" t="inlineStr">
        <is>
          <t>CUST-06846</t>
        </is>
      </c>
      <c r="D1197" s="8" t="inlineStr">
        <is>
          <t>Linda Hernandez</t>
        </is>
      </c>
      <c r="E1197" s="8" t="inlineStr">
        <is>
          <t>PRD-0164</t>
        </is>
      </c>
      <c r="F1197" s="8" t="inlineStr">
        <is>
          <t>1</t>
        </is>
      </c>
      <c r="G1197" s="9" t="n">
        <v>729.88</v>
      </c>
      <c r="H1197" s="8" t="inlineStr">
        <is>
          <t>0.05</t>
        </is>
      </c>
      <c r="I1197" s="8" t="inlineStr">
        <is>
          <t>Express Air</t>
        </is>
      </c>
      <c r="J1197" s="8" t="inlineStr">
        <is>
          <t>Direct Web</t>
        </is>
      </c>
      <c r="K1197" s="8" t="inlineStr">
        <is>
          <t>REG-APAC</t>
        </is>
      </c>
    </row>
    <row r="1198">
      <c r="A1198" s="8" t="inlineStr">
        <is>
          <t>ORD-000598</t>
        </is>
      </c>
      <c r="B1198" s="8" t="inlineStr">
        <is>
          <t>2024-09-15</t>
        </is>
      </c>
      <c r="C1198" s="8" t="inlineStr">
        <is>
          <t>CUST-06846</t>
        </is>
      </c>
      <c r="D1198" s="8" t="inlineStr">
        <is>
          <t>Linda Hernandez</t>
        </is>
      </c>
      <c r="E1198" s="8" t="inlineStr">
        <is>
          <t>PRD-0480</t>
        </is>
      </c>
      <c r="F1198" s="8" t="inlineStr">
        <is>
          <t>2</t>
        </is>
      </c>
      <c r="G1198" s="9" t="n">
        <v>122.63</v>
      </c>
      <c r="H1198" s="8" t="inlineStr">
        <is>
          <t>0.05</t>
        </is>
      </c>
      <c r="I1198" s="8" t="inlineStr">
        <is>
          <t>Express Air</t>
        </is>
      </c>
      <c r="J1198" s="8" t="inlineStr">
        <is>
          <t>Direct Web</t>
        </is>
      </c>
      <c r="K1198" s="8" t="inlineStr">
        <is>
          <t>REG-APAC</t>
        </is>
      </c>
    </row>
    <row r="1199">
      <c r="A1199" s="8" t="inlineStr">
        <is>
          <t>ORD-000599</t>
        </is>
      </c>
      <c r="B1199" s="8" t="inlineStr">
        <is>
          <t>2024-07-19</t>
        </is>
      </c>
      <c r="C1199" s="8" t="inlineStr">
        <is>
          <t>CUST-00355</t>
        </is>
      </c>
      <c r="D1199" s="8" t="inlineStr">
        <is>
          <t>Ashley Mitchell</t>
        </is>
      </c>
      <c r="E1199" s="8" t="inlineStr">
        <is>
          <t>PRD-0316</t>
        </is>
      </c>
      <c r="F1199" s="8" t="inlineStr">
        <is>
          <t>1</t>
        </is>
      </c>
      <c r="G1199" s="9" t="n">
        <v>575.96</v>
      </c>
      <c r="H1199" s="8" t="inlineStr">
        <is>
          <t>0.2</t>
        </is>
      </c>
      <c r="I1199" s="8" t="inlineStr">
        <is>
          <t>Standard Ground</t>
        </is>
      </c>
      <c r="J1199" s="8" t="inlineStr">
        <is>
          <t>Direct Web</t>
        </is>
      </c>
      <c r="K1199" s="8" t="inlineStr">
        <is>
          <t>REG-NA</t>
        </is>
      </c>
    </row>
    <row r="1200">
      <c r="A1200" s="8" t="inlineStr">
        <is>
          <t>ORD-000599</t>
        </is>
      </c>
      <c r="B1200" s="8" t="inlineStr">
        <is>
          <t>2024-07-19</t>
        </is>
      </c>
      <c r="C1200" s="8" t="inlineStr">
        <is>
          <t>CUST-00355</t>
        </is>
      </c>
      <c r="D1200" s="8" t="inlineStr">
        <is>
          <t>Ashley Mitchell</t>
        </is>
      </c>
      <c r="E1200" s="8" t="inlineStr">
        <is>
          <t>PRD-0238</t>
        </is>
      </c>
      <c r="F1200" s="8" t="inlineStr">
        <is>
          <t>1</t>
        </is>
      </c>
      <c r="G1200" s="9" t="n">
        <v>88.5</v>
      </c>
      <c r="H1200" s="8" t="inlineStr">
        <is>
          <t>0.15</t>
        </is>
      </c>
      <c r="I1200" s="8" t="inlineStr">
        <is>
          <t>Standard Ground</t>
        </is>
      </c>
      <c r="J1200" s="8" t="inlineStr">
        <is>
          <t>Direct Web</t>
        </is>
      </c>
      <c r="K1200" s="8" t="inlineStr">
        <is>
          <t>REG-NA</t>
        </is>
      </c>
    </row>
    <row r="1201">
      <c r="A1201" s="8" t="inlineStr">
        <is>
          <t>ORD-000599</t>
        </is>
      </c>
      <c r="B1201" s="8" t="inlineStr">
        <is>
          <t>2024-07-19</t>
        </is>
      </c>
      <c r="C1201" s="8" t="inlineStr">
        <is>
          <t>CUST-00355</t>
        </is>
      </c>
      <c r="D1201" s="8" t="inlineStr">
        <is>
          <t>Ashley Mitchell</t>
        </is>
      </c>
      <c r="E1201" s="8" t="inlineStr">
        <is>
          <t>PRD-0458</t>
        </is>
      </c>
      <c r="F1201" s="8" t="inlineStr">
        <is>
          <t>3</t>
        </is>
      </c>
      <c r="G1201" s="9" t="n">
        <v>75.83</v>
      </c>
      <c r="H1201" s="8" t="inlineStr">
        <is>
          <t>0.2</t>
        </is>
      </c>
      <c r="I1201" s="8" t="inlineStr">
        <is>
          <t>Standard Ground</t>
        </is>
      </c>
      <c r="J1201" s="8" t="inlineStr">
        <is>
          <t>Direct Web</t>
        </is>
      </c>
      <c r="K1201" s="8" t="inlineStr">
        <is>
          <t>REG-NA</t>
        </is>
      </c>
    </row>
    <row r="1202">
      <c r="A1202" s="8" t="inlineStr">
        <is>
          <t>ORD-000599</t>
        </is>
      </c>
      <c r="B1202" s="8" t="inlineStr">
        <is>
          <t>2024-07-19</t>
        </is>
      </c>
      <c r="C1202" s="8" t="inlineStr">
        <is>
          <t>CUST-00355</t>
        </is>
      </c>
      <c r="D1202" s="8" t="inlineStr">
        <is>
          <t>Ashley Mitchell</t>
        </is>
      </c>
      <c r="E1202" s="8" t="inlineStr">
        <is>
          <t>PRD-0479</t>
        </is>
      </c>
      <c r="F1202" s="8" t="inlineStr">
        <is>
          <t>1</t>
        </is>
      </c>
      <c r="G1202" s="9" t="n">
        <v>816.11</v>
      </c>
      <c r="H1202" s="8" t="inlineStr">
        <is>
          <t>0.15</t>
        </is>
      </c>
      <c r="I1202" s="8" t="inlineStr">
        <is>
          <t>Standard Ground</t>
        </is>
      </c>
      <c r="J1202" s="8" t="inlineStr">
        <is>
          <t>Direct Web</t>
        </is>
      </c>
      <c r="K1202" s="8" t="inlineStr">
        <is>
          <t>REG-NA</t>
        </is>
      </c>
    </row>
    <row r="1203">
      <c r="A1203" s="8" t="inlineStr">
        <is>
          <t>ORD-000600</t>
        </is>
      </c>
      <c r="B1203" s="8" t="inlineStr">
        <is>
          <t>2024-04-26</t>
        </is>
      </c>
      <c r="C1203" s="8" t="inlineStr"/>
      <c r="D1203" s="8" t="inlineStr"/>
      <c r="E1203" s="8" t="inlineStr">
        <is>
          <t>PRD-0041</t>
        </is>
      </c>
      <c r="F1203" s="8" t="inlineStr">
        <is>
          <t>5</t>
        </is>
      </c>
      <c r="G1203" s="9" t="n">
        <v>71.67</v>
      </c>
      <c r="H1203" s="8" t="inlineStr">
        <is>
          <t>0.0</t>
        </is>
      </c>
      <c r="I1203" s="8" t="inlineStr">
        <is>
          <t>Express Air</t>
        </is>
      </c>
      <c r="J1203" s="8" t="inlineStr">
        <is>
          <t>Mobile App</t>
        </is>
      </c>
      <c r="K1203" s="8" t="inlineStr"/>
    </row>
    <row r="1204">
      <c r="A1204" s="8" t="inlineStr">
        <is>
          <t>ORD-000601</t>
        </is>
      </c>
      <c r="B1204" s="8" t="inlineStr">
        <is>
          <t>2023-10-08</t>
        </is>
      </c>
      <c r="C1204" s="8" t="inlineStr">
        <is>
          <t>CUST-03864</t>
        </is>
      </c>
      <c r="D1204" s="8" t="inlineStr">
        <is>
          <t>Gregory Cruz</t>
        </is>
      </c>
      <c r="E1204" s="8" t="inlineStr">
        <is>
          <t>PRD-0193</t>
        </is>
      </c>
      <c r="F1204" s="8" t="inlineStr">
        <is>
          <t>5</t>
        </is>
      </c>
      <c r="G1204" s="9" t="n">
        <v>791.5</v>
      </c>
      <c r="H1204" s="8" t="inlineStr">
        <is>
          <t>0.0</t>
        </is>
      </c>
      <c r="I1204" s="8" t="inlineStr">
        <is>
          <t>Same-Day Priority</t>
        </is>
      </c>
      <c r="J1204" s="8" t="inlineStr">
        <is>
          <t>Direct Web</t>
        </is>
      </c>
      <c r="K1204" s="8" t="inlineStr">
        <is>
          <t>REG-EU</t>
        </is>
      </c>
    </row>
    <row r="1205">
      <c r="A1205" s="8" t="inlineStr">
        <is>
          <t>ORD-000601</t>
        </is>
      </c>
      <c r="B1205" s="8" t="inlineStr">
        <is>
          <t>2023-10-08</t>
        </is>
      </c>
      <c r="C1205" s="8" t="inlineStr">
        <is>
          <t>CUST-03864</t>
        </is>
      </c>
      <c r="D1205" s="8" t="inlineStr">
        <is>
          <t>Gregory Cruz</t>
        </is>
      </c>
      <c r="E1205" s="8" t="inlineStr">
        <is>
          <t>PRD-0079</t>
        </is>
      </c>
      <c r="F1205" s="8" t="inlineStr">
        <is>
          <t>1</t>
        </is>
      </c>
      <c r="G1205" s="9" t="n">
        <v>1234.41</v>
      </c>
      <c r="H1205" s="8" t="inlineStr">
        <is>
          <t>0.1</t>
        </is>
      </c>
      <c r="I1205" s="8" t="inlineStr">
        <is>
          <t>Same-Day Priority</t>
        </is>
      </c>
      <c r="J1205" s="8" t="inlineStr">
        <is>
          <t>Direct Web</t>
        </is>
      </c>
      <c r="K1205" s="8" t="inlineStr">
        <is>
          <t>REG-EU</t>
        </is>
      </c>
    </row>
    <row r="1206">
      <c r="A1206" s="8" t="inlineStr">
        <is>
          <t>ORD-000602</t>
        </is>
      </c>
      <c r="B1206" s="8" t="inlineStr">
        <is>
          <t>2025-07-17</t>
        </is>
      </c>
      <c r="C1206" s="8" t="inlineStr">
        <is>
          <t>CUST-07038</t>
        </is>
      </c>
      <c r="D1206" s="8" t="inlineStr">
        <is>
          <t>Janet Turner</t>
        </is>
      </c>
      <c r="E1206" s="8" t="inlineStr">
        <is>
          <t>PRD-0066</t>
        </is>
      </c>
      <c r="F1206" s="8" t="inlineStr">
        <is>
          <t>1</t>
        </is>
      </c>
      <c r="G1206" s="9" t="n">
        <v>976.53</v>
      </c>
      <c r="H1206" s="8" t="inlineStr">
        <is>
          <t>0.1</t>
        </is>
      </c>
      <c r="I1206" s="8" t="inlineStr">
        <is>
          <t>Standard Ground</t>
        </is>
      </c>
      <c r="J1206" s="8" t="inlineStr">
        <is>
          <t>Direct Web</t>
        </is>
      </c>
      <c r="K1206" s="8" t="inlineStr">
        <is>
          <t>REG-LATAM</t>
        </is>
      </c>
    </row>
    <row r="1207">
      <c r="A1207" s="8" t="inlineStr">
        <is>
          <t>ORD-000602</t>
        </is>
      </c>
      <c r="B1207" s="8" t="inlineStr">
        <is>
          <t>2025-07-17</t>
        </is>
      </c>
      <c r="C1207" s="8" t="inlineStr">
        <is>
          <t>CUST-07038</t>
        </is>
      </c>
      <c r="D1207" s="8" t="inlineStr">
        <is>
          <t>Janet Turner</t>
        </is>
      </c>
      <c r="E1207" s="8" t="inlineStr">
        <is>
          <t>PRD-0149</t>
        </is>
      </c>
      <c r="F1207" s="8" t="inlineStr">
        <is>
          <t>1</t>
        </is>
      </c>
      <c r="G1207" s="9" t="n">
        <v>184.54</v>
      </c>
      <c r="H1207" s="8" t="inlineStr">
        <is>
          <t>0.0</t>
        </is>
      </c>
      <c r="I1207" s="8" t="inlineStr">
        <is>
          <t>Standard Ground</t>
        </is>
      </c>
      <c r="J1207" s="8" t="inlineStr">
        <is>
          <t>Direct Web</t>
        </is>
      </c>
      <c r="K1207" s="8" t="inlineStr">
        <is>
          <t>REG-LATAM</t>
        </is>
      </c>
    </row>
    <row r="1208">
      <c r="A1208" s="8" t="inlineStr">
        <is>
          <t>ORD-000602</t>
        </is>
      </c>
      <c r="B1208" s="8" t="inlineStr">
        <is>
          <t>2025-07-17</t>
        </is>
      </c>
      <c r="C1208" s="8" t="inlineStr">
        <is>
          <t>CUST-07038</t>
        </is>
      </c>
      <c r="D1208" s="8" t="inlineStr">
        <is>
          <t>Janet Turner</t>
        </is>
      </c>
      <c r="E1208" s="8" t="inlineStr">
        <is>
          <t>PRD-0436</t>
        </is>
      </c>
      <c r="F1208" s="8" t="inlineStr">
        <is>
          <t>1</t>
        </is>
      </c>
      <c r="G1208" s="9" t="n">
        <v>325.02</v>
      </c>
      <c r="H1208" s="8" t="inlineStr">
        <is>
          <t>0.1</t>
        </is>
      </c>
      <c r="I1208" s="8" t="inlineStr">
        <is>
          <t>Standard Ground</t>
        </is>
      </c>
      <c r="J1208" s="8" t="inlineStr">
        <is>
          <t>Direct Web</t>
        </is>
      </c>
      <c r="K1208" s="8" t="inlineStr">
        <is>
          <t>REG-LATAM</t>
        </is>
      </c>
    </row>
    <row r="1209">
      <c r="A1209" s="8" t="inlineStr">
        <is>
          <t>ORD-000602</t>
        </is>
      </c>
      <c r="B1209" s="8" t="inlineStr">
        <is>
          <t>2025-07-17</t>
        </is>
      </c>
      <c r="C1209" s="8" t="inlineStr">
        <is>
          <t>CUST-07038</t>
        </is>
      </c>
      <c r="D1209" s="8" t="inlineStr">
        <is>
          <t>Janet Turner</t>
        </is>
      </c>
      <c r="E1209" s="8" t="inlineStr">
        <is>
          <t>PRD-0078</t>
        </is>
      </c>
      <c r="F1209" s="8" t="inlineStr">
        <is>
          <t>1</t>
        </is>
      </c>
      <c r="G1209" s="9" t="n">
        <v>417.17</v>
      </c>
      <c r="H1209" s="8" t="inlineStr">
        <is>
          <t>0.2</t>
        </is>
      </c>
      <c r="I1209" s="8" t="inlineStr">
        <is>
          <t>Standard Ground</t>
        </is>
      </c>
      <c r="J1209" s="8" t="inlineStr">
        <is>
          <t>Direct Web</t>
        </is>
      </c>
      <c r="K1209" s="8" t="inlineStr">
        <is>
          <t>REG-LATAM</t>
        </is>
      </c>
    </row>
    <row r="1210">
      <c r="A1210" s="8" t="inlineStr">
        <is>
          <t>ORD-000603</t>
        </is>
      </c>
      <c r="B1210" s="8" t="inlineStr">
        <is>
          <t>2025-09-11</t>
        </is>
      </c>
      <c r="C1210" s="8" t="inlineStr">
        <is>
          <t>CUST-01703</t>
        </is>
      </c>
      <c r="D1210" s="8" t="inlineStr">
        <is>
          <t>Jack Walker</t>
        </is>
      </c>
      <c r="E1210" s="8" t="inlineStr">
        <is>
          <t>PRD-0221</t>
        </is>
      </c>
      <c r="F1210" s="8" t="inlineStr">
        <is>
          <t>1</t>
        </is>
      </c>
      <c r="G1210" s="9" t="n">
        <v>7.79</v>
      </c>
      <c r="H1210" s="8" t="inlineStr">
        <is>
          <t>0.05</t>
        </is>
      </c>
      <c r="I1210" s="8" t="inlineStr">
        <is>
          <t>Standard Ground</t>
        </is>
      </c>
      <c r="J1210" s="8" t="inlineStr">
        <is>
          <t>Direct Web</t>
        </is>
      </c>
      <c r="K1210" s="8" t="inlineStr">
        <is>
          <t>REG-NA</t>
        </is>
      </c>
    </row>
    <row r="1211">
      <c r="A1211" s="8" t="inlineStr">
        <is>
          <t>ORD-000603</t>
        </is>
      </c>
      <c r="B1211" s="8" t="inlineStr">
        <is>
          <t>2025-09-11</t>
        </is>
      </c>
      <c r="C1211" s="8" t="inlineStr">
        <is>
          <t>CUST-01703</t>
        </is>
      </c>
      <c r="D1211" s="8" t="inlineStr">
        <is>
          <t>Jack Walker</t>
        </is>
      </c>
      <c r="E1211" s="8" t="inlineStr">
        <is>
          <t>PRD-0238</t>
        </is>
      </c>
      <c r="F1211" s="8" t="inlineStr">
        <is>
          <t>4</t>
        </is>
      </c>
      <c r="G1211" s="9" t="n">
        <v>88.5</v>
      </c>
      <c r="H1211" s="8" t="inlineStr">
        <is>
          <t>0.0</t>
        </is>
      </c>
      <c r="I1211" s="8" t="inlineStr">
        <is>
          <t>Standard Ground</t>
        </is>
      </c>
      <c r="J1211" s="8" t="inlineStr">
        <is>
          <t>Direct Web</t>
        </is>
      </c>
      <c r="K1211" s="8" t="inlineStr">
        <is>
          <t>REG-NA</t>
        </is>
      </c>
    </row>
    <row r="1212">
      <c r="A1212" s="8" t="inlineStr">
        <is>
          <t>ORD-000603</t>
        </is>
      </c>
      <c r="B1212" s="8" t="inlineStr">
        <is>
          <t>2025-09-11</t>
        </is>
      </c>
      <c r="C1212" s="8" t="inlineStr">
        <is>
          <t>CUST-01703</t>
        </is>
      </c>
      <c r="D1212" s="8" t="inlineStr">
        <is>
          <t>Jack Walker</t>
        </is>
      </c>
      <c r="E1212" s="8" t="inlineStr">
        <is>
          <t>PRD-0334</t>
        </is>
      </c>
      <c r="F1212" s="8" t="inlineStr">
        <is>
          <t>1</t>
        </is>
      </c>
      <c r="G1212" s="9" t="n">
        <v>874.67</v>
      </c>
      <c r="H1212" s="8" t="inlineStr">
        <is>
          <t>0.0</t>
        </is>
      </c>
      <c r="I1212" s="8" t="inlineStr">
        <is>
          <t>Standard Ground</t>
        </is>
      </c>
      <c r="J1212" s="8" t="inlineStr">
        <is>
          <t>Direct Web</t>
        </is>
      </c>
      <c r="K1212" s="8" t="inlineStr">
        <is>
          <t>REG-NA</t>
        </is>
      </c>
    </row>
    <row r="1213">
      <c r="A1213" s="8" t="inlineStr">
        <is>
          <t>ORD-000603</t>
        </is>
      </c>
      <c r="B1213" s="8" t="inlineStr">
        <is>
          <t>2025-09-11</t>
        </is>
      </c>
      <c r="C1213" s="8" t="inlineStr">
        <is>
          <t>CUST-01703</t>
        </is>
      </c>
      <c r="D1213" s="8" t="inlineStr">
        <is>
          <t>Jack Walker</t>
        </is>
      </c>
      <c r="E1213" s="8" t="inlineStr">
        <is>
          <t>PRD-0046</t>
        </is>
      </c>
      <c r="F1213" s="8" t="inlineStr">
        <is>
          <t>1</t>
        </is>
      </c>
      <c r="G1213" s="9" t="n">
        <v>692.9</v>
      </c>
      <c r="H1213" s="8" t="inlineStr">
        <is>
          <t>0.2</t>
        </is>
      </c>
      <c r="I1213" s="8" t="inlineStr">
        <is>
          <t>Standard Ground</t>
        </is>
      </c>
      <c r="J1213" s="8" t="inlineStr">
        <is>
          <t>Direct Web</t>
        </is>
      </c>
      <c r="K1213" s="8" t="inlineStr">
        <is>
          <t>REG-NA</t>
        </is>
      </c>
    </row>
    <row r="1214">
      <c r="A1214" s="8" t="inlineStr">
        <is>
          <t>ORD-000604</t>
        </is>
      </c>
      <c r="B1214" s="8" t="inlineStr">
        <is>
          <t>2023-02-18</t>
        </is>
      </c>
      <c r="C1214" s="8" t="inlineStr">
        <is>
          <t>CUST-01715</t>
        </is>
      </c>
      <c r="D1214" s="8" t="inlineStr">
        <is>
          <t>Sarah Williams</t>
        </is>
      </c>
      <c r="E1214" s="8" t="inlineStr">
        <is>
          <t>PRD-0180</t>
        </is>
      </c>
      <c r="F1214" s="8" t="inlineStr">
        <is>
          <t>2</t>
        </is>
      </c>
      <c r="G1214" s="9" t="n">
        <v>1016.03</v>
      </c>
      <c r="H1214" s="8" t="inlineStr">
        <is>
          <t>0.05</t>
        </is>
      </c>
      <c r="I1214" s="8" t="inlineStr">
        <is>
          <t>Freight</t>
        </is>
      </c>
      <c r="J1214" s="8" t="inlineStr">
        <is>
          <t>Direct Web</t>
        </is>
      </c>
      <c r="K1214" s="8" t="inlineStr">
        <is>
          <t>REG-NA</t>
        </is>
      </c>
    </row>
    <row r="1215">
      <c r="A1215" s="8" t="inlineStr">
        <is>
          <t>ORD-000605</t>
        </is>
      </c>
      <c r="B1215" s="8" t="inlineStr">
        <is>
          <t>2025-09-07</t>
        </is>
      </c>
      <c r="C1215" s="8" t="inlineStr">
        <is>
          <t>CUST-05047</t>
        </is>
      </c>
      <c r="D1215" s="8" t="inlineStr">
        <is>
          <t>Alexander Cooper</t>
        </is>
      </c>
      <c r="E1215" s="8" t="inlineStr">
        <is>
          <t>PRD-0132</t>
        </is>
      </c>
      <c r="F1215" s="8" t="inlineStr">
        <is>
          <t>1</t>
        </is>
      </c>
      <c r="G1215" s="9" t="n">
        <v>792.09</v>
      </c>
      <c r="H1215" s="8" t="inlineStr">
        <is>
          <t>0.05</t>
        </is>
      </c>
      <c r="I1215" s="8" t="inlineStr">
        <is>
          <t>Standard Ground</t>
        </is>
      </c>
      <c r="J1215" s="8" t="inlineStr">
        <is>
          <t>Affiliate Partner</t>
        </is>
      </c>
      <c r="K1215" s="8" t="inlineStr">
        <is>
          <t>REG-NA</t>
        </is>
      </c>
    </row>
    <row r="1216">
      <c r="A1216" s="8" t="inlineStr">
        <is>
          <t>ORD-000606</t>
        </is>
      </c>
      <c r="B1216" s="8" t="inlineStr">
        <is>
          <t>08/18/2025</t>
        </is>
      </c>
      <c r="C1216" s="8" t="inlineStr">
        <is>
          <t>CUST-04739</t>
        </is>
      </c>
      <c r="D1216" s="8" t="inlineStr">
        <is>
          <t>Janet Reed</t>
        </is>
      </c>
      <c r="E1216" s="8" t="inlineStr">
        <is>
          <t>PRD-0463</t>
        </is>
      </c>
      <c r="F1216" s="8" t="inlineStr">
        <is>
          <t>1</t>
        </is>
      </c>
      <c r="G1216" s="9" t="n">
        <v>123.72</v>
      </c>
      <c r="H1216" s="8" t="inlineStr">
        <is>
          <t>0.0</t>
        </is>
      </c>
      <c r="I1216" s="8" t="inlineStr">
        <is>
          <t>Standard Ground</t>
        </is>
      </c>
      <c r="J1216" s="8" t="inlineStr">
        <is>
          <t>Direct Web</t>
        </is>
      </c>
      <c r="K1216" s="8" t="inlineStr">
        <is>
          <t>REG-APAC</t>
        </is>
      </c>
    </row>
    <row r="1217">
      <c r="A1217" s="8" t="inlineStr">
        <is>
          <t>ORD-000606</t>
        </is>
      </c>
      <c r="B1217" s="8" t="inlineStr">
        <is>
          <t>08/18/2025</t>
        </is>
      </c>
      <c r="C1217" s="8" t="inlineStr">
        <is>
          <t>CUST-04739</t>
        </is>
      </c>
      <c r="D1217" s="8" t="inlineStr">
        <is>
          <t>Janet Reed</t>
        </is>
      </c>
      <c r="E1217" s="8" t="inlineStr">
        <is>
          <t>PRD-0229</t>
        </is>
      </c>
      <c r="F1217" s="8" t="inlineStr">
        <is>
          <t>1</t>
        </is>
      </c>
      <c r="G1217" s="9" t="n">
        <v>31.96</v>
      </c>
      <c r="H1217" s="8" t="inlineStr">
        <is>
          <t>0.1</t>
        </is>
      </c>
      <c r="I1217" s="8" t="inlineStr">
        <is>
          <t>Standard Ground</t>
        </is>
      </c>
      <c r="J1217" s="8" t="inlineStr">
        <is>
          <t>Direct Web</t>
        </is>
      </c>
      <c r="K1217" s="8" t="inlineStr">
        <is>
          <t>REG-APAC</t>
        </is>
      </c>
    </row>
    <row r="1218">
      <c r="A1218" s="8" t="inlineStr">
        <is>
          <t>ORD-000607</t>
        </is>
      </c>
      <c r="B1218" s="8" t="inlineStr">
        <is>
          <t>2025-04-23</t>
        </is>
      </c>
      <c r="C1218" s="8" t="inlineStr">
        <is>
          <t>CUST-05081</t>
        </is>
      </c>
      <c r="D1218" s="8" t="inlineStr">
        <is>
          <t>Amy Baker</t>
        </is>
      </c>
      <c r="E1218" s="8" t="inlineStr">
        <is>
          <t>PRD-0221</t>
        </is>
      </c>
      <c r="F1218" s="8" t="inlineStr">
        <is>
          <t>1</t>
        </is>
      </c>
      <c r="G1218" s="9" t="n">
        <v>7.79</v>
      </c>
      <c r="H1218" s="8" t="inlineStr">
        <is>
          <t>0.1</t>
        </is>
      </c>
      <c r="I1218" s="8" t="inlineStr">
        <is>
          <t>Standard Ground</t>
        </is>
      </c>
      <c r="J1218" s="8" t="inlineStr">
        <is>
          <t>Direct Web</t>
        </is>
      </c>
      <c r="K1218" s="8" t="inlineStr">
        <is>
          <t>REG-APAC</t>
        </is>
      </c>
    </row>
    <row r="1219">
      <c r="A1219" s="8" t="inlineStr">
        <is>
          <t>ORD-000607</t>
        </is>
      </c>
      <c r="B1219" s="8" t="inlineStr">
        <is>
          <t>2025-04-23</t>
        </is>
      </c>
      <c r="C1219" s="8" t="inlineStr">
        <is>
          <t>CUST-05081</t>
        </is>
      </c>
      <c r="D1219" s="8" t="inlineStr">
        <is>
          <t>Amy Baker</t>
        </is>
      </c>
      <c r="E1219" s="8" t="inlineStr">
        <is>
          <t>PRD-0413</t>
        </is>
      </c>
      <c r="F1219" s="8" t="inlineStr">
        <is>
          <t>5</t>
        </is>
      </c>
      <c r="G1219" s="9" t="n">
        <v>764.48</v>
      </c>
      <c r="H1219" s="8" t="inlineStr">
        <is>
          <t>0.05</t>
        </is>
      </c>
      <c r="I1219" s="8" t="inlineStr">
        <is>
          <t>Standard Ground</t>
        </is>
      </c>
      <c r="J1219" s="8" t="inlineStr">
        <is>
          <t>Direct Web</t>
        </is>
      </c>
      <c r="K1219" s="8" t="inlineStr">
        <is>
          <t>REG-APAC</t>
        </is>
      </c>
    </row>
    <row r="1220">
      <c r="A1220" s="8" t="inlineStr">
        <is>
          <t>ORD-000607</t>
        </is>
      </c>
      <c r="B1220" s="8" t="inlineStr">
        <is>
          <t>2025-04-23</t>
        </is>
      </c>
      <c r="C1220" s="8" t="inlineStr">
        <is>
          <t>CUST-05081</t>
        </is>
      </c>
      <c r="D1220" s="8" t="inlineStr">
        <is>
          <t>Amy Baker</t>
        </is>
      </c>
      <c r="E1220" s="8" t="inlineStr">
        <is>
          <t>PRD-0410</t>
        </is>
      </c>
      <c r="F1220" s="8" t="inlineStr">
        <is>
          <t>1</t>
        </is>
      </c>
      <c r="G1220" s="9" t="n">
        <v>13.14</v>
      </c>
      <c r="H1220" s="8" t="inlineStr">
        <is>
          <t>0.0</t>
        </is>
      </c>
      <c r="I1220" s="8" t="inlineStr">
        <is>
          <t>Standard Ground</t>
        </is>
      </c>
      <c r="J1220" s="8" t="inlineStr">
        <is>
          <t>Direct Web</t>
        </is>
      </c>
      <c r="K1220" s="8" t="inlineStr">
        <is>
          <t>REG-APAC</t>
        </is>
      </c>
    </row>
    <row r="1221">
      <c r="A1221" s="8" t="inlineStr">
        <is>
          <t>ORD-000608</t>
        </is>
      </c>
      <c r="B1221" s="8" t="inlineStr">
        <is>
          <t>2023-10-02</t>
        </is>
      </c>
      <c r="C1221" s="8" t="inlineStr">
        <is>
          <t>CUST-03076</t>
        </is>
      </c>
      <c r="D1221" s="8" t="inlineStr">
        <is>
          <t>Patricia Taylor</t>
        </is>
      </c>
      <c r="E1221" s="8" t="inlineStr">
        <is>
          <t>PRD-0059</t>
        </is>
      </c>
      <c r="F1221" s="8" t="inlineStr">
        <is>
          <t>1</t>
        </is>
      </c>
      <c r="G1221" s="9" t="n">
        <v>532.12</v>
      </c>
      <c r="H1221" s="8" t="inlineStr">
        <is>
          <t>0.0</t>
        </is>
      </c>
      <c r="I1221" s="8" t="inlineStr">
        <is>
          <t>Standard Ground</t>
        </is>
      </c>
      <c r="J1221" s="8" t="inlineStr">
        <is>
          <t>Direct Web</t>
        </is>
      </c>
      <c r="K1221" s="8" t="inlineStr">
        <is>
          <t>REG-EU</t>
        </is>
      </c>
    </row>
    <row r="1222">
      <c r="A1222" s="8" t="inlineStr">
        <is>
          <t>ORD-000608</t>
        </is>
      </c>
      <c r="B1222" s="8" t="inlineStr">
        <is>
          <t>2023-10-02</t>
        </is>
      </c>
      <c r="C1222" s="8" t="inlineStr">
        <is>
          <t>CUST-03076</t>
        </is>
      </c>
      <c r="D1222" s="8" t="inlineStr">
        <is>
          <t>Patricia Taylor</t>
        </is>
      </c>
      <c r="E1222" s="8" t="inlineStr">
        <is>
          <t>PRD-0040</t>
        </is>
      </c>
      <c r="F1222" s="8" t="inlineStr">
        <is>
          <t>1</t>
        </is>
      </c>
      <c r="G1222" s="9" t="n">
        <v>28.56</v>
      </c>
      <c r="H1222" s="8" t="inlineStr">
        <is>
          <t>0.1</t>
        </is>
      </c>
      <c r="I1222" s="8" t="inlineStr">
        <is>
          <t>Standard Ground</t>
        </is>
      </c>
      <c r="J1222" s="8" t="inlineStr">
        <is>
          <t>Direct Web</t>
        </is>
      </c>
      <c r="K1222" s="8" t="inlineStr">
        <is>
          <t>REG-EU</t>
        </is>
      </c>
    </row>
    <row r="1223">
      <c r="A1223" s="8" t="inlineStr">
        <is>
          <t>ORD-000609</t>
        </is>
      </c>
      <c r="B1223" s="8" t="inlineStr">
        <is>
          <t>2023-05-11</t>
        </is>
      </c>
      <c r="C1223" s="8" t="inlineStr">
        <is>
          <t>CUST-06439</t>
        </is>
      </c>
      <c r="D1223" s="8" t="inlineStr">
        <is>
          <t>Eric Davis</t>
        </is>
      </c>
      <c r="E1223" s="8" t="inlineStr">
        <is>
          <t>PRD-0026</t>
        </is>
      </c>
      <c r="F1223" s="8" t="inlineStr">
        <is>
          <t>2</t>
        </is>
      </c>
      <c r="G1223" s="9" t="n">
        <v>469.49</v>
      </c>
      <c r="H1223" s="8" t="inlineStr">
        <is>
          <t>0.0</t>
        </is>
      </c>
      <c r="I1223" s="8" t="inlineStr">
        <is>
          <t>Standard Ground</t>
        </is>
      </c>
      <c r="J1223" s="8" t="inlineStr">
        <is>
          <t>Direct Web</t>
        </is>
      </c>
      <c r="K1223" s="8" t="inlineStr">
        <is>
          <t>REG-LATAM</t>
        </is>
      </c>
    </row>
    <row r="1224">
      <c r="A1224" s="8" t="inlineStr">
        <is>
          <t>ORD-000610</t>
        </is>
      </c>
      <c r="B1224" s="8" t="inlineStr">
        <is>
          <t>2025-08-03</t>
        </is>
      </c>
      <c r="C1224" s="8" t="inlineStr"/>
      <c r="D1224" s="8" t="inlineStr"/>
      <c r="E1224" s="8" t="inlineStr">
        <is>
          <t>PRD-0240</t>
        </is>
      </c>
      <c r="F1224" s="8" t="inlineStr">
        <is>
          <t>1</t>
        </is>
      </c>
      <c r="G1224" s="9" t="n">
        <v>656.01</v>
      </c>
      <c r="H1224" s="8" t="inlineStr">
        <is>
          <t>0.2</t>
        </is>
      </c>
      <c r="I1224" s="8" t="inlineStr">
        <is>
          <t>Standard Ground</t>
        </is>
      </c>
      <c r="J1224" s="8" t="inlineStr">
        <is>
          <t>Direct Web</t>
        </is>
      </c>
      <c r="K1224" s="8" t="inlineStr"/>
    </row>
    <row r="1225">
      <c r="A1225" s="8" t="inlineStr">
        <is>
          <t>ORD-000610</t>
        </is>
      </c>
      <c r="B1225" s="8" t="inlineStr">
        <is>
          <t>2025-08-03</t>
        </is>
      </c>
      <c r="C1225" s="8" t="inlineStr"/>
      <c r="D1225" s="8" t="inlineStr"/>
      <c r="E1225" s="8" t="inlineStr">
        <is>
          <t>PRD-0456</t>
        </is>
      </c>
      <c r="F1225" s="8" t="inlineStr">
        <is>
          <t>1</t>
        </is>
      </c>
      <c r="G1225" s="9" t="n">
        <v>148.24</v>
      </c>
      <c r="H1225" s="8" t="inlineStr">
        <is>
          <t>0.0</t>
        </is>
      </c>
      <c r="I1225" s="8" t="inlineStr">
        <is>
          <t>Standard Ground</t>
        </is>
      </c>
      <c r="J1225" s="8" t="inlineStr">
        <is>
          <t>Direct Web</t>
        </is>
      </c>
      <c r="K1225" s="8" t="inlineStr"/>
    </row>
    <row r="1226">
      <c r="A1226" s="8" t="inlineStr">
        <is>
          <t>ORD-000610</t>
        </is>
      </c>
      <c r="B1226" s="8" t="inlineStr">
        <is>
          <t>2025-08-03</t>
        </is>
      </c>
      <c r="C1226" s="8" t="inlineStr"/>
      <c r="D1226" s="8" t="inlineStr"/>
      <c r="E1226" s="8" t="inlineStr">
        <is>
          <t>PRD-0003</t>
        </is>
      </c>
      <c r="F1226" s="8" t="inlineStr">
        <is>
          <t>1</t>
        </is>
      </c>
      <c r="G1226" s="9" t="n">
        <v>807.39</v>
      </c>
      <c r="H1226" s="8" t="inlineStr">
        <is>
          <t>0.0</t>
        </is>
      </c>
      <c r="I1226" s="8" t="inlineStr">
        <is>
          <t>Standard Ground</t>
        </is>
      </c>
      <c r="J1226" s="8" t="inlineStr">
        <is>
          <t>Direct Web</t>
        </is>
      </c>
      <c r="K1226" s="8" t="inlineStr"/>
    </row>
    <row r="1227">
      <c r="A1227" s="8" t="inlineStr">
        <is>
          <t>ORD-000611</t>
        </is>
      </c>
      <c r="B1227" s="8" t="inlineStr">
        <is>
          <t>2023-11-18</t>
        </is>
      </c>
      <c r="C1227" s="8" t="inlineStr">
        <is>
          <t>CUST-07301</t>
        </is>
      </c>
      <c r="D1227" s="8" t="inlineStr">
        <is>
          <t>Brenda Gray</t>
        </is>
      </c>
      <c r="E1227" s="8" t="inlineStr">
        <is>
          <t>PRD-0389</t>
        </is>
      </c>
      <c r="F1227" s="8" t="inlineStr">
        <is>
          <t>1</t>
        </is>
      </c>
      <c r="G1227" s="9" t="n">
        <v>355.7</v>
      </c>
      <c r="H1227" s="8" t="inlineStr">
        <is>
          <t>0.2</t>
        </is>
      </c>
      <c r="I1227" s="8" t="inlineStr">
        <is>
          <t>Express Air</t>
        </is>
      </c>
      <c r="J1227" s="8" t="inlineStr">
        <is>
          <t>Direct Web</t>
        </is>
      </c>
      <c r="K1227" s="8" t="inlineStr">
        <is>
          <t>REG-EU</t>
        </is>
      </c>
    </row>
    <row r="1228">
      <c r="A1228" s="8" t="inlineStr">
        <is>
          <t>ORD-000611</t>
        </is>
      </c>
      <c r="B1228" s="8" t="inlineStr">
        <is>
          <t>2023-11-18</t>
        </is>
      </c>
      <c r="C1228" s="8" t="inlineStr">
        <is>
          <t>CUST-07301</t>
        </is>
      </c>
      <c r="D1228" s="8" t="inlineStr">
        <is>
          <t>Brenda Gray</t>
        </is>
      </c>
      <c r="E1228" s="8" t="inlineStr">
        <is>
          <t>PRD-0111</t>
        </is>
      </c>
      <c r="F1228" s="8" t="inlineStr">
        <is>
          <t>1</t>
        </is>
      </c>
      <c r="G1228" s="9" t="n">
        <v>63.37</v>
      </c>
      <c r="H1228" s="8" t="inlineStr">
        <is>
          <t>0.1</t>
        </is>
      </c>
      <c r="I1228" s="8" t="inlineStr">
        <is>
          <t>Express Air</t>
        </is>
      </c>
      <c r="J1228" s="8" t="inlineStr">
        <is>
          <t>Direct Web</t>
        </is>
      </c>
      <c r="K1228" s="8" t="inlineStr">
        <is>
          <t>REG-EU</t>
        </is>
      </c>
    </row>
    <row r="1229">
      <c r="A1229" s="8" t="inlineStr">
        <is>
          <t>ORD-000611</t>
        </is>
      </c>
      <c r="B1229" s="8" t="inlineStr">
        <is>
          <t>2023-11-18</t>
        </is>
      </c>
      <c r="C1229" s="8" t="inlineStr">
        <is>
          <t>CUST-07301</t>
        </is>
      </c>
      <c r="D1229" s="8" t="inlineStr">
        <is>
          <t>Brenda Gray</t>
        </is>
      </c>
      <c r="E1229" s="8" t="inlineStr">
        <is>
          <t>PRD-0235</t>
        </is>
      </c>
      <c r="F1229" s="8" t="inlineStr">
        <is>
          <t>2</t>
        </is>
      </c>
      <c r="G1229" s="9" t="n">
        <v>640.49</v>
      </c>
      <c r="H1229" s="8" t="inlineStr">
        <is>
          <t>0.1</t>
        </is>
      </c>
      <c r="I1229" s="8" t="inlineStr">
        <is>
          <t>Express Air</t>
        </is>
      </c>
      <c r="J1229" s="8" t="inlineStr">
        <is>
          <t>Direct Web</t>
        </is>
      </c>
      <c r="K1229" s="8" t="inlineStr">
        <is>
          <t>REG-EU</t>
        </is>
      </c>
    </row>
    <row r="1230">
      <c r="A1230" s="8" t="inlineStr">
        <is>
          <t>ORD-000612</t>
        </is>
      </c>
      <c r="B1230" s="8" t="inlineStr">
        <is>
          <t>2024-04-06</t>
        </is>
      </c>
      <c r="C1230" s="8" t="inlineStr">
        <is>
          <t>CUST-05737</t>
        </is>
      </c>
      <c r="D1230" s="8" t="inlineStr">
        <is>
          <t>Sandra Harris</t>
        </is>
      </c>
      <c r="E1230" s="8" t="inlineStr">
        <is>
          <t>PRD-0033</t>
        </is>
      </c>
      <c r="F1230" s="8" t="inlineStr">
        <is>
          <t>1</t>
        </is>
      </c>
      <c r="G1230" s="9" t="n">
        <v>87.68000000000001</v>
      </c>
      <c r="H1230" s="8" t="inlineStr">
        <is>
          <t>0.1</t>
        </is>
      </c>
      <c r="I1230" s="8" t="inlineStr">
        <is>
          <t>Express Air</t>
        </is>
      </c>
      <c r="J1230" s="8" t="inlineStr">
        <is>
          <t>Mobile App</t>
        </is>
      </c>
      <c r="K1230" s="8" t="inlineStr">
        <is>
          <t>REG-APAC</t>
        </is>
      </c>
    </row>
    <row r="1231">
      <c r="A1231" s="8" t="inlineStr">
        <is>
          <t>ORD-000613</t>
        </is>
      </c>
      <c r="B1231" s="8" t="inlineStr">
        <is>
          <t>2025-03-13</t>
        </is>
      </c>
      <c r="C1231" s="8" t="inlineStr">
        <is>
          <t>CUST-02864</t>
        </is>
      </c>
      <c r="D1231" s="8" t="inlineStr">
        <is>
          <t>Ashley Anderson</t>
        </is>
      </c>
      <c r="E1231" s="8" t="inlineStr">
        <is>
          <t>PRD-0212</t>
        </is>
      </c>
      <c r="F1231" s="8" t="inlineStr">
        <is>
          <t>2</t>
        </is>
      </c>
      <c r="G1231" s="9" t="n">
        <v>15.71</v>
      </c>
      <c r="H1231" s="8" t="inlineStr">
        <is>
          <t>0.0</t>
        </is>
      </c>
      <c r="I1231" s="8" t="inlineStr">
        <is>
          <t>Freight</t>
        </is>
      </c>
      <c r="J1231" s="8" t="inlineStr">
        <is>
          <t>Mobile App</t>
        </is>
      </c>
      <c r="K1231" s="8" t="inlineStr">
        <is>
          <t>REG-NA</t>
        </is>
      </c>
    </row>
    <row r="1232">
      <c r="A1232" s="8" t="inlineStr">
        <is>
          <t>ORD-000613</t>
        </is>
      </c>
      <c r="B1232" s="8" t="inlineStr">
        <is>
          <t>2025-03-13</t>
        </is>
      </c>
      <c r="C1232" s="8" t="inlineStr">
        <is>
          <t>CUST-02864</t>
        </is>
      </c>
      <c r="D1232" s="8" t="inlineStr">
        <is>
          <t>Ashley Anderson</t>
        </is>
      </c>
      <c r="E1232" s="8" t="inlineStr">
        <is>
          <t>PRD-0385</t>
        </is>
      </c>
      <c r="F1232" s="8" t="inlineStr">
        <is>
          <t>1</t>
        </is>
      </c>
      <c r="G1232" s="9" t="n">
        <v>209.78</v>
      </c>
      <c r="H1232" s="8" t="inlineStr">
        <is>
          <t>0.0</t>
        </is>
      </c>
      <c r="I1232" s="8" t="inlineStr">
        <is>
          <t>Freight</t>
        </is>
      </c>
      <c r="J1232" s="8" t="inlineStr">
        <is>
          <t>Mobile App</t>
        </is>
      </c>
      <c r="K1232" s="8" t="inlineStr">
        <is>
          <t>REG-NA</t>
        </is>
      </c>
    </row>
    <row r="1233">
      <c r="A1233" s="8" t="inlineStr">
        <is>
          <t>ORD-000614</t>
        </is>
      </c>
      <c r="B1233" s="8" t="inlineStr">
        <is>
          <t>10/15/2024</t>
        </is>
      </c>
      <c r="C1233" s="8" t="inlineStr">
        <is>
          <t>CUST-01581</t>
        </is>
      </c>
      <c r="D1233" s="8" t="inlineStr">
        <is>
          <t>Ronald Mendoza</t>
        </is>
      </c>
      <c r="E1233" s="8" t="inlineStr">
        <is>
          <t>PRD-0356</t>
        </is>
      </c>
      <c r="F1233" s="8" t="inlineStr">
        <is>
          <t>1</t>
        </is>
      </c>
      <c r="G1233" s="9" t="n">
        <v>180.92</v>
      </c>
      <c r="H1233" s="8" t="inlineStr">
        <is>
          <t>0.25</t>
        </is>
      </c>
      <c r="I1233" s="8" t="inlineStr">
        <is>
          <t>Express Air</t>
        </is>
      </c>
      <c r="J1233" s="8" t="inlineStr">
        <is>
          <t>Affiliate Partner</t>
        </is>
      </c>
      <c r="K1233" s="8" t="inlineStr">
        <is>
          <t>REG-EU</t>
        </is>
      </c>
    </row>
    <row r="1234">
      <c r="A1234" s="8" t="inlineStr">
        <is>
          <t>ORD-000615</t>
        </is>
      </c>
      <c r="B1234" s="8" t="inlineStr">
        <is>
          <t>2025-11-06</t>
        </is>
      </c>
      <c r="C1234" s="8" t="inlineStr">
        <is>
          <t>CUST-03212</t>
        </is>
      </c>
      <c r="D1234" s="8" t="inlineStr">
        <is>
          <t>Angela Thomas</t>
        </is>
      </c>
      <c r="E1234" s="8" t="inlineStr">
        <is>
          <t>PRD-0385</t>
        </is>
      </c>
      <c r="F1234" s="8" t="inlineStr">
        <is>
          <t>1</t>
        </is>
      </c>
      <c r="G1234" s="9" t="n">
        <v>209.78</v>
      </c>
      <c r="H1234" s="8" t="inlineStr">
        <is>
          <t>0.15</t>
        </is>
      </c>
      <c r="I1234" s="8" t="inlineStr">
        <is>
          <t>Standard Ground</t>
        </is>
      </c>
      <c r="J1234" s="8" t="inlineStr">
        <is>
          <t>Direct Web</t>
        </is>
      </c>
      <c r="K1234" s="8" t="inlineStr">
        <is>
          <t>REG-NA</t>
        </is>
      </c>
    </row>
    <row r="1235">
      <c r="A1235" s="8" t="inlineStr">
        <is>
          <t>ORD-000615</t>
        </is>
      </c>
      <c r="B1235" s="8" t="inlineStr">
        <is>
          <t>2025-11-06</t>
        </is>
      </c>
      <c r="C1235" s="8" t="inlineStr">
        <is>
          <t>CUST-03212</t>
        </is>
      </c>
      <c r="D1235" s="8" t="inlineStr">
        <is>
          <t>Angela Thomas</t>
        </is>
      </c>
      <c r="E1235" s="8" t="inlineStr">
        <is>
          <t>PRD-0030</t>
        </is>
      </c>
      <c r="F1235" s="8" t="inlineStr">
        <is>
          <t>2</t>
        </is>
      </c>
      <c r="G1235" s="9" t="n">
        <v>298.29</v>
      </c>
      <c r="H1235" s="8" t="inlineStr">
        <is>
          <t>0.1</t>
        </is>
      </c>
      <c r="I1235" s="8" t="inlineStr">
        <is>
          <t>Standard Ground</t>
        </is>
      </c>
      <c r="J1235" s="8" t="inlineStr">
        <is>
          <t>Direct Web</t>
        </is>
      </c>
      <c r="K1235" s="8" t="inlineStr">
        <is>
          <t>REG-NA</t>
        </is>
      </c>
    </row>
    <row r="1236">
      <c r="A1236" s="8" t="inlineStr">
        <is>
          <t>ORD-000616</t>
        </is>
      </c>
      <c r="B1236" s="8" t="inlineStr">
        <is>
          <t>2024-10-07</t>
        </is>
      </c>
      <c r="C1236" s="8" t="inlineStr">
        <is>
          <t>CUST-01193</t>
        </is>
      </c>
      <c r="D1236" s="8" t="inlineStr">
        <is>
          <t>Christopher Rogers</t>
        </is>
      </c>
      <c r="E1236" s="8" t="inlineStr">
        <is>
          <t>PRD-0440</t>
        </is>
      </c>
      <c r="F1236" s="8" t="inlineStr">
        <is>
          <t>1</t>
        </is>
      </c>
      <c r="G1236" s="9" t="n">
        <v>791.74</v>
      </c>
      <c r="H1236" s="8" t="inlineStr">
        <is>
          <t>0.0</t>
        </is>
      </c>
      <c r="I1236" s="8" t="inlineStr">
        <is>
          <t>Express Air</t>
        </is>
      </c>
      <c r="J1236" s="8" t="inlineStr">
        <is>
          <t>Affiliate Partner</t>
        </is>
      </c>
      <c r="K1236" s="8" t="inlineStr">
        <is>
          <t>REG-APAC</t>
        </is>
      </c>
    </row>
    <row r="1237">
      <c r="A1237" s="8" t="inlineStr">
        <is>
          <t>ORD-000616</t>
        </is>
      </c>
      <c r="B1237" s="8" t="inlineStr">
        <is>
          <t>2024-10-07</t>
        </is>
      </c>
      <c r="C1237" s="8" t="inlineStr">
        <is>
          <t>CUST-01193</t>
        </is>
      </c>
      <c r="D1237" s="8" t="inlineStr">
        <is>
          <t>Christopher Rogers</t>
        </is>
      </c>
      <c r="E1237" s="8" t="inlineStr">
        <is>
          <t>PRD-0439</t>
        </is>
      </c>
      <c r="F1237" s="8" t="inlineStr">
        <is>
          <t>2</t>
        </is>
      </c>
      <c r="G1237" s="9" t="n">
        <v>807.98</v>
      </c>
      <c r="H1237" s="8" t="inlineStr">
        <is>
          <t>0.05</t>
        </is>
      </c>
      <c r="I1237" s="8" t="inlineStr">
        <is>
          <t>Express Air</t>
        </is>
      </c>
      <c r="J1237" s="8" t="inlineStr">
        <is>
          <t>Affiliate Partner</t>
        </is>
      </c>
      <c r="K1237" s="8" t="inlineStr">
        <is>
          <t>REG-APAC</t>
        </is>
      </c>
    </row>
    <row r="1238">
      <c r="A1238" s="8" t="inlineStr">
        <is>
          <t>ORD-000616</t>
        </is>
      </c>
      <c r="B1238" s="8" t="inlineStr">
        <is>
          <t>2024-10-07</t>
        </is>
      </c>
      <c r="C1238" s="8" t="inlineStr">
        <is>
          <t>CUST-01193</t>
        </is>
      </c>
      <c r="D1238" s="8" t="inlineStr">
        <is>
          <t>Christopher Rogers</t>
        </is>
      </c>
      <c r="E1238" s="8" t="inlineStr">
        <is>
          <t>PRD-0185</t>
        </is>
      </c>
      <c r="F1238" s="8" t="inlineStr">
        <is>
          <t>1</t>
        </is>
      </c>
      <c r="G1238" s="9" t="n">
        <v>1296.57</v>
      </c>
      <c r="H1238" s="8" t="inlineStr">
        <is>
          <t>0.05</t>
        </is>
      </c>
      <c r="I1238" s="8" t="inlineStr">
        <is>
          <t>Express Air</t>
        </is>
      </c>
      <c r="J1238" s="8" t="inlineStr">
        <is>
          <t>Affiliate Partner</t>
        </is>
      </c>
      <c r="K1238" s="8" t="inlineStr">
        <is>
          <t>REG-APAC</t>
        </is>
      </c>
    </row>
    <row r="1239">
      <c r="A1239" s="8" t="inlineStr">
        <is>
          <t>ORD-000616</t>
        </is>
      </c>
      <c r="B1239" s="8" t="inlineStr">
        <is>
          <t>2024-10-07</t>
        </is>
      </c>
      <c r="C1239" s="8" t="inlineStr">
        <is>
          <t>CUST-01193</t>
        </is>
      </c>
      <c r="D1239" s="8" t="inlineStr">
        <is>
          <t>Christopher Rogers</t>
        </is>
      </c>
      <c r="E1239" s="8" t="inlineStr">
        <is>
          <t>PRD-0275</t>
        </is>
      </c>
      <c r="F1239" s="8" t="inlineStr">
        <is>
          <t>2</t>
        </is>
      </c>
      <c r="G1239" s="9" t="n">
        <v>786.53</v>
      </c>
      <c r="H1239" s="8" t="inlineStr">
        <is>
          <t>0.05</t>
        </is>
      </c>
      <c r="I1239" s="8" t="inlineStr">
        <is>
          <t>Express Air</t>
        </is>
      </c>
      <c r="J1239" s="8" t="inlineStr">
        <is>
          <t>Affiliate Partner</t>
        </is>
      </c>
      <c r="K1239" s="8" t="inlineStr">
        <is>
          <t>REG-APAC</t>
        </is>
      </c>
    </row>
    <row r="1240">
      <c r="A1240" s="8" t="inlineStr">
        <is>
          <t>ORD-000617</t>
        </is>
      </c>
      <c r="B1240" s="8" t="inlineStr">
        <is>
          <t>2025-07-19</t>
        </is>
      </c>
      <c r="C1240" s="8" t="inlineStr">
        <is>
          <t>CUST-03257</t>
        </is>
      </c>
      <c r="D1240" s="8" t="inlineStr">
        <is>
          <t>Edward Baker</t>
        </is>
      </c>
      <c r="E1240" s="8" t="inlineStr">
        <is>
          <t>PRD-0448</t>
        </is>
      </c>
      <c r="F1240" s="8" t="inlineStr">
        <is>
          <t>1</t>
        </is>
      </c>
      <c r="G1240" s="9" t="n">
        <v>338.65</v>
      </c>
      <c r="H1240" s="8" t="inlineStr">
        <is>
          <t>0.1</t>
        </is>
      </c>
      <c r="I1240" s="8" t="inlineStr">
        <is>
          <t>Express Air</t>
        </is>
      </c>
      <c r="J1240" s="8" t="inlineStr">
        <is>
          <t>Affiliate Partner</t>
        </is>
      </c>
      <c r="K1240" s="8" t="inlineStr">
        <is>
          <t>REG-NA</t>
        </is>
      </c>
    </row>
    <row r="1241">
      <c r="A1241" s="8" t="inlineStr">
        <is>
          <t>ORD-000617</t>
        </is>
      </c>
      <c r="B1241" s="8" t="inlineStr">
        <is>
          <t>2025-07-19</t>
        </is>
      </c>
      <c r="C1241" s="8" t="inlineStr">
        <is>
          <t>CUST-03257</t>
        </is>
      </c>
      <c r="D1241" s="8" t="inlineStr">
        <is>
          <t>Edward Baker</t>
        </is>
      </c>
      <c r="E1241" s="8" t="inlineStr">
        <is>
          <t>PRD-0279</t>
        </is>
      </c>
      <c r="F1241" s="8" t="inlineStr">
        <is>
          <t>2</t>
        </is>
      </c>
      <c r="G1241" s="9" t="n">
        <v>783.46</v>
      </c>
      <c r="H1241" s="8" t="inlineStr">
        <is>
          <t>0.3</t>
        </is>
      </c>
      <c r="I1241" s="8" t="inlineStr">
        <is>
          <t>Express Air</t>
        </is>
      </c>
      <c r="J1241" s="8" t="inlineStr">
        <is>
          <t>Affiliate Partner</t>
        </is>
      </c>
      <c r="K1241" s="8" t="inlineStr">
        <is>
          <t>REG-NA</t>
        </is>
      </c>
    </row>
    <row r="1242">
      <c r="A1242" s="8" t="inlineStr">
        <is>
          <t>ORD-000617</t>
        </is>
      </c>
      <c r="B1242" s="8" t="inlineStr">
        <is>
          <t>2025-07-19</t>
        </is>
      </c>
      <c r="C1242" s="8" t="inlineStr">
        <is>
          <t>CUST-03257</t>
        </is>
      </c>
      <c r="D1242" s="8" t="inlineStr">
        <is>
          <t>Edward Baker</t>
        </is>
      </c>
      <c r="E1242" s="8" t="inlineStr">
        <is>
          <t>PRD-0113</t>
        </is>
      </c>
      <c r="F1242" s="8" t="inlineStr">
        <is>
          <t>3</t>
        </is>
      </c>
      <c r="G1242" s="9" t="n">
        <v>70.09</v>
      </c>
      <c r="H1242" s="8" t="inlineStr">
        <is>
          <t>0.2</t>
        </is>
      </c>
      <c r="I1242" s="8" t="inlineStr">
        <is>
          <t>Express Air</t>
        </is>
      </c>
      <c r="J1242" s="8" t="inlineStr">
        <is>
          <t>Affiliate Partner</t>
        </is>
      </c>
      <c r="K1242" s="8" t="inlineStr">
        <is>
          <t>REG-NA</t>
        </is>
      </c>
    </row>
    <row r="1243">
      <c r="A1243" s="8" t="inlineStr">
        <is>
          <t>ORD-000617</t>
        </is>
      </c>
      <c r="B1243" s="8" t="inlineStr">
        <is>
          <t>2025-07-19</t>
        </is>
      </c>
      <c r="C1243" s="8" t="inlineStr">
        <is>
          <t>CUST-03257</t>
        </is>
      </c>
      <c r="D1243" s="8" t="inlineStr">
        <is>
          <t>Edward Baker</t>
        </is>
      </c>
      <c r="E1243" s="8" t="inlineStr">
        <is>
          <t>PRD-0295</t>
        </is>
      </c>
      <c r="F1243" s="8" t="inlineStr">
        <is>
          <t>10</t>
        </is>
      </c>
      <c r="G1243" s="9" t="n">
        <v>929.3099999999999</v>
      </c>
      <c r="H1243" s="8" t="inlineStr">
        <is>
          <t>0.05</t>
        </is>
      </c>
      <c r="I1243" s="8" t="inlineStr">
        <is>
          <t>Express Air</t>
        </is>
      </c>
      <c r="J1243" s="8" t="inlineStr">
        <is>
          <t>Affiliate Partner</t>
        </is>
      </c>
      <c r="K1243" s="8" t="inlineStr">
        <is>
          <t>REG-NA</t>
        </is>
      </c>
    </row>
    <row r="1244">
      <c r="A1244" s="8" t="inlineStr">
        <is>
          <t>ORD-000617</t>
        </is>
      </c>
      <c r="B1244" s="8" t="inlineStr">
        <is>
          <t>2025-07-19</t>
        </is>
      </c>
      <c r="C1244" s="8" t="inlineStr">
        <is>
          <t>CUST-03257</t>
        </is>
      </c>
      <c r="D1244" s="8" t="inlineStr">
        <is>
          <t>Edward Baker</t>
        </is>
      </c>
      <c r="E1244" s="8" t="inlineStr">
        <is>
          <t>PRD-0076</t>
        </is>
      </c>
      <c r="F1244" s="8" t="inlineStr">
        <is>
          <t>8</t>
        </is>
      </c>
      <c r="G1244" s="9" t="n">
        <v>83.40000000000001</v>
      </c>
      <c r="H1244" s="8" t="inlineStr">
        <is>
          <t>0.25</t>
        </is>
      </c>
      <c r="I1244" s="8" t="inlineStr">
        <is>
          <t>Express Air</t>
        </is>
      </c>
      <c r="J1244" s="8" t="inlineStr">
        <is>
          <t>Affiliate Partner</t>
        </is>
      </c>
      <c r="K1244" s="8" t="inlineStr">
        <is>
          <t>REG-NA</t>
        </is>
      </c>
    </row>
    <row r="1245">
      <c r="A1245" s="8" t="inlineStr">
        <is>
          <t>ORD-000618</t>
        </is>
      </c>
      <c r="B1245" s="8" t="inlineStr">
        <is>
          <t>2024-10-03</t>
        </is>
      </c>
      <c r="C1245" s="8" t="inlineStr">
        <is>
          <t>CUST-01000</t>
        </is>
      </c>
      <c r="D1245" s="8" t="inlineStr">
        <is>
          <t>Ashley Flores</t>
        </is>
      </c>
      <c r="E1245" s="8" t="inlineStr">
        <is>
          <t>PRD-0027</t>
        </is>
      </c>
      <c r="F1245" s="8" t="inlineStr">
        <is>
          <t>2</t>
        </is>
      </c>
      <c r="G1245" s="9" t="n">
        <v>11.1</v>
      </c>
      <c r="H1245" s="8" t="inlineStr">
        <is>
          <t>0.1</t>
        </is>
      </c>
      <c r="I1245" s="8" t="inlineStr">
        <is>
          <t>Express Air</t>
        </is>
      </c>
      <c r="J1245" s="8" t="inlineStr">
        <is>
          <t>Affiliate Partner</t>
        </is>
      </c>
      <c r="K1245" s="8" t="inlineStr">
        <is>
          <t>REG-EU</t>
        </is>
      </c>
    </row>
    <row r="1246">
      <c r="A1246" s="8" t="inlineStr">
        <is>
          <t>ORD-000618</t>
        </is>
      </c>
      <c r="B1246" s="8" t="inlineStr">
        <is>
          <t>2024-10-03</t>
        </is>
      </c>
      <c r="C1246" s="8" t="inlineStr">
        <is>
          <t>CUST-01000</t>
        </is>
      </c>
      <c r="D1246" s="8" t="inlineStr">
        <is>
          <t>Ashley Flores</t>
        </is>
      </c>
      <c r="E1246" s="8" t="inlineStr">
        <is>
          <t>PRD-0254</t>
        </is>
      </c>
      <c r="F1246" s="8" t="inlineStr">
        <is>
          <t>1</t>
        </is>
      </c>
      <c r="G1246" s="9" t="n">
        <v>219.63</v>
      </c>
      <c r="H1246" s="8" t="inlineStr">
        <is>
          <t>0.0</t>
        </is>
      </c>
      <c r="I1246" s="8" t="inlineStr">
        <is>
          <t>Express Air</t>
        </is>
      </c>
      <c r="J1246" s="8" t="inlineStr">
        <is>
          <t>Affiliate Partner</t>
        </is>
      </c>
      <c r="K1246" s="8" t="inlineStr">
        <is>
          <t>REG-EU</t>
        </is>
      </c>
    </row>
    <row r="1247">
      <c r="A1247" s="8" t="inlineStr">
        <is>
          <t>ORD-000619</t>
        </is>
      </c>
      <c r="B1247" s="8" t="inlineStr">
        <is>
          <t>2025-10-31</t>
        </is>
      </c>
      <c r="C1247" s="8" t="inlineStr">
        <is>
          <t>CUST-04567</t>
        </is>
      </c>
      <c r="D1247" s="8" t="inlineStr">
        <is>
          <t>Richard Mendoza</t>
        </is>
      </c>
      <c r="E1247" s="8" t="inlineStr">
        <is>
          <t>PRD-0052</t>
        </is>
      </c>
      <c r="F1247" s="8" t="inlineStr">
        <is>
          <t>1</t>
        </is>
      </c>
      <c r="G1247" s="9" t="n">
        <v>354.02</v>
      </c>
      <c r="H1247" s="8" t="inlineStr">
        <is>
          <t>0.0</t>
        </is>
      </c>
      <c r="I1247" s="8" t="inlineStr">
        <is>
          <t>Standard Ground</t>
        </is>
      </c>
      <c r="J1247" s="8" t="inlineStr">
        <is>
          <t>Direct Web</t>
        </is>
      </c>
      <c r="K1247" s="8" t="inlineStr">
        <is>
          <t>REG-NA</t>
        </is>
      </c>
    </row>
    <row r="1248">
      <c r="A1248" s="8" t="inlineStr">
        <is>
          <t>ORD-000619</t>
        </is>
      </c>
      <c r="B1248" s="8" t="inlineStr">
        <is>
          <t>2025-10-31</t>
        </is>
      </c>
      <c r="C1248" s="8" t="inlineStr">
        <is>
          <t>CUST-04567</t>
        </is>
      </c>
      <c r="D1248" s="8" t="inlineStr">
        <is>
          <t>Richard Mendoza</t>
        </is>
      </c>
      <c r="E1248" s="8" t="inlineStr">
        <is>
          <t>PRD-0093</t>
        </is>
      </c>
      <c r="F1248" s="8" t="inlineStr">
        <is>
          <t>2</t>
        </is>
      </c>
      <c r="G1248" s="9" t="n">
        <v>1324.37</v>
      </c>
      <c r="H1248" s="8" t="inlineStr">
        <is>
          <t>0.05</t>
        </is>
      </c>
      <c r="I1248" s="8" t="inlineStr">
        <is>
          <t>Standard Ground</t>
        </is>
      </c>
      <c r="J1248" s="8" t="inlineStr">
        <is>
          <t>Direct Web</t>
        </is>
      </c>
      <c r="K1248" s="8" t="inlineStr">
        <is>
          <t>REG-NA</t>
        </is>
      </c>
    </row>
    <row r="1249">
      <c r="A1249" s="8" t="inlineStr">
        <is>
          <t>ORD-000620</t>
        </is>
      </c>
      <c r="B1249" s="8" t="inlineStr">
        <is>
          <t>12/28/2025</t>
        </is>
      </c>
      <c r="C1249" s="8" t="inlineStr">
        <is>
          <t>CUST-04155</t>
        </is>
      </c>
      <c r="D1249" s="8" t="inlineStr">
        <is>
          <t>Samantha Torres</t>
        </is>
      </c>
      <c r="E1249" s="8" t="inlineStr">
        <is>
          <t>PRD-0041</t>
        </is>
      </c>
      <c r="F1249" s="8" t="inlineStr">
        <is>
          <t>1</t>
        </is>
      </c>
      <c r="G1249" s="9" t="n">
        <v>71.67</v>
      </c>
      <c r="H1249" s="8" t="inlineStr">
        <is>
          <t>0.15</t>
        </is>
      </c>
      <c r="I1249" s="8" t="inlineStr">
        <is>
          <t>Same-Day Priority</t>
        </is>
      </c>
      <c r="J1249" s="8" t="inlineStr">
        <is>
          <t>Direct Web</t>
        </is>
      </c>
      <c r="K1249" s="8" t="inlineStr">
        <is>
          <t>REG-NA</t>
        </is>
      </c>
    </row>
    <row r="1250">
      <c r="A1250" s="8" t="inlineStr">
        <is>
          <t>ORD-000620</t>
        </is>
      </c>
      <c r="B1250" s="8" t="inlineStr">
        <is>
          <t>12/28/2025</t>
        </is>
      </c>
      <c r="C1250" s="8" t="inlineStr">
        <is>
          <t>CUST-04155</t>
        </is>
      </c>
      <c r="D1250" s="8" t="inlineStr">
        <is>
          <t>Samantha Torres</t>
        </is>
      </c>
      <c r="E1250" s="8" t="inlineStr">
        <is>
          <t>PRD-0434</t>
        </is>
      </c>
      <c r="F1250" s="8" t="inlineStr">
        <is>
          <t>1</t>
        </is>
      </c>
      <c r="G1250" s="9" t="n">
        <v>899.59</v>
      </c>
      <c r="H1250" s="8" t="inlineStr">
        <is>
          <t>0.0</t>
        </is>
      </c>
      <c r="I1250" s="8" t="inlineStr">
        <is>
          <t>Same-Day Priority</t>
        </is>
      </c>
      <c r="J1250" s="8" t="inlineStr">
        <is>
          <t>Direct Web</t>
        </is>
      </c>
      <c r="K1250" s="8" t="inlineStr">
        <is>
          <t>REG-NA</t>
        </is>
      </c>
    </row>
    <row r="1251">
      <c r="A1251" s="8" t="inlineStr">
        <is>
          <t>ORD-000620</t>
        </is>
      </c>
      <c r="B1251" s="8" t="inlineStr">
        <is>
          <t>12/28/2025</t>
        </is>
      </c>
      <c r="C1251" s="8" t="inlineStr">
        <is>
          <t>CUST-04155</t>
        </is>
      </c>
      <c r="D1251" s="8" t="inlineStr">
        <is>
          <t>Samantha Torres</t>
        </is>
      </c>
      <c r="E1251" s="8" t="inlineStr">
        <is>
          <t>PRD-0480</t>
        </is>
      </c>
      <c r="F1251" s="8" t="inlineStr">
        <is>
          <t>1</t>
        </is>
      </c>
      <c r="G1251" s="9" t="n">
        <v>122.63</v>
      </c>
      <c r="H1251" s="8" t="inlineStr">
        <is>
          <t>0.25</t>
        </is>
      </c>
      <c r="I1251" s="8" t="inlineStr">
        <is>
          <t>Same-Day Priority</t>
        </is>
      </c>
      <c r="J1251" s="8" t="inlineStr">
        <is>
          <t>Direct Web</t>
        </is>
      </c>
      <c r="K1251" s="8" t="inlineStr">
        <is>
          <t>REG-NA</t>
        </is>
      </c>
    </row>
    <row r="1252">
      <c r="A1252" s="8" t="inlineStr">
        <is>
          <t>ORD-000620</t>
        </is>
      </c>
      <c r="B1252" s="8" t="inlineStr">
        <is>
          <t>12/28/2025</t>
        </is>
      </c>
      <c r="C1252" s="8" t="inlineStr">
        <is>
          <t>CUST-04155</t>
        </is>
      </c>
      <c r="D1252" s="8" t="inlineStr">
        <is>
          <t>Samantha Torres</t>
        </is>
      </c>
      <c r="E1252" s="8" t="inlineStr">
        <is>
          <t>PRD-0126</t>
        </is>
      </c>
      <c r="F1252" s="8" t="inlineStr">
        <is>
          <t>1</t>
        </is>
      </c>
      <c r="G1252" s="9" t="n">
        <v>195.24</v>
      </c>
      <c r="H1252" s="8" t="inlineStr">
        <is>
          <t>0.0</t>
        </is>
      </c>
      <c r="I1252" s="8" t="inlineStr">
        <is>
          <t>Same-Day Priority</t>
        </is>
      </c>
      <c r="J1252" s="8" t="inlineStr">
        <is>
          <t>Direct Web</t>
        </is>
      </c>
      <c r="K1252" s="8" t="inlineStr">
        <is>
          <t>REG-NA</t>
        </is>
      </c>
    </row>
    <row r="1253">
      <c r="A1253" s="8" t="inlineStr">
        <is>
          <t>ORD-000620</t>
        </is>
      </c>
      <c r="B1253" s="8" t="inlineStr">
        <is>
          <t>12/28/2025</t>
        </is>
      </c>
      <c r="C1253" s="8" t="inlineStr">
        <is>
          <t>CUST-04155</t>
        </is>
      </c>
      <c r="D1253" s="8" t="inlineStr">
        <is>
          <t>Samantha Torres</t>
        </is>
      </c>
      <c r="E1253" s="8" t="inlineStr">
        <is>
          <t>PRD-0295</t>
        </is>
      </c>
      <c r="F1253" s="8" t="inlineStr">
        <is>
          <t>1</t>
        </is>
      </c>
      <c r="G1253" s="9" t="n">
        <v>929.3099999999999</v>
      </c>
      <c r="H1253" s="8" t="inlineStr">
        <is>
          <t>0.05</t>
        </is>
      </c>
      <c r="I1253" s="8" t="inlineStr">
        <is>
          <t>Same-Day Priority</t>
        </is>
      </c>
      <c r="J1253" s="8" t="inlineStr">
        <is>
          <t>Direct Web</t>
        </is>
      </c>
      <c r="K1253" s="8" t="inlineStr">
        <is>
          <t>REG-NA</t>
        </is>
      </c>
    </row>
    <row r="1254">
      <c r="A1254" s="8" t="inlineStr">
        <is>
          <t>ORD-000621</t>
        </is>
      </c>
      <c r="B1254" s="8" t="inlineStr">
        <is>
          <t>2024-09-25</t>
        </is>
      </c>
      <c r="C1254" s="8" t="inlineStr">
        <is>
          <t>CUST-03626</t>
        </is>
      </c>
      <c r="D1254" s="8" t="inlineStr">
        <is>
          <t>William Hernandez</t>
        </is>
      </c>
      <c r="E1254" s="8" t="inlineStr">
        <is>
          <t>PRD-0422</t>
        </is>
      </c>
      <c r="F1254" s="8" t="inlineStr">
        <is>
          <t>1</t>
        </is>
      </c>
      <c r="G1254" s="9" t="n">
        <v>1026.96</v>
      </c>
      <c r="H1254" s="8" t="inlineStr">
        <is>
          <t>0.0</t>
        </is>
      </c>
      <c r="I1254" s="8" t="inlineStr">
        <is>
          <t>Express Air</t>
        </is>
      </c>
      <c r="J1254" s="8" t="inlineStr">
        <is>
          <t>Mobile App</t>
        </is>
      </c>
      <c r="K1254" s="8" t="inlineStr">
        <is>
          <t>REG-APAC</t>
        </is>
      </c>
    </row>
    <row r="1255">
      <c r="A1255" s="8" t="inlineStr">
        <is>
          <t>ORD-000621</t>
        </is>
      </c>
      <c r="B1255" s="8" t="inlineStr">
        <is>
          <t>2024-09-25</t>
        </is>
      </c>
      <c r="C1255" s="8" t="inlineStr">
        <is>
          <t>CUST-03626</t>
        </is>
      </c>
      <c r="D1255" s="8" t="inlineStr">
        <is>
          <t>William Hernandez</t>
        </is>
      </c>
      <c r="E1255" s="8" t="inlineStr">
        <is>
          <t>PRD-0254</t>
        </is>
      </c>
      <c r="F1255" s="8" t="inlineStr">
        <is>
          <t>1</t>
        </is>
      </c>
      <c r="G1255" s="9" t="n">
        <v>219.63</v>
      </c>
      <c r="H1255" s="8" t="inlineStr">
        <is>
          <t>0.0</t>
        </is>
      </c>
      <c r="I1255" s="8" t="inlineStr">
        <is>
          <t>Express Air</t>
        </is>
      </c>
      <c r="J1255" s="8" t="inlineStr">
        <is>
          <t>Mobile App</t>
        </is>
      </c>
      <c r="K1255" s="8" t="inlineStr">
        <is>
          <t>REG-APAC</t>
        </is>
      </c>
    </row>
    <row r="1256">
      <c r="A1256" s="8" t="inlineStr">
        <is>
          <t>ORD-000621</t>
        </is>
      </c>
      <c r="B1256" s="8" t="inlineStr">
        <is>
          <t>2024-09-25</t>
        </is>
      </c>
      <c r="C1256" s="8" t="inlineStr">
        <is>
          <t>CUST-03626</t>
        </is>
      </c>
      <c r="D1256" s="8" t="inlineStr">
        <is>
          <t>William Hernandez</t>
        </is>
      </c>
      <c r="E1256" s="8" t="inlineStr">
        <is>
          <t>PRD-0391</t>
        </is>
      </c>
      <c r="F1256" s="8" t="inlineStr">
        <is>
          <t>3</t>
        </is>
      </c>
      <c r="G1256" s="9" t="n">
        <v>468.85</v>
      </c>
      <c r="H1256" s="8" t="inlineStr">
        <is>
          <t>0.1</t>
        </is>
      </c>
      <c r="I1256" s="8" t="inlineStr">
        <is>
          <t>Express Air</t>
        </is>
      </c>
      <c r="J1256" s="8" t="inlineStr">
        <is>
          <t>Mobile App</t>
        </is>
      </c>
      <c r="K1256" s="8" t="inlineStr">
        <is>
          <t>REG-APAC</t>
        </is>
      </c>
    </row>
    <row r="1257">
      <c r="A1257" s="8" t="inlineStr">
        <is>
          <t>ORD-000622</t>
        </is>
      </c>
      <c r="B1257" s="8" t="inlineStr">
        <is>
          <t>2025-01-05</t>
        </is>
      </c>
      <c r="C1257" s="8" t="inlineStr">
        <is>
          <t>CUST-04124</t>
        </is>
      </c>
      <c r="D1257" s="8" t="inlineStr">
        <is>
          <t>Emma Wilson</t>
        </is>
      </c>
      <c r="E1257" s="8" t="inlineStr">
        <is>
          <t>PRD-0277</t>
        </is>
      </c>
      <c r="F1257" s="8" t="inlineStr">
        <is>
          <t>3</t>
        </is>
      </c>
      <c r="G1257" s="9" t="n">
        <v>990.61</v>
      </c>
      <c r="H1257" s="8" t="inlineStr">
        <is>
          <t>0.1</t>
        </is>
      </c>
      <c r="I1257" s="8" t="inlineStr">
        <is>
          <t>Express Air</t>
        </is>
      </c>
      <c r="J1257" s="8" t="inlineStr">
        <is>
          <t>Mobile App</t>
        </is>
      </c>
      <c r="K1257" s="8" t="inlineStr">
        <is>
          <t>REG-EU</t>
        </is>
      </c>
    </row>
    <row r="1258">
      <c r="A1258" s="8" t="inlineStr">
        <is>
          <t>ORD-000622</t>
        </is>
      </c>
      <c r="B1258" s="8" t="inlineStr">
        <is>
          <t>2025-01-05</t>
        </is>
      </c>
      <c r="C1258" s="8" t="inlineStr">
        <is>
          <t>CUST-04124</t>
        </is>
      </c>
      <c r="D1258" s="8" t="inlineStr">
        <is>
          <t>Emma Wilson</t>
        </is>
      </c>
      <c r="E1258" s="8" t="inlineStr">
        <is>
          <t>PRD-0052</t>
        </is>
      </c>
      <c r="F1258" s="8" t="inlineStr">
        <is>
          <t>1</t>
        </is>
      </c>
      <c r="G1258" s="9" t="n">
        <v>354.02</v>
      </c>
      <c r="H1258" s="8" t="inlineStr">
        <is>
          <t>0.05</t>
        </is>
      </c>
      <c r="I1258" s="8" t="inlineStr">
        <is>
          <t>Express Air</t>
        </is>
      </c>
      <c r="J1258" s="8" t="inlineStr">
        <is>
          <t>Mobile App</t>
        </is>
      </c>
      <c r="K1258" s="8" t="inlineStr">
        <is>
          <t>REG-EU</t>
        </is>
      </c>
    </row>
    <row r="1259">
      <c r="A1259" s="8" t="inlineStr">
        <is>
          <t>ORD-000622</t>
        </is>
      </c>
      <c r="B1259" s="8" t="inlineStr">
        <is>
          <t>2025-01-05</t>
        </is>
      </c>
      <c r="C1259" s="8" t="inlineStr">
        <is>
          <t>CUST-04124</t>
        </is>
      </c>
      <c r="D1259" s="8" t="inlineStr">
        <is>
          <t>Emma Wilson</t>
        </is>
      </c>
      <c r="E1259" s="8" t="inlineStr">
        <is>
          <t>PRD-0094</t>
        </is>
      </c>
      <c r="F1259" s="8" t="inlineStr">
        <is>
          <t>1</t>
        </is>
      </c>
      <c r="G1259" s="9" t="n">
        <v>282.3</v>
      </c>
      <c r="H1259" s="8" t="inlineStr">
        <is>
          <t>0.0</t>
        </is>
      </c>
      <c r="I1259" s="8" t="inlineStr">
        <is>
          <t>Express Air</t>
        </is>
      </c>
      <c r="J1259" s="8" t="inlineStr">
        <is>
          <t>Mobile App</t>
        </is>
      </c>
      <c r="K1259" s="8" t="inlineStr">
        <is>
          <t>REG-EU</t>
        </is>
      </c>
    </row>
    <row r="1260">
      <c r="A1260" s="8" t="inlineStr">
        <is>
          <t>ORD-000622</t>
        </is>
      </c>
      <c r="B1260" s="8" t="inlineStr">
        <is>
          <t>2025-01-05</t>
        </is>
      </c>
      <c r="C1260" s="8" t="inlineStr">
        <is>
          <t>CUST-04124</t>
        </is>
      </c>
      <c r="D1260" s="8" t="inlineStr">
        <is>
          <t>Emma Wilson</t>
        </is>
      </c>
      <c r="E1260" s="8" t="inlineStr">
        <is>
          <t>PRD-0131</t>
        </is>
      </c>
      <c r="F1260" s="8" t="inlineStr">
        <is>
          <t>1</t>
        </is>
      </c>
      <c r="G1260" s="9" t="n">
        <v>66.06999999999999</v>
      </c>
      <c r="H1260" s="8" t="inlineStr">
        <is>
          <t>0.15</t>
        </is>
      </c>
      <c r="I1260" s="8" t="inlineStr">
        <is>
          <t>Express Air</t>
        </is>
      </c>
      <c r="J1260" s="8" t="inlineStr">
        <is>
          <t>Mobile App</t>
        </is>
      </c>
      <c r="K1260" s="8" t="inlineStr">
        <is>
          <t>REG-EU</t>
        </is>
      </c>
    </row>
    <row r="1261">
      <c r="A1261" s="8" t="inlineStr">
        <is>
          <t>ORD-000623</t>
        </is>
      </c>
      <c r="B1261" s="8" t="inlineStr">
        <is>
          <t>2024-03-05</t>
        </is>
      </c>
      <c r="C1261" s="8" t="inlineStr">
        <is>
          <t>CUST-05902</t>
        </is>
      </c>
      <c r="D1261" s="8" t="inlineStr">
        <is>
          <t>Sarah Harris</t>
        </is>
      </c>
      <c r="E1261" s="8" t="inlineStr">
        <is>
          <t>PRD-0290</t>
        </is>
      </c>
      <c r="F1261" s="8" t="inlineStr">
        <is>
          <t>1</t>
        </is>
      </c>
      <c r="G1261" s="9" t="n">
        <v>404.49</v>
      </c>
      <c r="H1261" s="8" t="inlineStr">
        <is>
          <t>0.05</t>
        </is>
      </c>
      <c r="I1261" s="8" t="inlineStr">
        <is>
          <t>Standard Ground</t>
        </is>
      </c>
      <c r="J1261" s="8" t="inlineStr">
        <is>
          <t>Direct Web</t>
        </is>
      </c>
      <c r="K1261" s="8" t="inlineStr">
        <is>
          <t>REG-APAC</t>
        </is>
      </c>
    </row>
    <row r="1262">
      <c r="A1262" s="8" t="inlineStr">
        <is>
          <t>ORD-000623</t>
        </is>
      </c>
      <c r="B1262" s="8" t="inlineStr">
        <is>
          <t>2024-03-05</t>
        </is>
      </c>
      <c r="C1262" s="8" t="inlineStr">
        <is>
          <t>CUST-05902</t>
        </is>
      </c>
      <c r="D1262" s="8" t="inlineStr">
        <is>
          <t>Sarah Harris</t>
        </is>
      </c>
      <c r="E1262" s="8" t="inlineStr">
        <is>
          <t>PRD-0034</t>
        </is>
      </c>
      <c r="F1262" s="8" t="inlineStr">
        <is>
          <t>1</t>
        </is>
      </c>
      <c r="G1262" s="9" t="n">
        <v>52.58</v>
      </c>
      <c r="H1262" s="8" t="inlineStr">
        <is>
          <t>0.05</t>
        </is>
      </c>
      <c r="I1262" s="8" t="inlineStr">
        <is>
          <t>Standard Ground</t>
        </is>
      </c>
      <c r="J1262" s="8" t="inlineStr">
        <is>
          <t>Direct Web</t>
        </is>
      </c>
      <c r="K1262" s="8" t="inlineStr">
        <is>
          <t>REG-APAC</t>
        </is>
      </c>
    </row>
    <row r="1263">
      <c r="A1263" s="8" t="inlineStr">
        <is>
          <t>ORD-000623</t>
        </is>
      </c>
      <c r="B1263" s="8" t="inlineStr">
        <is>
          <t>2024-03-05</t>
        </is>
      </c>
      <c r="C1263" s="8" t="inlineStr">
        <is>
          <t>CUST-05902</t>
        </is>
      </c>
      <c r="D1263" s="8" t="inlineStr">
        <is>
          <t>Sarah Harris</t>
        </is>
      </c>
      <c r="E1263" s="8" t="inlineStr">
        <is>
          <t>PRD-0373</t>
        </is>
      </c>
      <c r="F1263" s="8" t="inlineStr">
        <is>
          <t>1</t>
        </is>
      </c>
      <c r="G1263" s="9" t="n">
        <v>308.95</v>
      </c>
      <c r="H1263" s="8" t="inlineStr">
        <is>
          <t>0.0</t>
        </is>
      </c>
      <c r="I1263" s="8" t="inlineStr">
        <is>
          <t>Standard Ground</t>
        </is>
      </c>
      <c r="J1263" s="8" t="inlineStr">
        <is>
          <t>Direct Web</t>
        </is>
      </c>
      <c r="K1263" s="8" t="inlineStr">
        <is>
          <t>REG-APAC</t>
        </is>
      </c>
    </row>
    <row r="1264">
      <c r="A1264" s="8" t="inlineStr">
        <is>
          <t>ORD-000623</t>
        </is>
      </c>
      <c r="B1264" s="8" t="inlineStr">
        <is>
          <t>2024-03-05</t>
        </is>
      </c>
      <c r="C1264" s="8" t="inlineStr">
        <is>
          <t>CUST-05902</t>
        </is>
      </c>
      <c r="D1264" s="8" t="inlineStr">
        <is>
          <t>Sarah Harris</t>
        </is>
      </c>
      <c r="E1264" s="8" t="inlineStr">
        <is>
          <t>PRD-0378</t>
        </is>
      </c>
      <c r="F1264" s="8" t="inlineStr">
        <is>
          <t>1</t>
        </is>
      </c>
      <c r="G1264" s="9" t="n">
        <v>850.11</v>
      </c>
      <c r="H1264" s="8" t="inlineStr">
        <is>
          <t>0.1</t>
        </is>
      </c>
      <c r="I1264" s="8" t="inlineStr">
        <is>
          <t>Standard Ground</t>
        </is>
      </c>
      <c r="J1264" s="8" t="inlineStr">
        <is>
          <t>Direct Web</t>
        </is>
      </c>
      <c r="K1264" s="8" t="inlineStr">
        <is>
          <t>REG-APAC</t>
        </is>
      </c>
    </row>
    <row r="1265">
      <c r="A1265" s="8" t="inlineStr">
        <is>
          <t>ORD-000624</t>
        </is>
      </c>
      <c r="B1265" s="8" t="inlineStr">
        <is>
          <t>2024-10-23</t>
        </is>
      </c>
      <c r="C1265" s="8" t="inlineStr">
        <is>
          <t>CUST-00075</t>
        </is>
      </c>
      <c r="D1265" s="8" t="inlineStr">
        <is>
          <t>Gary Moore</t>
        </is>
      </c>
      <c r="E1265" s="8" t="inlineStr">
        <is>
          <t>PRD-0290</t>
        </is>
      </c>
      <c r="F1265" s="8" t="inlineStr">
        <is>
          <t>1</t>
        </is>
      </c>
      <c r="G1265" s="9" t="n">
        <v>404.49</v>
      </c>
      <c r="H1265" s="8" t="inlineStr">
        <is>
          <t>0.0</t>
        </is>
      </c>
      <c r="I1265" s="8" t="inlineStr">
        <is>
          <t>Standard Ground</t>
        </is>
      </c>
      <c r="J1265" s="8" t="inlineStr">
        <is>
          <t>Mobile App</t>
        </is>
      </c>
      <c r="K1265" s="8" t="inlineStr">
        <is>
          <t>REG-APAC</t>
        </is>
      </c>
    </row>
    <row r="1266">
      <c r="A1266" s="8" t="inlineStr">
        <is>
          <t>ORD-000624</t>
        </is>
      </c>
      <c r="B1266" s="8" t="inlineStr">
        <is>
          <t>2024-10-23</t>
        </is>
      </c>
      <c r="C1266" s="8" t="inlineStr">
        <is>
          <t>CUST-00075</t>
        </is>
      </c>
      <c r="D1266" s="8" t="inlineStr">
        <is>
          <t>Gary Moore</t>
        </is>
      </c>
      <c r="E1266" s="8" t="inlineStr">
        <is>
          <t>PRD-0377</t>
        </is>
      </c>
      <c r="F1266" s="8" t="inlineStr">
        <is>
          <t>2</t>
        </is>
      </c>
      <c r="G1266" s="9" t="n">
        <v>961.48</v>
      </c>
      <c r="H1266" s="8" t="inlineStr">
        <is>
          <t>0.05</t>
        </is>
      </c>
      <c r="I1266" s="8" t="inlineStr">
        <is>
          <t>Standard Ground</t>
        </is>
      </c>
      <c r="J1266" s="8" t="inlineStr">
        <is>
          <t>Mobile App</t>
        </is>
      </c>
      <c r="K1266" s="8" t="inlineStr">
        <is>
          <t>REG-APAC</t>
        </is>
      </c>
    </row>
    <row r="1267">
      <c r="A1267" s="8" t="inlineStr">
        <is>
          <t>ORD-000624</t>
        </is>
      </c>
      <c r="B1267" s="8" t="inlineStr">
        <is>
          <t>2024-10-23</t>
        </is>
      </c>
      <c r="C1267" s="8" t="inlineStr">
        <is>
          <t>CUST-00075</t>
        </is>
      </c>
      <c r="D1267" s="8" t="inlineStr">
        <is>
          <t>Gary Moore</t>
        </is>
      </c>
      <c r="E1267" s="8" t="inlineStr">
        <is>
          <t>PRD-0384</t>
        </is>
      </c>
      <c r="F1267" s="8" t="inlineStr">
        <is>
          <t>2</t>
        </is>
      </c>
      <c r="G1267" s="9" t="n">
        <v>68.18000000000001</v>
      </c>
      <c r="H1267" s="8" t="inlineStr">
        <is>
          <t>0.2</t>
        </is>
      </c>
      <c r="I1267" s="8" t="inlineStr">
        <is>
          <t>Standard Ground</t>
        </is>
      </c>
      <c r="J1267" s="8" t="inlineStr">
        <is>
          <t>Mobile App</t>
        </is>
      </c>
      <c r="K1267" s="8" t="inlineStr">
        <is>
          <t>REG-APAC</t>
        </is>
      </c>
    </row>
    <row r="1268">
      <c r="A1268" s="8" t="inlineStr">
        <is>
          <t>ORD-000624</t>
        </is>
      </c>
      <c r="B1268" s="8" t="inlineStr">
        <is>
          <t>2024-10-23</t>
        </is>
      </c>
      <c r="C1268" s="8" t="inlineStr">
        <is>
          <t>CUST-00075</t>
        </is>
      </c>
      <c r="D1268" s="8" t="inlineStr">
        <is>
          <t>Gary Moore</t>
        </is>
      </c>
      <c r="E1268" s="8" t="inlineStr">
        <is>
          <t>PRD-0463</t>
        </is>
      </c>
      <c r="F1268" s="8" t="inlineStr">
        <is>
          <t>-2</t>
        </is>
      </c>
      <c r="G1268" s="9" t="n">
        <v>123.72</v>
      </c>
      <c r="H1268" s="8" t="inlineStr">
        <is>
          <t>0.2</t>
        </is>
      </c>
      <c r="I1268" s="8" t="inlineStr">
        <is>
          <t>Standard Ground</t>
        </is>
      </c>
      <c r="J1268" s="8" t="inlineStr">
        <is>
          <t>Mobile App</t>
        </is>
      </c>
      <c r="K1268" s="8" t="inlineStr">
        <is>
          <t>REG-APAC</t>
        </is>
      </c>
    </row>
    <row r="1269">
      <c r="A1269" s="8" t="inlineStr">
        <is>
          <t>ORD-000624</t>
        </is>
      </c>
      <c r="B1269" s="8" t="inlineStr">
        <is>
          <t>2024-10-23</t>
        </is>
      </c>
      <c r="C1269" s="8" t="inlineStr">
        <is>
          <t>CUST-00075</t>
        </is>
      </c>
      <c r="D1269" s="8" t="inlineStr">
        <is>
          <t>Gary Moore</t>
        </is>
      </c>
      <c r="E1269" s="8" t="inlineStr">
        <is>
          <t>PRD-0063</t>
        </is>
      </c>
      <c r="F1269" s="8" t="inlineStr">
        <is>
          <t>1</t>
        </is>
      </c>
      <c r="G1269" s="9" t="n">
        <v>62.68</v>
      </c>
      <c r="H1269" s="8" t="inlineStr">
        <is>
          <t>0.1</t>
        </is>
      </c>
      <c r="I1269" s="8" t="inlineStr">
        <is>
          <t>Standard Ground</t>
        </is>
      </c>
      <c r="J1269" s="8" t="inlineStr">
        <is>
          <t>Mobile App</t>
        </is>
      </c>
      <c r="K1269" s="8" t="inlineStr">
        <is>
          <t>REG-APAC</t>
        </is>
      </c>
    </row>
    <row r="1270">
      <c r="A1270" s="8" t="inlineStr">
        <is>
          <t>ORD-000625</t>
        </is>
      </c>
      <c r="B1270" s="8" t="inlineStr">
        <is>
          <t>2024-02-19</t>
        </is>
      </c>
      <c r="C1270" s="8" t="inlineStr">
        <is>
          <t>CUST-02933</t>
        </is>
      </c>
      <c r="D1270" s="8" t="inlineStr">
        <is>
          <t>Michael Watson</t>
        </is>
      </c>
      <c r="E1270" s="8" t="inlineStr">
        <is>
          <t>PRD-0072</t>
        </is>
      </c>
      <c r="F1270" s="8" t="inlineStr">
        <is>
          <t>2</t>
        </is>
      </c>
      <c r="G1270" s="9" t="n">
        <v>548.35</v>
      </c>
      <c r="H1270" s="8" t="inlineStr">
        <is>
          <t>0.0</t>
        </is>
      </c>
      <c r="I1270" s="8" t="inlineStr">
        <is>
          <t>Express Air</t>
        </is>
      </c>
      <c r="J1270" s="8" t="inlineStr">
        <is>
          <t>Direct Web</t>
        </is>
      </c>
      <c r="K1270" s="8" t="inlineStr">
        <is>
          <t>REG-LATAM</t>
        </is>
      </c>
    </row>
    <row r="1271">
      <c r="A1271" s="8" t="inlineStr">
        <is>
          <t>ORD-000626</t>
        </is>
      </c>
      <c r="B1271" s="8" t="inlineStr">
        <is>
          <t>2025-08-27</t>
        </is>
      </c>
      <c r="C1271" s="8" t="inlineStr">
        <is>
          <t>CUST-04212</t>
        </is>
      </c>
      <c r="D1271" s="8" t="inlineStr">
        <is>
          <t>Emily Hernandez</t>
        </is>
      </c>
      <c r="E1271" s="8" t="inlineStr">
        <is>
          <t>PRD-0031</t>
        </is>
      </c>
      <c r="F1271" s="8" t="inlineStr">
        <is>
          <t>-1</t>
        </is>
      </c>
      <c r="G1271" s="9" t="n">
        <v>68.91</v>
      </c>
      <c r="H1271" s="8" t="inlineStr">
        <is>
          <t>0.1</t>
        </is>
      </c>
      <c r="I1271" s="8" t="inlineStr">
        <is>
          <t>Standard Ground</t>
        </is>
      </c>
      <c r="J1271" s="8" t="inlineStr">
        <is>
          <t>Affiliate Partner</t>
        </is>
      </c>
      <c r="K1271" s="8" t="inlineStr">
        <is>
          <t>REG-NA</t>
        </is>
      </c>
    </row>
    <row r="1272">
      <c r="A1272" s="8" t="inlineStr">
        <is>
          <t>ORD-000626</t>
        </is>
      </c>
      <c r="B1272" s="8" t="inlineStr">
        <is>
          <t>2025-08-27</t>
        </is>
      </c>
      <c r="C1272" s="8" t="inlineStr">
        <is>
          <t>CUST-04212</t>
        </is>
      </c>
      <c r="D1272" s="8" t="inlineStr">
        <is>
          <t>Emily Hernandez</t>
        </is>
      </c>
      <c r="E1272" s="8" t="inlineStr">
        <is>
          <t>PRD-0488</t>
        </is>
      </c>
      <c r="F1272" s="8" t="inlineStr">
        <is>
          <t>8</t>
        </is>
      </c>
      <c r="G1272" s="9" t="n">
        <v>54.77</v>
      </c>
      <c r="H1272" s="8" t="inlineStr">
        <is>
          <t>0.0</t>
        </is>
      </c>
      <c r="I1272" s="8" t="inlineStr">
        <is>
          <t>Standard Ground</t>
        </is>
      </c>
      <c r="J1272" s="8" t="inlineStr">
        <is>
          <t>Affiliate Partner</t>
        </is>
      </c>
      <c r="K1272" s="8" t="inlineStr">
        <is>
          <t>REG-NA</t>
        </is>
      </c>
    </row>
    <row r="1273">
      <c r="A1273" s="8" t="inlineStr">
        <is>
          <t>ORD-000627</t>
        </is>
      </c>
      <c r="B1273" s="8" t="inlineStr">
        <is>
          <t>2025-06-12</t>
        </is>
      </c>
      <c r="C1273" s="8" t="inlineStr">
        <is>
          <t>CUST-04086</t>
        </is>
      </c>
      <c r="D1273" s="8" t="inlineStr">
        <is>
          <t>Robert Hill</t>
        </is>
      </c>
      <c r="E1273" s="8" t="inlineStr">
        <is>
          <t>PRD-0488</t>
        </is>
      </c>
      <c r="F1273" s="8" t="inlineStr">
        <is>
          <t>4</t>
        </is>
      </c>
      <c r="G1273" s="9" t="n">
        <v>54.77</v>
      </c>
      <c r="H1273" s="8" t="inlineStr">
        <is>
          <t>0.1</t>
        </is>
      </c>
      <c r="I1273" s="8" t="inlineStr">
        <is>
          <t>Standard Ground</t>
        </is>
      </c>
      <c r="J1273" s="8" t="inlineStr">
        <is>
          <t>Direct Web</t>
        </is>
      </c>
      <c r="K1273" s="8" t="inlineStr">
        <is>
          <t>REG-NA</t>
        </is>
      </c>
    </row>
    <row r="1274">
      <c r="A1274" s="8" t="inlineStr">
        <is>
          <t>ORD-000627</t>
        </is>
      </c>
      <c r="B1274" s="8" t="inlineStr">
        <is>
          <t>2025-06-12</t>
        </is>
      </c>
      <c r="C1274" s="8" t="inlineStr">
        <is>
          <t>CUST-04086</t>
        </is>
      </c>
      <c r="D1274" s="8" t="inlineStr">
        <is>
          <t>Robert Hill</t>
        </is>
      </c>
      <c r="E1274" s="8" t="inlineStr">
        <is>
          <t>PRD-0299</t>
        </is>
      </c>
      <c r="F1274" s="8" t="inlineStr">
        <is>
          <t>1</t>
        </is>
      </c>
      <c r="G1274" s="9" t="n">
        <v>182.9</v>
      </c>
      <c r="H1274" s="8" t="inlineStr">
        <is>
          <t>0.3</t>
        </is>
      </c>
      <c r="I1274" s="8" t="inlineStr">
        <is>
          <t>Standard Ground</t>
        </is>
      </c>
      <c r="J1274" s="8" t="inlineStr">
        <is>
          <t>Direct Web</t>
        </is>
      </c>
      <c r="K1274" s="8" t="inlineStr">
        <is>
          <t>REG-NA</t>
        </is>
      </c>
    </row>
    <row r="1275">
      <c r="A1275" s="8" t="inlineStr">
        <is>
          <t>ORD-000628</t>
        </is>
      </c>
      <c r="B1275" s="8" t="inlineStr">
        <is>
          <t>2024-06-12</t>
        </is>
      </c>
      <c r="C1275" s="8" t="inlineStr">
        <is>
          <t>CUST-03762</t>
        </is>
      </c>
      <c r="D1275" s="8" t="inlineStr">
        <is>
          <t>Edward Torres</t>
        </is>
      </c>
      <c r="E1275" s="8" t="inlineStr">
        <is>
          <t>PRD-0277</t>
        </is>
      </c>
      <c r="F1275" s="8" t="inlineStr">
        <is>
          <t>2</t>
        </is>
      </c>
      <c r="G1275" s="9" t="n">
        <v>990.61</v>
      </c>
      <c r="H1275" s="8" t="inlineStr">
        <is>
          <t>0.0</t>
        </is>
      </c>
      <c r="I1275" s="8" t="inlineStr">
        <is>
          <t>Standard Ground</t>
        </is>
      </c>
      <c r="J1275" s="8" t="inlineStr">
        <is>
          <t>Mobile App</t>
        </is>
      </c>
      <c r="K1275" s="8" t="inlineStr">
        <is>
          <t>REG-NA</t>
        </is>
      </c>
    </row>
    <row r="1276">
      <c r="A1276" s="8" t="inlineStr">
        <is>
          <t>ORD-000628</t>
        </is>
      </c>
      <c r="B1276" s="8" t="inlineStr">
        <is>
          <t>2024-06-12</t>
        </is>
      </c>
      <c r="C1276" s="8" t="inlineStr">
        <is>
          <t>CUST-03762</t>
        </is>
      </c>
      <c r="D1276" s="8" t="inlineStr">
        <is>
          <t>Edward Torres</t>
        </is>
      </c>
      <c r="E1276" s="8" t="inlineStr">
        <is>
          <t>PRD-0286</t>
        </is>
      </c>
      <c r="F1276" s="8" t="inlineStr">
        <is>
          <t>10</t>
        </is>
      </c>
      <c r="G1276" s="9" t="n">
        <v>232.89</v>
      </c>
      <c r="H1276" s="8" t="inlineStr">
        <is>
          <t>0.05</t>
        </is>
      </c>
      <c r="I1276" s="8" t="inlineStr">
        <is>
          <t>Standard Ground</t>
        </is>
      </c>
      <c r="J1276" s="8" t="inlineStr">
        <is>
          <t>Mobile App</t>
        </is>
      </c>
      <c r="K1276" s="8" t="inlineStr">
        <is>
          <t>REG-NA</t>
        </is>
      </c>
    </row>
    <row r="1277">
      <c r="A1277" s="8" t="inlineStr">
        <is>
          <t>ORD-000629</t>
        </is>
      </c>
      <c r="B1277" s="8" t="inlineStr">
        <is>
          <t>2023-09-23</t>
        </is>
      </c>
      <c r="C1277" s="8" t="inlineStr">
        <is>
          <t>CUST-00479</t>
        </is>
      </c>
      <c r="D1277" s="8" t="inlineStr">
        <is>
          <t>Richard Nelson</t>
        </is>
      </c>
      <c r="E1277" s="8" t="inlineStr">
        <is>
          <t>PRD-0196</t>
        </is>
      </c>
      <c r="F1277" s="8" t="inlineStr">
        <is>
          <t>2</t>
        </is>
      </c>
      <c r="G1277" s="9" t="n">
        <v>112.72</v>
      </c>
      <c r="H1277" s="8" t="inlineStr">
        <is>
          <t>0.05</t>
        </is>
      </c>
      <c r="I1277" s="8" t="inlineStr">
        <is>
          <t>Standard Ground</t>
        </is>
      </c>
      <c r="J1277" s="8" t="inlineStr">
        <is>
          <t>Direct Web</t>
        </is>
      </c>
      <c r="K1277" s="8" t="inlineStr">
        <is>
          <t>REG-EU</t>
        </is>
      </c>
    </row>
    <row r="1278">
      <c r="A1278" s="8" t="inlineStr">
        <is>
          <t>ORD-000630</t>
        </is>
      </c>
      <c r="B1278" s="8" t="inlineStr">
        <is>
          <t>10/16/2024</t>
        </is>
      </c>
      <c r="C1278" s="8" t="inlineStr">
        <is>
          <t>CUST-05160</t>
        </is>
      </c>
      <c r="D1278" s="8" t="inlineStr">
        <is>
          <t>Sandra Williams</t>
        </is>
      </c>
      <c r="E1278" s="8" t="inlineStr">
        <is>
          <t>PRD-0046</t>
        </is>
      </c>
      <c r="F1278" s="8" t="inlineStr">
        <is>
          <t>10</t>
        </is>
      </c>
      <c r="G1278" s="9" t="n">
        <v>692.9</v>
      </c>
      <c r="H1278" s="8" t="inlineStr">
        <is>
          <t>0.15</t>
        </is>
      </c>
      <c r="I1278" s="8" t="inlineStr">
        <is>
          <t>Standard Ground</t>
        </is>
      </c>
      <c r="J1278" s="8" t="inlineStr">
        <is>
          <t>Direct Web</t>
        </is>
      </c>
      <c r="K1278" s="8" t="inlineStr">
        <is>
          <t>REG-NA</t>
        </is>
      </c>
    </row>
    <row r="1279">
      <c r="A1279" s="8" t="inlineStr">
        <is>
          <t>ORD-000630</t>
        </is>
      </c>
      <c r="B1279" s="8" t="inlineStr">
        <is>
          <t>10/16/2024</t>
        </is>
      </c>
      <c r="C1279" s="8" t="inlineStr">
        <is>
          <t>CUST-05160</t>
        </is>
      </c>
      <c r="D1279" s="8" t="inlineStr">
        <is>
          <t>Sandra Williams</t>
        </is>
      </c>
      <c r="E1279" s="8" t="inlineStr">
        <is>
          <t>PRD-0487</t>
        </is>
      </c>
      <c r="F1279" s="8" t="inlineStr">
        <is>
          <t>1</t>
        </is>
      </c>
      <c r="G1279" s="9" t="n">
        <v>183.38</v>
      </c>
      <c r="H1279" s="8" t="inlineStr">
        <is>
          <t>0.1</t>
        </is>
      </c>
      <c r="I1279" s="8" t="inlineStr">
        <is>
          <t>Standard Ground</t>
        </is>
      </c>
      <c r="J1279" s="8" t="inlineStr">
        <is>
          <t>Direct Web</t>
        </is>
      </c>
      <c r="K1279" s="8" t="inlineStr">
        <is>
          <t>REG-NA</t>
        </is>
      </c>
    </row>
    <row r="1280">
      <c r="A1280" s="8" t="inlineStr">
        <is>
          <t>ORD-000631</t>
        </is>
      </c>
      <c r="B1280" s="8" t="inlineStr">
        <is>
          <t>2023-10-26</t>
        </is>
      </c>
      <c r="C1280" s="8" t="inlineStr">
        <is>
          <t>CUST-01576</t>
        </is>
      </c>
      <c r="D1280" s="8" t="inlineStr">
        <is>
          <t>Maria Patel</t>
        </is>
      </c>
      <c r="E1280" s="8" t="inlineStr">
        <is>
          <t>PRD-0379</t>
        </is>
      </c>
      <c r="F1280" s="8" t="inlineStr">
        <is>
          <t>4</t>
        </is>
      </c>
      <c r="G1280" s="9" t="n">
        <v>626.4</v>
      </c>
      <c r="H1280" s="8" t="inlineStr">
        <is>
          <t>0.25</t>
        </is>
      </c>
      <c r="I1280" s="8" t="inlineStr">
        <is>
          <t>Standard Ground</t>
        </is>
      </c>
      <c r="J1280" s="8" t="inlineStr">
        <is>
          <t>Direct Web</t>
        </is>
      </c>
      <c r="K1280" s="8" t="inlineStr">
        <is>
          <t>REG-NA</t>
        </is>
      </c>
    </row>
    <row r="1281">
      <c r="A1281" s="8" t="inlineStr">
        <is>
          <t>ORD-000631</t>
        </is>
      </c>
      <c r="B1281" s="8" t="inlineStr">
        <is>
          <t>2023-10-26</t>
        </is>
      </c>
      <c r="C1281" s="8" t="inlineStr">
        <is>
          <t>CUST-01576</t>
        </is>
      </c>
      <c r="D1281" s="8" t="inlineStr">
        <is>
          <t>Maria Patel</t>
        </is>
      </c>
      <c r="E1281" s="8" t="inlineStr">
        <is>
          <t>PRD-0260</t>
        </is>
      </c>
      <c r="F1281" s="8" t="inlineStr">
        <is>
          <t>1</t>
        </is>
      </c>
      <c r="G1281" s="9" t="n">
        <v>13.65</v>
      </c>
      <c r="H1281" s="8" t="inlineStr">
        <is>
          <t>0.05</t>
        </is>
      </c>
      <c r="I1281" s="8" t="inlineStr">
        <is>
          <t>Standard Ground</t>
        </is>
      </c>
      <c r="J1281" s="8" t="inlineStr">
        <is>
          <t>Direct Web</t>
        </is>
      </c>
      <c r="K1281" s="8" t="inlineStr">
        <is>
          <t>REG-NA</t>
        </is>
      </c>
    </row>
    <row r="1282">
      <c r="A1282" s="8" t="inlineStr">
        <is>
          <t>ORD-000632</t>
        </is>
      </c>
      <c r="B1282" s="8" t="inlineStr">
        <is>
          <t>2024-05-18</t>
        </is>
      </c>
      <c r="C1282" s="8" t="inlineStr">
        <is>
          <t>CUST-00382</t>
        </is>
      </c>
      <c r="D1282" s="8" t="inlineStr">
        <is>
          <t>Richard Ramirez</t>
        </is>
      </c>
      <c r="E1282" s="8" t="inlineStr">
        <is>
          <t>PRD-0390</t>
        </is>
      </c>
      <c r="F1282" s="8" t="inlineStr">
        <is>
          <t>1</t>
        </is>
      </c>
      <c r="G1282" s="9" t="n">
        <v>260.6</v>
      </c>
      <c r="H1282" s="8" t="inlineStr">
        <is>
          <t>0.0</t>
        </is>
      </c>
      <c r="I1282" s="8" t="inlineStr">
        <is>
          <t>Standard Ground</t>
        </is>
      </c>
      <c r="J1282" s="8" t="inlineStr">
        <is>
          <t>Direct Web</t>
        </is>
      </c>
      <c r="K1282" s="8" t="inlineStr">
        <is>
          <t>REG-NA</t>
        </is>
      </c>
    </row>
    <row r="1283">
      <c r="A1283" s="8" t="inlineStr">
        <is>
          <t>ORD-000633</t>
        </is>
      </c>
      <c r="B1283" s="8" t="inlineStr">
        <is>
          <t>2024-09-11</t>
        </is>
      </c>
      <c r="C1283" s="8" t="inlineStr">
        <is>
          <t>CUST-04939</t>
        </is>
      </c>
      <c r="D1283" s="8" t="inlineStr">
        <is>
          <t>Steven Campbell</t>
        </is>
      </c>
      <c r="E1283" s="8" t="inlineStr">
        <is>
          <t>PRD-0104</t>
        </is>
      </c>
      <c r="F1283" s="8" t="inlineStr">
        <is>
          <t>1</t>
        </is>
      </c>
      <c r="G1283" s="9" t="n">
        <v>17.28</v>
      </c>
      <c r="H1283" s="8" t="inlineStr">
        <is>
          <t>0.0</t>
        </is>
      </c>
      <c r="I1283" s="8" t="inlineStr">
        <is>
          <t>Express Air</t>
        </is>
      </c>
      <c r="J1283" s="8" t="inlineStr">
        <is>
          <t>B2B Portal</t>
        </is>
      </c>
      <c r="K1283" s="8" t="inlineStr">
        <is>
          <t>REG-EU</t>
        </is>
      </c>
    </row>
    <row r="1284">
      <c r="A1284" s="8" t="inlineStr">
        <is>
          <t>ORD-000633</t>
        </is>
      </c>
      <c r="B1284" s="8" t="inlineStr">
        <is>
          <t>2024-09-11</t>
        </is>
      </c>
      <c r="C1284" s="8" t="inlineStr">
        <is>
          <t>CUST-04939</t>
        </is>
      </c>
      <c r="D1284" s="8" t="inlineStr">
        <is>
          <t>Steven Campbell</t>
        </is>
      </c>
      <c r="E1284" s="8" t="inlineStr">
        <is>
          <t>PRD-0043</t>
        </is>
      </c>
      <c r="F1284" s="8" t="inlineStr">
        <is>
          <t>1</t>
        </is>
      </c>
      <c r="G1284" s="9" t="n">
        <v>174.44</v>
      </c>
      <c r="H1284" s="8" t="inlineStr">
        <is>
          <t>0.05</t>
        </is>
      </c>
      <c r="I1284" s="8" t="inlineStr">
        <is>
          <t>Express Air</t>
        </is>
      </c>
      <c r="J1284" s="8" t="inlineStr">
        <is>
          <t>B2B Portal</t>
        </is>
      </c>
      <c r="K1284" s="8" t="inlineStr">
        <is>
          <t>REG-EU</t>
        </is>
      </c>
    </row>
    <row r="1285">
      <c r="A1285" s="8" t="inlineStr">
        <is>
          <t>ORD-000633</t>
        </is>
      </c>
      <c r="B1285" s="8" t="inlineStr">
        <is>
          <t>2024-09-11</t>
        </is>
      </c>
      <c r="C1285" s="8" t="inlineStr">
        <is>
          <t>CUST-04939</t>
        </is>
      </c>
      <c r="D1285" s="8" t="inlineStr">
        <is>
          <t>Steven Campbell</t>
        </is>
      </c>
      <c r="E1285" s="8" t="inlineStr">
        <is>
          <t>PRD-0371</t>
        </is>
      </c>
      <c r="F1285" s="8" t="inlineStr">
        <is>
          <t>1</t>
        </is>
      </c>
      <c r="G1285" s="9" t="n">
        <v>41.78</v>
      </c>
      <c r="H1285" s="8" t="inlineStr">
        <is>
          <t>0.1</t>
        </is>
      </c>
      <c r="I1285" s="8" t="inlineStr">
        <is>
          <t>Express Air</t>
        </is>
      </c>
      <c r="J1285" s="8" t="inlineStr">
        <is>
          <t>B2B Portal</t>
        </is>
      </c>
      <c r="K1285" s="8" t="inlineStr">
        <is>
          <t>REG-EU</t>
        </is>
      </c>
    </row>
    <row r="1286">
      <c r="A1286" s="8" t="inlineStr">
        <is>
          <t>ORD-000633</t>
        </is>
      </c>
      <c r="B1286" s="8" t="inlineStr">
        <is>
          <t>2024-09-11</t>
        </is>
      </c>
      <c r="C1286" s="8" t="inlineStr">
        <is>
          <t>CUST-04939</t>
        </is>
      </c>
      <c r="D1286" s="8" t="inlineStr">
        <is>
          <t>Steven Campbell</t>
        </is>
      </c>
      <c r="E1286" s="8" t="inlineStr">
        <is>
          <t>PRD-0238</t>
        </is>
      </c>
      <c r="F1286" s="8" t="inlineStr">
        <is>
          <t>1</t>
        </is>
      </c>
      <c r="G1286" s="9" t="n">
        <v>88.5</v>
      </c>
      <c r="H1286" s="8" t="inlineStr">
        <is>
          <t>0.2</t>
        </is>
      </c>
      <c r="I1286" s="8" t="inlineStr">
        <is>
          <t>Express Air</t>
        </is>
      </c>
      <c r="J1286" s="8" t="inlineStr">
        <is>
          <t>B2B Portal</t>
        </is>
      </c>
      <c r="K1286" s="8" t="inlineStr">
        <is>
          <t>REG-EU</t>
        </is>
      </c>
    </row>
    <row r="1287">
      <c r="A1287" s="8" t="inlineStr">
        <is>
          <t>ORD-000633</t>
        </is>
      </c>
      <c r="B1287" s="8" t="inlineStr">
        <is>
          <t>2024-09-11</t>
        </is>
      </c>
      <c r="C1287" s="8" t="inlineStr">
        <is>
          <t>CUST-04939</t>
        </is>
      </c>
      <c r="D1287" s="8" t="inlineStr">
        <is>
          <t>Steven Campbell</t>
        </is>
      </c>
      <c r="E1287" s="8" t="inlineStr">
        <is>
          <t>PRD-0038</t>
        </is>
      </c>
      <c r="F1287" s="8" t="inlineStr">
        <is>
          <t>1</t>
        </is>
      </c>
      <c r="G1287" s="9" t="n">
        <v>220.46</v>
      </c>
      <c r="H1287" s="8" t="inlineStr">
        <is>
          <t>0.05</t>
        </is>
      </c>
      <c r="I1287" s="8" t="inlineStr">
        <is>
          <t>Express Air</t>
        </is>
      </c>
      <c r="J1287" s="8" t="inlineStr">
        <is>
          <t>B2B Portal</t>
        </is>
      </c>
      <c r="K1287" s="8" t="inlineStr">
        <is>
          <t>REG-EU</t>
        </is>
      </c>
    </row>
    <row r="1288">
      <c r="A1288" s="8" t="inlineStr">
        <is>
          <t>ORD-000634</t>
        </is>
      </c>
      <c r="B1288" s="8" t="inlineStr">
        <is>
          <t>2025-05-21</t>
        </is>
      </c>
      <c r="C1288" s="8" t="inlineStr">
        <is>
          <t>CUST-00835</t>
        </is>
      </c>
      <c r="D1288" s="8" t="inlineStr">
        <is>
          <t>Patricia Ruiz</t>
        </is>
      </c>
      <c r="E1288" s="8" t="inlineStr">
        <is>
          <t>PRD-0380</t>
        </is>
      </c>
      <c r="F1288" s="8" t="inlineStr">
        <is>
          <t>8</t>
        </is>
      </c>
      <c r="G1288" s="9" t="n">
        <v>141.11</v>
      </c>
      <c r="H1288" s="8" t="inlineStr">
        <is>
          <t>15%</t>
        </is>
      </c>
      <c r="I1288" s="8" t="inlineStr">
        <is>
          <t>Standard Ground</t>
        </is>
      </c>
      <c r="J1288" s="8" t="inlineStr">
        <is>
          <t>Mobile App</t>
        </is>
      </c>
      <c r="K1288" s="8" t="inlineStr">
        <is>
          <t>REG-EU</t>
        </is>
      </c>
    </row>
    <row r="1289">
      <c r="A1289" s="8" t="inlineStr">
        <is>
          <t>ORD-000634</t>
        </is>
      </c>
      <c r="B1289" s="8" t="inlineStr">
        <is>
          <t>2025-05-21</t>
        </is>
      </c>
      <c r="C1289" s="8" t="inlineStr">
        <is>
          <t>CUST-00835</t>
        </is>
      </c>
      <c r="D1289" s="8" t="inlineStr">
        <is>
          <t>Patricia Ruiz</t>
        </is>
      </c>
      <c r="E1289" s="8" t="inlineStr">
        <is>
          <t>PRD-0367</t>
        </is>
      </c>
      <c r="F1289" s="8" t="inlineStr">
        <is>
          <t>1</t>
        </is>
      </c>
      <c r="G1289" s="9" t="n">
        <v>68.37</v>
      </c>
      <c r="H1289" s="8" t="inlineStr">
        <is>
          <t>0.0</t>
        </is>
      </c>
      <c r="I1289" s="8" t="inlineStr">
        <is>
          <t>Standard Ground</t>
        </is>
      </c>
      <c r="J1289" s="8" t="inlineStr">
        <is>
          <t>Mobile App</t>
        </is>
      </c>
      <c r="K1289" s="8" t="inlineStr">
        <is>
          <t>REG-EU</t>
        </is>
      </c>
    </row>
    <row r="1290">
      <c r="A1290" s="8" t="inlineStr">
        <is>
          <t>ORD-000635</t>
        </is>
      </c>
      <c r="B1290" s="8" t="inlineStr">
        <is>
          <t>2023-05-05</t>
        </is>
      </c>
      <c r="C1290" s="8" t="inlineStr">
        <is>
          <t>CUST-04293</t>
        </is>
      </c>
      <c r="D1290" s="8" t="inlineStr">
        <is>
          <t>Eric King</t>
        </is>
      </c>
      <c r="E1290" s="8" t="inlineStr">
        <is>
          <t>PRD-0309</t>
        </is>
      </c>
      <c r="F1290" s="8" t="inlineStr">
        <is>
          <t>2</t>
        </is>
      </c>
      <c r="G1290" s="9" t="n">
        <v>632.1799999999999</v>
      </c>
      <c r="H1290" s="8" t="inlineStr">
        <is>
          <t>0.3</t>
        </is>
      </c>
      <c r="I1290" s="8" t="inlineStr">
        <is>
          <t>Standard Ground</t>
        </is>
      </c>
      <c r="J1290" s="8" t="inlineStr">
        <is>
          <t>Mobile App</t>
        </is>
      </c>
      <c r="K1290" s="8" t="inlineStr">
        <is>
          <t>REG-LATAM</t>
        </is>
      </c>
    </row>
    <row r="1291">
      <c r="A1291" s="8" t="inlineStr">
        <is>
          <t>ORD-000636</t>
        </is>
      </c>
      <c r="B1291" s="8" t="inlineStr">
        <is>
          <t>2025-12-14</t>
        </is>
      </c>
      <c r="C1291" s="8" t="inlineStr">
        <is>
          <t>CUST-04138</t>
        </is>
      </c>
      <c r="D1291" s="8" t="inlineStr">
        <is>
          <t>Brandon Diaz</t>
        </is>
      </c>
      <c r="E1291" s="8" t="inlineStr">
        <is>
          <t>PRD-0035</t>
        </is>
      </c>
      <c r="F1291" s="8" t="inlineStr">
        <is>
          <t>1</t>
        </is>
      </c>
      <c r="G1291" s="9" t="n">
        <v>584.6799999999999</v>
      </c>
      <c r="H1291" s="8" t="inlineStr">
        <is>
          <t>0.0</t>
        </is>
      </c>
      <c r="I1291" s="8" t="inlineStr">
        <is>
          <t>Standard Ground</t>
        </is>
      </c>
      <c r="J1291" s="8" t="inlineStr">
        <is>
          <t>Mobile App</t>
        </is>
      </c>
      <c r="K1291" s="8" t="inlineStr">
        <is>
          <t>REG-APAC</t>
        </is>
      </c>
    </row>
    <row r="1292">
      <c r="A1292" s="8" t="inlineStr">
        <is>
          <t>ORD-000636</t>
        </is>
      </c>
      <c r="B1292" s="8" t="inlineStr">
        <is>
          <t>2025-12-14</t>
        </is>
      </c>
      <c r="C1292" s="8" t="inlineStr">
        <is>
          <t>CUST-04138</t>
        </is>
      </c>
      <c r="D1292" s="8" t="inlineStr">
        <is>
          <t>Brandon Diaz</t>
        </is>
      </c>
      <c r="E1292" s="8" t="inlineStr">
        <is>
          <t>PRD-0408</t>
        </is>
      </c>
      <c r="F1292" s="8" t="inlineStr">
        <is>
          <t>5</t>
        </is>
      </c>
      <c r="G1292" s="9" t="n">
        <v>117.01</v>
      </c>
      <c r="H1292" s="8" t="inlineStr">
        <is>
          <t>0.0</t>
        </is>
      </c>
      <c r="I1292" s="8" t="inlineStr">
        <is>
          <t>Standard Ground</t>
        </is>
      </c>
      <c r="J1292" s="8" t="inlineStr">
        <is>
          <t>Mobile App</t>
        </is>
      </c>
      <c r="K1292" s="8" t="inlineStr">
        <is>
          <t>REG-APAC</t>
        </is>
      </c>
    </row>
    <row r="1293">
      <c r="A1293" s="8" t="inlineStr">
        <is>
          <t>ORD-000637</t>
        </is>
      </c>
      <c r="B1293" s="8" t="inlineStr">
        <is>
          <t>2025-07-13</t>
        </is>
      </c>
      <c r="C1293" s="8" t="inlineStr">
        <is>
          <t>CUST-03907</t>
        </is>
      </c>
      <c r="D1293" s="8" t="inlineStr">
        <is>
          <t>Laura Lee</t>
        </is>
      </c>
      <c r="E1293" s="8" t="inlineStr">
        <is>
          <t>PRD-0275</t>
        </is>
      </c>
      <c r="F1293" s="8" t="inlineStr">
        <is>
          <t>1</t>
        </is>
      </c>
      <c r="G1293" s="9" t="n">
        <v>786.53</v>
      </c>
      <c r="H1293" s="8" t="inlineStr">
        <is>
          <t>0.25</t>
        </is>
      </c>
      <c r="I1293" s="8" t="inlineStr">
        <is>
          <t>Standard Ground</t>
        </is>
      </c>
      <c r="J1293" s="8" t="inlineStr">
        <is>
          <t>Mobile App</t>
        </is>
      </c>
      <c r="K1293" s="8" t="inlineStr">
        <is>
          <t>REG-EU</t>
        </is>
      </c>
    </row>
    <row r="1294">
      <c r="A1294" s="8" t="inlineStr">
        <is>
          <t>ORD-000638</t>
        </is>
      </c>
      <c r="B1294" s="8" t="inlineStr">
        <is>
          <t>2023-12-14</t>
        </is>
      </c>
      <c r="C1294" s="8" t="inlineStr">
        <is>
          <t>CUST-01191</t>
        </is>
      </c>
      <c r="D1294" s="8" t="inlineStr">
        <is>
          <t>Sandra Kelly</t>
        </is>
      </c>
      <c r="E1294" s="8" t="inlineStr">
        <is>
          <t>PRD-0451</t>
        </is>
      </c>
      <c r="F1294" s="8" t="inlineStr">
        <is>
          <t>1</t>
        </is>
      </c>
      <c r="G1294" s="9" t="n">
        <v>664.9400000000001</v>
      </c>
      <c r="H1294" s="8" t="inlineStr">
        <is>
          <t>0.2</t>
        </is>
      </c>
      <c r="I1294" s="8" t="inlineStr">
        <is>
          <t>Same-Day Priority</t>
        </is>
      </c>
      <c r="J1294" s="8" t="inlineStr">
        <is>
          <t>Mobile App</t>
        </is>
      </c>
      <c r="K1294" s="8" t="inlineStr">
        <is>
          <t>REG-NA</t>
        </is>
      </c>
    </row>
    <row r="1295">
      <c r="A1295" s="8" t="inlineStr">
        <is>
          <t>ORD-000638</t>
        </is>
      </c>
      <c r="B1295" s="8" t="inlineStr">
        <is>
          <t>2023-12-14</t>
        </is>
      </c>
      <c r="C1295" s="8" t="inlineStr">
        <is>
          <t>CUST-01191</t>
        </is>
      </c>
      <c r="D1295" s="8" t="inlineStr">
        <is>
          <t>Sandra Kelly</t>
        </is>
      </c>
      <c r="E1295" s="8" t="inlineStr">
        <is>
          <t>PRD-0102</t>
        </is>
      </c>
      <c r="F1295" s="8" t="inlineStr">
        <is>
          <t>3</t>
        </is>
      </c>
      <c r="G1295" s="9" t="n">
        <v>933.64</v>
      </c>
      <c r="H1295" s="8" t="inlineStr">
        <is>
          <t>0.05</t>
        </is>
      </c>
      <c r="I1295" s="8" t="inlineStr">
        <is>
          <t>Same-Day Priority</t>
        </is>
      </c>
      <c r="J1295" s="8" t="inlineStr">
        <is>
          <t>Mobile App</t>
        </is>
      </c>
      <c r="K1295" s="8" t="inlineStr">
        <is>
          <t>REG-NA</t>
        </is>
      </c>
    </row>
    <row r="1296">
      <c r="A1296" s="8" t="inlineStr">
        <is>
          <t>ORD-000639</t>
        </is>
      </c>
      <c r="B1296" s="8" t="inlineStr">
        <is>
          <t>2024-07-19</t>
        </is>
      </c>
      <c r="C1296" s="8" t="inlineStr"/>
      <c r="D1296" s="8" t="inlineStr"/>
      <c r="E1296" s="8" t="inlineStr">
        <is>
          <t>PRD-0403</t>
        </is>
      </c>
      <c r="F1296" s="8" t="inlineStr">
        <is>
          <t>3</t>
        </is>
      </c>
      <c r="G1296" s="9" t="n">
        <v>213.25</v>
      </c>
      <c r="H1296" s="8" t="inlineStr">
        <is>
          <t>0.05</t>
        </is>
      </c>
      <c r="I1296" s="8" t="inlineStr">
        <is>
          <t>Standard Ground</t>
        </is>
      </c>
      <c r="J1296" s="8" t="inlineStr">
        <is>
          <t>B2B Portal</t>
        </is>
      </c>
      <c r="K1296" s="8" t="inlineStr"/>
    </row>
    <row r="1297">
      <c r="A1297" s="8" t="inlineStr">
        <is>
          <t>ORD-000639</t>
        </is>
      </c>
      <c r="B1297" s="8" t="inlineStr">
        <is>
          <t>2024-07-19</t>
        </is>
      </c>
      <c r="C1297" s="8" t="inlineStr"/>
      <c r="D1297" s="8" t="inlineStr"/>
      <c r="E1297" s="8" t="inlineStr">
        <is>
          <t>PRD-0338</t>
        </is>
      </c>
      <c r="F1297" s="8" t="inlineStr">
        <is>
          <t>1</t>
        </is>
      </c>
      <c r="G1297" s="9" t="n">
        <v>76.98999999999999</v>
      </c>
      <c r="H1297" s="8" t="inlineStr">
        <is>
          <t>0.1</t>
        </is>
      </c>
      <c r="I1297" s="8" t="inlineStr">
        <is>
          <t>Standard Ground</t>
        </is>
      </c>
      <c r="J1297" s="8" t="inlineStr">
        <is>
          <t>B2B Portal</t>
        </is>
      </c>
      <c r="K1297" s="8" t="inlineStr"/>
    </row>
    <row r="1298">
      <c r="A1298" s="8" t="inlineStr">
        <is>
          <t>ORD-000639</t>
        </is>
      </c>
      <c r="B1298" s="8" t="inlineStr">
        <is>
          <t>2024-07-19</t>
        </is>
      </c>
      <c r="C1298" s="8" t="inlineStr"/>
      <c r="D1298" s="8" t="inlineStr"/>
      <c r="E1298" s="8" t="inlineStr">
        <is>
          <t>PRD-0052</t>
        </is>
      </c>
      <c r="F1298" s="8" t="inlineStr">
        <is>
          <t>2</t>
        </is>
      </c>
      <c r="G1298" s="9" t="n">
        <v>354.02</v>
      </c>
      <c r="H1298" s="8" t="inlineStr">
        <is>
          <t>0.0</t>
        </is>
      </c>
      <c r="I1298" s="8" t="inlineStr">
        <is>
          <t>Standard Ground</t>
        </is>
      </c>
      <c r="J1298" s="8" t="inlineStr">
        <is>
          <t>B2B Portal</t>
        </is>
      </c>
      <c r="K1298" s="8" t="inlineStr"/>
    </row>
    <row r="1299">
      <c r="A1299" s="8" t="inlineStr">
        <is>
          <t>ORD-000640</t>
        </is>
      </c>
      <c r="B1299" s="8" t="inlineStr">
        <is>
          <t>2024-09-11</t>
        </is>
      </c>
      <c r="C1299" s="8" t="inlineStr">
        <is>
          <t>CUST-03870</t>
        </is>
      </c>
      <c r="D1299" s="8" t="inlineStr">
        <is>
          <t>Donna Harris</t>
        </is>
      </c>
      <c r="E1299" s="8" t="inlineStr">
        <is>
          <t>PRD-0055</t>
        </is>
      </c>
      <c r="F1299" s="8" t="inlineStr">
        <is>
          <t>1</t>
        </is>
      </c>
      <c r="G1299" s="9" t="n">
        <v>600.42</v>
      </c>
      <c r="H1299" s="8" t="inlineStr">
        <is>
          <t>0.0</t>
        </is>
      </c>
      <c r="I1299" s="8" t="inlineStr">
        <is>
          <t>Express Air</t>
        </is>
      </c>
      <c r="J1299" s="8" t="inlineStr">
        <is>
          <t>Mobile App</t>
        </is>
      </c>
      <c r="K1299" s="8" t="inlineStr">
        <is>
          <t>REG-EU</t>
        </is>
      </c>
    </row>
    <row r="1300">
      <c r="A1300" s="8" t="inlineStr">
        <is>
          <t>ORD-000640</t>
        </is>
      </c>
      <c r="B1300" s="8" t="inlineStr">
        <is>
          <t>2024-09-11</t>
        </is>
      </c>
      <c r="C1300" s="8" t="inlineStr">
        <is>
          <t>CUST-03870</t>
        </is>
      </c>
      <c r="D1300" s="8" t="inlineStr">
        <is>
          <t>Donna Harris</t>
        </is>
      </c>
      <c r="E1300" s="8" t="inlineStr">
        <is>
          <t>PRD-0232</t>
        </is>
      </c>
      <c r="F1300" s="8" t="inlineStr">
        <is>
          <t>3</t>
        </is>
      </c>
      <c r="G1300" s="9" t="n">
        <v>192.08</v>
      </c>
      <c r="H1300" s="8" t="inlineStr">
        <is>
          <t>0.05</t>
        </is>
      </c>
      <c r="I1300" s="8" t="inlineStr">
        <is>
          <t>Express Air</t>
        </is>
      </c>
      <c r="J1300" s="8" t="inlineStr">
        <is>
          <t>Mobile App</t>
        </is>
      </c>
      <c r="K1300" s="8" t="inlineStr">
        <is>
          <t>REG-EU</t>
        </is>
      </c>
    </row>
    <row r="1301">
      <c r="A1301" s="8" t="inlineStr">
        <is>
          <t>ORD-000640</t>
        </is>
      </c>
      <c r="B1301" s="8" t="inlineStr">
        <is>
          <t>2024-09-11</t>
        </is>
      </c>
      <c r="C1301" s="8" t="inlineStr">
        <is>
          <t>CUST-03870</t>
        </is>
      </c>
      <c r="D1301" s="8" t="inlineStr">
        <is>
          <t>Donna Harris</t>
        </is>
      </c>
      <c r="E1301" s="8" t="inlineStr">
        <is>
          <t>PRD-0217</t>
        </is>
      </c>
      <c r="F1301" s="8" t="inlineStr">
        <is>
          <t>1</t>
        </is>
      </c>
      <c r="G1301" s="9" t="n">
        <v>457.08</v>
      </c>
      <c r="H1301" s="8" t="inlineStr">
        <is>
          <t>0.0</t>
        </is>
      </c>
      <c r="I1301" s="8" t="inlineStr">
        <is>
          <t>Express Air</t>
        </is>
      </c>
      <c r="J1301" s="8" t="inlineStr">
        <is>
          <t>Mobile App</t>
        </is>
      </c>
      <c r="K1301" s="8" t="inlineStr">
        <is>
          <t>REG-EU</t>
        </is>
      </c>
    </row>
    <row r="1302">
      <c r="A1302" s="8" t="inlineStr">
        <is>
          <t>ORD-000641</t>
        </is>
      </c>
      <c r="B1302" s="8" t="inlineStr">
        <is>
          <t>2023-10-30</t>
        </is>
      </c>
      <c r="C1302" s="8" t="inlineStr">
        <is>
          <t>CUST-07598</t>
        </is>
      </c>
      <c r="D1302" s="8" t="inlineStr">
        <is>
          <t>Catherine Murphy</t>
        </is>
      </c>
      <c r="E1302" s="8" t="inlineStr">
        <is>
          <t>PRD-0484</t>
        </is>
      </c>
      <c r="F1302" s="8" t="inlineStr">
        <is>
          <t>2</t>
        </is>
      </c>
      <c r="G1302" s="9" t="n">
        <v>33.81</v>
      </c>
      <c r="H1302" s="8" t="inlineStr">
        <is>
          <t>0.0</t>
        </is>
      </c>
      <c r="I1302" s="8" t="inlineStr">
        <is>
          <t>Standard Ground</t>
        </is>
      </c>
      <c r="J1302" s="8" t="inlineStr">
        <is>
          <t>Affiliate Partner</t>
        </is>
      </c>
      <c r="K1302" s="8" t="inlineStr">
        <is>
          <t>REG-LATAM</t>
        </is>
      </c>
    </row>
    <row r="1303">
      <c r="A1303" s="8" t="inlineStr">
        <is>
          <t>ORD-000642</t>
        </is>
      </c>
      <c r="B1303" s="8" t="inlineStr">
        <is>
          <t>2025-12-04</t>
        </is>
      </c>
      <c r="C1303" s="8" t="inlineStr">
        <is>
          <t>CUST-02826</t>
        </is>
      </c>
      <c r="D1303" s="8" t="inlineStr">
        <is>
          <t>Emily Williams</t>
        </is>
      </c>
      <c r="E1303" s="8" t="inlineStr">
        <is>
          <t>PRD-0440</t>
        </is>
      </c>
      <c r="F1303" s="8" t="inlineStr">
        <is>
          <t>1</t>
        </is>
      </c>
      <c r="G1303" s="9" t="n">
        <v>791.74</v>
      </c>
      <c r="H1303" s="8" t="inlineStr">
        <is>
          <t>0.2</t>
        </is>
      </c>
      <c r="I1303" s="8" t="inlineStr">
        <is>
          <t>Standard Ground</t>
        </is>
      </c>
      <c r="J1303" s="8" t="inlineStr">
        <is>
          <t>Direct Web</t>
        </is>
      </c>
      <c r="K1303" s="8" t="inlineStr">
        <is>
          <t>REG-EU</t>
        </is>
      </c>
    </row>
    <row r="1304">
      <c r="A1304" s="8" t="inlineStr">
        <is>
          <t>ORD-000643</t>
        </is>
      </c>
      <c r="B1304" s="8" t="inlineStr">
        <is>
          <t>2024-08-07</t>
        </is>
      </c>
      <c r="C1304" s="8" t="inlineStr">
        <is>
          <t>CUST-06732</t>
        </is>
      </c>
      <c r="D1304" s="8" t="inlineStr">
        <is>
          <t>Stephen Cooper</t>
        </is>
      </c>
      <c r="E1304" s="8" t="inlineStr">
        <is>
          <t>PRD-0075</t>
        </is>
      </c>
      <c r="F1304" s="8" t="inlineStr">
        <is>
          <t>4</t>
        </is>
      </c>
      <c r="G1304" s="9" t="n">
        <v>20.47</v>
      </c>
      <c r="H1304" s="8" t="inlineStr">
        <is>
          <t>0.0</t>
        </is>
      </c>
      <c r="I1304" s="8" t="inlineStr">
        <is>
          <t>Standard Ground</t>
        </is>
      </c>
      <c r="J1304" s="8" t="inlineStr">
        <is>
          <t>Direct Web</t>
        </is>
      </c>
      <c r="K1304" s="8" t="inlineStr">
        <is>
          <t>REG-NA</t>
        </is>
      </c>
    </row>
    <row r="1305">
      <c r="A1305" s="8" t="inlineStr">
        <is>
          <t>ORD-000643</t>
        </is>
      </c>
      <c r="B1305" s="8" t="inlineStr">
        <is>
          <t>2024-08-07</t>
        </is>
      </c>
      <c r="C1305" s="8" t="inlineStr">
        <is>
          <t>CUST-06732</t>
        </is>
      </c>
      <c r="D1305" s="8" t="inlineStr">
        <is>
          <t>Stephen Cooper</t>
        </is>
      </c>
      <c r="E1305" s="8" t="inlineStr">
        <is>
          <t>PRD-0428</t>
        </is>
      </c>
      <c r="F1305" s="8" t="inlineStr">
        <is>
          <t>2</t>
        </is>
      </c>
      <c r="G1305" s="9" t="n">
        <v>991.23</v>
      </c>
      <c r="H1305" s="8" t="inlineStr">
        <is>
          <t>0.1</t>
        </is>
      </c>
      <c r="I1305" s="8" t="inlineStr">
        <is>
          <t>Standard Ground</t>
        </is>
      </c>
      <c r="J1305" s="8" t="inlineStr">
        <is>
          <t>Direct Web</t>
        </is>
      </c>
      <c r="K1305" s="8" t="inlineStr">
        <is>
          <t>REG-NA</t>
        </is>
      </c>
    </row>
    <row r="1306">
      <c r="A1306" s="8" t="inlineStr">
        <is>
          <t>ORD-000643</t>
        </is>
      </c>
      <c r="B1306" s="8" t="inlineStr">
        <is>
          <t>2024-08-07</t>
        </is>
      </c>
      <c r="C1306" s="8" t="inlineStr">
        <is>
          <t>CUST-06732</t>
        </is>
      </c>
      <c r="D1306" s="8" t="inlineStr">
        <is>
          <t>Stephen Cooper</t>
        </is>
      </c>
      <c r="E1306" s="8" t="inlineStr">
        <is>
          <t>PRD-0418</t>
        </is>
      </c>
      <c r="F1306" s="8" t="inlineStr">
        <is>
          <t>1</t>
        </is>
      </c>
      <c r="G1306" s="9" t="n">
        <v>287.35</v>
      </c>
      <c r="H1306" s="8" t="inlineStr">
        <is>
          <t>0.2</t>
        </is>
      </c>
      <c r="I1306" s="8" t="inlineStr">
        <is>
          <t>Standard Ground</t>
        </is>
      </c>
      <c r="J1306" s="8" t="inlineStr">
        <is>
          <t>Direct Web</t>
        </is>
      </c>
      <c r="K1306" s="8" t="inlineStr">
        <is>
          <t>REG-NA</t>
        </is>
      </c>
    </row>
    <row r="1307">
      <c r="A1307" s="8" t="inlineStr">
        <is>
          <t>ORD-000643</t>
        </is>
      </c>
      <c r="B1307" s="8" t="inlineStr">
        <is>
          <t>2024-08-07</t>
        </is>
      </c>
      <c r="C1307" s="8" t="inlineStr">
        <is>
          <t>CUST-06732</t>
        </is>
      </c>
      <c r="D1307" s="8" t="inlineStr">
        <is>
          <t>Stephen Cooper</t>
        </is>
      </c>
      <c r="E1307" s="8" t="inlineStr">
        <is>
          <t>PRD-0130</t>
        </is>
      </c>
      <c r="F1307" s="8" t="inlineStr">
        <is>
          <t>1</t>
        </is>
      </c>
      <c r="G1307" s="9" t="n">
        <v>593.34</v>
      </c>
      <c r="H1307" s="8" t="inlineStr">
        <is>
          <t>0.0</t>
        </is>
      </c>
      <c r="I1307" s="8" t="inlineStr">
        <is>
          <t>Standard Ground</t>
        </is>
      </c>
      <c r="J1307" s="8" t="inlineStr">
        <is>
          <t>Direct Web</t>
        </is>
      </c>
      <c r="K1307" s="8" t="inlineStr">
        <is>
          <t>REG-NA</t>
        </is>
      </c>
    </row>
    <row r="1308">
      <c r="A1308" s="8" t="inlineStr">
        <is>
          <t>ORD-000643</t>
        </is>
      </c>
      <c r="B1308" s="8" t="inlineStr">
        <is>
          <t>2024-08-07</t>
        </is>
      </c>
      <c r="C1308" s="8" t="inlineStr">
        <is>
          <t>CUST-06732</t>
        </is>
      </c>
      <c r="D1308" s="8" t="inlineStr">
        <is>
          <t>Stephen Cooper</t>
        </is>
      </c>
      <c r="E1308" s="8" t="inlineStr">
        <is>
          <t>PRD-0306</t>
        </is>
      </c>
      <c r="F1308" s="8" t="inlineStr">
        <is>
          <t>2</t>
        </is>
      </c>
      <c r="G1308" s="9" t="n">
        <v>735.58</v>
      </c>
      <c r="H1308" s="8" t="inlineStr">
        <is>
          <t>0.25</t>
        </is>
      </c>
      <c r="I1308" s="8" t="inlineStr">
        <is>
          <t>Standard Ground</t>
        </is>
      </c>
      <c r="J1308" s="8" t="inlineStr">
        <is>
          <t>Direct Web</t>
        </is>
      </c>
      <c r="K1308" s="8" t="inlineStr">
        <is>
          <t>REG-NA</t>
        </is>
      </c>
    </row>
    <row r="1309">
      <c r="A1309" s="8" t="inlineStr">
        <is>
          <t>ORD-000644</t>
        </is>
      </c>
      <c r="B1309" s="8" t="inlineStr">
        <is>
          <t>2024-11-18</t>
        </is>
      </c>
      <c r="C1309" s="8" t="inlineStr">
        <is>
          <t>CUST-03355</t>
        </is>
      </c>
      <c r="D1309" s="8" t="inlineStr">
        <is>
          <t>Elizabeth Kim</t>
        </is>
      </c>
      <c r="E1309" s="8" t="inlineStr">
        <is>
          <t>PRD-0207</t>
        </is>
      </c>
      <c r="F1309" s="8" t="inlineStr">
        <is>
          <t>2</t>
        </is>
      </c>
      <c r="G1309" s="9" t="n">
        <v>1025.22</v>
      </c>
      <c r="H1309" s="8" t="inlineStr">
        <is>
          <t>0.0</t>
        </is>
      </c>
      <c r="I1309" s="8" t="inlineStr">
        <is>
          <t>Standard Ground</t>
        </is>
      </c>
      <c r="J1309" s="8" t="inlineStr">
        <is>
          <t>B2B Portal</t>
        </is>
      </c>
      <c r="K1309" s="8" t="inlineStr">
        <is>
          <t>REG-NA</t>
        </is>
      </c>
    </row>
    <row r="1310">
      <c r="A1310" s="8" t="inlineStr">
        <is>
          <t>ORD-000645</t>
        </is>
      </c>
      <c r="B1310" s="8" t="inlineStr">
        <is>
          <t>2025-11-17</t>
        </is>
      </c>
      <c r="C1310" s="8" t="inlineStr">
        <is>
          <t>CUST-05493</t>
        </is>
      </c>
      <c r="D1310" s="8" t="inlineStr">
        <is>
          <t>William Castillo</t>
        </is>
      </c>
      <c r="E1310" s="8" t="inlineStr">
        <is>
          <t>PRD-0293</t>
        </is>
      </c>
      <c r="F1310" s="8" t="inlineStr">
        <is>
          <t>2</t>
        </is>
      </c>
      <c r="G1310" s="9" t="n">
        <v>231.64</v>
      </c>
      <c r="H1310" s="8" t="inlineStr">
        <is>
          <t>0.0</t>
        </is>
      </c>
      <c r="I1310" s="8" t="inlineStr">
        <is>
          <t>Same-Day Priority</t>
        </is>
      </c>
      <c r="J1310" s="8" t="inlineStr">
        <is>
          <t>Direct Web</t>
        </is>
      </c>
      <c r="K1310" s="8" t="inlineStr">
        <is>
          <t>REG-NA</t>
        </is>
      </c>
    </row>
    <row r="1311">
      <c r="A1311" s="8" t="inlineStr">
        <is>
          <t>ORD-000645</t>
        </is>
      </c>
      <c r="B1311" s="8" t="inlineStr">
        <is>
          <t>2025-11-17</t>
        </is>
      </c>
      <c r="C1311" s="8" t="inlineStr">
        <is>
          <t>CUST-05493</t>
        </is>
      </c>
      <c r="D1311" s="8" t="inlineStr">
        <is>
          <t>William Castillo</t>
        </is>
      </c>
      <c r="E1311" s="8" t="inlineStr">
        <is>
          <t>PRD-0488</t>
        </is>
      </c>
      <c r="F1311" s="8" t="inlineStr">
        <is>
          <t>1</t>
        </is>
      </c>
      <c r="G1311" s="9" t="n">
        <v>54.77</v>
      </c>
      <c r="H1311" s="8" t="inlineStr">
        <is>
          <t>0.15</t>
        </is>
      </c>
      <c r="I1311" s="8" t="inlineStr">
        <is>
          <t>Same-Day Priority</t>
        </is>
      </c>
      <c r="J1311" s="8" t="inlineStr">
        <is>
          <t>Direct Web</t>
        </is>
      </c>
      <c r="K1311" s="8" t="inlineStr">
        <is>
          <t>REG-NA</t>
        </is>
      </c>
    </row>
    <row r="1312">
      <c r="A1312" s="8" t="inlineStr">
        <is>
          <t>ORD-000645</t>
        </is>
      </c>
      <c r="B1312" s="8" t="inlineStr">
        <is>
          <t>2025-11-17</t>
        </is>
      </c>
      <c r="C1312" s="8" t="inlineStr">
        <is>
          <t>CUST-05493</t>
        </is>
      </c>
      <c r="D1312" s="8" t="inlineStr">
        <is>
          <t>William Castillo</t>
        </is>
      </c>
      <c r="E1312" s="8" t="inlineStr">
        <is>
          <t>PRD-0168</t>
        </is>
      </c>
      <c r="F1312" s="8" t="inlineStr">
        <is>
          <t>2</t>
        </is>
      </c>
      <c r="G1312" s="9" t="n">
        <v>597.34</v>
      </c>
      <c r="H1312" s="8" t="inlineStr">
        <is>
          <t>0.05</t>
        </is>
      </c>
      <c r="I1312" s="8" t="inlineStr">
        <is>
          <t>Same-Day Priority</t>
        </is>
      </c>
      <c r="J1312" s="8" t="inlineStr">
        <is>
          <t>Direct Web</t>
        </is>
      </c>
      <c r="K1312" s="8" t="inlineStr">
        <is>
          <t>REG-NA</t>
        </is>
      </c>
    </row>
    <row r="1313">
      <c r="A1313" s="8" t="inlineStr">
        <is>
          <t>ORD-000645</t>
        </is>
      </c>
      <c r="B1313" s="8" t="inlineStr">
        <is>
          <t>2025-11-17</t>
        </is>
      </c>
      <c r="C1313" s="8" t="inlineStr">
        <is>
          <t>CUST-05493</t>
        </is>
      </c>
      <c r="D1313" s="8" t="inlineStr">
        <is>
          <t>William Castillo</t>
        </is>
      </c>
      <c r="E1313" s="8" t="inlineStr">
        <is>
          <t>PRD-0181</t>
        </is>
      </c>
      <c r="F1313" s="8" t="inlineStr">
        <is>
          <t>2</t>
        </is>
      </c>
      <c r="G1313" s="9" t="n">
        <v>57.06</v>
      </c>
      <c r="H1313" s="8" t="inlineStr">
        <is>
          <t>0.0</t>
        </is>
      </c>
      <c r="I1313" s="8" t="inlineStr">
        <is>
          <t>Same-Day Priority</t>
        </is>
      </c>
      <c r="J1313" s="8" t="inlineStr">
        <is>
          <t>Direct Web</t>
        </is>
      </c>
      <c r="K1313" s="8" t="inlineStr">
        <is>
          <t>REG-NA</t>
        </is>
      </c>
    </row>
    <row r="1314">
      <c r="A1314" s="8" t="inlineStr">
        <is>
          <t>ORD-000646</t>
        </is>
      </c>
      <c r="B1314" s="8" t="inlineStr">
        <is>
          <t>2023-04-08</t>
        </is>
      </c>
      <c r="C1314" s="8" t="inlineStr">
        <is>
          <t>CUST-07908</t>
        </is>
      </c>
      <c r="D1314" s="8" t="inlineStr">
        <is>
          <t>Mary Jones</t>
        </is>
      </c>
      <c r="E1314" s="8" t="inlineStr">
        <is>
          <t>PRD-0308</t>
        </is>
      </c>
      <c r="F1314" s="8" t="inlineStr">
        <is>
          <t>3</t>
        </is>
      </c>
      <c r="G1314" s="9" t="n">
        <v>61.03</v>
      </c>
      <c r="H1314" s="8" t="inlineStr">
        <is>
          <t>0.05</t>
        </is>
      </c>
      <c r="I1314" s="8" t="inlineStr">
        <is>
          <t>Freight</t>
        </is>
      </c>
      <c r="J1314" s="8" t="inlineStr">
        <is>
          <t>Mobile App</t>
        </is>
      </c>
      <c r="K1314" s="8" t="inlineStr">
        <is>
          <t>REG-APAC</t>
        </is>
      </c>
    </row>
    <row r="1315">
      <c r="A1315" s="8" t="inlineStr">
        <is>
          <t>ORD-000647</t>
        </is>
      </c>
      <c r="B1315" s="8" t="inlineStr">
        <is>
          <t>2024-01-06</t>
        </is>
      </c>
      <c r="C1315" s="8" t="inlineStr">
        <is>
          <t>CUST-01008</t>
        </is>
      </c>
      <c r="D1315" s="8" t="inlineStr">
        <is>
          <t>Paul Evans</t>
        </is>
      </c>
      <c r="E1315" s="8" t="inlineStr">
        <is>
          <t>PRD-0048</t>
        </is>
      </c>
      <c r="F1315" s="8" t="inlineStr">
        <is>
          <t>1</t>
        </is>
      </c>
      <c r="G1315" s="9" t="n">
        <v>39</v>
      </c>
      <c r="H1315" s="8" t="inlineStr">
        <is>
          <t>0.2</t>
        </is>
      </c>
      <c r="I1315" s="8" t="inlineStr">
        <is>
          <t>Same-Day Priority</t>
        </is>
      </c>
      <c r="J1315" s="8" t="inlineStr">
        <is>
          <t>Mobile App</t>
        </is>
      </c>
      <c r="K1315" s="8" t="inlineStr">
        <is>
          <t>REG-EU</t>
        </is>
      </c>
    </row>
    <row r="1316">
      <c r="A1316" s="8" t="inlineStr">
        <is>
          <t>ORD-000648</t>
        </is>
      </c>
      <c r="B1316" s="8" t="inlineStr">
        <is>
          <t>2025-09-01</t>
        </is>
      </c>
      <c r="C1316" s="8" t="inlineStr">
        <is>
          <t>CUST-01911</t>
        </is>
      </c>
      <c r="D1316" s="8" t="inlineStr">
        <is>
          <t>Samuel Moore</t>
        </is>
      </c>
      <c r="E1316" s="8" t="inlineStr">
        <is>
          <t>PRD-0150</t>
        </is>
      </c>
      <c r="F1316" s="8" t="inlineStr">
        <is>
          <t>1</t>
        </is>
      </c>
      <c r="G1316" s="9" t="n">
        <v>384.86</v>
      </c>
      <c r="H1316" s="8" t="inlineStr">
        <is>
          <t>0%</t>
        </is>
      </c>
      <c r="I1316" s="8" t="inlineStr">
        <is>
          <t>Standard Ground</t>
        </is>
      </c>
      <c r="J1316" s="8" t="inlineStr">
        <is>
          <t>Direct Web</t>
        </is>
      </c>
      <c r="K1316" s="8" t="inlineStr">
        <is>
          <t>REG-LATAM</t>
        </is>
      </c>
    </row>
    <row r="1317">
      <c r="A1317" s="8" t="inlineStr">
        <is>
          <t>ORD-000648</t>
        </is>
      </c>
      <c r="B1317" s="8" t="inlineStr">
        <is>
          <t>2025-09-01</t>
        </is>
      </c>
      <c r="C1317" s="8" t="inlineStr">
        <is>
          <t>CUST-01911</t>
        </is>
      </c>
      <c r="D1317" s="8" t="inlineStr">
        <is>
          <t>Samuel Moore</t>
        </is>
      </c>
      <c r="E1317" s="8" t="inlineStr">
        <is>
          <t>PRD-0427</t>
        </is>
      </c>
      <c r="F1317" s="8" t="inlineStr">
        <is>
          <t>2</t>
        </is>
      </c>
      <c r="G1317" s="9" t="n">
        <v>108.94</v>
      </c>
      <c r="H1317" s="8" t="inlineStr">
        <is>
          <t>0.05</t>
        </is>
      </c>
      <c r="I1317" s="8" t="inlineStr">
        <is>
          <t>Standard Ground</t>
        </is>
      </c>
      <c r="J1317" s="8" t="inlineStr">
        <is>
          <t>Direct Web</t>
        </is>
      </c>
      <c r="K1317" s="8" t="inlineStr">
        <is>
          <t>REG-LATAM</t>
        </is>
      </c>
    </row>
    <row r="1318">
      <c r="A1318" s="8" t="inlineStr">
        <is>
          <t>ORD-000649</t>
        </is>
      </c>
      <c r="B1318" s="8" t="inlineStr">
        <is>
          <t>2024-05-06</t>
        </is>
      </c>
      <c r="C1318" s="8" t="inlineStr">
        <is>
          <t>CUST-05027</t>
        </is>
      </c>
      <c r="D1318" s="8" t="inlineStr">
        <is>
          <t>Jerry Clark</t>
        </is>
      </c>
      <c r="E1318" s="8" t="inlineStr">
        <is>
          <t>PRD-0162</t>
        </is>
      </c>
      <c r="F1318" s="8" t="inlineStr">
        <is>
          <t>1</t>
        </is>
      </c>
      <c r="G1318" s="9" t="n">
        <v>192.43</v>
      </c>
      <c r="H1318" s="8" t="inlineStr">
        <is>
          <t>0.05</t>
        </is>
      </c>
      <c r="I1318" s="8" t="inlineStr">
        <is>
          <t>Freight</t>
        </is>
      </c>
      <c r="J1318" s="8" t="inlineStr">
        <is>
          <t>Mobile App</t>
        </is>
      </c>
      <c r="K1318" s="8" t="inlineStr">
        <is>
          <t>REG-LATAM</t>
        </is>
      </c>
    </row>
    <row r="1319">
      <c r="A1319" s="8" t="inlineStr">
        <is>
          <t>ORD-000650</t>
        </is>
      </c>
      <c r="B1319" s="8" t="inlineStr">
        <is>
          <t>2024-09-06</t>
        </is>
      </c>
      <c r="C1319" s="8" t="inlineStr">
        <is>
          <t>CUST-05188</t>
        </is>
      </c>
      <c r="D1319" s="8" t="inlineStr">
        <is>
          <t>Robert Bailey</t>
        </is>
      </c>
      <c r="E1319" s="8" t="inlineStr">
        <is>
          <t>PRD-0331</t>
        </is>
      </c>
      <c r="F1319" s="8" t="inlineStr">
        <is>
          <t>2</t>
        </is>
      </c>
      <c r="G1319" s="9" t="n">
        <v>1076.14</v>
      </c>
      <c r="H1319" s="8" t="inlineStr">
        <is>
          <t>0.1</t>
        </is>
      </c>
      <c r="I1319" s="8" t="inlineStr">
        <is>
          <t>Standard Ground</t>
        </is>
      </c>
      <c r="J1319" s="8" t="inlineStr">
        <is>
          <t>Direct Web</t>
        </is>
      </c>
      <c r="K1319" s="8" t="inlineStr">
        <is>
          <t>REG-APAC</t>
        </is>
      </c>
    </row>
    <row r="1320">
      <c r="A1320" s="8" t="inlineStr">
        <is>
          <t>ORD-000651</t>
        </is>
      </c>
      <c r="B1320" s="8" t="inlineStr">
        <is>
          <t>2023-01-29</t>
        </is>
      </c>
      <c r="C1320" s="8" t="inlineStr">
        <is>
          <t>CUST-01364</t>
        </is>
      </c>
      <c r="D1320" s="8" t="inlineStr">
        <is>
          <t>Andrew Torres</t>
        </is>
      </c>
      <c r="E1320" s="8" t="inlineStr">
        <is>
          <t>PRD-0336</t>
        </is>
      </c>
      <c r="F1320" s="8" t="inlineStr">
        <is>
          <t>1</t>
        </is>
      </c>
      <c r="G1320" s="9" t="n">
        <v>216.76</v>
      </c>
      <c r="H1320" s="8" t="inlineStr">
        <is>
          <t>0.05</t>
        </is>
      </c>
      <c r="I1320" s="8" t="inlineStr">
        <is>
          <t>Same-Day Priority</t>
        </is>
      </c>
      <c r="J1320" s="8" t="inlineStr">
        <is>
          <t>Mobile App</t>
        </is>
      </c>
      <c r="K1320" s="8" t="inlineStr">
        <is>
          <t>REG-EU</t>
        </is>
      </c>
    </row>
    <row r="1321">
      <c r="A1321" s="8" t="inlineStr">
        <is>
          <t>ORD-000651</t>
        </is>
      </c>
      <c r="B1321" s="8" t="inlineStr">
        <is>
          <t>2023-01-29</t>
        </is>
      </c>
      <c r="C1321" s="8" t="inlineStr">
        <is>
          <t>CUST-01364</t>
        </is>
      </c>
      <c r="D1321" s="8" t="inlineStr">
        <is>
          <t>Andrew Torres</t>
        </is>
      </c>
      <c r="E1321" s="8" t="inlineStr">
        <is>
          <t>PRD-0262</t>
        </is>
      </c>
      <c r="F1321" s="8" t="inlineStr">
        <is>
          <t>1</t>
        </is>
      </c>
      <c r="G1321" s="9" t="n">
        <v>621.74</v>
      </c>
      <c r="H1321" s="8" t="inlineStr">
        <is>
          <t>0.1</t>
        </is>
      </c>
      <c r="I1321" s="8" t="inlineStr">
        <is>
          <t>Same-Day Priority</t>
        </is>
      </c>
      <c r="J1321" s="8" t="inlineStr">
        <is>
          <t>Mobile App</t>
        </is>
      </c>
      <c r="K1321" s="8" t="inlineStr">
        <is>
          <t>REG-EU</t>
        </is>
      </c>
    </row>
    <row r="1322">
      <c r="A1322" s="8" t="inlineStr">
        <is>
          <t>ORD-000651</t>
        </is>
      </c>
      <c r="B1322" s="8" t="inlineStr">
        <is>
          <t>2023-01-29</t>
        </is>
      </c>
      <c r="C1322" s="8" t="inlineStr">
        <is>
          <t>CUST-01364</t>
        </is>
      </c>
      <c r="D1322" s="8" t="inlineStr">
        <is>
          <t>Andrew Torres</t>
        </is>
      </c>
      <c r="E1322" s="8" t="inlineStr">
        <is>
          <t>PRD-0116</t>
        </is>
      </c>
      <c r="F1322" s="8" t="inlineStr">
        <is>
          <t>2</t>
        </is>
      </c>
      <c r="G1322" s="9" t="n">
        <v>177.13</v>
      </c>
      <c r="H1322" s="8" t="inlineStr">
        <is>
          <t>0.0</t>
        </is>
      </c>
      <c r="I1322" s="8" t="inlineStr">
        <is>
          <t>Same-Day Priority</t>
        </is>
      </c>
      <c r="J1322" s="8" t="inlineStr">
        <is>
          <t>Mobile App</t>
        </is>
      </c>
      <c r="K1322" s="8" t="inlineStr">
        <is>
          <t>REG-EU</t>
        </is>
      </c>
    </row>
    <row r="1323">
      <c r="A1323" s="8" t="inlineStr">
        <is>
          <t>ORD-000651</t>
        </is>
      </c>
      <c r="B1323" s="8" t="inlineStr">
        <is>
          <t>2023-01-29</t>
        </is>
      </c>
      <c r="C1323" s="8" t="inlineStr">
        <is>
          <t>CUST-01364</t>
        </is>
      </c>
      <c r="D1323" s="8" t="inlineStr">
        <is>
          <t>Andrew Torres</t>
        </is>
      </c>
      <c r="E1323" s="8" t="inlineStr">
        <is>
          <t>PRD-0429</t>
        </is>
      </c>
      <c r="F1323" s="8" t="inlineStr">
        <is>
          <t>1</t>
        </is>
      </c>
      <c r="G1323" s="9" t="n">
        <v>790.21</v>
      </c>
      <c r="H1323" s="8" t="inlineStr">
        <is>
          <t>0.1</t>
        </is>
      </c>
      <c r="I1323" s="8" t="inlineStr">
        <is>
          <t>Same-Day Priority</t>
        </is>
      </c>
      <c r="J1323" s="8" t="inlineStr">
        <is>
          <t>Mobile App</t>
        </is>
      </c>
      <c r="K1323" s="8" t="inlineStr">
        <is>
          <t>REG-EU</t>
        </is>
      </c>
    </row>
    <row r="1324">
      <c r="A1324" s="8" t="inlineStr">
        <is>
          <t>ORD-000652</t>
        </is>
      </c>
      <c r="B1324" s="8" t="inlineStr">
        <is>
          <t>2023-05-16</t>
        </is>
      </c>
      <c r="C1324" s="8" t="inlineStr">
        <is>
          <t>CUST-01533</t>
        </is>
      </c>
      <c r="D1324" s="8" t="inlineStr">
        <is>
          <t>Sarah Wood</t>
        </is>
      </c>
      <c r="E1324" s="8" t="inlineStr">
        <is>
          <t>PRD-0036</t>
        </is>
      </c>
      <c r="F1324" s="8" t="inlineStr">
        <is>
          <t>2</t>
        </is>
      </c>
      <c r="G1324" s="9" t="n">
        <v>574.88</v>
      </c>
      <c r="H1324" s="8" t="inlineStr">
        <is>
          <t>0.0</t>
        </is>
      </c>
      <c r="I1324" s="8" t="inlineStr">
        <is>
          <t>Standard Ground</t>
        </is>
      </c>
      <c r="J1324" s="8" t="inlineStr">
        <is>
          <t>Direct Web</t>
        </is>
      </c>
      <c r="K1324" s="8" t="inlineStr">
        <is>
          <t>REG-EU</t>
        </is>
      </c>
    </row>
    <row r="1325">
      <c r="A1325" s="8" t="inlineStr">
        <is>
          <t>ORD-000653</t>
        </is>
      </c>
      <c r="B1325" s="8" t="inlineStr">
        <is>
          <t>2024-12-23</t>
        </is>
      </c>
      <c r="C1325" s="8" t="inlineStr">
        <is>
          <t>CUST-01403</t>
        </is>
      </c>
      <c r="D1325" s="8" t="inlineStr">
        <is>
          <t>Matthew Harris</t>
        </is>
      </c>
      <c r="E1325" s="8" t="inlineStr">
        <is>
          <t>PRD-0005</t>
        </is>
      </c>
      <c r="F1325" s="8" t="inlineStr">
        <is>
          <t>1</t>
        </is>
      </c>
      <c r="G1325" s="9" t="n">
        <v>148.59</v>
      </c>
      <c r="H1325" s="8" t="inlineStr">
        <is>
          <t>0.0</t>
        </is>
      </c>
      <c r="I1325" s="8" t="inlineStr">
        <is>
          <t>Same-Day Priority</t>
        </is>
      </c>
      <c r="J1325" s="8" t="inlineStr">
        <is>
          <t>Direct Web</t>
        </is>
      </c>
      <c r="K1325" s="8" t="inlineStr">
        <is>
          <t>REG-NA</t>
        </is>
      </c>
    </row>
    <row r="1326">
      <c r="A1326" s="8" t="inlineStr">
        <is>
          <t>ORD-000653</t>
        </is>
      </c>
      <c r="B1326" s="8" t="inlineStr">
        <is>
          <t>2024-12-23</t>
        </is>
      </c>
      <c r="C1326" s="8" t="inlineStr">
        <is>
          <t>CUST-01403</t>
        </is>
      </c>
      <c r="D1326" s="8" t="inlineStr">
        <is>
          <t>Matthew Harris</t>
        </is>
      </c>
      <c r="E1326" s="8" t="inlineStr">
        <is>
          <t>PRD-0213</t>
        </is>
      </c>
      <c r="F1326" s="8" t="inlineStr">
        <is>
          <t>1</t>
        </is>
      </c>
      <c r="G1326" s="9" t="n">
        <v>592.9</v>
      </c>
      <c r="H1326" s="8" t="inlineStr">
        <is>
          <t>0.05</t>
        </is>
      </c>
      <c r="I1326" s="8" t="inlineStr">
        <is>
          <t>Same-Day Priority</t>
        </is>
      </c>
      <c r="J1326" s="8" t="inlineStr">
        <is>
          <t>Direct Web</t>
        </is>
      </c>
      <c r="K1326" s="8" t="inlineStr">
        <is>
          <t>REG-NA</t>
        </is>
      </c>
    </row>
    <row r="1327">
      <c r="A1327" s="8" t="inlineStr">
        <is>
          <t>ORD-000653</t>
        </is>
      </c>
      <c r="B1327" s="8" t="inlineStr">
        <is>
          <t>2024-12-23</t>
        </is>
      </c>
      <c r="C1327" s="8" t="inlineStr">
        <is>
          <t>CUST-01403</t>
        </is>
      </c>
      <c r="D1327" s="8" t="inlineStr">
        <is>
          <t>Matthew Harris</t>
        </is>
      </c>
      <c r="E1327" s="8" t="inlineStr">
        <is>
          <t>PRD-0124</t>
        </is>
      </c>
      <c r="F1327" s="8" t="inlineStr">
        <is>
          <t>1</t>
        </is>
      </c>
      <c r="G1327" s="9" t="n">
        <v>265.24</v>
      </c>
      <c r="H1327" s="8" t="inlineStr">
        <is>
          <t>0.05</t>
        </is>
      </c>
      <c r="I1327" s="8" t="inlineStr">
        <is>
          <t>Same-Day Priority</t>
        </is>
      </c>
      <c r="J1327" s="8" t="inlineStr">
        <is>
          <t>Direct Web</t>
        </is>
      </c>
      <c r="K1327" s="8" t="inlineStr">
        <is>
          <t>REG-NA</t>
        </is>
      </c>
    </row>
    <row r="1328">
      <c r="A1328" s="8" t="inlineStr">
        <is>
          <t>ORD-000654</t>
        </is>
      </c>
      <c r="B1328" s="8" t="inlineStr">
        <is>
          <t>2025-01-29</t>
        </is>
      </c>
      <c r="C1328" s="8" t="inlineStr">
        <is>
          <t>CUST-05096</t>
        </is>
      </c>
      <c r="D1328" s="8" t="inlineStr">
        <is>
          <t>Jerry Robinson</t>
        </is>
      </c>
      <c r="E1328" s="8" t="inlineStr">
        <is>
          <t>PRD-0293</t>
        </is>
      </c>
      <c r="F1328" s="8" t="inlineStr">
        <is>
          <t>2</t>
        </is>
      </c>
      <c r="G1328" s="9" t="n">
        <v>231.64</v>
      </c>
      <c r="H1328" s="8" t="inlineStr">
        <is>
          <t>0.3</t>
        </is>
      </c>
      <c r="I1328" s="8" t="inlineStr">
        <is>
          <t>Express Air</t>
        </is>
      </c>
      <c r="J1328" s="8" t="inlineStr">
        <is>
          <t>Direct Web</t>
        </is>
      </c>
      <c r="K1328" s="8" t="inlineStr">
        <is>
          <t>REG-NA</t>
        </is>
      </c>
    </row>
    <row r="1329">
      <c r="A1329" s="8" t="inlineStr">
        <is>
          <t>ORD-000655</t>
        </is>
      </c>
      <c r="B1329" s="8" t="inlineStr">
        <is>
          <t>2023-11-14</t>
        </is>
      </c>
      <c r="C1329" s="8" t="inlineStr">
        <is>
          <t>CUST-07047</t>
        </is>
      </c>
      <c r="D1329" s="8" t="inlineStr">
        <is>
          <t>Emma Flores</t>
        </is>
      </c>
      <c r="E1329" s="8" t="inlineStr">
        <is>
          <t>PRD-0206</t>
        </is>
      </c>
      <c r="F1329" s="8" t="inlineStr">
        <is>
          <t>1</t>
        </is>
      </c>
      <c r="G1329" s="9" t="n">
        <v>672.37</v>
      </c>
      <c r="H1329" s="8" t="inlineStr">
        <is>
          <t>0.05</t>
        </is>
      </c>
      <c r="I1329" s="8" t="inlineStr">
        <is>
          <t>Standard Ground</t>
        </is>
      </c>
      <c r="J1329" s="8" t="inlineStr">
        <is>
          <t>Affiliate Partner</t>
        </is>
      </c>
      <c r="K1329" s="8" t="inlineStr">
        <is>
          <t>REG-EU</t>
        </is>
      </c>
    </row>
    <row r="1330">
      <c r="A1330" s="8" t="inlineStr">
        <is>
          <t>ORD-000656</t>
        </is>
      </c>
      <c r="B1330" s="8" t="inlineStr">
        <is>
          <t>2024-12-30</t>
        </is>
      </c>
      <c r="C1330" s="8" t="inlineStr">
        <is>
          <t>CUST-04271</t>
        </is>
      </c>
      <c r="D1330" s="8" t="inlineStr">
        <is>
          <t>Kenneth Flores</t>
        </is>
      </c>
      <c r="E1330" s="8" t="inlineStr">
        <is>
          <t>PRD-0293</t>
        </is>
      </c>
      <c r="F1330" s="8" t="inlineStr">
        <is>
          <t>1</t>
        </is>
      </c>
      <c r="G1330" s="9" t="n">
        <v>231.64</v>
      </c>
      <c r="H1330" s="8" t="inlineStr">
        <is>
          <t>0.1</t>
        </is>
      </c>
      <c r="I1330" s="8" t="inlineStr">
        <is>
          <t>Standard Ground</t>
        </is>
      </c>
      <c r="J1330" s="8" t="inlineStr">
        <is>
          <t>Direct Web</t>
        </is>
      </c>
      <c r="K1330" s="8" t="inlineStr">
        <is>
          <t>REG-APAC</t>
        </is>
      </c>
    </row>
    <row r="1331">
      <c r="A1331" s="8" t="inlineStr">
        <is>
          <t>ORD-000656</t>
        </is>
      </c>
      <c r="B1331" s="8" t="inlineStr">
        <is>
          <t>2024-12-30</t>
        </is>
      </c>
      <c r="C1331" s="8" t="inlineStr">
        <is>
          <t>CUST-04271</t>
        </is>
      </c>
      <c r="D1331" s="8" t="inlineStr">
        <is>
          <t>Kenneth Flores</t>
        </is>
      </c>
      <c r="E1331" s="8" t="inlineStr">
        <is>
          <t>PRD-0005</t>
        </is>
      </c>
      <c r="F1331" s="8" t="inlineStr">
        <is>
          <t>4</t>
        </is>
      </c>
      <c r="G1331" s="9" t="n">
        <v>148.59</v>
      </c>
      <c r="H1331" s="8" t="inlineStr">
        <is>
          <t>0.0</t>
        </is>
      </c>
      <c r="I1331" s="8" t="inlineStr">
        <is>
          <t>Standard Ground</t>
        </is>
      </c>
      <c r="J1331" s="8" t="inlineStr">
        <is>
          <t>Direct Web</t>
        </is>
      </c>
      <c r="K1331" s="8" t="inlineStr">
        <is>
          <t>REG-APAC</t>
        </is>
      </c>
    </row>
    <row r="1332">
      <c r="A1332" s="8" t="inlineStr">
        <is>
          <t>ORD-000657</t>
        </is>
      </c>
      <c r="B1332" s="8" t="inlineStr">
        <is>
          <t>2023-04-20</t>
        </is>
      </c>
      <c r="C1332" s="8" t="inlineStr">
        <is>
          <t>CUST-06857</t>
        </is>
      </c>
      <c r="D1332" s="8" t="inlineStr">
        <is>
          <t>Frank Thomas</t>
        </is>
      </c>
      <c r="E1332" s="8" t="inlineStr">
        <is>
          <t>PRD-0064</t>
        </is>
      </c>
      <c r="F1332" s="8" t="inlineStr">
        <is>
          <t>1</t>
        </is>
      </c>
      <c r="G1332" s="9" t="n">
        <v>36.84</v>
      </c>
      <c r="H1332" s="8" t="inlineStr">
        <is>
          <t>0.15</t>
        </is>
      </c>
      <c r="I1332" s="8" t="inlineStr">
        <is>
          <t>Express Air</t>
        </is>
      </c>
      <c r="J1332" s="8" t="inlineStr">
        <is>
          <t>Direct Web</t>
        </is>
      </c>
      <c r="K1332" s="8" t="inlineStr">
        <is>
          <t>REG-EU</t>
        </is>
      </c>
    </row>
    <row r="1333">
      <c r="A1333" s="8" t="inlineStr">
        <is>
          <t>ORD-000657</t>
        </is>
      </c>
      <c r="B1333" s="8" t="inlineStr">
        <is>
          <t>2023-04-20</t>
        </is>
      </c>
      <c r="C1333" s="8" t="inlineStr">
        <is>
          <t>CUST-06857</t>
        </is>
      </c>
      <c r="D1333" s="8" t="inlineStr">
        <is>
          <t>Frank Thomas</t>
        </is>
      </c>
      <c r="E1333" s="8" t="inlineStr">
        <is>
          <t>PRD-0280</t>
        </is>
      </c>
      <c r="F1333" s="8" t="inlineStr">
        <is>
          <t>3</t>
        </is>
      </c>
      <c r="G1333" s="9" t="n">
        <v>408.85</v>
      </c>
      <c r="H1333" s="8" t="inlineStr">
        <is>
          <t>0.05</t>
        </is>
      </c>
      <c r="I1333" s="8" t="inlineStr">
        <is>
          <t>Express Air</t>
        </is>
      </c>
      <c r="J1333" s="8" t="inlineStr">
        <is>
          <t>Direct Web</t>
        </is>
      </c>
      <c r="K1333" s="8" t="inlineStr">
        <is>
          <t>REG-EU</t>
        </is>
      </c>
    </row>
    <row r="1334">
      <c r="A1334" s="8" t="inlineStr">
        <is>
          <t>ORD-000658</t>
        </is>
      </c>
      <c r="B1334" s="8" t="inlineStr">
        <is>
          <t>2024-04-25</t>
        </is>
      </c>
      <c r="C1334" s="8" t="inlineStr">
        <is>
          <t>CUST-02328</t>
        </is>
      </c>
      <c r="D1334" s="8" t="inlineStr">
        <is>
          <t>William Brooks</t>
        </is>
      </c>
      <c r="E1334" s="8" t="inlineStr">
        <is>
          <t>PRD-0045</t>
        </is>
      </c>
      <c r="F1334" s="8" t="inlineStr">
        <is>
          <t>1</t>
        </is>
      </c>
      <c r="G1334" s="9" t="n">
        <v>30.53</v>
      </c>
      <c r="H1334" s="8" t="inlineStr">
        <is>
          <t>0.1</t>
        </is>
      </c>
      <c r="I1334" s="8" t="inlineStr">
        <is>
          <t>Standard Ground</t>
        </is>
      </c>
      <c r="J1334" s="8" t="inlineStr">
        <is>
          <t>Direct Web</t>
        </is>
      </c>
      <c r="K1334" s="8" t="inlineStr">
        <is>
          <t>REG-LATAM</t>
        </is>
      </c>
    </row>
    <row r="1335">
      <c r="A1335" s="8" t="inlineStr">
        <is>
          <t>ORD-000658</t>
        </is>
      </c>
      <c r="B1335" s="8" t="inlineStr">
        <is>
          <t>2024-04-25</t>
        </is>
      </c>
      <c r="C1335" s="8" t="inlineStr">
        <is>
          <t>CUST-02328</t>
        </is>
      </c>
      <c r="D1335" s="8" t="inlineStr">
        <is>
          <t>William Brooks</t>
        </is>
      </c>
      <c r="E1335" s="8" t="inlineStr">
        <is>
          <t>PRD-0480</t>
        </is>
      </c>
      <c r="F1335" s="8" t="inlineStr">
        <is>
          <t>1</t>
        </is>
      </c>
      <c r="G1335" s="9" t="n">
        <v>122.63</v>
      </c>
      <c r="H1335" s="8" t="inlineStr">
        <is>
          <t>0.0</t>
        </is>
      </c>
      <c r="I1335" s="8" t="inlineStr">
        <is>
          <t>Standard Ground</t>
        </is>
      </c>
      <c r="J1335" s="8" t="inlineStr">
        <is>
          <t>Direct Web</t>
        </is>
      </c>
      <c r="K1335" s="8" t="inlineStr">
        <is>
          <t>REG-LATAM</t>
        </is>
      </c>
    </row>
    <row r="1336">
      <c r="A1336" s="8" t="inlineStr">
        <is>
          <t>ORD-000658</t>
        </is>
      </c>
      <c r="B1336" s="8" t="inlineStr">
        <is>
          <t>2024-04-25</t>
        </is>
      </c>
      <c r="C1336" s="8" t="inlineStr">
        <is>
          <t>CUST-02328</t>
        </is>
      </c>
      <c r="D1336" s="8" t="inlineStr">
        <is>
          <t>William Brooks</t>
        </is>
      </c>
      <c r="E1336" s="8" t="inlineStr">
        <is>
          <t>PRD-0490</t>
        </is>
      </c>
      <c r="F1336" s="8" t="inlineStr">
        <is>
          <t>1</t>
        </is>
      </c>
      <c r="G1336" s="9" t="n">
        <v>146.89</v>
      </c>
      <c r="H1336" s="8" t="inlineStr">
        <is>
          <t>0.0</t>
        </is>
      </c>
      <c r="I1336" s="8" t="inlineStr">
        <is>
          <t>Standard Ground</t>
        </is>
      </c>
      <c r="J1336" s="8" t="inlineStr">
        <is>
          <t>Direct Web</t>
        </is>
      </c>
      <c r="K1336" s="8" t="inlineStr">
        <is>
          <t>REG-LATAM</t>
        </is>
      </c>
    </row>
    <row r="1337">
      <c r="A1337" s="8" t="inlineStr">
        <is>
          <t>ORD-000658</t>
        </is>
      </c>
      <c r="B1337" s="8" t="inlineStr">
        <is>
          <t>2024-04-25</t>
        </is>
      </c>
      <c r="C1337" s="8" t="inlineStr">
        <is>
          <t>CUST-02328</t>
        </is>
      </c>
      <c r="D1337" s="8" t="inlineStr">
        <is>
          <t>William Brooks</t>
        </is>
      </c>
      <c r="E1337" s="8" t="inlineStr">
        <is>
          <t>PRD-0261</t>
        </is>
      </c>
      <c r="F1337" s="8" t="inlineStr">
        <is>
          <t>1</t>
        </is>
      </c>
      <c r="G1337" s="9" t="n">
        <v>568.83</v>
      </c>
      <c r="H1337" s="8" t="inlineStr">
        <is>
          <t>0.0</t>
        </is>
      </c>
      <c r="I1337" s="8" t="inlineStr">
        <is>
          <t>Standard Ground</t>
        </is>
      </c>
      <c r="J1337" s="8" t="inlineStr">
        <is>
          <t>Direct Web</t>
        </is>
      </c>
      <c r="K1337" s="8" t="inlineStr">
        <is>
          <t>REG-LATAM</t>
        </is>
      </c>
    </row>
    <row r="1338">
      <c r="A1338" s="8" t="inlineStr">
        <is>
          <t>ORD-000659</t>
        </is>
      </c>
      <c r="B1338" s="8" t="inlineStr">
        <is>
          <t>2023-12-29</t>
        </is>
      </c>
      <c r="C1338" s="8" t="inlineStr">
        <is>
          <t>CUST-04973</t>
        </is>
      </c>
      <c r="D1338" s="8" t="inlineStr">
        <is>
          <t>Ryan Moore</t>
        </is>
      </c>
      <c r="E1338" s="8" t="inlineStr">
        <is>
          <t>PRD-0280</t>
        </is>
      </c>
      <c r="F1338" s="8" t="inlineStr">
        <is>
          <t>1</t>
        </is>
      </c>
      <c r="G1338" s="9" t="n">
        <v>408.85</v>
      </c>
      <c r="H1338" s="8" t="inlineStr">
        <is>
          <t>0.0</t>
        </is>
      </c>
      <c r="I1338" s="8" t="inlineStr">
        <is>
          <t>Standard Ground</t>
        </is>
      </c>
      <c r="J1338" s="8" t="inlineStr">
        <is>
          <t>Direct Web</t>
        </is>
      </c>
      <c r="K1338" s="8" t="inlineStr">
        <is>
          <t>REG-NA</t>
        </is>
      </c>
    </row>
    <row r="1339">
      <c r="A1339" s="8" t="inlineStr">
        <is>
          <t>ORD-000659</t>
        </is>
      </c>
      <c r="B1339" s="8" t="inlineStr">
        <is>
          <t>2023-12-29</t>
        </is>
      </c>
      <c r="C1339" s="8" t="inlineStr">
        <is>
          <t>CUST-04973</t>
        </is>
      </c>
      <c r="D1339" s="8" t="inlineStr">
        <is>
          <t>Ryan Moore</t>
        </is>
      </c>
      <c r="E1339" s="8" t="inlineStr">
        <is>
          <t>PRD-0405</t>
        </is>
      </c>
      <c r="F1339" s="8" t="inlineStr">
        <is>
          <t>1</t>
        </is>
      </c>
      <c r="G1339" s="9" t="n">
        <v>29.36</v>
      </c>
      <c r="H1339" s="8" t="inlineStr">
        <is>
          <t>0.05</t>
        </is>
      </c>
      <c r="I1339" s="8" t="inlineStr">
        <is>
          <t>Standard Ground</t>
        </is>
      </c>
      <c r="J1339" s="8" t="inlineStr">
        <is>
          <t>Direct Web</t>
        </is>
      </c>
      <c r="K1339" s="8" t="inlineStr">
        <is>
          <t>REG-NA</t>
        </is>
      </c>
    </row>
    <row r="1340">
      <c r="A1340" s="8" t="inlineStr">
        <is>
          <t>ORD-000660</t>
        </is>
      </c>
      <c r="B1340" s="8" t="inlineStr">
        <is>
          <t>2025-02-07</t>
        </is>
      </c>
      <c r="C1340" s="8" t="inlineStr">
        <is>
          <t>CUST-07046</t>
        </is>
      </c>
      <c r="D1340" s="8" t="inlineStr">
        <is>
          <t>Diane Price</t>
        </is>
      </c>
      <c r="E1340" s="8" t="inlineStr">
        <is>
          <t>PRD-0057</t>
        </is>
      </c>
      <c r="F1340" s="8" t="inlineStr">
        <is>
          <t>2</t>
        </is>
      </c>
      <c r="G1340" s="9" t="n">
        <v>1083.72</v>
      </c>
      <c r="H1340" s="8" t="inlineStr">
        <is>
          <t>0.25</t>
        </is>
      </c>
      <c r="I1340" s="8" t="inlineStr">
        <is>
          <t>Standard Ground</t>
        </is>
      </c>
      <c r="J1340" s="8" t="inlineStr">
        <is>
          <t>Direct Web</t>
        </is>
      </c>
      <c r="K1340" s="8" t="inlineStr">
        <is>
          <t>REG-NA</t>
        </is>
      </c>
    </row>
    <row r="1341">
      <c r="A1341" s="8" t="inlineStr">
        <is>
          <t>ORD-000660</t>
        </is>
      </c>
      <c r="B1341" s="8" t="inlineStr">
        <is>
          <t>2025-02-07</t>
        </is>
      </c>
      <c r="C1341" s="8" t="inlineStr">
        <is>
          <t>CUST-07046</t>
        </is>
      </c>
      <c r="D1341" s="8" t="inlineStr">
        <is>
          <t>Diane Price</t>
        </is>
      </c>
      <c r="E1341" s="8" t="inlineStr">
        <is>
          <t>PRD-0239</t>
        </is>
      </c>
      <c r="F1341" s="8" t="inlineStr">
        <is>
          <t>2</t>
        </is>
      </c>
      <c r="G1341" s="9" t="n">
        <v>302.56</v>
      </c>
      <c r="H1341" s="8" t="inlineStr">
        <is>
          <t>0.0</t>
        </is>
      </c>
      <c r="I1341" s="8" t="inlineStr">
        <is>
          <t>Standard Ground</t>
        </is>
      </c>
      <c r="J1341" s="8" t="inlineStr">
        <is>
          <t>Direct Web</t>
        </is>
      </c>
      <c r="K1341" s="8" t="inlineStr">
        <is>
          <t>REG-NA</t>
        </is>
      </c>
    </row>
    <row r="1342">
      <c r="A1342" s="8" t="inlineStr">
        <is>
          <t>ORD-000660</t>
        </is>
      </c>
      <c r="B1342" s="8" t="inlineStr">
        <is>
          <t>2025-02-07</t>
        </is>
      </c>
      <c r="C1342" s="8" t="inlineStr">
        <is>
          <t>CUST-07046</t>
        </is>
      </c>
      <c r="D1342" s="8" t="inlineStr">
        <is>
          <t>Diane Price</t>
        </is>
      </c>
      <c r="E1342" s="8" t="inlineStr">
        <is>
          <t>PRD-0485</t>
        </is>
      </c>
      <c r="F1342" s="8" t="inlineStr">
        <is>
          <t>2</t>
        </is>
      </c>
      <c r="G1342" s="9" t="n">
        <v>432.36</v>
      </c>
      <c r="H1342" s="8" t="inlineStr">
        <is>
          <t>25%</t>
        </is>
      </c>
      <c r="I1342" s="8" t="inlineStr">
        <is>
          <t>Standard Ground</t>
        </is>
      </c>
      <c r="J1342" s="8" t="inlineStr">
        <is>
          <t>Direct Web</t>
        </is>
      </c>
      <c r="K1342" s="8" t="inlineStr">
        <is>
          <t>REG-NA</t>
        </is>
      </c>
    </row>
    <row r="1343">
      <c r="A1343" s="8" t="inlineStr">
        <is>
          <t>ORD-000661</t>
        </is>
      </c>
      <c r="B1343" s="8" t="inlineStr">
        <is>
          <t>2024-03-23</t>
        </is>
      </c>
      <c r="C1343" s="8" t="inlineStr">
        <is>
          <t>CUST-00843</t>
        </is>
      </c>
      <c r="D1343" s="8" t="inlineStr">
        <is>
          <t>Joseph Bennett</t>
        </is>
      </c>
      <c r="E1343" s="8" t="inlineStr">
        <is>
          <t>PRD-0111</t>
        </is>
      </c>
      <c r="F1343" s="8" t="inlineStr">
        <is>
          <t>1</t>
        </is>
      </c>
      <c r="G1343" s="9" t="n">
        <v>63.37</v>
      </c>
      <c r="H1343" s="8" t="inlineStr">
        <is>
          <t>0.0</t>
        </is>
      </c>
      <c r="I1343" s="8" t="inlineStr">
        <is>
          <t>Standard Ground</t>
        </is>
      </c>
      <c r="J1343" s="8" t="inlineStr">
        <is>
          <t>Direct Web</t>
        </is>
      </c>
      <c r="K1343" s="8" t="inlineStr">
        <is>
          <t>REG-NA</t>
        </is>
      </c>
    </row>
    <row r="1344">
      <c r="A1344" s="8" t="inlineStr">
        <is>
          <t>ORD-000662</t>
        </is>
      </c>
      <c r="B1344" s="8" t="inlineStr">
        <is>
          <t>2025-12-14</t>
        </is>
      </c>
      <c r="C1344" s="8" t="inlineStr">
        <is>
          <t>CUST-04411</t>
        </is>
      </c>
      <c r="D1344" s="8" t="inlineStr">
        <is>
          <t>Heather Campbell</t>
        </is>
      </c>
      <c r="E1344" s="8" t="inlineStr">
        <is>
          <t>PRD-0400</t>
        </is>
      </c>
      <c r="F1344" s="8" t="inlineStr">
        <is>
          <t>1</t>
        </is>
      </c>
      <c r="G1344" s="9" t="n">
        <v>409.11</v>
      </c>
      <c r="H1344" s="8" t="inlineStr">
        <is>
          <t>0.0</t>
        </is>
      </c>
      <c r="I1344" s="8" t="inlineStr">
        <is>
          <t>Standard Ground</t>
        </is>
      </c>
      <c r="J1344" s="8" t="inlineStr">
        <is>
          <t>Mobile App</t>
        </is>
      </c>
      <c r="K1344" s="8" t="inlineStr">
        <is>
          <t>REG-APAC</t>
        </is>
      </c>
    </row>
    <row r="1345">
      <c r="A1345" s="8" t="inlineStr">
        <is>
          <t>ORD-000663</t>
        </is>
      </c>
      <c r="B1345" s="8" t="inlineStr">
        <is>
          <t>2024-12-30</t>
        </is>
      </c>
      <c r="C1345" s="8" t="inlineStr">
        <is>
          <t>CUST-00618</t>
        </is>
      </c>
      <c r="D1345" s="8" t="inlineStr">
        <is>
          <t>Charles Gonzalez</t>
        </is>
      </c>
      <c r="E1345" s="8" t="inlineStr">
        <is>
          <t>PRD-0490</t>
        </is>
      </c>
      <c r="F1345" s="8" t="inlineStr">
        <is>
          <t>1</t>
        </is>
      </c>
      <c r="G1345" s="9" t="n">
        <v>146.89</v>
      </c>
      <c r="H1345" s="8" t="inlineStr">
        <is>
          <t>0.05</t>
        </is>
      </c>
      <c r="I1345" s="8" t="inlineStr">
        <is>
          <t>Standard Ground</t>
        </is>
      </c>
      <c r="J1345" s="8" t="inlineStr">
        <is>
          <t>B2B Portal</t>
        </is>
      </c>
      <c r="K1345" s="8" t="inlineStr">
        <is>
          <t>REG-APAC</t>
        </is>
      </c>
    </row>
    <row r="1346">
      <c r="A1346" s="8" t="inlineStr">
        <is>
          <t>ORD-000664</t>
        </is>
      </c>
      <c r="B1346" s="8" t="inlineStr">
        <is>
          <t>2023-12-09</t>
        </is>
      </c>
      <c r="C1346" s="8" t="inlineStr">
        <is>
          <t>CUST-03078</t>
        </is>
      </c>
      <c r="D1346" s="8" t="inlineStr">
        <is>
          <t>Amanda Watson</t>
        </is>
      </c>
      <c r="E1346" s="8" t="inlineStr">
        <is>
          <t>PRD-0223</t>
        </is>
      </c>
      <c r="F1346" s="8" t="inlineStr">
        <is>
          <t>1</t>
        </is>
      </c>
      <c r="G1346" s="9" t="n">
        <v>31.04</v>
      </c>
      <c r="H1346" s="8" t="inlineStr">
        <is>
          <t>0.1</t>
        </is>
      </c>
      <c r="I1346" s="8" t="inlineStr">
        <is>
          <t>Same-Day Priority</t>
        </is>
      </c>
      <c r="J1346" s="8" t="inlineStr">
        <is>
          <t>Mobile App</t>
        </is>
      </c>
      <c r="K1346" s="8" t="inlineStr">
        <is>
          <t>REG-APAC</t>
        </is>
      </c>
    </row>
    <row r="1347">
      <c r="A1347" s="8" t="inlineStr">
        <is>
          <t>ORD-000665</t>
        </is>
      </c>
      <c r="B1347" s="8" t="inlineStr">
        <is>
          <t>01/05/2023</t>
        </is>
      </c>
      <c r="C1347" s="8" t="inlineStr">
        <is>
          <t>CUST-00541</t>
        </is>
      </c>
      <c r="D1347" s="8" t="inlineStr">
        <is>
          <t>Nancy White</t>
        </is>
      </c>
      <c r="E1347" s="8" t="inlineStr">
        <is>
          <t>PRD-0032</t>
        </is>
      </c>
      <c r="F1347" s="8" t="inlineStr">
        <is>
          <t>3</t>
        </is>
      </c>
      <c r="G1347" s="9" t="n">
        <v>226.36</v>
      </c>
      <c r="H1347" s="8" t="inlineStr">
        <is>
          <t>0.0</t>
        </is>
      </c>
      <c r="I1347" s="8" t="inlineStr">
        <is>
          <t>Standard Ground</t>
        </is>
      </c>
      <c r="J1347" s="8" t="inlineStr">
        <is>
          <t>Mobile App</t>
        </is>
      </c>
      <c r="K1347" s="8" t="inlineStr">
        <is>
          <t>REG-NA</t>
        </is>
      </c>
    </row>
    <row r="1348">
      <c r="A1348" s="8" t="inlineStr">
        <is>
          <t>ORD-000666</t>
        </is>
      </c>
      <c r="B1348" s="8" t="inlineStr">
        <is>
          <t>2023-12-24</t>
        </is>
      </c>
      <c r="C1348" s="8" t="inlineStr">
        <is>
          <t>CUST-00026</t>
        </is>
      </c>
      <c r="D1348" s="8" t="inlineStr">
        <is>
          <t>John Richardson</t>
        </is>
      </c>
      <c r="E1348" s="8" t="inlineStr">
        <is>
          <t>PRD-0242</t>
        </is>
      </c>
      <c r="F1348" s="8" t="inlineStr">
        <is>
          <t>1</t>
        </is>
      </c>
      <c r="G1348" s="9" t="n">
        <v>745.0599999999999</v>
      </c>
      <c r="H1348" s="8" t="inlineStr">
        <is>
          <t>0.25</t>
        </is>
      </c>
      <c r="I1348" s="8" t="inlineStr">
        <is>
          <t>Standard Ground</t>
        </is>
      </c>
      <c r="J1348" s="8" t="inlineStr">
        <is>
          <t>Mobile App</t>
        </is>
      </c>
      <c r="K1348" s="8" t="inlineStr">
        <is>
          <t>REG-EU</t>
        </is>
      </c>
    </row>
    <row r="1349">
      <c r="A1349" s="8" t="inlineStr">
        <is>
          <t>ORD-000667</t>
        </is>
      </c>
      <c r="B1349" s="8" t="inlineStr">
        <is>
          <t>2024-07-13</t>
        </is>
      </c>
      <c r="C1349" s="8" t="inlineStr">
        <is>
          <t>CUST-07249</t>
        </is>
      </c>
      <c r="D1349" s="8" t="inlineStr">
        <is>
          <t>William Cruz</t>
        </is>
      </c>
      <c r="E1349" s="8" t="inlineStr">
        <is>
          <t>PRD-0097</t>
        </is>
      </c>
      <c r="F1349" s="8" t="inlineStr">
        <is>
          <t>2</t>
        </is>
      </c>
      <c r="G1349" s="9" t="n">
        <v>216.71</v>
      </c>
      <c r="H1349" s="8" t="inlineStr">
        <is>
          <t>0.1</t>
        </is>
      </c>
      <c r="I1349" s="8" t="inlineStr">
        <is>
          <t>Express Air</t>
        </is>
      </c>
      <c r="J1349" s="8" t="inlineStr">
        <is>
          <t>Mobile App</t>
        </is>
      </c>
      <c r="K1349" s="8" t="inlineStr">
        <is>
          <t>REG-NA</t>
        </is>
      </c>
    </row>
    <row r="1350">
      <c r="A1350" s="8" t="inlineStr">
        <is>
          <t>ORD-000668</t>
        </is>
      </c>
      <c r="B1350" s="8" t="inlineStr">
        <is>
          <t>2023-01-21</t>
        </is>
      </c>
      <c r="C1350" s="8" t="inlineStr">
        <is>
          <t>CUST-06964</t>
        </is>
      </c>
      <c r="D1350" s="8" t="inlineStr">
        <is>
          <t>Christopher Phillips</t>
        </is>
      </c>
      <c r="E1350" s="8" t="inlineStr">
        <is>
          <t>PRD-0296</t>
        </is>
      </c>
      <c r="F1350" s="8" t="inlineStr">
        <is>
          <t>3</t>
        </is>
      </c>
      <c r="G1350" s="9" t="n">
        <v>52.93</v>
      </c>
      <c r="H1350" s="8" t="inlineStr">
        <is>
          <t>0.2</t>
        </is>
      </c>
      <c r="I1350" s="8" t="inlineStr">
        <is>
          <t>Same-Day Priority</t>
        </is>
      </c>
      <c r="J1350" s="8" t="inlineStr">
        <is>
          <t>Direct Web</t>
        </is>
      </c>
      <c r="K1350" s="8" t="inlineStr">
        <is>
          <t>REG-NA</t>
        </is>
      </c>
    </row>
    <row r="1351">
      <c r="A1351" s="8" t="inlineStr">
        <is>
          <t>ORD-000669</t>
        </is>
      </c>
      <c r="B1351" s="8" t="inlineStr">
        <is>
          <t>05/15/2024</t>
        </is>
      </c>
      <c r="C1351" s="8" t="inlineStr">
        <is>
          <t>CUST-07831</t>
        </is>
      </c>
      <c r="D1351" s="8" t="inlineStr">
        <is>
          <t>Stephen Green</t>
        </is>
      </c>
      <c r="E1351" s="8" t="inlineStr">
        <is>
          <t>PRD-0014</t>
        </is>
      </c>
      <c r="F1351" s="8" t="inlineStr">
        <is>
          <t>1</t>
        </is>
      </c>
      <c r="G1351" s="9" t="n">
        <v>958.87</v>
      </c>
      <c r="H1351" s="8" t="inlineStr">
        <is>
          <t>0.0</t>
        </is>
      </c>
      <c r="I1351" s="8" t="inlineStr">
        <is>
          <t>Standard Ground</t>
        </is>
      </c>
      <c r="J1351" s="8" t="inlineStr">
        <is>
          <t>Mobile App</t>
        </is>
      </c>
      <c r="K1351" s="8" t="inlineStr">
        <is>
          <t>REG-APAC</t>
        </is>
      </c>
    </row>
    <row r="1352">
      <c r="A1352" s="8" t="inlineStr">
        <is>
          <t>ORD-000670</t>
        </is>
      </c>
      <c r="B1352" s="8" t="inlineStr">
        <is>
          <t>2025-01-23</t>
        </is>
      </c>
      <c r="C1352" s="8" t="inlineStr">
        <is>
          <t>CUST-06221</t>
        </is>
      </c>
      <c r="D1352" s="8" t="inlineStr">
        <is>
          <t>Sarah Richardson</t>
        </is>
      </c>
      <c r="E1352" s="8" t="inlineStr">
        <is>
          <t>PRD-0155</t>
        </is>
      </c>
      <c r="F1352" s="8" t="inlineStr">
        <is>
          <t>2</t>
        </is>
      </c>
      <c r="G1352" s="9" t="n">
        <v>472.85</v>
      </c>
      <c r="H1352" s="8" t="inlineStr">
        <is>
          <t>0.0</t>
        </is>
      </c>
      <c r="I1352" s="8" t="inlineStr">
        <is>
          <t>Standard Ground</t>
        </is>
      </c>
      <c r="J1352" s="8" t="inlineStr">
        <is>
          <t>Affiliate Partner</t>
        </is>
      </c>
      <c r="K1352" s="8" t="inlineStr">
        <is>
          <t>REG-NA</t>
        </is>
      </c>
    </row>
    <row r="1353">
      <c r="A1353" s="8" t="inlineStr">
        <is>
          <t>ORD-000671</t>
        </is>
      </c>
      <c r="B1353" s="8" t="inlineStr">
        <is>
          <t>08/27/2023</t>
        </is>
      </c>
      <c r="C1353" s="8" t="inlineStr">
        <is>
          <t>CUST-01268</t>
        </is>
      </c>
      <c r="D1353" s="8" t="inlineStr">
        <is>
          <t>Michelle Bailey</t>
        </is>
      </c>
      <c r="E1353" s="8" t="inlineStr">
        <is>
          <t>PRD-0029</t>
        </is>
      </c>
      <c r="F1353" s="8" t="inlineStr">
        <is>
          <t>1</t>
        </is>
      </c>
      <c r="G1353" s="9" t="n">
        <v>9.4</v>
      </c>
      <c r="H1353" s="8" t="inlineStr">
        <is>
          <t>0.0</t>
        </is>
      </c>
      <c r="I1353" s="8" t="inlineStr">
        <is>
          <t>Express Air</t>
        </is>
      </c>
      <c r="J1353" s="8" t="inlineStr">
        <is>
          <t>Direct Web</t>
        </is>
      </c>
      <c r="K1353" s="8" t="inlineStr">
        <is>
          <t>REG-EU</t>
        </is>
      </c>
    </row>
    <row r="1354">
      <c r="A1354" s="8" t="inlineStr">
        <is>
          <t>ORD-000672</t>
        </is>
      </c>
      <c r="B1354" s="8" t="inlineStr">
        <is>
          <t>2024-12-05</t>
        </is>
      </c>
      <c r="C1354" s="8" t="inlineStr">
        <is>
          <t>CUST-06946</t>
        </is>
      </c>
      <c r="D1354" s="8" t="inlineStr">
        <is>
          <t xml:space="preserve">  kevin adams  </t>
        </is>
      </c>
      <c r="E1354" s="8" t="inlineStr">
        <is>
          <t>PRD-0455</t>
        </is>
      </c>
      <c r="F1354" s="8" t="inlineStr">
        <is>
          <t>1</t>
        </is>
      </c>
      <c r="G1354" s="9" t="n">
        <v>63.62</v>
      </c>
      <c r="H1354" s="8" t="inlineStr">
        <is>
          <t>0.1</t>
        </is>
      </c>
      <c r="I1354" s="8" t="inlineStr">
        <is>
          <t>Express Air</t>
        </is>
      </c>
      <c r="J1354" s="8" t="inlineStr">
        <is>
          <t>Direct Web</t>
        </is>
      </c>
      <c r="K1354" s="8" t="inlineStr">
        <is>
          <t>REG-EU</t>
        </is>
      </c>
    </row>
    <row r="1355">
      <c r="A1355" s="8" t="inlineStr">
        <is>
          <t>ORD-000673</t>
        </is>
      </c>
      <c r="B1355" s="8" t="inlineStr">
        <is>
          <t>2024-12-10</t>
        </is>
      </c>
      <c r="C1355" s="8" t="inlineStr">
        <is>
          <t>CUST-02996</t>
        </is>
      </c>
      <c r="D1355" s="8" t="inlineStr">
        <is>
          <t>Dennis Wood</t>
        </is>
      </c>
      <c r="E1355" s="8" t="inlineStr">
        <is>
          <t>PRD-0268</t>
        </is>
      </c>
      <c r="F1355" s="8" t="inlineStr">
        <is>
          <t>1</t>
        </is>
      </c>
      <c r="G1355" s="9" t="n">
        <v>69.90000000000001</v>
      </c>
      <c r="H1355" s="8" t="inlineStr">
        <is>
          <t>0.15</t>
        </is>
      </c>
      <c r="I1355" s="8" t="inlineStr">
        <is>
          <t>Standard Ground</t>
        </is>
      </c>
      <c r="J1355" s="8" t="inlineStr">
        <is>
          <t>Direct Web</t>
        </is>
      </c>
      <c r="K1355" s="8" t="inlineStr">
        <is>
          <t>REG-NA</t>
        </is>
      </c>
    </row>
    <row r="1356">
      <c r="A1356" s="8" t="inlineStr">
        <is>
          <t>ORD-000674</t>
        </is>
      </c>
      <c r="B1356" s="8" t="inlineStr">
        <is>
          <t>2024-11-05</t>
        </is>
      </c>
      <c r="C1356" s="8" t="inlineStr">
        <is>
          <t>CUST-06141</t>
        </is>
      </c>
      <c r="D1356" s="8" t="inlineStr">
        <is>
          <t>Michelle Allen</t>
        </is>
      </c>
      <c r="E1356" s="8" t="inlineStr">
        <is>
          <t>PRD-0296</t>
        </is>
      </c>
      <c r="F1356" s="8" t="inlineStr">
        <is>
          <t>-1</t>
        </is>
      </c>
      <c r="G1356" s="9" t="n">
        <v>52.93</v>
      </c>
      <c r="H1356" s="8" t="inlineStr">
        <is>
          <t>0.0</t>
        </is>
      </c>
      <c r="I1356" s="8" t="inlineStr">
        <is>
          <t>Standard Ground</t>
        </is>
      </c>
      <c r="J1356" s="8" t="inlineStr">
        <is>
          <t>B2B Portal</t>
        </is>
      </c>
      <c r="K1356" s="8" t="inlineStr">
        <is>
          <t>REG-NA</t>
        </is>
      </c>
    </row>
    <row r="1357">
      <c r="A1357" s="8" t="inlineStr">
        <is>
          <t>ORD-000674</t>
        </is>
      </c>
      <c r="B1357" s="8" t="inlineStr">
        <is>
          <t>2024-11-05</t>
        </is>
      </c>
      <c r="C1357" s="8" t="inlineStr">
        <is>
          <t>CUST-06141</t>
        </is>
      </c>
      <c r="D1357" s="8" t="inlineStr">
        <is>
          <t>Michelle Allen</t>
        </is>
      </c>
      <c r="E1357" s="8" t="inlineStr">
        <is>
          <t>PRD-0488</t>
        </is>
      </c>
      <c r="F1357" s="8" t="inlineStr">
        <is>
          <t>1</t>
        </is>
      </c>
      <c r="G1357" s="9" t="n">
        <v>54.77</v>
      </c>
      <c r="H1357" s="8" t="inlineStr">
        <is>
          <t>0.0</t>
        </is>
      </c>
      <c r="I1357" s="8" t="inlineStr">
        <is>
          <t>Standard Ground</t>
        </is>
      </c>
      <c r="J1357" s="8" t="inlineStr">
        <is>
          <t>B2B Portal</t>
        </is>
      </c>
      <c r="K1357" s="8" t="inlineStr">
        <is>
          <t>REG-NA</t>
        </is>
      </c>
    </row>
    <row r="1358">
      <c r="A1358" s="8" t="inlineStr">
        <is>
          <t>ORD-000675</t>
        </is>
      </c>
      <c r="B1358" s="8" t="inlineStr">
        <is>
          <t>2024-05-19</t>
        </is>
      </c>
      <c r="C1358" s="8" t="inlineStr">
        <is>
          <t>CUST-05288</t>
        </is>
      </c>
      <c r="D1358" s="8" t="inlineStr">
        <is>
          <t>Mary Long</t>
        </is>
      </c>
      <c r="E1358" s="8" t="inlineStr">
        <is>
          <t>PRD-0128</t>
        </is>
      </c>
      <c r="F1358" s="8" t="inlineStr">
        <is>
          <t>1</t>
        </is>
      </c>
      <c r="G1358" s="9" t="n">
        <v>570.3200000000001</v>
      </c>
      <c r="H1358" s="8" t="inlineStr">
        <is>
          <t>0.05</t>
        </is>
      </c>
      <c r="I1358" s="8" t="inlineStr">
        <is>
          <t>Standard Ground</t>
        </is>
      </c>
      <c r="J1358" s="8" t="inlineStr">
        <is>
          <t>Direct Web</t>
        </is>
      </c>
      <c r="K1358" s="8" t="inlineStr">
        <is>
          <t>REG-NA</t>
        </is>
      </c>
    </row>
    <row r="1359">
      <c r="A1359" s="8" t="inlineStr">
        <is>
          <t>ORD-000675</t>
        </is>
      </c>
      <c r="B1359" s="8" t="inlineStr">
        <is>
          <t>2024-05-19</t>
        </is>
      </c>
      <c r="C1359" s="8" t="inlineStr">
        <is>
          <t>CUST-05288</t>
        </is>
      </c>
      <c r="D1359" s="8" t="inlineStr">
        <is>
          <t>Mary Long</t>
        </is>
      </c>
      <c r="E1359" s="8" t="inlineStr">
        <is>
          <t>PRD-0046</t>
        </is>
      </c>
      <c r="F1359" s="8" t="inlineStr">
        <is>
          <t>1</t>
        </is>
      </c>
      <c r="G1359" s="9" t="n">
        <v>692.9</v>
      </c>
      <c r="H1359" s="8" t="inlineStr">
        <is>
          <t>0.05</t>
        </is>
      </c>
      <c r="I1359" s="8" t="inlineStr">
        <is>
          <t>Standard Ground</t>
        </is>
      </c>
      <c r="J1359" s="8" t="inlineStr">
        <is>
          <t>Direct Web</t>
        </is>
      </c>
      <c r="K1359" s="8" t="inlineStr">
        <is>
          <t>REG-NA</t>
        </is>
      </c>
    </row>
    <row r="1360">
      <c r="A1360" s="8" t="inlineStr">
        <is>
          <t>ORD-000676</t>
        </is>
      </c>
      <c r="B1360" s="8" t="inlineStr">
        <is>
          <t>2024-05-27</t>
        </is>
      </c>
      <c r="C1360" s="8" t="inlineStr">
        <is>
          <t>CUST-06344</t>
        </is>
      </c>
      <c r="D1360" s="8" t="inlineStr">
        <is>
          <t>Timothy Lewis</t>
        </is>
      </c>
      <c r="E1360" s="8" t="inlineStr">
        <is>
          <t>PRD-0036</t>
        </is>
      </c>
      <c r="F1360" s="8" t="inlineStr">
        <is>
          <t>1</t>
        </is>
      </c>
      <c r="G1360" s="9" t="n">
        <v>574.88</v>
      </c>
      <c r="H1360" s="8" t="inlineStr">
        <is>
          <t>0.1</t>
        </is>
      </c>
      <c r="I1360" s="8" t="inlineStr">
        <is>
          <t>Express Air</t>
        </is>
      </c>
      <c r="J1360" s="8" t="inlineStr">
        <is>
          <t>Direct Web</t>
        </is>
      </c>
      <c r="K1360" s="8" t="inlineStr">
        <is>
          <t>REG-EU</t>
        </is>
      </c>
    </row>
    <row r="1361">
      <c r="A1361" s="8" t="inlineStr">
        <is>
          <t>ORD-000676</t>
        </is>
      </c>
      <c r="B1361" s="8" t="inlineStr">
        <is>
          <t>2024-05-27</t>
        </is>
      </c>
      <c r="C1361" s="8" t="inlineStr">
        <is>
          <t>CUST-06344</t>
        </is>
      </c>
      <c r="D1361" s="8" t="inlineStr">
        <is>
          <t>Timothy Lewis</t>
        </is>
      </c>
      <c r="E1361" s="8" t="inlineStr">
        <is>
          <t>PRD-0034</t>
        </is>
      </c>
      <c r="F1361" s="8" t="inlineStr">
        <is>
          <t>3</t>
        </is>
      </c>
      <c r="G1361" s="9" t="n">
        <v>52.58</v>
      </c>
      <c r="H1361" s="8" t="inlineStr">
        <is>
          <t>0.05</t>
        </is>
      </c>
      <c r="I1361" s="8" t="inlineStr">
        <is>
          <t>Express Air</t>
        </is>
      </c>
      <c r="J1361" s="8" t="inlineStr">
        <is>
          <t>Direct Web</t>
        </is>
      </c>
      <c r="K1361" s="8" t="inlineStr">
        <is>
          <t>REG-EU</t>
        </is>
      </c>
    </row>
    <row r="1362">
      <c r="A1362" s="8" t="inlineStr">
        <is>
          <t>ORD-000677</t>
        </is>
      </c>
      <c r="B1362" s="8" t="inlineStr">
        <is>
          <t>2025-09-03</t>
        </is>
      </c>
      <c r="C1362" s="8" t="inlineStr">
        <is>
          <t>CUST-06912</t>
        </is>
      </c>
      <c r="D1362" s="8" t="inlineStr">
        <is>
          <t>Nicole Roberts</t>
        </is>
      </c>
      <c r="E1362" s="8" t="inlineStr">
        <is>
          <t>PRD-0048</t>
        </is>
      </c>
      <c r="F1362" s="8" t="inlineStr">
        <is>
          <t>1</t>
        </is>
      </c>
      <c r="G1362" s="9" t="n">
        <v>39</v>
      </c>
      <c r="H1362" s="8" t="inlineStr">
        <is>
          <t>0.1</t>
        </is>
      </c>
      <c r="I1362" s="8" t="inlineStr">
        <is>
          <t>Same-Day Priority</t>
        </is>
      </c>
      <c r="J1362" s="8" t="inlineStr">
        <is>
          <t>Affiliate Partner</t>
        </is>
      </c>
      <c r="K1362" s="8" t="inlineStr">
        <is>
          <t>REG-NA</t>
        </is>
      </c>
    </row>
    <row r="1363">
      <c r="A1363" s="8" t="inlineStr">
        <is>
          <t>ORD-000677</t>
        </is>
      </c>
      <c r="B1363" s="8" t="inlineStr">
        <is>
          <t>2025-09-03</t>
        </is>
      </c>
      <c r="C1363" s="8" t="inlineStr">
        <is>
          <t>CUST-06912</t>
        </is>
      </c>
      <c r="D1363" s="8" t="inlineStr">
        <is>
          <t>Nicole Roberts</t>
        </is>
      </c>
      <c r="E1363" s="8" t="inlineStr">
        <is>
          <t>PRD-0101</t>
        </is>
      </c>
      <c r="F1363" s="8" t="inlineStr">
        <is>
          <t>2</t>
        </is>
      </c>
      <c r="G1363" s="9" t="n">
        <v>1004.41</v>
      </c>
      <c r="H1363" s="8" t="inlineStr">
        <is>
          <t>0.0</t>
        </is>
      </c>
      <c r="I1363" s="8" t="inlineStr">
        <is>
          <t>Same-Day Priority</t>
        </is>
      </c>
      <c r="J1363" s="8" t="inlineStr">
        <is>
          <t>Affiliate Partner</t>
        </is>
      </c>
      <c r="K1363" s="8" t="inlineStr">
        <is>
          <t>REG-NA</t>
        </is>
      </c>
    </row>
    <row r="1364">
      <c r="A1364" s="8" t="inlineStr">
        <is>
          <t>ORD-000677</t>
        </is>
      </c>
      <c r="B1364" s="8" t="inlineStr">
        <is>
          <t>2025-09-03</t>
        </is>
      </c>
      <c r="C1364" s="8" t="inlineStr">
        <is>
          <t>CUST-06912</t>
        </is>
      </c>
      <c r="D1364" s="8" t="inlineStr">
        <is>
          <t>Nicole Roberts</t>
        </is>
      </c>
      <c r="E1364" s="8" t="inlineStr">
        <is>
          <t>PRD-0278</t>
        </is>
      </c>
      <c r="F1364" s="8" t="inlineStr">
        <is>
          <t>1</t>
        </is>
      </c>
      <c r="G1364" s="9" t="n">
        <v>1176.56</v>
      </c>
      <c r="H1364" s="8" t="inlineStr">
        <is>
          <t>0.05</t>
        </is>
      </c>
      <c r="I1364" s="8" t="inlineStr">
        <is>
          <t>Same-Day Priority</t>
        </is>
      </c>
      <c r="J1364" s="8" t="inlineStr">
        <is>
          <t>Affiliate Partner</t>
        </is>
      </c>
      <c r="K1364" s="8" t="inlineStr">
        <is>
          <t>REG-NA</t>
        </is>
      </c>
    </row>
    <row r="1365">
      <c r="A1365" s="8" t="inlineStr">
        <is>
          <t>ORD-000677</t>
        </is>
      </c>
      <c r="B1365" s="8" t="inlineStr">
        <is>
          <t>2025-09-03</t>
        </is>
      </c>
      <c r="C1365" s="8" t="inlineStr">
        <is>
          <t>CUST-06912</t>
        </is>
      </c>
      <c r="D1365" s="8" t="inlineStr">
        <is>
          <t>Nicole Roberts</t>
        </is>
      </c>
      <c r="E1365" s="8" t="inlineStr">
        <is>
          <t>PRD-0489</t>
        </is>
      </c>
      <c r="F1365" s="8" t="inlineStr">
        <is>
          <t>3</t>
        </is>
      </c>
      <c r="G1365" s="9" t="n">
        <v>61.45</v>
      </c>
      <c r="H1365" s="8" t="inlineStr">
        <is>
          <t>0.1</t>
        </is>
      </c>
      <c r="I1365" s="8" t="inlineStr">
        <is>
          <t>Same-Day Priority</t>
        </is>
      </c>
      <c r="J1365" s="8" t="inlineStr">
        <is>
          <t>Affiliate Partner</t>
        </is>
      </c>
      <c r="K1365" s="8" t="inlineStr">
        <is>
          <t>REG-NA</t>
        </is>
      </c>
    </row>
    <row r="1366">
      <c r="A1366" s="8" t="inlineStr">
        <is>
          <t>ORD-000677</t>
        </is>
      </c>
      <c r="B1366" s="8" t="inlineStr">
        <is>
          <t>2025-09-03</t>
        </is>
      </c>
      <c r="C1366" s="8" t="inlineStr">
        <is>
          <t>CUST-06912</t>
        </is>
      </c>
      <c r="D1366" s="8" t="inlineStr">
        <is>
          <t>Nicole Roberts</t>
        </is>
      </c>
      <c r="E1366" s="8" t="inlineStr">
        <is>
          <t>PRD-0188</t>
        </is>
      </c>
      <c r="F1366" s="8" t="inlineStr">
        <is>
          <t>1</t>
        </is>
      </c>
      <c r="G1366" s="9" t="n">
        <v>946.83</v>
      </c>
      <c r="H1366" s="8" t="inlineStr">
        <is>
          <t>0.0</t>
        </is>
      </c>
      <c r="I1366" s="8" t="inlineStr">
        <is>
          <t>Same-Day Priority</t>
        </is>
      </c>
      <c r="J1366" s="8" t="inlineStr">
        <is>
          <t>Affiliate Partner</t>
        </is>
      </c>
      <c r="K1366" s="8" t="inlineStr">
        <is>
          <t>REG-NA</t>
        </is>
      </c>
    </row>
    <row r="1367">
      <c r="A1367" s="8" t="inlineStr">
        <is>
          <t>ORD-000678</t>
        </is>
      </c>
      <c r="B1367" s="8" t="inlineStr">
        <is>
          <t>2024-04-06</t>
        </is>
      </c>
      <c r="C1367" s="8" t="inlineStr">
        <is>
          <t>CUST-00391</t>
        </is>
      </c>
      <c r="D1367" s="8" t="inlineStr">
        <is>
          <t>Barbara Ruiz</t>
        </is>
      </c>
      <c r="E1367" s="8" t="inlineStr">
        <is>
          <t>PRD-0118</t>
        </is>
      </c>
      <c r="F1367" s="8" t="inlineStr">
        <is>
          <t>1</t>
        </is>
      </c>
      <c r="G1367" s="9" t="n">
        <v>513.16</v>
      </c>
      <c r="H1367" s="8" t="inlineStr">
        <is>
          <t>0.2</t>
        </is>
      </c>
      <c r="I1367" s="8" t="inlineStr">
        <is>
          <t>Standard Ground</t>
        </is>
      </c>
      <c r="J1367" s="8" t="inlineStr">
        <is>
          <t>Direct Web</t>
        </is>
      </c>
      <c r="K1367" s="8" t="inlineStr">
        <is>
          <t>REG-LATAM</t>
        </is>
      </c>
    </row>
    <row r="1368">
      <c r="A1368" s="8" t="inlineStr">
        <is>
          <t>ORD-000678</t>
        </is>
      </c>
      <c r="B1368" s="8" t="inlineStr">
        <is>
          <t>2024-04-06</t>
        </is>
      </c>
      <c r="C1368" s="8" t="inlineStr">
        <is>
          <t>CUST-00391</t>
        </is>
      </c>
      <c r="D1368" s="8" t="inlineStr">
        <is>
          <t>Barbara Ruiz</t>
        </is>
      </c>
      <c r="E1368" s="8" t="inlineStr">
        <is>
          <t>PRD-0322</t>
        </is>
      </c>
      <c r="F1368" s="8" t="inlineStr">
        <is>
          <t>5</t>
        </is>
      </c>
      <c r="G1368" s="9" t="n">
        <v>1239.4</v>
      </c>
      <c r="H1368" s="8" t="inlineStr">
        <is>
          <t>0.0</t>
        </is>
      </c>
      <c r="I1368" s="8" t="inlineStr">
        <is>
          <t>Standard Ground</t>
        </is>
      </c>
      <c r="J1368" s="8" t="inlineStr">
        <is>
          <t>Direct Web</t>
        </is>
      </c>
      <c r="K1368" s="8" t="inlineStr">
        <is>
          <t>REG-LATAM</t>
        </is>
      </c>
    </row>
    <row r="1369">
      <c r="A1369" s="8" t="inlineStr">
        <is>
          <t>ORD-000678</t>
        </is>
      </c>
      <c r="B1369" s="8" t="inlineStr">
        <is>
          <t>2024-04-06</t>
        </is>
      </c>
      <c r="C1369" s="8" t="inlineStr">
        <is>
          <t>CUST-00391</t>
        </is>
      </c>
      <c r="D1369" s="8" t="inlineStr">
        <is>
          <t>Barbara Ruiz</t>
        </is>
      </c>
      <c r="E1369" s="8" t="inlineStr">
        <is>
          <t>PRD-0392</t>
        </is>
      </c>
      <c r="F1369" s="8" t="inlineStr">
        <is>
          <t>1</t>
        </is>
      </c>
      <c r="G1369" s="9" t="n">
        <v>252.58</v>
      </c>
      <c r="H1369" s="8" t="inlineStr">
        <is>
          <t>0.0</t>
        </is>
      </c>
      <c r="I1369" s="8" t="inlineStr">
        <is>
          <t>Standard Ground</t>
        </is>
      </c>
      <c r="J1369" s="8" t="inlineStr">
        <is>
          <t>Direct Web</t>
        </is>
      </c>
      <c r="K1369" s="8" t="inlineStr">
        <is>
          <t>REG-LATAM</t>
        </is>
      </c>
    </row>
    <row r="1370">
      <c r="A1370" s="8" t="inlineStr">
        <is>
          <t>ORD-000678</t>
        </is>
      </c>
      <c r="B1370" s="8" t="inlineStr">
        <is>
          <t>2024-04-06</t>
        </is>
      </c>
      <c r="C1370" s="8" t="inlineStr">
        <is>
          <t>CUST-00391</t>
        </is>
      </c>
      <c r="D1370" s="8" t="inlineStr">
        <is>
          <t>Barbara Ruiz</t>
        </is>
      </c>
      <c r="E1370" s="8" t="inlineStr">
        <is>
          <t>PRD-0091</t>
        </is>
      </c>
      <c r="F1370" s="8" t="inlineStr">
        <is>
          <t>1</t>
        </is>
      </c>
      <c r="G1370" s="9" t="n">
        <v>57.04</v>
      </c>
      <c r="H1370" s="8" t="inlineStr">
        <is>
          <t>0.05</t>
        </is>
      </c>
      <c r="I1370" s="8" t="inlineStr">
        <is>
          <t>Standard Ground</t>
        </is>
      </c>
      <c r="J1370" s="8" t="inlineStr">
        <is>
          <t>Direct Web</t>
        </is>
      </c>
      <c r="K1370" s="8" t="inlineStr">
        <is>
          <t>REG-LATAM</t>
        </is>
      </c>
    </row>
    <row r="1371">
      <c r="A1371" s="8" t="inlineStr">
        <is>
          <t>ORD-000679</t>
        </is>
      </c>
      <c r="B1371" s="8" t="inlineStr">
        <is>
          <t>01/26/2025</t>
        </is>
      </c>
      <c r="C1371" s="8" t="inlineStr">
        <is>
          <t>CUST-05789</t>
        </is>
      </c>
      <c r="D1371" s="8" t="inlineStr">
        <is>
          <t>Jeffrey Torres</t>
        </is>
      </c>
      <c r="E1371" s="8" t="inlineStr">
        <is>
          <t>PRD-0315</t>
        </is>
      </c>
      <c r="F1371" s="8" t="inlineStr">
        <is>
          <t>1</t>
        </is>
      </c>
      <c r="G1371" s="9" t="n">
        <v>916</v>
      </c>
      <c r="H1371" s="8" t="inlineStr">
        <is>
          <t>0.05</t>
        </is>
      </c>
      <c r="I1371" s="8" t="inlineStr">
        <is>
          <t>Standard Ground</t>
        </is>
      </c>
      <c r="J1371" s="8" t="inlineStr">
        <is>
          <t>Mobile App</t>
        </is>
      </c>
      <c r="K1371" s="8" t="inlineStr">
        <is>
          <t>REG-EU</t>
        </is>
      </c>
    </row>
    <row r="1372">
      <c r="A1372" s="8" t="inlineStr">
        <is>
          <t>ORD-000680</t>
        </is>
      </c>
      <c r="B1372" s="8" t="inlineStr">
        <is>
          <t>2023-03-21</t>
        </is>
      </c>
      <c r="C1372" s="8" t="inlineStr">
        <is>
          <t>CUST-06614</t>
        </is>
      </c>
      <c r="D1372" s="8" t="inlineStr">
        <is>
          <t>Raymond Cruz</t>
        </is>
      </c>
      <c r="E1372" s="8" t="inlineStr">
        <is>
          <t>PRD-0200</t>
        </is>
      </c>
      <c r="F1372" s="8" t="inlineStr">
        <is>
          <t>2</t>
        </is>
      </c>
      <c r="G1372" s="9" t="n">
        <v>977</v>
      </c>
      <c r="H1372" s="8" t="inlineStr">
        <is>
          <t>0.0</t>
        </is>
      </c>
      <c r="I1372" s="8" t="inlineStr">
        <is>
          <t>Standard Ground</t>
        </is>
      </c>
      <c r="J1372" s="8" t="inlineStr">
        <is>
          <t>Mobile App</t>
        </is>
      </c>
      <c r="K1372" s="8" t="inlineStr">
        <is>
          <t>REG-NA</t>
        </is>
      </c>
    </row>
    <row r="1373">
      <c r="A1373" s="8" t="inlineStr">
        <is>
          <t>ORD-000680</t>
        </is>
      </c>
      <c r="B1373" s="8" t="inlineStr">
        <is>
          <t>2023-03-21</t>
        </is>
      </c>
      <c r="C1373" s="8" t="inlineStr">
        <is>
          <t>CUST-06614</t>
        </is>
      </c>
      <c r="D1373" s="8" t="inlineStr">
        <is>
          <t>Raymond Cruz</t>
        </is>
      </c>
      <c r="E1373" s="8" t="inlineStr">
        <is>
          <t>PRD-0468</t>
        </is>
      </c>
      <c r="F1373" s="8" t="inlineStr">
        <is>
          <t>2</t>
        </is>
      </c>
      <c r="G1373" s="9" t="n">
        <v>226.88</v>
      </c>
      <c r="H1373" s="8" t="inlineStr">
        <is>
          <t>0.05</t>
        </is>
      </c>
      <c r="I1373" s="8" t="inlineStr">
        <is>
          <t>Standard Ground</t>
        </is>
      </c>
      <c r="J1373" s="8" t="inlineStr">
        <is>
          <t>Mobile App</t>
        </is>
      </c>
      <c r="K1373" s="8" t="inlineStr">
        <is>
          <t>REG-NA</t>
        </is>
      </c>
    </row>
    <row r="1374">
      <c r="A1374" s="8" t="inlineStr">
        <is>
          <t>ORD-000681</t>
        </is>
      </c>
      <c r="B1374" s="8" t="inlineStr">
        <is>
          <t>2025-07-15</t>
        </is>
      </c>
      <c r="C1374" s="8" t="inlineStr">
        <is>
          <t>CUST-05344</t>
        </is>
      </c>
      <c r="D1374" s="8" t="inlineStr">
        <is>
          <t>Aaron Rivera</t>
        </is>
      </c>
      <c r="E1374" s="8" t="inlineStr">
        <is>
          <t>PRD-0109</t>
        </is>
      </c>
      <c r="F1374" s="8" t="inlineStr">
        <is>
          <t>4</t>
        </is>
      </c>
      <c r="G1374" s="9" t="n">
        <v>53.86</v>
      </c>
      <c r="H1374" s="8" t="inlineStr">
        <is>
          <t>0.25</t>
        </is>
      </c>
      <c r="I1374" s="8" t="inlineStr">
        <is>
          <t>Express Air</t>
        </is>
      </c>
      <c r="J1374" s="8" t="inlineStr">
        <is>
          <t>Direct Web</t>
        </is>
      </c>
      <c r="K1374" s="8" t="inlineStr">
        <is>
          <t>REG-EU</t>
        </is>
      </c>
    </row>
    <row r="1375">
      <c r="A1375" s="8" t="inlineStr">
        <is>
          <t>ORD-000682</t>
        </is>
      </c>
      <c r="B1375" s="8" t="inlineStr">
        <is>
          <t>2025-08-29</t>
        </is>
      </c>
      <c r="C1375" s="8" t="inlineStr">
        <is>
          <t>CUST-06310</t>
        </is>
      </c>
      <c r="D1375" s="8" t="inlineStr">
        <is>
          <t>Jennifer Sanchez</t>
        </is>
      </c>
      <c r="E1375" s="8" t="inlineStr">
        <is>
          <t>PRD-0356</t>
        </is>
      </c>
      <c r="F1375" s="8" t="inlineStr">
        <is>
          <t>1</t>
        </is>
      </c>
      <c r="G1375" s="9" t="n">
        <v>180.92</v>
      </c>
      <c r="H1375" s="8" t="inlineStr">
        <is>
          <t>0.0</t>
        </is>
      </c>
      <c r="I1375" s="8" t="inlineStr">
        <is>
          <t>Standard Ground</t>
        </is>
      </c>
      <c r="J1375" s="8" t="inlineStr">
        <is>
          <t>Direct Web</t>
        </is>
      </c>
      <c r="K1375" s="8" t="inlineStr">
        <is>
          <t>REG-LATAM</t>
        </is>
      </c>
    </row>
    <row r="1376">
      <c r="A1376" s="8" t="inlineStr">
        <is>
          <t>ORD-000683</t>
        </is>
      </c>
      <c r="B1376" s="8" t="inlineStr">
        <is>
          <t>2023-08-06</t>
        </is>
      </c>
      <c r="C1376" s="8" t="inlineStr">
        <is>
          <t>CUST-00473</t>
        </is>
      </c>
      <c r="D1376" s="8" t="inlineStr">
        <is>
          <t>Kimberly Kelly</t>
        </is>
      </c>
      <c r="E1376" s="8" t="inlineStr">
        <is>
          <t>PRD-0244</t>
        </is>
      </c>
      <c r="F1376" s="8" t="inlineStr">
        <is>
          <t>3</t>
        </is>
      </c>
      <c r="G1376" s="9" t="n">
        <v>395.39</v>
      </c>
      <c r="H1376" s="8" t="inlineStr">
        <is>
          <t>0.0</t>
        </is>
      </c>
      <c r="I1376" s="8" t="inlineStr">
        <is>
          <t>Standard Ground</t>
        </is>
      </c>
      <c r="J1376" s="8" t="inlineStr">
        <is>
          <t>Direct Web</t>
        </is>
      </c>
      <c r="K1376" s="8" t="inlineStr">
        <is>
          <t>REG-APAC</t>
        </is>
      </c>
    </row>
    <row r="1377">
      <c r="A1377" s="8" t="inlineStr">
        <is>
          <t>ORD-000683</t>
        </is>
      </c>
      <c r="B1377" s="8" t="inlineStr">
        <is>
          <t>2023-08-06</t>
        </is>
      </c>
      <c r="C1377" s="8" t="inlineStr">
        <is>
          <t>CUST-00473</t>
        </is>
      </c>
      <c r="D1377" s="8" t="inlineStr">
        <is>
          <t>Kimberly Kelly</t>
        </is>
      </c>
      <c r="E1377" s="8" t="inlineStr">
        <is>
          <t>PRD-0421</t>
        </is>
      </c>
      <c r="F1377" s="8" t="inlineStr">
        <is>
          <t>4</t>
        </is>
      </c>
      <c r="G1377" s="9" t="n">
        <v>50.08</v>
      </c>
      <c r="H1377" s="8" t="inlineStr">
        <is>
          <t>0.25</t>
        </is>
      </c>
      <c r="I1377" s="8" t="inlineStr">
        <is>
          <t>Standard Ground</t>
        </is>
      </c>
      <c r="J1377" s="8" t="inlineStr">
        <is>
          <t>Direct Web</t>
        </is>
      </c>
      <c r="K1377" s="8" t="inlineStr">
        <is>
          <t>REG-APAC</t>
        </is>
      </c>
    </row>
    <row r="1378">
      <c r="A1378" s="8" t="inlineStr">
        <is>
          <t>ORD-000684</t>
        </is>
      </c>
      <c r="B1378" s="8" t="inlineStr">
        <is>
          <t>2023-02-16</t>
        </is>
      </c>
      <c r="C1378" s="8" t="inlineStr">
        <is>
          <t>CUST-01562</t>
        </is>
      </c>
      <c r="D1378" s="8" t="inlineStr">
        <is>
          <t>Steven Morris</t>
        </is>
      </c>
      <c r="E1378" s="8" t="inlineStr">
        <is>
          <t>PRD-0047</t>
        </is>
      </c>
      <c r="F1378" s="8" t="inlineStr">
        <is>
          <t>1</t>
        </is>
      </c>
      <c r="G1378" s="9" t="n">
        <v>43.83</v>
      </c>
      <c r="H1378" s="8" t="inlineStr">
        <is>
          <t>0.0</t>
        </is>
      </c>
      <c r="I1378" s="8" t="inlineStr">
        <is>
          <t>Same-Day Priority</t>
        </is>
      </c>
      <c r="J1378" s="8" t="inlineStr">
        <is>
          <t>Direct Web</t>
        </is>
      </c>
      <c r="K1378" s="8" t="inlineStr">
        <is>
          <t>REG-NA</t>
        </is>
      </c>
    </row>
    <row r="1379">
      <c r="A1379" s="8" t="inlineStr">
        <is>
          <t>ORD-000684</t>
        </is>
      </c>
      <c r="B1379" s="8" t="inlineStr">
        <is>
          <t>2023-02-16</t>
        </is>
      </c>
      <c r="C1379" s="8" t="inlineStr">
        <is>
          <t>CUST-01562</t>
        </is>
      </c>
      <c r="D1379" s="8" t="inlineStr">
        <is>
          <t>Steven Morris</t>
        </is>
      </c>
      <c r="E1379" s="8" t="inlineStr">
        <is>
          <t>PRD-0159</t>
        </is>
      </c>
      <c r="F1379" s="8" t="inlineStr">
        <is>
          <t>1</t>
        </is>
      </c>
      <c r="G1379" s="9" t="n">
        <v>416.78</v>
      </c>
      <c r="H1379" s="8" t="inlineStr">
        <is>
          <t>5%</t>
        </is>
      </c>
      <c r="I1379" s="8" t="inlineStr">
        <is>
          <t>Same-Day Priority</t>
        </is>
      </c>
      <c r="J1379" s="8" t="inlineStr">
        <is>
          <t>Direct Web</t>
        </is>
      </c>
      <c r="K1379" s="8" t="inlineStr">
        <is>
          <t>REG-NA</t>
        </is>
      </c>
    </row>
    <row r="1380">
      <c r="A1380" s="8" t="inlineStr">
        <is>
          <t>ORD-000685</t>
        </is>
      </c>
      <c r="B1380" s="8" t="inlineStr">
        <is>
          <t>2025-03-23</t>
        </is>
      </c>
      <c r="C1380" s="8" t="inlineStr">
        <is>
          <t>CUST-07946</t>
        </is>
      </c>
      <c r="D1380" s="8" t="inlineStr">
        <is>
          <t>Joshua Hall</t>
        </is>
      </c>
      <c r="E1380" s="8" t="inlineStr">
        <is>
          <t>PRD-0215</t>
        </is>
      </c>
      <c r="F1380" s="8" t="inlineStr">
        <is>
          <t>1</t>
        </is>
      </c>
      <c r="G1380" s="9" t="n">
        <v>1006.33</v>
      </c>
      <c r="H1380" s="8" t="inlineStr">
        <is>
          <t>0.1</t>
        </is>
      </c>
      <c r="I1380" s="8" t="inlineStr">
        <is>
          <t>Standard Ground</t>
        </is>
      </c>
      <c r="J1380" s="8" t="inlineStr">
        <is>
          <t>Direct Web</t>
        </is>
      </c>
      <c r="K1380" s="8" t="inlineStr">
        <is>
          <t>REG-APAC</t>
        </is>
      </c>
    </row>
    <row r="1381">
      <c r="A1381" s="8" t="inlineStr">
        <is>
          <t>ORD-000685</t>
        </is>
      </c>
      <c r="B1381" s="8" t="inlineStr">
        <is>
          <t>2025-03-23</t>
        </is>
      </c>
      <c r="C1381" s="8" t="inlineStr">
        <is>
          <t>CUST-07946</t>
        </is>
      </c>
      <c r="D1381" s="8" t="inlineStr">
        <is>
          <t>Joshua Hall</t>
        </is>
      </c>
      <c r="E1381" s="8" t="inlineStr">
        <is>
          <t>PRD-0149</t>
        </is>
      </c>
      <c r="F1381" s="8" t="inlineStr">
        <is>
          <t>1</t>
        </is>
      </c>
      <c r="G1381" s="9" t="n">
        <v>184.54</v>
      </c>
      <c r="H1381" s="8" t="inlineStr">
        <is>
          <t>0.0</t>
        </is>
      </c>
      <c r="I1381" s="8" t="inlineStr">
        <is>
          <t>Standard Ground</t>
        </is>
      </c>
      <c r="J1381" s="8" t="inlineStr">
        <is>
          <t>Direct Web</t>
        </is>
      </c>
      <c r="K1381" s="8" t="inlineStr">
        <is>
          <t>REG-APAC</t>
        </is>
      </c>
    </row>
    <row r="1382">
      <c r="A1382" s="8" t="inlineStr">
        <is>
          <t>ORD-000685</t>
        </is>
      </c>
      <c r="B1382" s="8" t="inlineStr">
        <is>
          <t>2025-03-23</t>
        </is>
      </c>
      <c r="C1382" s="8" t="inlineStr">
        <is>
          <t>CUST-07946</t>
        </is>
      </c>
      <c r="D1382" s="8" t="inlineStr">
        <is>
          <t>Joshua Hall</t>
        </is>
      </c>
      <c r="E1382" s="8" t="inlineStr">
        <is>
          <t>PRD-0424</t>
        </is>
      </c>
      <c r="F1382" s="8" t="inlineStr">
        <is>
          <t>1</t>
        </is>
      </c>
      <c r="G1382" s="9" t="n">
        <v>268.72</v>
      </c>
      <c r="H1382" s="8" t="inlineStr">
        <is>
          <t>0.15</t>
        </is>
      </c>
      <c r="I1382" s="8" t="inlineStr">
        <is>
          <t>Standard Ground</t>
        </is>
      </c>
      <c r="J1382" s="8" t="inlineStr">
        <is>
          <t>Direct Web</t>
        </is>
      </c>
      <c r="K1382" s="8" t="inlineStr">
        <is>
          <t>REG-APAC</t>
        </is>
      </c>
    </row>
    <row r="1383">
      <c r="A1383" s="8" t="inlineStr">
        <is>
          <t>ORD-000686</t>
        </is>
      </c>
      <c r="B1383" s="8" t="inlineStr">
        <is>
          <t>2024-11-20</t>
        </is>
      </c>
      <c r="C1383" s="8" t="inlineStr">
        <is>
          <t>CUST-03043</t>
        </is>
      </c>
      <c r="D1383" s="8" t="inlineStr">
        <is>
          <t>Carolyn Ramos</t>
        </is>
      </c>
      <c r="E1383" s="8" t="inlineStr">
        <is>
          <t>PRD-0029</t>
        </is>
      </c>
      <c r="F1383" s="8" t="inlineStr">
        <is>
          <t>1</t>
        </is>
      </c>
      <c r="G1383" s="9" t="n">
        <v>9.4</v>
      </c>
      <c r="H1383" s="8" t="inlineStr">
        <is>
          <t>0.05</t>
        </is>
      </c>
      <c r="I1383" s="8" t="inlineStr">
        <is>
          <t>Standard Ground</t>
        </is>
      </c>
      <c r="J1383" s="8" t="inlineStr">
        <is>
          <t>B2B Portal</t>
        </is>
      </c>
      <c r="K1383" s="8" t="inlineStr">
        <is>
          <t>REG-EU</t>
        </is>
      </c>
    </row>
    <row r="1384">
      <c r="A1384" s="8" t="inlineStr">
        <is>
          <t>ORD-000687</t>
        </is>
      </c>
      <c r="B1384" s="8" t="inlineStr">
        <is>
          <t>2025-06-03</t>
        </is>
      </c>
      <c r="C1384" s="8" t="inlineStr">
        <is>
          <t>CUST-06392</t>
        </is>
      </c>
      <c r="D1384" s="8" t="inlineStr">
        <is>
          <t>Brenda Phillips</t>
        </is>
      </c>
      <c r="E1384" s="8" t="inlineStr">
        <is>
          <t>PRD-0437</t>
        </is>
      </c>
      <c r="F1384" s="8" t="inlineStr">
        <is>
          <t>1</t>
        </is>
      </c>
      <c r="G1384" s="9" t="n">
        <v>177.29</v>
      </c>
      <c r="H1384" s="8" t="inlineStr">
        <is>
          <t>0.0</t>
        </is>
      </c>
      <c r="I1384" s="8" t="inlineStr">
        <is>
          <t>Standard Ground</t>
        </is>
      </c>
      <c r="J1384" s="8" t="inlineStr">
        <is>
          <t>Direct Web</t>
        </is>
      </c>
      <c r="K1384" s="8" t="inlineStr">
        <is>
          <t>REG-NA</t>
        </is>
      </c>
    </row>
    <row r="1385">
      <c r="A1385" s="8" t="inlineStr">
        <is>
          <t>ORD-000687</t>
        </is>
      </c>
      <c r="B1385" s="8" t="inlineStr">
        <is>
          <t>2025-06-03</t>
        </is>
      </c>
      <c r="C1385" s="8" t="inlineStr">
        <is>
          <t>CUST-06392</t>
        </is>
      </c>
      <c r="D1385" s="8" t="inlineStr">
        <is>
          <t>Brenda Phillips</t>
        </is>
      </c>
      <c r="E1385" s="8" t="inlineStr">
        <is>
          <t>PRD-0200</t>
        </is>
      </c>
      <c r="F1385" s="8" t="inlineStr">
        <is>
          <t>2</t>
        </is>
      </c>
      <c r="G1385" s="9" t="n">
        <v>977</v>
      </c>
      <c r="H1385" s="8" t="inlineStr">
        <is>
          <t>0.0</t>
        </is>
      </c>
      <c r="I1385" s="8" t="inlineStr">
        <is>
          <t>Standard Ground</t>
        </is>
      </c>
      <c r="J1385" s="8" t="inlineStr">
        <is>
          <t>Direct Web</t>
        </is>
      </c>
      <c r="K1385" s="8" t="inlineStr">
        <is>
          <t>REG-NA</t>
        </is>
      </c>
    </row>
    <row r="1386">
      <c r="A1386" s="8" t="inlineStr">
        <is>
          <t>ORD-000688</t>
        </is>
      </c>
      <c r="B1386" s="8" t="inlineStr">
        <is>
          <t>2023-02-18</t>
        </is>
      </c>
      <c r="C1386" s="8" t="inlineStr">
        <is>
          <t>CUST-07120</t>
        </is>
      </c>
      <c r="D1386" s="8" t="inlineStr">
        <is>
          <t>Rebecca Adams</t>
        </is>
      </c>
      <c r="E1386" s="8" t="inlineStr">
        <is>
          <t>PRD-0170</t>
        </is>
      </c>
      <c r="F1386" s="8" t="inlineStr">
        <is>
          <t>1</t>
        </is>
      </c>
      <c r="G1386" s="9" t="n">
        <v>111</v>
      </c>
      <c r="H1386" s="8" t="inlineStr">
        <is>
          <t>0.0</t>
        </is>
      </c>
      <c r="I1386" s="8" t="inlineStr">
        <is>
          <t>Standard Ground</t>
        </is>
      </c>
      <c r="J1386" s="8" t="inlineStr">
        <is>
          <t>Direct Web</t>
        </is>
      </c>
      <c r="K1386" s="8" t="inlineStr">
        <is>
          <t>REG-EU</t>
        </is>
      </c>
    </row>
    <row r="1387">
      <c r="A1387" s="8" t="inlineStr">
        <is>
          <t>ORD-000689</t>
        </is>
      </c>
      <c r="B1387" s="8" t="inlineStr">
        <is>
          <t>03/20/2024</t>
        </is>
      </c>
      <c r="C1387" s="8" t="inlineStr">
        <is>
          <t>CUST-05726</t>
        </is>
      </c>
      <c r="D1387" s="8" t="inlineStr">
        <is>
          <t>Jessica Murphy</t>
        </is>
      </c>
      <c r="E1387" s="8" t="inlineStr">
        <is>
          <t>PRD-0368</t>
        </is>
      </c>
      <c r="F1387" s="8" t="inlineStr">
        <is>
          <t>1</t>
        </is>
      </c>
      <c r="G1387" s="9" t="n">
        <v>590.05</v>
      </c>
      <c r="H1387" s="8" t="inlineStr">
        <is>
          <t>0.05</t>
        </is>
      </c>
      <c r="I1387" s="8" t="inlineStr">
        <is>
          <t>Standard Ground</t>
        </is>
      </c>
      <c r="J1387" s="8" t="inlineStr">
        <is>
          <t>Direct Web</t>
        </is>
      </c>
      <c r="K1387" s="8" t="inlineStr">
        <is>
          <t>REG-NA</t>
        </is>
      </c>
    </row>
    <row r="1388">
      <c r="A1388" s="8" t="inlineStr">
        <is>
          <t>ORD-000690</t>
        </is>
      </c>
      <c r="B1388" s="8" t="inlineStr">
        <is>
          <t>2024-08-11</t>
        </is>
      </c>
      <c r="C1388" s="8" t="inlineStr">
        <is>
          <t>CUST-07492</t>
        </is>
      </c>
      <c r="D1388" s="8" t="inlineStr">
        <is>
          <t>Daniel Murphy</t>
        </is>
      </c>
      <c r="E1388" s="8" t="inlineStr">
        <is>
          <t>PRD-0077</t>
        </is>
      </c>
      <c r="F1388" s="8" t="inlineStr">
        <is>
          <t>2</t>
        </is>
      </c>
      <c r="G1388" s="9" t="n">
        <v>1210.48</v>
      </c>
      <c r="H1388" s="8" t="inlineStr">
        <is>
          <t>0.0</t>
        </is>
      </c>
      <c r="I1388" s="8" t="inlineStr">
        <is>
          <t>Express Air</t>
        </is>
      </c>
      <c r="J1388" s="8" t="inlineStr">
        <is>
          <t>Mobile App</t>
        </is>
      </c>
      <c r="K1388" s="8" t="inlineStr">
        <is>
          <t>REG-APAC</t>
        </is>
      </c>
    </row>
    <row r="1389">
      <c r="A1389" s="8" t="inlineStr">
        <is>
          <t>ORD-000690</t>
        </is>
      </c>
      <c r="B1389" s="8" t="inlineStr">
        <is>
          <t>2024-08-11</t>
        </is>
      </c>
      <c r="C1389" s="8" t="inlineStr">
        <is>
          <t>CUST-07492</t>
        </is>
      </c>
      <c r="D1389" s="8" t="inlineStr">
        <is>
          <t>Daniel Murphy</t>
        </is>
      </c>
      <c r="E1389" s="8" t="inlineStr">
        <is>
          <t>PRD-0139</t>
        </is>
      </c>
      <c r="F1389" s="8" t="inlineStr">
        <is>
          <t>1</t>
        </is>
      </c>
      <c r="G1389" s="9" t="n">
        <v>402.87</v>
      </c>
      <c r="H1389" s="8" t="inlineStr">
        <is>
          <t>0.2</t>
        </is>
      </c>
      <c r="I1389" s="8" t="inlineStr">
        <is>
          <t>Express Air</t>
        </is>
      </c>
      <c r="J1389" s="8" t="inlineStr">
        <is>
          <t>Mobile App</t>
        </is>
      </c>
      <c r="K1389" s="8" t="inlineStr">
        <is>
          <t>REG-APAC</t>
        </is>
      </c>
    </row>
    <row r="1390">
      <c r="A1390" s="8" t="inlineStr">
        <is>
          <t>ORD-000690</t>
        </is>
      </c>
      <c r="B1390" s="8" t="inlineStr">
        <is>
          <t>2024-08-11</t>
        </is>
      </c>
      <c r="C1390" s="8" t="inlineStr">
        <is>
          <t>CUST-07492</t>
        </is>
      </c>
      <c r="D1390" s="8" t="inlineStr">
        <is>
          <t>Daniel Murphy</t>
        </is>
      </c>
      <c r="E1390" s="8" t="inlineStr">
        <is>
          <t>PRD-0040</t>
        </is>
      </c>
      <c r="F1390" s="8" t="inlineStr">
        <is>
          <t>1</t>
        </is>
      </c>
      <c r="G1390" s="9" t="n">
        <v>28.56</v>
      </c>
      <c r="H1390" s="8" t="inlineStr">
        <is>
          <t>0.1</t>
        </is>
      </c>
      <c r="I1390" s="8" t="inlineStr">
        <is>
          <t>Express Air</t>
        </is>
      </c>
      <c r="J1390" s="8" t="inlineStr">
        <is>
          <t>Mobile App</t>
        </is>
      </c>
      <c r="K1390" s="8" t="inlineStr">
        <is>
          <t>REG-APAC</t>
        </is>
      </c>
    </row>
    <row r="1391">
      <c r="A1391" s="8" t="inlineStr">
        <is>
          <t>ORD-000690</t>
        </is>
      </c>
      <c r="B1391" s="8" t="inlineStr">
        <is>
          <t>2024-08-11</t>
        </is>
      </c>
      <c r="C1391" s="8" t="inlineStr">
        <is>
          <t>CUST-07492</t>
        </is>
      </c>
      <c r="D1391" s="8" t="inlineStr">
        <is>
          <t>Daniel Murphy</t>
        </is>
      </c>
      <c r="E1391" s="8" t="inlineStr">
        <is>
          <t>PRD-0145</t>
        </is>
      </c>
      <c r="F1391" s="8" t="inlineStr">
        <is>
          <t>1</t>
        </is>
      </c>
      <c r="G1391" s="9" t="n">
        <v>37.95</v>
      </c>
      <c r="H1391" s="8" t="inlineStr">
        <is>
          <t>0.05</t>
        </is>
      </c>
      <c r="I1391" s="8" t="inlineStr">
        <is>
          <t>Express Air</t>
        </is>
      </c>
      <c r="J1391" s="8" t="inlineStr">
        <is>
          <t>Mobile App</t>
        </is>
      </c>
      <c r="K1391" s="8" t="inlineStr">
        <is>
          <t>REG-APAC</t>
        </is>
      </c>
    </row>
    <row r="1392">
      <c r="A1392" s="8" t="inlineStr">
        <is>
          <t>ORD-000690</t>
        </is>
      </c>
      <c r="B1392" s="8" t="inlineStr">
        <is>
          <t>2024-08-11</t>
        </is>
      </c>
      <c r="C1392" s="8" t="inlineStr">
        <is>
          <t>CUST-07492</t>
        </is>
      </c>
      <c r="D1392" s="8" t="inlineStr">
        <is>
          <t>Daniel Murphy</t>
        </is>
      </c>
      <c r="E1392" s="8" t="inlineStr">
        <is>
          <t>PRD-0339</t>
        </is>
      </c>
      <c r="F1392" s="8" t="inlineStr">
        <is>
          <t>2</t>
        </is>
      </c>
      <c r="G1392" s="9" t="n">
        <v>30.04</v>
      </c>
      <c r="H1392" s="8" t="inlineStr">
        <is>
          <t>0.1</t>
        </is>
      </c>
      <c r="I1392" s="8" t="inlineStr">
        <is>
          <t>Express Air</t>
        </is>
      </c>
      <c r="J1392" s="8" t="inlineStr">
        <is>
          <t>Mobile App</t>
        </is>
      </c>
      <c r="K1392" s="8" t="inlineStr">
        <is>
          <t>REG-APAC</t>
        </is>
      </c>
    </row>
    <row r="1393">
      <c r="A1393" s="8" t="inlineStr">
        <is>
          <t>ORD-000691</t>
        </is>
      </c>
      <c r="B1393" s="8" t="inlineStr">
        <is>
          <t>2023-12-13</t>
        </is>
      </c>
      <c r="C1393" s="8" t="inlineStr">
        <is>
          <t>CUST-07289</t>
        </is>
      </c>
      <c r="D1393" s="8" t="inlineStr">
        <is>
          <t>Stephanie Baker</t>
        </is>
      </c>
      <c r="E1393" s="8" t="inlineStr">
        <is>
          <t>PRD-0490</t>
        </is>
      </c>
      <c r="F1393" s="8" t="inlineStr">
        <is>
          <t>1</t>
        </is>
      </c>
      <c r="G1393" s="9" t="n">
        <v>146.89</v>
      </c>
      <c r="H1393" s="8" t="inlineStr">
        <is>
          <t>0.15</t>
        </is>
      </c>
      <c r="I1393" s="8" t="inlineStr">
        <is>
          <t>Express Air</t>
        </is>
      </c>
      <c r="J1393" s="8" t="inlineStr">
        <is>
          <t>Direct Web</t>
        </is>
      </c>
      <c r="K1393" s="8" t="inlineStr">
        <is>
          <t>REG-EU</t>
        </is>
      </c>
    </row>
    <row r="1394">
      <c r="A1394" s="8" t="inlineStr">
        <is>
          <t>ORD-000691</t>
        </is>
      </c>
      <c r="B1394" s="8" t="inlineStr">
        <is>
          <t>2023-12-13</t>
        </is>
      </c>
      <c r="C1394" s="8" t="inlineStr">
        <is>
          <t>CUST-07289</t>
        </is>
      </c>
      <c r="D1394" s="8" t="inlineStr">
        <is>
          <t>Stephanie Baker</t>
        </is>
      </c>
      <c r="E1394" s="8" t="inlineStr">
        <is>
          <t>PRD-0453</t>
        </is>
      </c>
      <c r="F1394" s="8" t="inlineStr">
        <is>
          <t>1</t>
        </is>
      </c>
      <c r="G1394" s="9" t="n">
        <v>54.92</v>
      </c>
      <c r="H1394" s="8" t="inlineStr">
        <is>
          <t>0.1</t>
        </is>
      </c>
      <c r="I1394" s="8" t="inlineStr">
        <is>
          <t>Express Air</t>
        </is>
      </c>
      <c r="J1394" s="8" t="inlineStr">
        <is>
          <t>Direct Web</t>
        </is>
      </c>
      <c r="K1394" s="8" t="inlineStr">
        <is>
          <t>REG-EU</t>
        </is>
      </c>
    </row>
    <row r="1395">
      <c r="A1395" s="8" t="inlineStr">
        <is>
          <t>ORD-000691</t>
        </is>
      </c>
      <c r="B1395" s="8" t="inlineStr">
        <is>
          <t>2023-12-13</t>
        </is>
      </c>
      <c r="C1395" s="8" t="inlineStr">
        <is>
          <t>CUST-07289</t>
        </is>
      </c>
      <c r="D1395" s="8" t="inlineStr">
        <is>
          <t>Stephanie Baker</t>
        </is>
      </c>
      <c r="E1395" s="8" t="inlineStr">
        <is>
          <t>PRD-0110</t>
        </is>
      </c>
      <c r="F1395" s="8" t="inlineStr">
        <is>
          <t>1</t>
        </is>
      </c>
      <c r="G1395" s="9" t="n">
        <v>84.14</v>
      </c>
      <c r="H1395" s="8" t="inlineStr">
        <is>
          <t>0.05</t>
        </is>
      </c>
      <c r="I1395" s="8" t="inlineStr">
        <is>
          <t>Express Air</t>
        </is>
      </c>
      <c r="J1395" s="8" t="inlineStr">
        <is>
          <t>Direct Web</t>
        </is>
      </c>
      <c r="K1395" s="8" t="inlineStr">
        <is>
          <t>REG-EU</t>
        </is>
      </c>
    </row>
    <row r="1396">
      <c r="A1396" s="8" t="inlineStr">
        <is>
          <t>ORD-000692</t>
        </is>
      </c>
      <c r="B1396" s="8" t="inlineStr">
        <is>
          <t>2024-09-08</t>
        </is>
      </c>
      <c r="C1396" s="8" t="inlineStr">
        <is>
          <t>CUST-04062</t>
        </is>
      </c>
      <c r="D1396" s="8" t="inlineStr">
        <is>
          <t>Eric Brown</t>
        </is>
      </c>
      <c r="E1396" s="8" t="inlineStr">
        <is>
          <t>PRD-0066</t>
        </is>
      </c>
      <c r="F1396" s="8" t="inlineStr">
        <is>
          <t>3</t>
        </is>
      </c>
      <c r="G1396" s="9" t="n">
        <v>976.53</v>
      </c>
      <c r="H1396" s="8" t="inlineStr">
        <is>
          <t>0.0</t>
        </is>
      </c>
      <c r="I1396" s="8" t="inlineStr">
        <is>
          <t>Standard Ground</t>
        </is>
      </c>
      <c r="J1396" s="8" t="inlineStr">
        <is>
          <t>Direct Web</t>
        </is>
      </c>
      <c r="K1396" s="8" t="inlineStr">
        <is>
          <t>REG-NA</t>
        </is>
      </c>
    </row>
    <row r="1397">
      <c r="A1397" s="8" t="inlineStr">
        <is>
          <t>ORD-000693</t>
        </is>
      </c>
      <c r="B1397" s="8" t="inlineStr">
        <is>
          <t>2023-11-01</t>
        </is>
      </c>
      <c r="C1397" s="8" t="inlineStr">
        <is>
          <t>CUST-07131</t>
        </is>
      </c>
      <c r="D1397" s="8" t="inlineStr">
        <is>
          <t>Samuel Alvarez</t>
        </is>
      </c>
      <c r="E1397" s="8" t="inlineStr">
        <is>
          <t>PRD-0094</t>
        </is>
      </c>
      <c r="F1397" s="8" t="inlineStr">
        <is>
          <t>1</t>
        </is>
      </c>
      <c r="G1397" s="9" t="n">
        <v>282.3</v>
      </c>
      <c r="H1397" s="8" t="inlineStr">
        <is>
          <t>0.15</t>
        </is>
      </c>
      <c r="I1397" s="8" t="inlineStr">
        <is>
          <t>Express Air</t>
        </is>
      </c>
      <c r="J1397" s="8" t="inlineStr">
        <is>
          <t>Affiliate Partner</t>
        </is>
      </c>
      <c r="K1397" s="8" t="inlineStr">
        <is>
          <t>REG-NA</t>
        </is>
      </c>
    </row>
    <row r="1398">
      <c r="A1398" s="8" t="inlineStr">
        <is>
          <t>ORD-000694</t>
        </is>
      </c>
      <c r="B1398" s="8" t="inlineStr">
        <is>
          <t>2025-06-23</t>
        </is>
      </c>
      <c r="C1398" s="8" t="inlineStr">
        <is>
          <t>CUST-02604</t>
        </is>
      </c>
      <c r="D1398" s="8" t="inlineStr">
        <is>
          <t>Sharon Ramirez</t>
        </is>
      </c>
      <c r="E1398" s="8" t="inlineStr">
        <is>
          <t>PRD-0001</t>
        </is>
      </c>
      <c r="F1398" s="8" t="inlineStr">
        <is>
          <t>1</t>
        </is>
      </c>
      <c r="G1398" s="9" t="n">
        <v>9</v>
      </c>
      <c r="H1398" s="8" t="inlineStr">
        <is>
          <t>0.1</t>
        </is>
      </c>
      <c r="I1398" s="8" t="inlineStr">
        <is>
          <t>Standard Ground</t>
        </is>
      </c>
      <c r="J1398" s="8" t="inlineStr">
        <is>
          <t>Direct Web</t>
        </is>
      </c>
      <c r="K1398" s="8" t="inlineStr">
        <is>
          <t>REG-NA</t>
        </is>
      </c>
    </row>
    <row r="1399">
      <c r="A1399" s="8" t="inlineStr">
        <is>
          <t>ORD-000695</t>
        </is>
      </c>
      <c r="B1399" s="8" t="inlineStr">
        <is>
          <t>2024-02-12</t>
        </is>
      </c>
      <c r="C1399" s="8" t="inlineStr">
        <is>
          <t>CUST-01213</t>
        </is>
      </c>
      <c r="D1399" s="8" t="inlineStr">
        <is>
          <t>Carol Mitchell</t>
        </is>
      </c>
      <c r="E1399" s="8" t="inlineStr">
        <is>
          <t>PRD-0027</t>
        </is>
      </c>
      <c r="F1399" s="8" t="inlineStr">
        <is>
          <t>3</t>
        </is>
      </c>
      <c r="G1399" s="9" t="n">
        <v>11.1</v>
      </c>
      <c r="H1399" s="8" t="inlineStr">
        <is>
          <t>0.0</t>
        </is>
      </c>
      <c r="I1399" s="8" t="inlineStr">
        <is>
          <t>Standard Ground</t>
        </is>
      </c>
      <c r="J1399" s="8" t="inlineStr">
        <is>
          <t>Mobile App</t>
        </is>
      </c>
      <c r="K1399" s="8" t="inlineStr">
        <is>
          <t>REG-NA</t>
        </is>
      </c>
    </row>
    <row r="1400">
      <c r="A1400" s="8" t="inlineStr">
        <is>
          <t>ORD-000696</t>
        </is>
      </c>
      <c r="B1400" s="8" t="inlineStr">
        <is>
          <t>2023-04-20</t>
        </is>
      </c>
      <c r="C1400" s="8" t="inlineStr">
        <is>
          <t>CUST-01196</t>
        </is>
      </c>
      <c r="D1400" s="8" t="inlineStr">
        <is>
          <t>Raymond Peterson</t>
        </is>
      </c>
      <c r="E1400" s="8" t="inlineStr">
        <is>
          <t>PRD-0123</t>
        </is>
      </c>
      <c r="F1400" s="8" t="inlineStr">
        <is>
          <t>1</t>
        </is>
      </c>
      <c r="G1400" s="9" t="n">
        <v>195.79</v>
      </c>
      <c r="H1400" s="8" t="inlineStr">
        <is>
          <t>0.0</t>
        </is>
      </c>
      <c r="I1400" s="8" t="inlineStr">
        <is>
          <t>Standard Ground</t>
        </is>
      </c>
      <c r="J1400" s="8" t="inlineStr">
        <is>
          <t>B2B Portal</t>
        </is>
      </c>
      <c r="K1400" s="8" t="inlineStr">
        <is>
          <t>REG-NA</t>
        </is>
      </c>
    </row>
    <row r="1401">
      <c r="A1401" s="8" t="inlineStr">
        <is>
          <t>ORD-000697</t>
        </is>
      </c>
      <c r="B1401" s="8" t="inlineStr">
        <is>
          <t>2023-04-25</t>
        </is>
      </c>
      <c r="C1401" s="8" t="inlineStr">
        <is>
          <t>CUST-05723</t>
        </is>
      </c>
      <c r="D1401" s="8" t="inlineStr">
        <is>
          <t>Jack Baker</t>
        </is>
      </c>
      <c r="E1401" s="8" t="inlineStr">
        <is>
          <t>PRD-0174</t>
        </is>
      </c>
      <c r="F1401" s="8" t="inlineStr">
        <is>
          <t>1</t>
        </is>
      </c>
      <c r="G1401" s="9" t="n">
        <v>960.11</v>
      </c>
      <c r="H1401" s="8" t="inlineStr">
        <is>
          <t>10%</t>
        </is>
      </c>
      <c r="I1401" s="8" t="inlineStr">
        <is>
          <t>Standard Ground</t>
        </is>
      </c>
      <c r="J1401" s="8" t="inlineStr">
        <is>
          <t>Mobile App</t>
        </is>
      </c>
      <c r="K1401" s="8" t="inlineStr">
        <is>
          <t>REG-NA</t>
        </is>
      </c>
    </row>
    <row r="1402">
      <c r="A1402" s="8" t="inlineStr">
        <is>
          <t>ORD-000697</t>
        </is>
      </c>
      <c r="B1402" s="8" t="inlineStr">
        <is>
          <t>2023-04-25</t>
        </is>
      </c>
      <c r="C1402" s="8" t="inlineStr">
        <is>
          <t>CUST-05723</t>
        </is>
      </c>
      <c r="D1402" s="8" t="inlineStr">
        <is>
          <t>Jack Baker</t>
        </is>
      </c>
      <c r="E1402" s="8" t="inlineStr">
        <is>
          <t>PRD-0248</t>
        </is>
      </c>
      <c r="F1402" s="8" t="inlineStr">
        <is>
          <t>5</t>
        </is>
      </c>
      <c r="G1402" s="9" t="n">
        <v>603.58</v>
      </c>
      <c r="H1402" s="8" t="inlineStr">
        <is>
          <t>0.0</t>
        </is>
      </c>
      <c r="I1402" s="8" t="inlineStr">
        <is>
          <t>Standard Ground</t>
        </is>
      </c>
      <c r="J1402" s="8" t="inlineStr">
        <is>
          <t>Mobile App</t>
        </is>
      </c>
      <c r="K1402" s="8" t="inlineStr">
        <is>
          <t>REG-NA</t>
        </is>
      </c>
    </row>
    <row r="1403">
      <c r="A1403" s="8" t="inlineStr">
        <is>
          <t>ORD-000698</t>
        </is>
      </c>
      <c r="B1403" s="8" t="inlineStr">
        <is>
          <t>2025-09-21</t>
        </is>
      </c>
      <c r="C1403" s="8" t="inlineStr">
        <is>
          <t>CUST-01140</t>
        </is>
      </c>
      <c r="D1403" s="8" t="inlineStr">
        <is>
          <t>Stephen Perez</t>
        </is>
      </c>
      <c r="E1403" s="8" t="inlineStr">
        <is>
          <t>PRD-0020</t>
        </is>
      </c>
      <c r="F1403" s="8" t="inlineStr">
        <is>
          <t>4</t>
        </is>
      </c>
      <c r="G1403" s="9" t="n">
        <v>22.42</v>
      </c>
      <c r="H1403" s="8" t="inlineStr">
        <is>
          <t>0.0</t>
        </is>
      </c>
      <c r="I1403" s="8" t="inlineStr">
        <is>
          <t>Standard Ground</t>
        </is>
      </c>
      <c r="J1403" s="8" t="inlineStr">
        <is>
          <t>Direct Web</t>
        </is>
      </c>
      <c r="K1403" s="8" t="inlineStr">
        <is>
          <t>REG-EU</t>
        </is>
      </c>
    </row>
    <row r="1404">
      <c r="A1404" s="8" t="inlineStr">
        <is>
          <t>ORD-000698</t>
        </is>
      </c>
      <c r="B1404" s="8" t="inlineStr">
        <is>
          <t>2025-09-21</t>
        </is>
      </c>
      <c r="C1404" s="8" t="inlineStr">
        <is>
          <t>CUST-01140</t>
        </is>
      </c>
      <c r="D1404" s="8" t="inlineStr">
        <is>
          <t>Stephen Perez</t>
        </is>
      </c>
      <c r="E1404" s="8" t="inlineStr">
        <is>
          <t>PRD-0230</t>
        </is>
      </c>
      <c r="F1404" s="8" t="inlineStr">
        <is>
          <t>2</t>
        </is>
      </c>
      <c r="G1404" s="9" t="n">
        <v>54.32</v>
      </c>
      <c r="H1404" s="8" t="inlineStr">
        <is>
          <t>0.2</t>
        </is>
      </c>
      <c r="I1404" s="8" t="inlineStr">
        <is>
          <t>Standard Ground</t>
        </is>
      </c>
      <c r="J1404" s="8" t="inlineStr">
        <is>
          <t>Direct Web</t>
        </is>
      </c>
      <c r="K1404" s="8" t="inlineStr">
        <is>
          <t>REG-EU</t>
        </is>
      </c>
    </row>
    <row r="1405">
      <c r="A1405" s="8" t="inlineStr">
        <is>
          <t>ORD-000699</t>
        </is>
      </c>
      <c r="B1405" s="8" t="inlineStr">
        <is>
          <t>12/17/2025</t>
        </is>
      </c>
      <c r="C1405" s="8" t="inlineStr">
        <is>
          <t>CUST-05664</t>
        </is>
      </c>
      <c r="D1405" s="8" t="inlineStr">
        <is>
          <t>Kevin Ward</t>
        </is>
      </c>
      <c r="E1405" s="8" t="inlineStr">
        <is>
          <t>PRD-0408</t>
        </is>
      </c>
      <c r="F1405" s="8" t="inlineStr">
        <is>
          <t>1</t>
        </is>
      </c>
      <c r="G1405" s="9" t="n">
        <v>117.01</v>
      </c>
      <c r="H1405" s="8" t="inlineStr">
        <is>
          <t>0.05</t>
        </is>
      </c>
      <c r="I1405" s="8" t="inlineStr">
        <is>
          <t>Standard Ground</t>
        </is>
      </c>
      <c r="J1405" s="8" t="inlineStr">
        <is>
          <t>B2B Portal</t>
        </is>
      </c>
      <c r="K1405" s="8" t="inlineStr">
        <is>
          <t>REG-NA</t>
        </is>
      </c>
    </row>
    <row r="1406">
      <c r="A1406" s="8" t="inlineStr">
        <is>
          <t>ORD-000699</t>
        </is>
      </c>
      <c r="B1406" s="8" t="inlineStr">
        <is>
          <t>12/17/2025</t>
        </is>
      </c>
      <c r="C1406" s="8" t="inlineStr">
        <is>
          <t>CUST-05664</t>
        </is>
      </c>
      <c r="D1406" s="8" t="inlineStr">
        <is>
          <t>Kevin Ward</t>
        </is>
      </c>
      <c r="E1406" s="8" t="inlineStr">
        <is>
          <t>PRD-0215</t>
        </is>
      </c>
      <c r="F1406" s="8" t="inlineStr">
        <is>
          <t>10</t>
        </is>
      </c>
      <c r="G1406" s="9" t="n">
        <v>1006.33</v>
      </c>
      <c r="H1406" s="8" t="inlineStr">
        <is>
          <t>0.0</t>
        </is>
      </c>
      <c r="I1406" s="8" t="inlineStr">
        <is>
          <t>Standard Ground</t>
        </is>
      </c>
      <c r="J1406" s="8" t="inlineStr">
        <is>
          <t>B2B Portal</t>
        </is>
      </c>
      <c r="K1406" s="8" t="inlineStr">
        <is>
          <t>REG-NA</t>
        </is>
      </c>
    </row>
    <row r="1407">
      <c r="A1407" s="8" t="inlineStr">
        <is>
          <t>ORD-000699</t>
        </is>
      </c>
      <c r="B1407" s="8" t="inlineStr">
        <is>
          <t>12/17/2025</t>
        </is>
      </c>
      <c r="C1407" s="8" t="inlineStr">
        <is>
          <t>CUST-05664</t>
        </is>
      </c>
      <c r="D1407" s="8" t="inlineStr">
        <is>
          <t>Kevin Ward</t>
        </is>
      </c>
      <c r="E1407" s="8" t="inlineStr">
        <is>
          <t>PRD-0188</t>
        </is>
      </c>
      <c r="F1407" s="8" t="inlineStr">
        <is>
          <t>1</t>
        </is>
      </c>
      <c r="G1407" s="9" t="n">
        <v>946.83</v>
      </c>
      <c r="H1407" s="8" t="inlineStr">
        <is>
          <t>0.05</t>
        </is>
      </c>
      <c r="I1407" s="8" t="inlineStr">
        <is>
          <t>Standard Ground</t>
        </is>
      </c>
      <c r="J1407" s="8" t="inlineStr">
        <is>
          <t>B2B Portal</t>
        </is>
      </c>
      <c r="K1407" s="8" t="inlineStr">
        <is>
          <t>REG-NA</t>
        </is>
      </c>
    </row>
    <row r="1408">
      <c r="A1408" s="8" t="inlineStr">
        <is>
          <t>ORD-000700</t>
        </is>
      </c>
      <c r="B1408" s="8" t="inlineStr">
        <is>
          <t>2023-12-24</t>
        </is>
      </c>
      <c r="C1408" s="8" t="inlineStr">
        <is>
          <t>CUST-02524</t>
        </is>
      </c>
      <c r="D1408" s="8" t="inlineStr">
        <is>
          <t>James Johnson</t>
        </is>
      </c>
      <c r="E1408" s="8" t="inlineStr">
        <is>
          <t>PRD-0051</t>
        </is>
      </c>
      <c r="F1408" s="8" t="inlineStr">
        <is>
          <t>4</t>
        </is>
      </c>
      <c r="G1408" s="9" t="n">
        <v>896.46</v>
      </c>
      <c r="H1408" s="8" t="inlineStr">
        <is>
          <t>0.0</t>
        </is>
      </c>
      <c r="I1408" s="8" t="inlineStr">
        <is>
          <t>Express Air</t>
        </is>
      </c>
      <c r="J1408" s="8" t="inlineStr">
        <is>
          <t>Direct Web</t>
        </is>
      </c>
      <c r="K1408" s="8" t="inlineStr">
        <is>
          <t>REG-LATAM</t>
        </is>
      </c>
    </row>
    <row r="1409">
      <c r="A1409" s="8" t="inlineStr">
        <is>
          <t>ORD-000700</t>
        </is>
      </c>
      <c r="B1409" s="8" t="inlineStr">
        <is>
          <t>2023-12-24</t>
        </is>
      </c>
      <c r="C1409" s="8" t="inlineStr">
        <is>
          <t>CUST-02524</t>
        </is>
      </c>
      <c r="D1409" s="8" t="inlineStr">
        <is>
          <t>James Johnson</t>
        </is>
      </c>
      <c r="E1409" s="8" t="inlineStr">
        <is>
          <t>PRD-0110</t>
        </is>
      </c>
      <c r="F1409" s="8" t="inlineStr">
        <is>
          <t>2</t>
        </is>
      </c>
      <c r="G1409" s="9" t="n">
        <v>84.14</v>
      </c>
      <c r="H1409" s="8" t="inlineStr">
        <is>
          <t>0.05</t>
        </is>
      </c>
      <c r="I1409" s="8" t="inlineStr">
        <is>
          <t>Express Air</t>
        </is>
      </c>
      <c r="J1409" s="8" t="inlineStr">
        <is>
          <t>Direct Web</t>
        </is>
      </c>
      <c r="K1409" s="8" t="inlineStr">
        <is>
          <t>REG-LATAM</t>
        </is>
      </c>
    </row>
    <row r="1410">
      <c r="A1410" s="8" t="inlineStr">
        <is>
          <t>ORD-000700</t>
        </is>
      </c>
      <c r="B1410" s="8" t="inlineStr">
        <is>
          <t>2023-12-24</t>
        </is>
      </c>
      <c r="C1410" s="8" t="inlineStr">
        <is>
          <t>CUST-02524</t>
        </is>
      </c>
      <c r="D1410" s="8" t="inlineStr">
        <is>
          <t>James Johnson</t>
        </is>
      </c>
      <c r="E1410" s="8" t="inlineStr">
        <is>
          <t>PRD-0136</t>
        </is>
      </c>
      <c r="F1410" s="8" t="inlineStr">
        <is>
          <t>1</t>
        </is>
      </c>
      <c r="G1410" s="9" t="n">
        <v>12.16</v>
      </c>
      <c r="H1410" s="8" t="inlineStr">
        <is>
          <t>0.0</t>
        </is>
      </c>
      <c r="I1410" s="8" t="inlineStr">
        <is>
          <t>Express Air</t>
        </is>
      </c>
      <c r="J1410" s="8" t="inlineStr">
        <is>
          <t>Direct Web</t>
        </is>
      </c>
      <c r="K1410" s="8" t="inlineStr">
        <is>
          <t>REG-LATAM</t>
        </is>
      </c>
    </row>
    <row r="1411">
      <c r="A1411" s="8" t="inlineStr">
        <is>
          <t>ORD-000700</t>
        </is>
      </c>
      <c r="B1411" s="8" t="inlineStr">
        <is>
          <t>2023-12-24</t>
        </is>
      </c>
      <c r="C1411" s="8" t="inlineStr">
        <is>
          <t>CUST-02524</t>
        </is>
      </c>
      <c r="D1411" s="8" t="inlineStr">
        <is>
          <t>James Johnson</t>
        </is>
      </c>
      <c r="E1411" s="8" t="inlineStr">
        <is>
          <t>PRD-0376</t>
        </is>
      </c>
      <c r="F1411" s="8" t="inlineStr">
        <is>
          <t>5</t>
        </is>
      </c>
      <c r="G1411" s="9" t="n">
        <v>219.88</v>
      </c>
      <c r="H1411" s="8" t="inlineStr">
        <is>
          <t>0.05</t>
        </is>
      </c>
      <c r="I1411" s="8" t="inlineStr">
        <is>
          <t>Express Air</t>
        </is>
      </c>
      <c r="J1411" s="8" t="inlineStr">
        <is>
          <t>Direct Web</t>
        </is>
      </c>
      <c r="K1411" s="8" t="inlineStr">
        <is>
          <t>REG-LATAM</t>
        </is>
      </c>
    </row>
    <row r="1412">
      <c r="A1412" s="8" t="inlineStr">
        <is>
          <t>ORD-000701</t>
        </is>
      </c>
      <c r="B1412" s="8" t="inlineStr">
        <is>
          <t>2024-02-15</t>
        </is>
      </c>
      <c r="C1412" s="8" t="inlineStr">
        <is>
          <t>CUST-06475</t>
        </is>
      </c>
      <c r="D1412" s="8" t="inlineStr">
        <is>
          <t>Mary Perez</t>
        </is>
      </c>
      <c r="E1412" s="8" t="inlineStr">
        <is>
          <t>PRD-0042</t>
        </is>
      </c>
      <c r="F1412" s="8" t="inlineStr">
        <is>
          <t>1</t>
        </is>
      </c>
      <c r="G1412" s="9" t="n">
        <v>758.99</v>
      </c>
      <c r="H1412" s="8" t="inlineStr">
        <is>
          <t>0.05</t>
        </is>
      </c>
      <c r="I1412" s="8" t="inlineStr">
        <is>
          <t>Standard Ground</t>
        </is>
      </c>
      <c r="J1412" s="8" t="inlineStr">
        <is>
          <t>Mobile App</t>
        </is>
      </c>
      <c r="K1412" s="8" t="inlineStr">
        <is>
          <t>REG-NA</t>
        </is>
      </c>
    </row>
    <row r="1413">
      <c r="A1413" s="8" t="inlineStr">
        <is>
          <t>ORD-000701</t>
        </is>
      </c>
      <c r="B1413" s="8" t="inlineStr">
        <is>
          <t>2024-02-15</t>
        </is>
      </c>
      <c r="C1413" s="8" t="inlineStr">
        <is>
          <t>CUST-06475</t>
        </is>
      </c>
      <c r="D1413" s="8" t="inlineStr">
        <is>
          <t>Mary Perez</t>
        </is>
      </c>
      <c r="E1413" s="8" t="inlineStr">
        <is>
          <t>PRD-0434</t>
        </is>
      </c>
      <c r="F1413" s="8" t="inlineStr">
        <is>
          <t>1</t>
        </is>
      </c>
      <c r="G1413" s="9" t="n">
        <v>899.59</v>
      </c>
      <c r="H1413" s="8" t="inlineStr">
        <is>
          <t>0.1</t>
        </is>
      </c>
      <c r="I1413" s="8" t="inlineStr">
        <is>
          <t>Standard Ground</t>
        </is>
      </c>
      <c r="J1413" s="8" t="inlineStr">
        <is>
          <t>Mobile App</t>
        </is>
      </c>
      <c r="K1413" s="8" t="inlineStr">
        <is>
          <t>REG-NA</t>
        </is>
      </c>
    </row>
    <row r="1414">
      <c r="A1414" s="8" t="inlineStr">
        <is>
          <t>ORD-000701</t>
        </is>
      </c>
      <c r="B1414" s="8" t="inlineStr">
        <is>
          <t>2024-02-15</t>
        </is>
      </c>
      <c r="C1414" s="8" t="inlineStr">
        <is>
          <t>CUST-06475</t>
        </is>
      </c>
      <c r="D1414" s="8" t="inlineStr">
        <is>
          <t>Mary Perez</t>
        </is>
      </c>
      <c r="E1414" s="8" t="inlineStr">
        <is>
          <t>PRD-0177</t>
        </is>
      </c>
      <c r="F1414" s="8" t="inlineStr">
        <is>
          <t>1</t>
        </is>
      </c>
      <c r="G1414" s="9" t="n">
        <v>12.94</v>
      </c>
      <c r="H1414" s="8" t="inlineStr">
        <is>
          <t>0.05</t>
        </is>
      </c>
      <c r="I1414" s="8" t="inlineStr">
        <is>
          <t>Standard Ground</t>
        </is>
      </c>
      <c r="J1414" s="8" t="inlineStr">
        <is>
          <t>Mobile App</t>
        </is>
      </c>
      <c r="K1414" s="8" t="inlineStr">
        <is>
          <t>REG-NA</t>
        </is>
      </c>
    </row>
    <row r="1415">
      <c r="A1415" s="8" t="inlineStr">
        <is>
          <t>ORD-000701</t>
        </is>
      </c>
      <c r="B1415" s="8" t="inlineStr">
        <is>
          <t>2024-02-15</t>
        </is>
      </c>
      <c r="C1415" s="8" t="inlineStr">
        <is>
          <t>CUST-06475</t>
        </is>
      </c>
      <c r="D1415" s="8" t="inlineStr">
        <is>
          <t>Mary Perez</t>
        </is>
      </c>
      <c r="E1415" s="8" t="inlineStr">
        <is>
          <t>PRD-0079</t>
        </is>
      </c>
      <c r="F1415" s="8" t="inlineStr">
        <is>
          <t>1</t>
        </is>
      </c>
      <c r="G1415" s="9" t="n">
        <v>1234.41</v>
      </c>
      <c r="H1415" s="8" t="inlineStr">
        <is>
          <t>0.05</t>
        </is>
      </c>
      <c r="I1415" s="8" t="inlineStr">
        <is>
          <t>Standard Ground</t>
        </is>
      </c>
      <c r="J1415" s="8" t="inlineStr">
        <is>
          <t>Mobile App</t>
        </is>
      </c>
      <c r="K1415" s="8" t="inlineStr">
        <is>
          <t>REG-NA</t>
        </is>
      </c>
    </row>
    <row r="1416">
      <c r="A1416" s="8" t="inlineStr">
        <is>
          <t>ORD-000702</t>
        </is>
      </c>
      <c r="B1416" s="8" t="inlineStr">
        <is>
          <t>2023-10-12</t>
        </is>
      </c>
      <c r="C1416" s="8" t="inlineStr">
        <is>
          <t>CUST-05412</t>
        </is>
      </c>
      <c r="D1416" s="8" t="inlineStr">
        <is>
          <t>George Roberts</t>
        </is>
      </c>
      <c r="E1416" s="8" t="inlineStr">
        <is>
          <t>PRD-0107</t>
        </is>
      </c>
      <c r="F1416" s="8" t="inlineStr">
        <is>
          <t>1</t>
        </is>
      </c>
      <c r="G1416" s="9" t="n">
        <v>754.95</v>
      </c>
      <c r="H1416" s="8" t="inlineStr">
        <is>
          <t>0.05</t>
        </is>
      </c>
      <c r="I1416" s="8" t="inlineStr">
        <is>
          <t>Standard Ground</t>
        </is>
      </c>
      <c r="J1416" s="8" t="inlineStr">
        <is>
          <t>Mobile App</t>
        </is>
      </c>
      <c r="K1416" s="8" t="inlineStr">
        <is>
          <t>REG-NA</t>
        </is>
      </c>
    </row>
    <row r="1417">
      <c r="A1417" s="8" t="inlineStr">
        <is>
          <t>ORD-000702</t>
        </is>
      </c>
      <c r="B1417" s="8" t="inlineStr">
        <is>
          <t>2023-10-12</t>
        </is>
      </c>
      <c r="C1417" s="8" t="inlineStr">
        <is>
          <t>CUST-05412</t>
        </is>
      </c>
      <c r="D1417" s="8" t="inlineStr">
        <is>
          <t>George Roberts</t>
        </is>
      </c>
      <c r="E1417" s="8" t="inlineStr">
        <is>
          <t>PRD-0203</t>
        </is>
      </c>
      <c r="F1417" s="8" t="inlineStr">
        <is>
          <t>1</t>
        </is>
      </c>
      <c r="G1417" s="9" t="n">
        <v>991.36</v>
      </c>
      <c r="H1417" s="8" t="inlineStr">
        <is>
          <t>0.2</t>
        </is>
      </c>
      <c r="I1417" s="8" t="inlineStr">
        <is>
          <t>Standard Ground</t>
        </is>
      </c>
      <c r="J1417" s="8" t="inlineStr">
        <is>
          <t>Mobile App</t>
        </is>
      </c>
      <c r="K1417" s="8" t="inlineStr">
        <is>
          <t>REG-NA</t>
        </is>
      </c>
    </row>
    <row r="1418">
      <c r="A1418" s="8" t="inlineStr">
        <is>
          <t>ORD-000703</t>
        </is>
      </c>
      <c r="B1418" s="8" t="inlineStr">
        <is>
          <t>2024-06-10</t>
        </is>
      </c>
      <c r="C1418" s="8" t="inlineStr">
        <is>
          <t>CUST-00953</t>
        </is>
      </c>
      <c r="D1418" s="8" t="inlineStr">
        <is>
          <t>Jerry Williams</t>
        </is>
      </c>
      <c r="E1418" s="8" t="inlineStr">
        <is>
          <t>PRD-0434</t>
        </is>
      </c>
      <c r="F1418" s="8" t="inlineStr">
        <is>
          <t>1</t>
        </is>
      </c>
      <c r="G1418" s="9" t="n">
        <v>899.59</v>
      </c>
      <c r="H1418" s="8" t="inlineStr">
        <is>
          <t>0.05</t>
        </is>
      </c>
      <c r="I1418" s="8" t="inlineStr">
        <is>
          <t>Standard Ground</t>
        </is>
      </c>
      <c r="J1418" s="8" t="inlineStr">
        <is>
          <t>Mobile App</t>
        </is>
      </c>
      <c r="K1418" s="8" t="inlineStr">
        <is>
          <t>REG-APAC</t>
        </is>
      </c>
    </row>
    <row r="1419">
      <c r="A1419" s="8" t="inlineStr">
        <is>
          <t>ORD-000704</t>
        </is>
      </c>
      <c r="B1419" s="8" t="inlineStr">
        <is>
          <t>2023-11-17</t>
        </is>
      </c>
      <c r="C1419" s="8" t="inlineStr">
        <is>
          <t>CUST-04862</t>
        </is>
      </c>
      <c r="D1419" s="8" t="inlineStr">
        <is>
          <t>Anna Jones</t>
        </is>
      </c>
      <c r="E1419" s="8" t="inlineStr">
        <is>
          <t>PRD-0264</t>
        </is>
      </c>
      <c r="F1419" s="8" t="inlineStr">
        <is>
          <t>2</t>
        </is>
      </c>
      <c r="G1419" s="9" t="n">
        <v>705.08</v>
      </c>
      <c r="H1419" s="8" t="inlineStr">
        <is>
          <t>0.0</t>
        </is>
      </c>
      <c r="I1419" s="8" t="inlineStr">
        <is>
          <t>Express Air</t>
        </is>
      </c>
      <c r="J1419" s="8" t="inlineStr">
        <is>
          <t>Mobile App</t>
        </is>
      </c>
      <c r="K1419" s="8" t="inlineStr">
        <is>
          <t>REG-EU</t>
        </is>
      </c>
    </row>
    <row r="1420">
      <c r="A1420" s="8" t="inlineStr">
        <is>
          <t>ORD-000704</t>
        </is>
      </c>
      <c r="B1420" s="8" t="inlineStr">
        <is>
          <t>2023-11-17</t>
        </is>
      </c>
      <c r="C1420" s="8" t="inlineStr">
        <is>
          <t>CUST-04862</t>
        </is>
      </c>
      <c r="D1420" s="8" t="inlineStr">
        <is>
          <t>Anna Jones</t>
        </is>
      </c>
      <c r="E1420" s="8" t="inlineStr">
        <is>
          <t>PRD-0366</t>
        </is>
      </c>
      <c r="F1420" s="8" t="inlineStr">
        <is>
          <t>5</t>
        </is>
      </c>
      <c r="G1420" s="9" t="n">
        <v>772.59</v>
      </c>
      <c r="H1420" s="8" t="inlineStr">
        <is>
          <t>0.0</t>
        </is>
      </c>
      <c r="I1420" s="8" t="inlineStr">
        <is>
          <t>Express Air</t>
        </is>
      </c>
      <c r="J1420" s="8" t="inlineStr">
        <is>
          <t>Mobile App</t>
        </is>
      </c>
      <c r="K1420" s="8" t="inlineStr">
        <is>
          <t>REG-EU</t>
        </is>
      </c>
    </row>
    <row r="1421">
      <c r="A1421" s="8" t="inlineStr">
        <is>
          <t>ORD-000704</t>
        </is>
      </c>
      <c r="B1421" s="8" t="inlineStr">
        <is>
          <t>2023-11-17</t>
        </is>
      </c>
      <c r="C1421" s="8" t="inlineStr">
        <is>
          <t>CUST-04862</t>
        </is>
      </c>
      <c r="D1421" s="8" t="inlineStr">
        <is>
          <t>Anna Jones</t>
        </is>
      </c>
      <c r="E1421" s="8" t="inlineStr">
        <is>
          <t>PRD-0076</t>
        </is>
      </c>
      <c r="F1421" s="8" t="inlineStr">
        <is>
          <t>1</t>
        </is>
      </c>
      <c r="G1421" s="9" t="n">
        <v>83.40000000000001</v>
      </c>
      <c r="H1421" s="8" t="inlineStr">
        <is>
          <t>0.0</t>
        </is>
      </c>
      <c r="I1421" s="8" t="inlineStr">
        <is>
          <t>Express Air</t>
        </is>
      </c>
      <c r="J1421" s="8" t="inlineStr">
        <is>
          <t>Mobile App</t>
        </is>
      </c>
      <c r="K1421" s="8" t="inlineStr">
        <is>
          <t>REG-EU</t>
        </is>
      </c>
    </row>
    <row r="1422">
      <c r="A1422" s="8" t="inlineStr">
        <is>
          <t>ORD-000704</t>
        </is>
      </c>
      <c r="B1422" s="8" t="inlineStr">
        <is>
          <t>2023-11-17</t>
        </is>
      </c>
      <c r="C1422" s="8" t="inlineStr">
        <is>
          <t>CUST-04862</t>
        </is>
      </c>
      <c r="D1422" s="8" t="inlineStr">
        <is>
          <t>Anna Jones</t>
        </is>
      </c>
      <c r="E1422" s="8" t="inlineStr">
        <is>
          <t>PRD-0073</t>
        </is>
      </c>
      <c r="F1422" s="8" t="inlineStr">
        <is>
          <t>1</t>
        </is>
      </c>
      <c r="G1422" s="9" t="n">
        <v>508.7</v>
      </c>
      <c r="H1422" s="8" t="inlineStr">
        <is>
          <t>0.0</t>
        </is>
      </c>
      <c r="I1422" s="8" t="inlineStr">
        <is>
          <t>Express Air</t>
        </is>
      </c>
      <c r="J1422" s="8" t="inlineStr">
        <is>
          <t>Mobile App</t>
        </is>
      </c>
      <c r="K1422" s="8" t="inlineStr">
        <is>
          <t>REG-EU</t>
        </is>
      </c>
    </row>
    <row r="1423">
      <c r="A1423" s="8" t="inlineStr">
        <is>
          <t>ORD-000705</t>
        </is>
      </c>
      <c r="B1423" s="8" t="inlineStr">
        <is>
          <t>2024-05-18</t>
        </is>
      </c>
      <c r="C1423" s="8" t="inlineStr">
        <is>
          <t>CUST-02452</t>
        </is>
      </c>
      <c r="D1423" s="8" t="inlineStr">
        <is>
          <t>Karen Nelson</t>
        </is>
      </c>
      <c r="E1423" s="8" t="inlineStr">
        <is>
          <t>PRD-0200</t>
        </is>
      </c>
      <c r="F1423" s="8" t="inlineStr">
        <is>
          <t>2</t>
        </is>
      </c>
      <c r="G1423" s="9" t="n">
        <v>977</v>
      </c>
      <c r="H1423" s="8" t="inlineStr">
        <is>
          <t>0.05</t>
        </is>
      </c>
      <c r="I1423" s="8" t="inlineStr">
        <is>
          <t>Standard Ground</t>
        </is>
      </c>
      <c r="J1423" s="8" t="inlineStr">
        <is>
          <t>Direct Web</t>
        </is>
      </c>
      <c r="K1423" s="8" t="inlineStr">
        <is>
          <t>REG-NA</t>
        </is>
      </c>
    </row>
    <row r="1424">
      <c r="A1424" s="8" t="inlineStr">
        <is>
          <t>ORD-000705</t>
        </is>
      </c>
      <c r="B1424" s="8" t="inlineStr">
        <is>
          <t>2024-05-18</t>
        </is>
      </c>
      <c r="C1424" s="8" t="inlineStr">
        <is>
          <t>CUST-02452</t>
        </is>
      </c>
      <c r="D1424" s="8" t="inlineStr">
        <is>
          <t>Karen Nelson</t>
        </is>
      </c>
      <c r="E1424" s="8" t="inlineStr">
        <is>
          <t>PRD-0284</t>
        </is>
      </c>
      <c r="F1424" s="8" t="inlineStr">
        <is>
          <t>1</t>
        </is>
      </c>
      <c r="G1424" s="9" t="n">
        <v>621.83</v>
      </c>
      <c r="H1424" s="8" t="inlineStr">
        <is>
          <t>0.1</t>
        </is>
      </c>
      <c r="I1424" s="8" t="inlineStr">
        <is>
          <t>Standard Ground</t>
        </is>
      </c>
      <c r="J1424" s="8" t="inlineStr">
        <is>
          <t>Direct Web</t>
        </is>
      </c>
      <c r="K1424" s="8" t="inlineStr">
        <is>
          <t>REG-NA</t>
        </is>
      </c>
    </row>
    <row r="1425">
      <c r="A1425" s="8" t="inlineStr">
        <is>
          <t>ORD-000705</t>
        </is>
      </c>
      <c r="B1425" s="8" t="inlineStr">
        <is>
          <t>2024-05-18</t>
        </is>
      </c>
      <c r="C1425" s="8" t="inlineStr">
        <is>
          <t>CUST-02452</t>
        </is>
      </c>
      <c r="D1425" s="8" t="inlineStr">
        <is>
          <t>Karen Nelson</t>
        </is>
      </c>
      <c r="E1425" s="8" t="inlineStr">
        <is>
          <t>PRD-0461</t>
        </is>
      </c>
      <c r="F1425" s="8" t="inlineStr">
        <is>
          <t>2</t>
        </is>
      </c>
      <c r="G1425" s="9" t="n">
        <v>724.9299999999999</v>
      </c>
      <c r="H1425" s="8" t="inlineStr">
        <is>
          <t>0.0</t>
        </is>
      </c>
      <c r="I1425" s="8" t="inlineStr">
        <is>
          <t>Standard Ground</t>
        </is>
      </c>
      <c r="J1425" s="8" t="inlineStr">
        <is>
          <t>Direct Web</t>
        </is>
      </c>
      <c r="K1425" s="8" t="inlineStr">
        <is>
          <t>REG-NA</t>
        </is>
      </c>
    </row>
    <row r="1426">
      <c r="A1426" s="8" t="inlineStr">
        <is>
          <t>ORD-000706</t>
        </is>
      </c>
      <c r="B1426" s="8" t="inlineStr">
        <is>
          <t>2023-12-02</t>
        </is>
      </c>
      <c r="C1426" s="8" t="inlineStr">
        <is>
          <t>CUST-04833</t>
        </is>
      </c>
      <c r="D1426" s="8" t="inlineStr">
        <is>
          <t>Kevin Evans</t>
        </is>
      </c>
      <c r="E1426" s="8" t="inlineStr">
        <is>
          <t>PRD-0169</t>
        </is>
      </c>
      <c r="F1426" s="8" t="inlineStr">
        <is>
          <t>1</t>
        </is>
      </c>
      <c r="G1426" s="9" t="n">
        <v>68.87</v>
      </c>
      <c r="H1426" s="8" t="inlineStr">
        <is>
          <t>0.05</t>
        </is>
      </c>
      <c r="I1426" s="8" t="inlineStr">
        <is>
          <t>Standard Ground</t>
        </is>
      </c>
      <c r="J1426" s="8" t="inlineStr">
        <is>
          <t>B2B Portal</t>
        </is>
      </c>
      <c r="K1426" s="8" t="inlineStr">
        <is>
          <t>REG-NA</t>
        </is>
      </c>
    </row>
    <row r="1427">
      <c r="A1427" s="8" t="inlineStr">
        <is>
          <t>ORD-000706</t>
        </is>
      </c>
      <c r="B1427" s="8" t="inlineStr">
        <is>
          <t>2023-12-02</t>
        </is>
      </c>
      <c r="C1427" s="8" t="inlineStr">
        <is>
          <t>CUST-04833</t>
        </is>
      </c>
      <c r="D1427" s="8" t="inlineStr">
        <is>
          <t>Kevin Evans</t>
        </is>
      </c>
      <c r="E1427" s="8" t="inlineStr">
        <is>
          <t>PRD-0481</t>
        </is>
      </c>
      <c r="F1427" s="8" t="inlineStr">
        <is>
          <t>1</t>
        </is>
      </c>
      <c r="G1427" s="9" t="n">
        <v>143.11</v>
      </c>
      <c r="H1427" s="8" t="inlineStr">
        <is>
          <t>0.05</t>
        </is>
      </c>
      <c r="I1427" s="8" t="inlineStr">
        <is>
          <t>Standard Ground</t>
        </is>
      </c>
      <c r="J1427" s="8" t="inlineStr">
        <is>
          <t>B2B Portal</t>
        </is>
      </c>
      <c r="K1427" s="8" t="inlineStr">
        <is>
          <t>REG-NA</t>
        </is>
      </c>
    </row>
    <row r="1428">
      <c r="A1428" s="8" t="inlineStr">
        <is>
          <t>ORD-000707</t>
        </is>
      </c>
      <c r="B1428" s="8" t="inlineStr">
        <is>
          <t>2023-05-08</t>
        </is>
      </c>
      <c r="C1428" s="8" t="inlineStr">
        <is>
          <t>CUST-05600</t>
        </is>
      </c>
      <c r="D1428" s="8" t="inlineStr">
        <is>
          <t>Jeffrey Campbell</t>
        </is>
      </c>
      <c r="E1428" s="8" t="inlineStr">
        <is>
          <t>PRD-0252</t>
        </is>
      </c>
      <c r="F1428" s="8" t="inlineStr">
        <is>
          <t>1</t>
        </is>
      </c>
      <c r="G1428" s="9" t="n">
        <v>332.85</v>
      </c>
      <c r="H1428" s="8" t="inlineStr">
        <is>
          <t>0.0</t>
        </is>
      </c>
      <c r="I1428" s="8" t="inlineStr">
        <is>
          <t>Standard Ground</t>
        </is>
      </c>
      <c r="J1428" s="8" t="inlineStr">
        <is>
          <t>Direct Web</t>
        </is>
      </c>
      <c r="K1428" s="8" t="inlineStr">
        <is>
          <t>REG-NA</t>
        </is>
      </c>
    </row>
    <row r="1429">
      <c r="A1429" s="8" t="inlineStr">
        <is>
          <t>ORD-000707</t>
        </is>
      </c>
      <c r="B1429" s="8" t="inlineStr">
        <is>
          <t>2023-05-08</t>
        </is>
      </c>
      <c r="C1429" s="8" t="inlineStr">
        <is>
          <t>CUST-05600</t>
        </is>
      </c>
      <c r="D1429" s="8" t="inlineStr">
        <is>
          <t>Jeffrey Campbell</t>
        </is>
      </c>
      <c r="E1429" s="8" t="inlineStr">
        <is>
          <t>PRD-0411</t>
        </is>
      </c>
      <c r="F1429" s="8" t="inlineStr">
        <is>
          <t>1</t>
        </is>
      </c>
      <c r="G1429" s="9" t="n">
        <v>126.22</v>
      </c>
      <c r="H1429" s="8" t="inlineStr">
        <is>
          <t>0.1</t>
        </is>
      </c>
      <c r="I1429" s="8" t="inlineStr">
        <is>
          <t>Standard Ground</t>
        </is>
      </c>
      <c r="J1429" s="8" t="inlineStr">
        <is>
          <t>Direct Web</t>
        </is>
      </c>
      <c r="K1429" s="8" t="inlineStr">
        <is>
          <t>REG-NA</t>
        </is>
      </c>
    </row>
    <row r="1430">
      <c r="A1430" s="8" t="inlineStr">
        <is>
          <t>ORD-000707</t>
        </is>
      </c>
      <c r="B1430" s="8" t="inlineStr">
        <is>
          <t>2023-05-08</t>
        </is>
      </c>
      <c r="C1430" s="8" t="inlineStr">
        <is>
          <t>CUST-05600</t>
        </is>
      </c>
      <c r="D1430" s="8" t="inlineStr">
        <is>
          <t>Jeffrey Campbell</t>
        </is>
      </c>
      <c r="E1430" s="8" t="inlineStr">
        <is>
          <t>PRD-0042</t>
        </is>
      </c>
      <c r="F1430" s="8" t="inlineStr">
        <is>
          <t>1</t>
        </is>
      </c>
      <c r="G1430" s="9" t="n">
        <v>758.99</v>
      </c>
      <c r="H1430" s="8" t="inlineStr">
        <is>
          <t>0.0</t>
        </is>
      </c>
      <c r="I1430" s="8" t="inlineStr">
        <is>
          <t>Standard Ground</t>
        </is>
      </c>
      <c r="J1430" s="8" t="inlineStr">
        <is>
          <t>Direct Web</t>
        </is>
      </c>
      <c r="K1430" s="8" t="inlineStr">
        <is>
          <t>REG-NA</t>
        </is>
      </c>
    </row>
    <row r="1431">
      <c r="A1431" s="8" t="inlineStr">
        <is>
          <t>ORD-000708</t>
        </is>
      </c>
      <c r="B1431" s="8" t="inlineStr">
        <is>
          <t>2025-09-15</t>
        </is>
      </c>
      <c r="C1431" s="8" t="inlineStr">
        <is>
          <t>CUST-06785</t>
        </is>
      </c>
      <c r="D1431" s="8" t="inlineStr">
        <is>
          <t>Brian Cook</t>
        </is>
      </c>
      <c r="E1431" s="8" t="inlineStr">
        <is>
          <t>PRD-0205</t>
        </is>
      </c>
      <c r="F1431" s="8" t="inlineStr">
        <is>
          <t>1</t>
        </is>
      </c>
      <c r="G1431" s="9" t="n">
        <v>385.35</v>
      </c>
      <c r="H1431" s="8" t="inlineStr">
        <is>
          <t>0.0</t>
        </is>
      </c>
      <c r="I1431" s="8" t="inlineStr">
        <is>
          <t>Standard Ground</t>
        </is>
      </c>
      <c r="J1431" s="8" t="inlineStr">
        <is>
          <t>Mobile App</t>
        </is>
      </c>
      <c r="K1431" s="8" t="inlineStr">
        <is>
          <t>REG-NA</t>
        </is>
      </c>
    </row>
    <row r="1432">
      <c r="A1432" s="8" t="inlineStr">
        <is>
          <t>ORD-000708</t>
        </is>
      </c>
      <c r="B1432" s="8" t="inlineStr">
        <is>
          <t>2025-09-15</t>
        </is>
      </c>
      <c r="C1432" s="8" t="inlineStr">
        <is>
          <t>CUST-06785</t>
        </is>
      </c>
      <c r="D1432" s="8" t="inlineStr">
        <is>
          <t>Brian Cook</t>
        </is>
      </c>
      <c r="E1432" s="8" t="inlineStr">
        <is>
          <t>PRD-0338</t>
        </is>
      </c>
      <c r="F1432" s="8" t="inlineStr">
        <is>
          <t>1</t>
        </is>
      </c>
      <c r="G1432" s="9" t="n">
        <v>76.98999999999999</v>
      </c>
      <c r="H1432" s="8" t="inlineStr">
        <is>
          <t>0.05</t>
        </is>
      </c>
      <c r="I1432" s="8" t="inlineStr">
        <is>
          <t>Standard Ground</t>
        </is>
      </c>
      <c r="J1432" s="8" t="inlineStr">
        <is>
          <t>Mobile App</t>
        </is>
      </c>
      <c r="K1432" s="8" t="inlineStr">
        <is>
          <t>REG-NA</t>
        </is>
      </c>
    </row>
    <row r="1433">
      <c r="A1433" s="8" t="inlineStr">
        <is>
          <t>ORD-000708</t>
        </is>
      </c>
      <c r="B1433" s="8" t="inlineStr">
        <is>
          <t>2025-09-15</t>
        </is>
      </c>
      <c r="C1433" s="8" t="inlineStr">
        <is>
          <t>CUST-06785</t>
        </is>
      </c>
      <c r="D1433" s="8" t="inlineStr">
        <is>
          <t>Brian Cook</t>
        </is>
      </c>
      <c r="E1433" s="8" t="inlineStr">
        <is>
          <t>PRD-0171</t>
        </is>
      </c>
      <c r="F1433" s="8" t="inlineStr">
        <is>
          <t>1</t>
        </is>
      </c>
      <c r="G1433" s="9" t="n">
        <v>143.61</v>
      </c>
      <c r="H1433" s="8" t="inlineStr">
        <is>
          <t>0.15</t>
        </is>
      </c>
      <c r="I1433" s="8" t="inlineStr">
        <is>
          <t>Standard Ground</t>
        </is>
      </c>
      <c r="J1433" s="8" t="inlineStr">
        <is>
          <t>Mobile App</t>
        </is>
      </c>
      <c r="K1433" s="8" t="inlineStr">
        <is>
          <t>REG-NA</t>
        </is>
      </c>
    </row>
    <row r="1434">
      <c r="A1434" s="8" t="inlineStr">
        <is>
          <t>ORD-000709</t>
        </is>
      </c>
      <c r="B1434" s="8" t="inlineStr">
        <is>
          <t>2024-01-05</t>
        </is>
      </c>
      <c r="C1434" s="8" t="inlineStr">
        <is>
          <t>CUST-03742</t>
        </is>
      </c>
      <c r="D1434" s="8" t="inlineStr">
        <is>
          <t>Jeffrey Cook</t>
        </is>
      </c>
      <c r="E1434" s="8" t="inlineStr">
        <is>
          <t>PRD-0111</t>
        </is>
      </c>
      <c r="F1434" s="8" t="inlineStr">
        <is>
          <t>1</t>
        </is>
      </c>
      <c r="G1434" s="9" t="n">
        <v>63.37</v>
      </c>
      <c r="H1434" s="8" t="inlineStr">
        <is>
          <t>0.1</t>
        </is>
      </c>
      <c r="I1434" s="8" t="inlineStr">
        <is>
          <t>Standard Ground</t>
        </is>
      </c>
      <c r="J1434" s="8" t="inlineStr">
        <is>
          <t>B2B Portal</t>
        </is>
      </c>
      <c r="K1434" s="8" t="inlineStr">
        <is>
          <t>REG-NA</t>
        </is>
      </c>
    </row>
    <row r="1435">
      <c r="A1435" s="8" t="inlineStr">
        <is>
          <t>ORD-000709</t>
        </is>
      </c>
      <c r="B1435" s="8" t="inlineStr">
        <is>
          <t>2024-01-05</t>
        </is>
      </c>
      <c r="C1435" s="8" t="inlineStr">
        <is>
          <t>CUST-03742</t>
        </is>
      </c>
      <c r="D1435" s="8" t="inlineStr">
        <is>
          <t>Jeffrey Cook</t>
        </is>
      </c>
      <c r="E1435" s="8" t="inlineStr">
        <is>
          <t>PRD-0439</t>
        </is>
      </c>
      <c r="F1435" s="8" t="inlineStr">
        <is>
          <t>1</t>
        </is>
      </c>
      <c r="G1435" s="9" t="n">
        <v>807.98</v>
      </c>
      <c r="H1435" s="8" t="inlineStr">
        <is>
          <t>0.05</t>
        </is>
      </c>
      <c r="I1435" s="8" t="inlineStr">
        <is>
          <t>Standard Ground</t>
        </is>
      </c>
      <c r="J1435" s="8" t="inlineStr">
        <is>
          <t>B2B Portal</t>
        </is>
      </c>
      <c r="K1435" s="8" t="inlineStr">
        <is>
          <t>REG-NA</t>
        </is>
      </c>
    </row>
    <row r="1436">
      <c r="A1436" s="8" t="inlineStr">
        <is>
          <t>ORD-000709</t>
        </is>
      </c>
      <c r="B1436" s="8" t="inlineStr">
        <is>
          <t>2024-01-05</t>
        </is>
      </c>
      <c r="C1436" s="8" t="inlineStr">
        <is>
          <t>CUST-03742</t>
        </is>
      </c>
      <c r="D1436" s="8" t="inlineStr">
        <is>
          <t>Jeffrey Cook</t>
        </is>
      </c>
      <c r="E1436" s="8" t="inlineStr">
        <is>
          <t>PRD-0236</t>
        </is>
      </c>
      <c r="F1436" s="8" t="inlineStr">
        <is>
          <t>1</t>
        </is>
      </c>
      <c r="G1436" s="9" t="n">
        <v>128.74</v>
      </c>
      <c r="H1436" s="8" t="inlineStr">
        <is>
          <t>0.0</t>
        </is>
      </c>
      <c r="I1436" s="8" t="inlineStr">
        <is>
          <t>Standard Ground</t>
        </is>
      </c>
      <c r="J1436" s="8" t="inlineStr">
        <is>
          <t>B2B Portal</t>
        </is>
      </c>
      <c r="K1436" s="8" t="inlineStr">
        <is>
          <t>REG-NA</t>
        </is>
      </c>
    </row>
    <row r="1437">
      <c r="A1437" s="8" t="inlineStr">
        <is>
          <t>ORD-000710</t>
        </is>
      </c>
      <c r="B1437" s="8" t="inlineStr">
        <is>
          <t>2023-06-14</t>
        </is>
      </c>
      <c r="C1437" s="8" t="inlineStr">
        <is>
          <t>CUST-07439</t>
        </is>
      </c>
      <c r="D1437" s="8" t="inlineStr">
        <is>
          <t>George Kim</t>
        </is>
      </c>
      <c r="E1437" s="8" t="inlineStr">
        <is>
          <t>PRD-0077</t>
        </is>
      </c>
      <c r="F1437" s="8" t="inlineStr">
        <is>
          <t>1</t>
        </is>
      </c>
      <c r="G1437" s="9" t="n">
        <v>1210.48</v>
      </c>
      <c r="H1437" s="8" t="inlineStr">
        <is>
          <t>0.15</t>
        </is>
      </c>
      <c r="I1437" s="8" t="inlineStr">
        <is>
          <t>Standard Ground</t>
        </is>
      </c>
      <c r="J1437" s="8" t="inlineStr">
        <is>
          <t>Direct Web</t>
        </is>
      </c>
      <c r="K1437" s="8" t="inlineStr">
        <is>
          <t>REG-NA</t>
        </is>
      </c>
    </row>
    <row r="1438">
      <c r="A1438" s="8" t="inlineStr">
        <is>
          <t>ORD-000710</t>
        </is>
      </c>
      <c r="B1438" s="8" t="inlineStr">
        <is>
          <t>2023-06-14</t>
        </is>
      </c>
      <c r="C1438" s="8" t="inlineStr">
        <is>
          <t>CUST-07439</t>
        </is>
      </c>
      <c r="D1438" s="8" t="inlineStr">
        <is>
          <t>George Kim</t>
        </is>
      </c>
      <c r="E1438" s="8" t="inlineStr">
        <is>
          <t>PRD-0480</t>
        </is>
      </c>
      <c r="F1438" s="8" t="inlineStr">
        <is>
          <t>1</t>
        </is>
      </c>
      <c r="G1438" s="9" t="n">
        <v>122.63</v>
      </c>
      <c r="H1438" s="8" t="inlineStr">
        <is>
          <t>0.0</t>
        </is>
      </c>
      <c r="I1438" s="8" t="inlineStr">
        <is>
          <t>Standard Ground</t>
        </is>
      </c>
      <c r="J1438" s="8" t="inlineStr">
        <is>
          <t>Direct Web</t>
        </is>
      </c>
      <c r="K1438" s="8" t="inlineStr">
        <is>
          <t>REG-NA</t>
        </is>
      </c>
    </row>
    <row r="1439">
      <c r="A1439" s="8" t="inlineStr">
        <is>
          <t>ORD-000710</t>
        </is>
      </c>
      <c r="B1439" s="8" t="inlineStr">
        <is>
          <t>2023-06-14</t>
        </is>
      </c>
      <c r="C1439" s="8" t="inlineStr">
        <is>
          <t>CUST-07439</t>
        </is>
      </c>
      <c r="D1439" s="8" t="inlineStr">
        <is>
          <t>George Kim</t>
        </is>
      </c>
      <c r="E1439" s="8" t="inlineStr">
        <is>
          <t>PRD-0426</t>
        </is>
      </c>
      <c r="F1439" s="8" t="inlineStr">
        <is>
          <t>1</t>
        </is>
      </c>
      <c r="G1439" s="9" t="n">
        <v>51.71</v>
      </c>
      <c r="H1439" s="8" t="inlineStr">
        <is>
          <t>0.0</t>
        </is>
      </c>
      <c r="I1439" s="8" t="inlineStr">
        <is>
          <t>Standard Ground</t>
        </is>
      </c>
      <c r="J1439" s="8" t="inlineStr">
        <is>
          <t>Direct Web</t>
        </is>
      </c>
      <c r="K1439" s="8" t="inlineStr">
        <is>
          <t>REG-NA</t>
        </is>
      </c>
    </row>
    <row r="1440">
      <c r="A1440" s="8" t="inlineStr">
        <is>
          <t>ORD-000710</t>
        </is>
      </c>
      <c r="B1440" s="8" t="inlineStr">
        <is>
          <t>2023-06-14</t>
        </is>
      </c>
      <c r="C1440" s="8" t="inlineStr">
        <is>
          <t>CUST-07439</t>
        </is>
      </c>
      <c r="D1440" s="8" t="inlineStr">
        <is>
          <t>George Kim</t>
        </is>
      </c>
      <c r="E1440" s="8" t="inlineStr">
        <is>
          <t>PRD-0074</t>
        </is>
      </c>
      <c r="F1440" s="8" t="inlineStr">
        <is>
          <t>4</t>
        </is>
      </c>
      <c r="G1440" s="9" t="n">
        <v>405.95</v>
      </c>
      <c r="H1440" s="8" t="inlineStr">
        <is>
          <t>0.1</t>
        </is>
      </c>
      <c r="I1440" s="8" t="inlineStr">
        <is>
          <t>Standard Ground</t>
        </is>
      </c>
      <c r="J1440" s="8" t="inlineStr">
        <is>
          <t>Direct Web</t>
        </is>
      </c>
      <c r="K1440" s="8" t="inlineStr">
        <is>
          <t>REG-NA</t>
        </is>
      </c>
    </row>
    <row r="1441">
      <c r="A1441" s="8" t="inlineStr">
        <is>
          <t>ORD-000711</t>
        </is>
      </c>
      <c r="B1441" s="8" t="inlineStr">
        <is>
          <t>2025-12-13</t>
        </is>
      </c>
      <c r="C1441" s="8" t="inlineStr">
        <is>
          <t>CUST-03520</t>
        </is>
      </c>
      <c r="D1441" s="8" t="inlineStr">
        <is>
          <t>Melissa Clark</t>
        </is>
      </c>
      <c r="E1441" s="8" t="inlineStr">
        <is>
          <t>PRD-0218</t>
        </is>
      </c>
      <c r="F1441" s="8" t="inlineStr">
        <is>
          <t>1</t>
        </is>
      </c>
      <c r="G1441" s="9" t="n">
        <v>468.61</v>
      </c>
      <c r="H1441" s="8" t="inlineStr">
        <is>
          <t>0.0</t>
        </is>
      </c>
      <c r="I1441" s="8" t="inlineStr">
        <is>
          <t>Standard Ground</t>
        </is>
      </c>
      <c r="J1441" s="8" t="inlineStr">
        <is>
          <t>Mobile App</t>
        </is>
      </c>
      <c r="K1441" s="8" t="inlineStr">
        <is>
          <t>REG-EU</t>
        </is>
      </c>
    </row>
    <row r="1442">
      <c r="A1442" s="8" t="inlineStr">
        <is>
          <t>ORD-000711</t>
        </is>
      </c>
      <c r="B1442" s="8" t="inlineStr">
        <is>
          <t>2025-12-13</t>
        </is>
      </c>
      <c r="C1442" s="8" t="inlineStr">
        <is>
          <t>CUST-03520</t>
        </is>
      </c>
      <c r="D1442" s="8" t="inlineStr">
        <is>
          <t>Melissa Clark</t>
        </is>
      </c>
      <c r="E1442" s="8" t="inlineStr">
        <is>
          <t>PRD-0107</t>
        </is>
      </c>
      <c r="F1442" s="8" t="inlineStr">
        <is>
          <t>1</t>
        </is>
      </c>
      <c r="G1442" s="9" t="n">
        <v>754.95</v>
      </c>
      <c r="H1442" s="8" t="inlineStr">
        <is>
          <t>0.0</t>
        </is>
      </c>
      <c r="I1442" s="8" t="inlineStr">
        <is>
          <t>Standard Ground</t>
        </is>
      </c>
      <c r="J1442" s="8" t="inlineStr">
        <is>
          <t>Mobile App</t>
        </is>
      </c>
      <c r="K1442" s="8" t="inlineStr">
        <is>
          <t>REG-EU</t>
        </is>
      </c>
    </row>
    <row r="1443">
      <c r="A1443" s="8" t="inlineStr">
        <is>
          <t>ORD-000711</t>
        </is>
      </c>
      <c r="B1443" s="8" t="inlineStr">
        <is>
          <t>2025-12-13</t>
        </is>
      </c>
      <c r="C1443" s="8" t="inlineStr">
        <is>
          <t>CUST-03520</t>
        </is>
      </c>
      <c r="D1443" s="8" t="inlineStr">
        <is>
          <t>Melissa Clark</t>
        </is>
      </c>
      <c r="E1443" s="8" t="inlineStr">
        <is>
          <t>PRD-0007</t>
        </is>
      </c>
      <c r="F1443" s="8" t="inlineStr">
        <is>
          <t>1</t>
        </is>
      </c>
      <c r="G1443" s="9" t="n">
        <v>254.43</v>
      </c>
      <c r="H1443" s="8" t="inlineStr">
        <is>
          <t>0.05</t>
        </is>
      </c>
      <c r="I1443" s="8" t="inlineStr">
        <is>
          <t>Standard Ground</t>
        </is>
      </c>
      <c r="J1443" s="8" t="inlineStr">
        <is>
          <t>Mobile App</t>
        </is>
      </c>
      <c r="K1443" s="8" t="inlineStr">
        <is>
          <t>REG-EU</t>
        </is>
      </c>
    </row>
    <row r="1444">
      <c r="A1444" s="8" t="inlineStr">
        <is>
          <t>ORD-000712</t>
        </is>
      </c>
      <c r="B1444" s="8" t="inlineStr">
        <is>
          <t>2025-07-10</t>
        </is>
      </c>
      <c r="C1444" s="8" t="inlineStr">
        <is>
          <t>CUST-06851</t>
        </is>
      </c>
      <c r="D1444" s="8" t="inlineStr">
        <is>
          <t>William Parker</t>
        </is>
      </c>
      <c r="E1444" s="8" t="inlineStr">
        <is>
          <t>PRD-0273</t>
        </is>
      </c>
      <c r="F1444" s="8" t="inlineStr">
        <is>
          <t>4</t>
        </is>
      </c>
      <c r="G1444" s="9" t="n">
        <v>19.23</v>
      </c>
      <c r="H1444" s="8" t="inlineStr">
        <is>
          <t>0.0</t>
        </is>
      </c>
      <c r="I1444" s="8" t="inlineStr">
        <is>
          <t>Same-Day Priority</t>
        </is>
      </c>
      <c r="J1444" s="8" t="inlineStr">
        <is>
          <t>Direct Web</t>
        </is>
      </c>
      <c r="K1444" s="8" t="inlineStr">
        <is>
          <t>REG-EU</t>
        </is>
      </c>
    </row>
    <row r="1445">
      <c r="A1445" s="8" t="inlineStr">
        <is>
          <t>ORD-000713</t>
        </is>
      </c>
      <c r="B1445" s="8" t="inlineStr">
        <is>
          <t>2023-01-28</t>
        </is>
      </c>
      <c r="C1445" s="8" t="inlineStr">
        <is>
          <t>CUST-00443</t>
        </is>
      </c>
      <c r="D1445" s="8" t="inlineStr">
        <is>
          <t>Cynthia Gonzalez</t>
        </is>
      </c>
      <c r="E1445" s="8" t="inlineStr">
        <is>
          <t>PRD-0279</t>
        </is>
      </c>
      <c r="F1445" s="8" t="inlineStr">
        <is>
          <t>1</t>
        </is>
      </c>
      <c r="G1445" s="9" t="n">
        <v>783.46</v>
      </c>
      <c r="H1445" s="8" t="inlineStr">
        <is>
          <t>0.05</t>
        </is>
      </c>
      <c r="I1445" s="8" t="inlineStr">
        <is>
          <t>Standard Ground</t>
        </is>
      </c>
      <c r="J1445" s="8" t="inlineStr">
        <is>
          <t>Mobile App</t>
        </is>
      </c>
      <c r="K1445" s="8" t="inlineStr">
        <is>
          <t>REG-EU</t>
        </is>
      </c>
    </row>
    <row r="1446">
      <c r="A1446" s="8" t="inlineStr">
        <is>
          <t>ORD-000713</t>
        </is>
      </c>
      <c r="B1446" s="8" t="inlineStr">
        <is>
          <t>2023-01-28</t>
        </is>
      </c>
      <c r="C1446" s="8" t="inlineStr">
        <is>
          <t>CUST-00443</t>
        </is>
      </c>
      <c r="D1446" s="8" t="inlineStr">
        <is>
          <t>Cynthia Gonzalez</t>
        </is>
      </c>
      <c r="E1446" s="8" t="inlineStr">
        <is>
          <t>PRD-0291</t>
        </is>
      </c>
      <c r="F1446" s="8" t="inlineStr">
        <is>
          <t>1</t>
        </is>
      </c>
      <c r="G1446" s="9" t="n">
        <v>52.44</v>
      </c>
      <c r="H1446" s="8" t="inlineStr">
        <is>
          <t>0.05</t>
        </is>
      </c>
      <c r="I1446" s="8" t="inlineStr">
        <is>
          <t>Standard Ground</t>
        </is>
      </c>
      <c r="J1446" s="8" t="inlineStr">
        <is>
          <t>Mobile App</t>
        </is>
      </c>
      <c r="K1446" s="8" t="inlineStr">
        <is>
          <t>REG-EU</t>
        </is>
      </c>
    </row>
    <row r="1447">
      <c r="A1447" s="8" t="inlineStr">
        <is>
          <t>ORD-000714</t>
        </is>
      </c>
      <c r="B1447" s="8" t="inlineStr">
        <is>
          <t>2023-09-14</t>
        </is>
      </c>
      <c r="C1447" s="8" t="inlineStr">
        <is>
          <t>CUST-03801</t>
        </is>
      </c>
      <c r="D1447" s="8" t="inlineStr">
        <is>
          <t>Larry Brooks</t>
        </is>
      </c>
      <c r="E1447" s="8" t="inlineStr">
        <is>
          <t>PRD-0430</t>
        </is>
      </c>
      <c r="F1447" s="8" t="inlineStr">
        <is>
          <t>10</t>
        </is>
      </c>
      <c r="G1447" s="9" t="n">
        <v>105.31</v>
      </c>
      <c r="H1447" s="8" t="inlineStr">
        <is>
          <t>0.0</t>
        </is>
      </c>
      <c r="I1447" s="8" t="inlineStr">
        <is>
          <t>Freight</t>
        </is>
      </c>
      <c r="J1447" s="8" t="inlineStr">
        <is>
          <t>Mobile App</t>
        </is>
      </c>
      <c r="K1447" s="8" t="inlineStr">
        <is>
          <t>REG-EU</t>
        </is>
      </c>
    </row>
    <row r="1448">
      <c r="A1448" s="8" t="inlineStr">
        <is>
          <t>ORD-000715</t>
        </is>
      </c>
      <c r="B1448" s="8" t="inlineStr">
        <is>
          <t>2023-01-25</t>
        </is>
      </c>
      <c r="C1448" s="8" t="inlineStr">
        <is>
          <t>CUST-02499</t>
        </is>
      </c>
      <c r="D1448" s="8" t="inlineStr">
        <is>
          <t>Alexander Wright</t>
        </is>
      </c>
      <c r="E1448" s="8" t="inlineStr">
        <is>
          <t>PRD-0423</t>
        </is>
      </c>
      <c r="F1448" s="8" t="inlineStr">
        <is>
          <t>1</t>
        </is>
      </c>
      <c r="G1448" s="9" t="n">
        <v>922.78</v>
      </c>
      <c r="H1448" s="8" t="inlineStr">
        <is>
          <t>0.1</t>
        </is>
      </c>
      <c r="I1448" s="8" t="inlineStr">
        <is>
          <t>Freight</t>
        </is>
      </c>
      <c r="J1448" s="8" t="inlineStr">
        <is>
          <t>Direct Web</t>
        </is>
      </c>
      <c r="K1448" s="8" t="inlineStr">
        <is>
          <t>REG-NA</t>
        </is>
      </c>
    </row>
    <row r="1449">
      <c r="A1449" s="8" t="inlineStr">
        <is>
          <t>ORD-000715</t>
        </is>
      </c>
      <c r="B1449" s="8" t="inlineStr">
        <is>
          <t>2023-01-25</t>
        </is>
      </c>
      <c r="C1449" s="8" t="inlineStr">
        <is>
          <t>CUST-02499</t>
        </is>
      </c>
      <c r="D1449" s="8" t="inlineStr">
        <is>
          <t>Alexander Wright</t>
        </is>
      </c>
      <c r="E1449" s="8" t="inlineStr">
        <is>
          <t>PRD-0282</t>
        </is>
      </c>
      <c r="F1449" s="8" t="inlineStr">
        <is>
          <t>4</t>
        </is>
      </c>
      <c r="G1449" s="9" t="n">
        <v>48.43</v>
      </c>
      <c r="H1449" s="8" t="inlineStr">
        <is>
          <t>0.1</t>
        </is>
      </c>
      <c r="I1449" s="8" t="inlineStr">
        <is>
          <t>Freight</t>
        </is>
      </c>
      <c r="J1449" s="8" t="inlineStr">
        <is>
          <t>Direct Web</t>
        </is>
      </c>
      <c r="K1449" s="8" t="inlineStr">
        <is>
          <t>REG-NA</t>
        </is>
      </c>
    </row>
    <row r="1450">
      <c r="A1450" s="8" t="inlineStr">
        <is>
          <t>ORD-000716</t>
        </is>
      </c>
      <c r="B1450" s="8" t="inlineStr">
        <is>
          <t>2024-11-24</t>
        </is>
      </c>
      <c r="C1450" s="8" t="inlineStr">
        <is>
          <t>CUST-03546</t>
        </is>
      </c>
      <c r="D1450" s="8" t="inlineStr">
        <is>
          <t>Rebecca Taylor</t>
        </is>
      </c>
      <c r="E1450" s="8" t="inlineStr">
        <is>
          <t>PRD-0334</t>
        </is>
      </c>
      <c r="F1450" s="8" t="inlineStr">
        <is>
          <t>2</t>
        </is>
      </c>
      <c r="G1450" s="9" t="n">
        <v>874.67</v>
      </c>
      <c r="H1450" s="8" t="inlineStr">
        <is>
          <t>0.0</t>
        </is>
      </c>
      <c r="I1450" s="8" t="inlineStr">
        <is>
          <t>Freight</t>
        </is>
      </c>
      <c r="J1450" s="8" t="inlineStr">
        <is>
          <t>Mobile App</t>
        </is>
      </c>
      <c r="K1450" s="8" t="inlineStr">
        <is>
          <t>REG-APAC</t>
        </is>
      </c>
    </row>
    <row r="1451">
      <c r="A1451" s="8" t="inlineStr">
        <is>
          <t>ORD-000717</t>
        </is>
      </c>
      <c r="B1451" s="8" t="inlineStr">
        <is>
          <t>01/04/2023</t>
        </is>
      </c>
      <c r="C1451" s="8" t="inlineStr">
        <is>
          <t>CUST-00930</t>
        </is>
      </c>
      <c r="D1451" s="8" t="inlineStr">
        <is>
          <t>Timothy Smith</t>
        </is>
      </c>
      <c r="E1451" s="8" t="inlineStr">
        <is>
          <t>PRD-0052</t>
        </is>
      </c>
      <c r="F1451" s="8" t="inlineStr">
        <is>
          <t>1</t>
        </is>
      </c>
      <c r="G1451" s="9" t="n">
        <v>354.02</v>
      </c>
      <c r="H1451" s="8" t="inlineStr">
        <is>
          <t>0.0</t>
        </is>
      </c>
      <c r="I1451" s="8" t="inlineStr">
        <is>
          <t>Express Air</t>
        </is>
      </c>
      <c r="J1451" s="8" t="inlineStr">
        <is>
          <t>Direct Web</t>
        </is>
      </c>
      <c r="K1451" s="8" t="inlineStr">
        <is>
          <t>REG-APAC</t>
        </is>
      </c>
    </row>
    <row r="1452">
      <c r="A1452" s="8" t="inlineStr">
        <is>
          <t>ORD-000718</t>
        </is>
      </c>
      <c r="B1452" s="8" t="inlineStr">
        <is>
          <t>2023-04-14</t>
        </is>
      </c>
      <c r="C1452" s="8" t="inlineStr">
        <is>
          <t>CUST-06527</t>
        </is>
      </c>
      <c r="D1452" s="8" t="inlineStr">
        <is>
          <t>Andrew Cruz</t>
        </is>
      </c>
      <c r="E1452" s="8" t="inlineStr">
        <is>
          <t>PRD-0050</t>
        </is>
      </c>
      <c r="F1452" s="8" t="inlineStr">
        <is>
          <t>2</t>
        </is>
      </c>
      <c r="G1452" s="9" t="n">
        <v>73.2</v>
      </c>
      <c r="H1452" s="8" t="inlineStr">
        <is>
          <t>0.0</t>
        </is>
      </c>
      <c r="I1452" s="8" t="inlineStr">
        <is>
          <t>Standard Ground</t>
        </is>
      </c>
      <c r="J1452" s="8" t="inlineStr">
        <is>
          <t>Direct Web</t>
        </is>
      </c>
      <c r="K1452" s="8" t="inlineStr">
        <is>
          <t>REG-APAC</t>
        </is>
      </c>
    </row>
    <row r="1453">
      <c r="A1453" s="8" t="inlineStr">
        <is>
          <t>ORD-000718</t>
        </is>
      </c>
      <c r="B1453" s="8" t="inlineStr">
        <is>
          <t>2023-04-14</t>
        </is>
      </c>
      <c r="C1453" s="8" t="inlineStr">
        <is>
          <t>CUST-06527</t>
        </is>
      </c>
      <c r="D1453" s="8" t="inlineStr">
        <is>
          <t>Andrew Cruz</t>
        </is>
      </c>
      <c r="E1453" s="8" t="inlineStr">
        <is>
          <t>PRD-0067</t>
        </is>
      </c>
      <c r="F1453" s="8" t="inlineStr">
        <is>
          <t>3</t>
        </is>
      </c>
      <c r="G1453" s="9" t="n">
        <v>30.04</v>
      </c>
      <c r="H1453" s="8" t="inlineStr">
        <is>
          <t>0.1</t>
        </is>
      </c>
      <c r="I1453" s="8" t="inlineStr">
        <is>
          <t>Standard Ground</t>
        </is>
      </c>
      <c r="J1453" s="8" t="inlineStr">
        <is>
          <t>Direct Web</t>
        </is>
      </c>
      <c r="K1453" s="8" t="inlineStr">
        <is>
          <t>REG-APAC</t>
        </is>
      </c>
    </row>
    <row r="1454">
      <c r="A1454" s="8" t="inlineStr">
        <is>
          <t>ORD-000719</t>
        </is>
      </c>
      <c r="B1454" s="8" t="inlineStr">
        <is>
          <t>2025-05-26</t>
        </is>
      </c>
      <c r="C1454" s="8" t="inlineStr">
        <is>
          <t>CUST-00524</t>
        </is>
      </c>
      <c r="D1454" s="8" t="inlineStr">
        <is>
          <t>Stephanie Walker</t>
        </is>
      </c>
      <c r="E1454" s="8" t="inlineStr">
        <is>
          <t>PRD-0024</t>
        </is>
      </c>
      <c r="F1454" s="8" t="inlineStr">
        <is>
          <t>2</t>
        </is>
      </c>
      <c r="G1454" s="9" t="n">
        <v>45.49</v>
      </c>
      <c r="H1454" s="8" t="inlineStr">
        <is>
          <t>0.0</t>
        </is>
      </c>
      <c r="I1454" s="8" t="inlineStr">
        <is>
          <t>Standard Ground</t>
        </is>
      </c>
      <c r="J1454" s="8" t="inlineStr">
        <is>
          <t>Direct Web</t>
        </is>
      </c>
      <c r="K1454" s="8" t="inlineStr">
        <is>
          <t>REG-NA</t>
        </is>
      </c>
    </row>
    <row r="1455">
      <c r="A1455" s="8" t="inlineStr">
        <is>
          <t>ORD-000720</t>
        </is>
      </c>
      <c r="B1455" s="8" t="inlineStr">
        <is>
          <t>2024-12-14</t>
        </is>
      </c>
      <c r="C1455" s="8" t="inlineStr">
        <is>
          <t>CUST-05472</t>
        </is>
      </c>
      <c r="D1455" s="8" t="inlineStr">
        <is>
          <t>Shirley Sanchez</t>
        </is>
      </c>
      <c r="E1455" s="8" t="inlineStr">
        <is>
          <t>PRD-0118</t>
        </is>
      </c>
      <c r="F1455" s="8" t="inlineStr">
        <is>
          <t>10</t>
        </is>
      </c>
      <c r="G1455" s="9" t="n">
        <v>513.16</v>
      </c>
      <c r="H1455" s="8" t="inlineStr">
        <is>
          <t>0.05</t>
        </is>
      </c>
      <c r="I1455" s="8" t="inlineStr">
        <is>
          <t>Standard Ground</t>
        </is>
      </c>
      <c r="J1455" s="8" t="inlineStr">
        <is>
          <t>Direct Web</t>
        </is>
      </c>
      <c r="K1455" s="8" t="inlineStr">
        <is>
          <t>REG-NA</t>
        </is>
      </c>
    </row>
    <row r="1456">
      <c r="A1456" s="8" t="inlineStr">
        <is>
          <t>ORD-000721</t>
        </is>
      </c>
      <c r="B1456" s="8" t="inlineStr">
        <is>
          <t>10/18/2024</t>
        </is>
      </c>
      <c r="C1456" s="8" t="inlineStr">
        <is>
          <t>CUST-07507</t>
        </is>
      </c>
      <c r="D1456" s="8" t="inlineStr">
        <is>
          <t>Lisa Myers</t>
        </is>
      </c>
      <c r="E1456" s="8" t="inlineStr">
        <is>
          <t>PRD-0024</t>
        </is>
      </c>
      <c r="F1456" s="8" t="inlineStr">
        <is>
          <t>1</t>
        </is>
      </c>
      <c r="G1456" s="9" t="n">
        <v>45.49</v>
      </c>
      <c r="H1456" s="8" t="inlineStr">
        <is>
          <t>0.0</t>
        </is>
      </c>
      <c r="I1456" s="8" t="inlineStr">
        <is>
          <t>Express Air</t>
        </is>
      </c>
      <c r="J1456" s="8" t="inlineStr">
        <is>
          <t>Mobile App</t>
        </is>
      </c>
      <c r="K1456" s="8" t="inlineStr">
        <is>
          <t>REG-NA</t>
        </is>
      </c>
    </row>
    <row r="1457">
      <c r="A1457" s="8" t="inlineStr">
        <is>
          <t>ORD-000721</t>
        </is>
      </c>
      <c r="B1457" s="8" t="inlineStr">
        <is>
          <t>10/18/2024</t>
        </is>
      </c>
      <c r="C1457" s="8" t="inlineStr">
        <is>
          <t>CUST-07507</t>
        </is>
      </c>
      <c r="D1457" s="8" t="inlineStr">
        <is>
          <t>Lisa Myers</t>
        </is>
      </c>
      <c r="E1457" s="8" t="inlineStr">
        <is>
          <t>PRD-0217</t>
        </is>
      </c>
      <c r="F1457" s="8" t="inlineStr">
        <is>
          <t>3</t>
        </is>
      </c>
      <c r="G1457" s="9" t="n">
        <v>457.08</v>
      </c>
      <c r="H1457" s="8" t="inlineStr">
        <is>
          <t>0.0</t>
        </is>
      </c>
      <c r="I1457" s="8" t="inlineStr">
        <is>
          <t>Express Air</t>
        </is>
      </c>
      <c r="J1457" s="8" t="inlineStr">
        <is>
          <t>Mobile App</t>
        </is>
      </c>
      <c r="K1457" s="8" t="inlineStr">
        <is>
          <t>REG-NA</t>
        </is>
      </c>
    </row>
    <row r="1458">
      <c r="A1458" s="8" t="inlineStr">
        <is>
          <t>ORD-000721</t>
        </is>
      </c>
      <c r="B1458" s="8" t="inlineStr">
        <is>
          <t>10/18/2024</t>
        </is>
      </c>
      <c r="C1458" s="8" t="inlineStr">
        <is>
          <t>CUST-07507</t>
        </is>
      </c>
      <c r="D1458" s="8" t="inlineStr">
        <is>
          <t>Lisa Myers</t>
        </is>
      </c>
      <c r="E1458" s="8" t="inlineStr">
        <is>
          <t>PRD-0247</t>
        </is>
      </c>
      <c r="F1458" s="8" t="inlineStr">
        <is>
          <t>1</t>
        </is>
      </c>
      <c r="G1458" s="9" t="n">
        <v>878.4</v>
      </c>
      <c r="H1458" s="8" t="inlineStr">
        <is>
          <t>20%</t>
        </is>
      </c>
      <c r="I1458" s="8" t="inlineStr">
        <is>
          <t>Express Air</t>
        </is>
      </c>
      <c r="J1458" s="8" t="inlineStr">
        <is>
          <t>Mobile App</t>
        </is>
      </c>
      <c r="K1458" s="8" t="inlineStr">
        <is>
          <t>REG-NA</t>
        </is>
      </c>
    </row>
    <row r="1459">
      <c r="A1459" s="8" t="inlineStr">
        <is>
          <t>ORD-000722</t>
        </is>
      </c>
      <c r="B1459" s="8" t="inlineStr">
        <is>
          <t>2024-03-03</t>
        </is>
      </c>
      <c r="C1459" s="8" t="inlineStr">
        <is>
          <t>CUST-06439</t>
        </is>
      </c>
      <c r="D1459" s="8" t="inlineStr">
        <is>
          <t>Eric Davis</t>
        </is>
      </c>
      <c r="E1459" s="8" t="inlineStr">
        <is>
          <t>PRD-0425</t>
        </is>
      </c>
      <c r="F1459" s="8" t="inlineStr">
        <is>
          <t>1</t>
        </is>
      </c>
      <c r="G1459" s="9" t="n">
        <v>805.83</v>
      </c>
      <c r="H1459" s="8" t="inlineStr">
        <is>
          <t>0.0</t>
        </is>
      </c>
      <c r="I1459" s="8" t="inlineStr">
        <is>
          <t>Freight</t>
        </is>
      </c>
      <c r="J1459" s="8" t="inlineStr">
        <is>
          <t>Mobile App</t>
        </is>
      </c>
      <c r="K1459" s="8" t="inlineStr">
        <is>
          <t>REG-LATAM</t>
        </is>
      </c>
    </row>
    <row r="1460">
      <c r="A1460" s="8" t="inlineStr">
        <is>
          <t>ORD-000722</t>
        </is>
      </c>
      <c r="B1460" s="8" t="inlineStr">
        <is>
          <t>2024-03-03</t>
        </is>
      </c>
      <c r="C1460" s="8" t="inlineStr">
        <is>
          <t>CUST-06439</t>
        </is>
      </c>
      <c r="D1460" s="8" t="inlineStr">
        <is>
          <t>Eric Davis</t>
        </is>
      </c>
      <c r="E1460" s="8" t="inlineStr">
        <is>
          <t>PRD-0270</t>
        </is>
      </c>
      <c r="F1460" s="8" t="inlineStr">
        <is>
          <t>2</t>
        </is>
      </c>
      <c r="G1460" s="9" t="n">
        <v>137.1</v>
      </c>
      <c r="H1460" s="8" t="inlineStr">
        <is>
          <t>0.0</t>
        </is>
      </c>
      <c r="I1460" s="8" t="inlineStr">
        <is>
          <t>Freight</t>
        </is>
      </c>
      <c r="J1460" s="8" t="inlineStr">
        <is>
          <t>Mobile App</t>
        </is>
      </c>
      <c r="K1460" s="8" t="inlineStr">
        <is>
          <t>REG-LATAM</t>
        </is>
      </c>
    </row>
    <row r="1461">
      <c r="A1461" s="8" t="inlineStr">
        <is>
          <t>ORD-000723</t>
        </is>
      </c>
      <c r="B1461" s="8" t="inlineStr">
        <is>
          <t>2023-12-17</t>
        </is>
      </c>
      <c r="C1461" s="8" t="inlineStr">
        <is>
          <t>CUST-01963</t>
        </is>
      </c>
      <c r="D1461" s="8" t="inlineStr">
        <is>
          <t>Emma Edwards</t>
        </is>
      </c>
      <c r="E1461" s="8" t="inlineStr">
        <is>
          <t>PRD-0488</t>
        </is>
      </c>
      <c r="F1461" s="8" t="inlineStr">
        <is>
          <t>4</t>
        </is>
      </c>
      <c r="G1461" s="9" t="n">
        <v>54.77</v>
      </c>
      <c r="H1461" s="8" t="inlineStr">
        <is>
          <t>0.05</t>
        </is>
      </c>
      <c r="I1461" s="8" t="inlineStr">
        <is>
          <t>Standard Ground</t>
        </is>
      </c>
      <c r="J1461" s="8" t="inlineStr">
        <is>
          <t>Mobile App</t>
        </is>
      </c>
      <c r="K1461" s="8" t="inlineStr">
        <is>
          <t>REG-NA</t>
        </is>
      </c>
    </row>
    <row r="1462">
      <c r="A1462" s="8" t="inlineStr">
        <is>
          <t>ORD-000723</t>
        </is>
      </c>
      <c r="B1462" s="8" t="inlineStr">
        <is>
          <t>2023-12-17</t>
        </is>
      </c>
      <c r="C1462" s="8" t="inlineStr">
        <is>
          <t>CUST-01963</t>
        </is>
      </c>
      <c r="D1462" s="8" t="inlineStr">
        <is>
          <t>Emma Edwards</t>
        </is>
      </c>
      <c r="E1462" s="8" t="inlineStr">
        <is>
          <t>PRD-0181</t>
        </is>
      </c>
      <c r="F1462" s="8" t="inlineStr">
        <is>
          <t>4</t>
        </is>
      </c>
      <c r="G1462" s="9" t="n">
        <v>57.06</v>
      </c>
      <c r="H1462" s="8" t="inlineStr">
        <is>
          <t>0.05</t>
        </is>
      </c>
      <c r="I1462" s="8" t="inlineStr">
        <is>
          <t>Standard Ground</t>
        </is>
      </c>
      <c r="J1462" s="8" t="inlineStr">
        <is>
          <t>Mobile App</t>
        </is>
      </c>
      <c r="K1462" s="8" t="inlineStr">
        <is>
          <t>REG-NA</t>
        </is>
      </c>
    </row>
    <row r="1463">
      <c r="A1463" s="8" t="inlineStr">
        <is>
          <t>ORD-000723</t>
        </is>
      </c>
      <c r="B1463" s="8" t="inlineStr">
        <is>
          <t>2023-12-17</t>
        </is>
      </c>
      <c r="C1463" s="8" t="inlineStr">
        <is>
          <t>CUST-01963</t>
        </is>
      </c>
      <c r="D1463" s="8" t="inlineStr">
        <is>
          <t>Emma Edwards</t>
        </is>
      </c>
      <c r="E1463" s="8" t="inlineStr">
        <is>
          <t>PRD-0087</t>
        </is>
      </c>
      <c r="F1463" s="8" t="inlineStr">
        <is>
          <t>1</t>
        </is>
      </c>
      <c r="G1463" s="9" t="n">
        <v>1103.24</v>
      </c>
      <c r="H1463" s="8" t="inlineStr">
        <is>
          <t>0.2</t>
        </is>
      </c>
      <c r="I1463" s="8" t="inlineStr">
        <is>
          <t>Standard Ground</t>
        </is>
      </c>
      <c r="J1463" s="8" t="inlineStr">
        <is>
          <t>Mobile App</t>
        </is>
      </c>
      <c r="K1463" s="8" t="inlineStr">
        <is>
          <t>REG-NA</t>
        </is>
      </c>
    </row>
    <row r="1464">
      <c r="A1464" s="8" t="inlineStr">
        <is>
          <t>ORD-000724</t>
        </is>
      </c>
      <c r="B1464" s="8" t="inlineStr">
        <is>
          <t>2025-02-14</t>
        </is>
      </c>
      <c r="C1464" s="8" t="inlineStr">
        <is>
          <t>CUST-06577</t>
        </is>
      </c>
      <c r="D1464" s="8" t="inlineStr">
        <is>
          <t>Shirley Morris</t>
        </is>
      </c>
      <c r="E1464" s="8" t="inlineStr">
        <is>
          <t>PRD-0168</t>
        </is>
      </c>
      <c r="F1464" s="8" t="inlineStr">
        <is>
          <t>1</t>
        </is>
      </c>
      <c r="G1464" s="9" t="n">
        <v>597.34</v>
      </c>
      <c r="H1464" s="8" t="inlineStr">
        <is>
          <t>0.15</t>
        </is>
      </c>
      <c r="I1464" s="8" t="inlineStr">
        <is>
          <t>Express Air</t>
        </is>
      </c>
      <c r="J1464" s="8" t="inlineStr">
        <is>
          <t>Direct Web</t>
        </is>
      </c>
      <c r="K1464" s="8" t="inlineStr">
        <is>
          <t>REG-EU</t>
        </is>
      </c>
    </row>
    <row r="1465">
      <c r="A1465" s="8" t="inlineStr">
        <is>
          <t>ORD-000725</t>
        </is>
      </c>
      <c r="B1465" s="8" t="inlineStr">
        <is>
          <t>2023-07-14</t>
        </is>
      </c>
      <c r="C1465" s="8" t="inlineStr">
        <is>
          <t>CUST-06040</t>
        </is>
      </c>
      <c r="D1465" s="8" t="inlineStr">
        <is>
          <t>Alexander Hernandez</t>
        </is>
      </c>
      <c r="E1465" s="8" t="inlineStr">
        <is>
          <t>PRD-0300</t>
        </is>
      </c>
      <c r="F1465" s="8" t="inlineStr">
        <is>
          <t>1</t>
        </is>
      </c>
      <c r="G1465" s="9" t="n">
        <v>1041.76</v>
      </c>
      <c r="H1465" s="8" t="inlineStr">
        <is>
          <t>0.1</t>
        </is>
      </c>
      <c r="I1465" s="8" t="inlineStr">
        <is>
          <t>Standard Ground</t>
        </is>
      </c>
      <c r="J1465" s="8" t="inlineStr">
        <is>
          <t>Direct Web</t>
        </is>
      </c>
      <c r="K1465" s="8" t="inlineStr">
        <is>
          <t>REG-LATAM</t>
        </is>
      </c>
    </row>
    <row r="1466">
      <c r="A1466" s="8" t="inlineStr">
        <is>
          <t>ORD-000726</t>
        </is>
      </c>
      <c r="B1466" s="8" t="inlineStr">
        <is>
          <t>2024-01-16</t>
        </is>
      </c>
      <c r="C1466" s="8" t="inlineStr">
        <is>
          <t>CUST-04933</t>
        </is>
      </c>
      <c r="D1466" s="8" t="inlineStr">
        <is>
          <t>Kevin Mendoza</t>
        </is>
      </c>
      <c r="E1466" s="8" t="inlineStr">
        <is>
          <t>PRD-0255</t>
        </is>
      </c>
      <c r="F1466" s="8" t="inlineStr">
        <is>
          <t>1</t>
        </is>
      </c>
      <c r="G1466" s="9" t="n">
        <v>151.28</v>
      </c>
      <c r="H1466" s="8" t="inlineStr">
        <is>
          <t>15%</t>
        </is>
      </c>
      <c r="I1466" s="8" t="inlineStr">
        <is>
          <t>Express Air</t>
        </is>
      </c>
      <c r="J1466" s="8" t="inlineStr">
        <is>
          <t>Mobile App</t>
        </is>
      </c>
      <c r="K1466" s="8" t="inlineStr">
        <is>
          <t>REG-EU</t>
        </is>
      </c>
    </row>
    <row r="1467">
      <c r="A1467" s="8" t="inlineStr">
        <is>
          <t>ORD-000727</t>
        </is>
      </c>
      <c r="B1467" s="8" t="inlineStr">
        <is>
          <t>2024-12-09</t>
        </is>
      </c>
      <c r="C1467" s="8" t="inlineStr">
        <is>
          <t>CUST-07571</t>
        </is>
      </c>
      <c r="D1467" s="8" t="inlineStr">
        <is>
          <t>Nicole Diaz</t>
        </is>
      </c>
      <c r="E1467" s="8" t="inlineStr">
        <is>
          <t>PRD-0046</t>
        </is>
      </c>
      <c r="F1467" s="8" t="inlineStr">
        <is>
          <t>2</t>
        </is>
      </c>
      <c r="G1467" s="9" t="n">
        <v>692.9</v>
      </c>
      <c r="H1467" s="8" t="inlineStr">
        <is>
          <t>0.05</t>
        </is>
      </c>
      <c r="I1467" s="8" t="inlineStr">
        <is>
          <t>Standard Ground</t>
        </is>
      </c>
      <c r="J1467" s="8" t="inlineStr">
        <is>
          <t>Direct Web</t>
        </is>
      </c>
      <c r="K1467" s="8" t="inlineStr">
        <is>
          <t>REG-EU</t>
        </is>
      </c>
    </row>
    <row r="1468">
      <c r="A1468" s="8" t="inlineStr">
        <is>
          <t>ORD-000728</t>
        </is>
      </c>
      <c r="B1468" s="8" t="inlineStr">
        <is>
          <t>2024-06-19</t>
        </is>
      </c>
      <c r="C1468" s="8" t="inlineStr">
        <is>
          <t>CUST-00170</t>
        </is>
      </c>
      <c r="D1468" s="8" t="inlineStr">
        <is>
          <t>Deborah Roberts</t>
        </is>
      </c>
      <c r="E1468" s="8" t="inlineStr">
        <is>
          <t>PRD-0278</t>
        </is>
      </c>
      <c r="F1468" s="8" t="inlineStr">
        <is>
          <t>2</t>
        </is>
      </c>
      <c r="G1468" s="9" t="n">
        <v>1176.56</v>
      </c>
      <c r="H1468" s="8" t="inlineStr">
        <is>
          <t>0.0</t>
        </is>
      </c>
      <c r="I1468" s="8" t="inlineStr">
        <is>
          <t>Freight</t>
        </is>
      </c>
      <c r="J1468" s="8" t="inlineStr">
        <is>
          <t>Mobile App</t>
        </is>
      </c>
      <c r="K1468" s="8" t="inlineStr">
        <is>
          <t>REG-NA</t>
        </is>
      </c>
    </row>
    <row r="1469">
      <c r="A1469" s="8" t="inlineStr">
        <is>
          <t>ORD-000729</t>
        </is>
      </c>
      <c r="B1469" s="8" t="inlineStr">
        <is>
          <t>2023-05-09</t>
        </is>
      </c>
      <c r="C1469" s="8" t="inlineStr">
        <is>
          <t>CUST-01903</t>
        </is>
      </c>
      <c r="D1469" s="8" t="inlineStr">
        <is>
          <t>Katherine Gutierrez</t>
        </is>
      </c>
      <c r="E1469" s="8" t="inlineStr">
        <is>
          <t>PRD-0329</t>
        </is>
      </c>
      <c r="F1469" s="8" t="inlineStr">
        <is>
          <t>2</t>
        </is>
      </c>
      <c r="G1469" s="9" t="n">
        <v>1014.02</v>
      </c>
      <c r="H1469" s="8" t="inlineStr">
        <is>
          <t>0.0</t>
        </is>
      </c>
      <c r="I1469" s="8" t="inlineStr">
        <is>
          <t>Same-Day Priority</t>
        </is>
      </c>
      <c r="J1469" s="8" t="inlineStr">
        <is>
          <t>Direct Web</t>
        </is>
      </c>
      <c r="K1469" s="8" t="inlineStr">
        <is>
          <t>REG-EU</t>
        </is>
      </c>
    </row>
    <row r="1470">
      <c r="A1470" s="8" t="inlineStr">
        <is>
          <t>ORD-000729</t>
        </is>
      </c>
      <c r="B1470" s="8" t="inlineStr">
        <is>
          <t>2023-05-09</t>
        </is>
      </c>
      <c r="C1470" s="8" t="inlineStr">
        <is>
          <t>CUST-01903</t>
        </is>
      </c>
      <c r="D1470" s="8" t="inlineStr">
        <is>
          <t>Katherine Gutierrez</t>
        </is>
      </c>
      <c r="E1470" s="8" t="inlineStr">
        <is>
          <t>PRD-0156</t>
        </is>
      </c>
      <c r="F1470" s="8" t="inlineStr">
        <is>
          <t>2</t>
        </is>
      </c>
      <c r="G1470" s="9" t="n">
        <v>129</v>
      </c>
      <c r="H1470" s="8" t="inlineStr">
        <is>
          <t>0.05</t>
        </is>
      </c>
      <c r="I1470" s="8" t="inlineStr">
        <is>
          <t>Same-Day Priority</t>
        </is>
      </c>
      <c r="J1470" s="8" t="inlineStr">
        <is>
          <t>Direct Web</t>
        </is>
      </c>
      <c r="K1470" s="8" t="inlineStr">
        <is>
          <t>REG-EU</t>
        </is>
      </c>
    </row>
    <row r="1471">
      <c r="A1471" s="8" t="inlineStr">
        <is>
          <t>ORD-000729</t>
        </is>
      </c>
      <c r="B1471" s="8" t="inlineStr">
        <is>
          <t>2023-05-09</t>
        </is>
      </c>
      <c r="C1471" s="8" t="inlineStr">
        <is>
          <t>CUST-01903</t>
        </is>
      </c>
      <c r="D1471" s="8" t="inlineStr">
        <is>
          <t>Katherine Gutierrez</t>
        </is>
      </c>
      <c r="E1471" s="8" t="inlineStr">
        <is>
          <t>PRD-0142</t>
        </is>
      </c>
      <c r="F1471" s="8" t="inlineStr">
        <is>
          <t>1</t>
        </is>
      </c>
      <c r="G1471" s="9" t="n">
        <v>44.6</v>
      </c>
      <c r="H1471" s="8" t="inlineStr">
        <is>
          <t>0.15</t>
        </is>
      </c>
      <c r="I1471" s="8" t="inlineStr">
        <is>
          <t>Same-Day Priority</t>
        </is>
      </c>
      <c r="J1471" s="8" t="inlineStr">
        <is>
          <t>Direct Web</t>
        </is>
      </c>
      <c r="K1471" s="8" t="inlineStr">
        <is>
          <t>REG-EU</t>
        </is>
      </c>
    </row>
    <row r="1472">
      <c r="A1472" s="8" t="inlineStr">
        <is>
          <t>ORD-000729</t>
        </is>
      </c>
      <c r="B1472" s="8" t="inlineStr">
        <is>
          <t>2023-05-09</t>
        </is>
      </c>
      <c r="C1472" s="8" t="inlineStr">
        <is>
          <t>CUST-01903</t>
        </is>
      </c>
      <c r="D1472" s="8" t="inlineStr">
        <is>
          <t>Katherine Gutierrez</t>
        </is>
      </c>
      <c r="E1472" s="8" t="inlineStr">
        <is>
          <t>PRD-0298</t>
        </is>
      </c>
      <c r="F1472" s="8" t="inlineStr">
        <is>
          <t>8</t>
        </is>
      </c>
      <c r="G1472" s="9" t="n">
        <v>1013.11</v>
      </c>
      <c r="H1472" s="8" t="inlineStr">
        <is>
          <t>0.05</t>
        </is>
      </c>
      <c r="I1472" s="8" t="inlineStr">
        <is>
          <t>Same-Day Priority</t>
        </is>
      </c>
      <c r="J1472" s="8" t="inlineStr">
        <is>
          <t>Direct Web</t>
        </is>
      </c>
      <c r="K1472" s="8" t="inlineStr">
        <is>
          <t>REG-EU</t>
        </is>
      </c>
    </row>
    <row r="1473">
      <c r="A1473" s="8" t="inlineStr">
        <is>
          <t>ORD-000730</t>
        </is>
      </c>
      <c r="B1473" s="8" t="inlineStr">
        <is>
          <t>2023-05-28</t>
        </is>
      </c>
      <c r="C1473" s="8" t="inlineStr">
        <is>
          <t>CUST-03052</t>
        </is>
      </c>
      <c r="D1473" s="8" t="inlineStr">
        <is>
          <t>Jonathan Rogers</t>
        </is>
      </c>
      <c r="E1473" s="8" t="inlineStr">
        <is>
          <t>PRD-0038</t>
        </is>
      </c>
      <c r="F1473" s="8" t="inlineStr">
        <is>
          <t>2</t>
        </is>
      </c>
      <c r="G1473" s="9" t="n">
        <v>220.46</v>
      </c>
      <c r="H1473" s="8" t="inlineStr">
        <is>
          <t>0.05</t>
        </is>
      </c>
      <c r="I1473" s="8" t="inlineStr">
        <is>
          <t>Express Air</t>
        </is>
      </c>
      <c r="J1473" s="8" t="inlineStr">
        <is>
          <t>Direct Web</t>
        </is>
      </c>
      <c r="K1473" s="8" t="inlineStr">
        <is>
          <t>REG-NA</t>
        </is>
      </c>
    </row>
    <row r="1474">
      <c r="A1474" s="8" t="inlineStr">
        <is>
          <t>ORD-000731</t>
        </is>
      </c>
      <c r="B1474" s="8" t="inlineStr">
        <is>
          <t>2025-07-18</t>
        </is>
      </c>
      <c r="C1474" s="8" t="inlineStr">
        <is>
          <t>CUST-07232</t>
        </is>
      </c>
      <c r="D1474" s="8" t="inlineStr">
        <is>
          <t>Maria Campbell</t>
        </is>
      </c>
      <c r="E1474" s="8" t="inlineStr">
        <is>
          <t>PRD-0392</t>
        </is>
      </c>
      <c r="F1474" s="8" t="inlineStr">
        <is>
          <t>2</t>
        </is>
      </c>
      <c r="G1474" s="9" t="n">
        <v>252.58</v>
      </c>
      <c r="H1474" s="8" t="inlineStr">
        <is>
          <t>0.0</t>
        </is>
      </c>
      <c r="I1474" s="8" t="inlineStr">
        <is>
          <t>Same-Day Priority</t>
        </is>
      </c>
      <c r="J1474" s="8" t="inlineStr">
        <is>
          <t>Mobile App</t>
        </is>
      </c>
      <c r="K1474" s="8" t="inlineStr">
        <is>
          <t>REG-LATAM</t>
        </is>
      </c>
    </row>
    <row r="1475">
      <c r="A1475" s="8" t="inlineStr">
        <is>
          <t>ORD-000732</t>
        </is>
      </c>
      <c r="B1475" s="8" t="inlineStr">
        <is>
          <t>2023-03-22</t>
        </is>
      </c>
      <c r="C1475" s="8" t="inlineStr">
        <is>
          <t>CUST-05255</t>
        </is>
      </c>
      <c r="D1475" s="8" t="inlineStr">
        <is>
          <t>Deborah Young</t>
        </is>
      </c>
      <c r="E1475" s="8" t="inlineStr">
        <is>
          <t>PRD-0149</t>
        </is>
      </c>
      <c r="F1475" s="8" t="inlineStr">
        <is>
          <t>2</t>
        </is>
      </c>
      <c r="G1475" s="9" t="n">
        <v>184.54</v>
      </c>
      <c r="H1475" s="8" t="inlineStr">
        <is>
          <t>0.0</t>
        </is>
      </c>
      <c r="I1475" s="8" t="inlineStr">
        <is>
          <t>Standard Ground</t>
        </is>
      </c>
      <c r="J1475" s="8" t="inlineStr">
        <is>
          <t>Direct Web</t>
        </is>
      </c>
      <c r="K1475" s="8" t="inlineStr">
        <is>
          <t>REG-LATAM</t>
        </is>
      </c>
    </row>
    <row r="1476">
      <c r="A1476" s="8" t="inlineStr">
        <is>
          <t>ORD-000733</t>
        </is>
      </c>
      <c r="B1476" s="8" t="inlineStr">
        <is>
          <t>2025-12-09</t>
        </is>
      </c>
      <c r="C1476" s="8" t="inlineStr">
        <is>
          <t>CUST-01000</t>
        </is>
      </c>
      <c r="D1476" s="8" t="inlineStr">
        <is>
          <t>Ashley Flores</t>
        </is>
      </c>
      <c r="E1476" s="8" t="inlineStr">
        <is>
          <t>PRD-0432</t>
        </is>
      </c>
      <c r="F1476" s="8" t="inlineStr">
        <is>
          <t>-1</t>
        </is>
      </c>
      <c r="G1476" s="9" t="n">
        <v>25.28</v>
      </c>
      <c r="H1476" s="8" t="inlineStr">
        <is>
          <t>0.0</t>
        </is>
      </c>
      <c r="I1476" s="8" t="inlineStr">
        <is>
          <t>Standard Ground</t>
        </is>
      </c>
      <c r="J1476" s="8" t="inlineStr">
        <is>
          <t>Affiliate Partner</t>
        </is>
      </c>
      <c r="K1476" s="8" t="inlineStr">
        <is>
          <t>REG-EU</t>
        </is>
      </c>
    </row>
    <row r="1477">
      <c r="A1477" s="8" t="inlineStr">
        <is>
          <t>ORD-000733</t>
        </is>
      </c>
      <c r="B1477" s="8" t="inlineStr">
        <is>
          <t>2025-12-09</t>
        </is>
      </c>
      <c r="C1477" s="8" t="inlineStr">
        <is>
          <t>CUST-01000</t>
        </is>
      </c>
      <c r="D1477" s="8" t="inlineStr">
        <is>
          <t>Ashley Flores</t>
        </is>
      </c>
      <c r="E1477" s="8" t="inlineStr">
        <is>
          <t>PRD-0278</t>
        </is>
      </c>
      <c r="F1477" s="8" t="inlineStr">
        <is>
          <t>1</t>
        </is>
      </c>
      <c r="G1477" s="9" t="n">
        <v>1176.56</v>
      </c>
      <c r="H1477" s="8" t="inlineStr">
        <is>
          <t>0.3</t>
        </is>
      </c>
      <c r="I1477" s="8" t="inlineStr">
        <is>
          <t>Standard Ground</t>
        </is>
      </c>
      <c r="J1477" s="8" t="inlineStr">
        <is>
          <t>Affiliate Partner</t>
        </is>
      </c>
      <c r="K1477" s="8" t="inlineStr">
        <is>
          <t>REG-EU</t>
        </is>
      </c>
    </row>
    <row r="1478">
      <c r="A1478" s="8" t="inlineStr">
        <is>
          <t>ORD-000734</t>
        </is>
      </c>
      <c r="B1478" s="8" t="inlineStr">
        <is>
          <t>2024-06-30</t>
        </is>
      </c>
      <c r="C1478" s="8" t="inlineStr">
        <is>
          <t>CUST-01285</t>
        </is>
      </c>
      <c r="D1478" s="8" t="inlineStr">
        <is>
          <t>Raymond Howard</t>
        </is>
      </c>
      <c r="E1478" s="8" t="inlineStr">
        <is>
          <t>PRD-0247</t>
        </is>
      </c>
      <c r="F1478" s="8" t="inlineStr">
        <is>
          <t>1</t>
        </is>
      </c>
      <c r="G1478" s="9" t="n">
        <v>878.4</v>
      </c>
      <c r="H1478" s="8" t="inlineStr">
        <is>
          <t>0.3</t>
        </is>
      </c>
      <c r="I1478" s="8" t="inlineStr">
        <is>
          <t>Express Air</t>
        </is>
      </c>
      <c r="J1478" s="8" t="inlineStr">
        <is>
          <t>Direct Web</t>
        </is>
      </c>
      <c r="K1478" s="8" t="inlineStr">
        <is>
          <t>REG-NA</t>
        </is>
      </c>
    </row>
    <row r="1479">
      <c r="A1479" s="8" t="inlineStr">
        <is>
          <t>ORD-000735</t>
        </is>
      </c>
      <c r="B1479" s="8" t="inlineStr">
        <is>
          <t>2025-12-14</t>
        </is>
      </c>
      <c r="C1479" s="8" t="inlineStr">
        <is>
          <t>CUST-02265</t>
        </is>
      </c>
      <c r="D1479" s="8" t="inlineStr">
        <is>
          <t>Kevin Garcia</t>
        </is>
      </c>
      <c r="E1479" s="8" t="inlineStr">
        <is>
          <t>PRD-0280</t>
        </is>
      </c>
      <c r="F1479" s="8" t="inlineStr">
        <is>
          <t>1</t>
        </is>
      </c>
      <c r="G1479" s="9" t="n">
        <v>408.85</v>
      </c>
      <c r="H1479" s="8" t="inlineStr">
        <is>
          <t>0.0</t>
        </is>
      </c>
      <c r="I1479" s="8" t="inlineStr">
        <is>
          <t>Express Air</t>
        </is>
      </c>
      <c r="J1479" s="8" t="inlineStr">
        <is>
          <t>Direct Web</t>
        </is>
      </c>
      <c r="K1479" s="8" t="inlineStr">
        <is>
          <t>REG-NA</t>
        </is>
      </c>
    </row>
    <row r="1480">
      <c r="A1480" s="8" t="inlineStr">
        <is>
          <t>ORD-000736</t>
        </is>
      </c>
      <c r="B1480" s="8" t="inlineStr">
        <is>
          <t>2024-05-28</t>
        </is>
      </c>
      <c r="C1480" s="8" t="inlineStr">
        <is>
          <t>CUST-00337</t>
        </is>
      </c>
      <c r="D1480" s="8" t="inlineStr">
        <is>
          <t>Sandra Gutierrez</t>
        </is>
      </c>
      <c r="E1480" s="8" t="inlineStr">
        <is>
          <t>PRD-0140</t>
        </is>
      </c>
      <c r="F1480" s="8" t="inlineStr">
        <is>
          <t>1</t>
        </is>
      </c>
      <c r="G1480" s="9" t="n">
        <v>41.25</v>
      </c>
      <c r="H1480" s="8" t="inlineStr">
        <is>
          <t>0.0</t>
        </is>
      </c>
      <c r="I1480" s="8" t="inlineStr">
        <is>
          <t>Standard Ground</t>
        </is>
      </c>
      <c r="J1480" s="8" t="inlineStr">
        <is>
          <t>Affiliate Partner</t>
        </is>
      </c>
      <c r="K1480" s="8" t="inlineStr">
        <is>
          <t>REG-EU</t>
        </is>
      </c>
    </row>
    <row r="1481">
      <c r="A1481" s="8" t="inlineStr">
        <is>
          <t>ORD-000737</t>
        </is>
      </c>
      <c r="B1481" s="8" t="inlineStr">
        <is>
          <t>2025-09-21</t>
        </is>
      </c>
      <c r="C1481" s="8" t="inlineStr"/>
      <c r="D1481" s="8" t="inlineStr"/>
      <c r="E1481" s="8" t="inlineStr">
        <is>
          <t>PRD-0460</t>
        </is>
      </c>
      <c r="F1481" s="8" t="inlineStr">
        <is>
          <t>3</t>
        </is>
      </c>
      <c r="G1481" s="9" t="n">
        <v>331.54</v>
      </c>
      <c r="H1481" s="8" t="inlineStr">
        <is>
          <t>0.0</t>
        </is>
      </c>
      <c r="I1481" s="8" t="inlineStr">
        <is>
          <t>Standard Ground</t>
        </is>
      </c>
      <c r="J1481" s="8" t="inlineStr">
        <is>
          <t>Direct Web</t>
        </is>
      </c>
      <c r="K1481" s="8" t="inlineStr"/>
    </row>
    <row r="1482">
      <c r="A1482" s="8" t="inlineStr">
        <is>
          <t>ORD-000738</t>
        </is>
      </c>
      <c r="B1482" s="8" t="inlineStr">
        <is>
          <t>2024-12-16</t>
        </is>
      </c>
      <c r="C1482" s="8" t="inlineStr">
        <is>
          <t>CUST-03536</t>
        </is>
      </c>
      <c r="D1482" s="8" t="inlineStr">
        <is>
          <t>Maria Anderson</t>
        </is>
      </c>
      <c r="E1482" s="8" t="inlineStr">
        <is>
          <t>PRD-0467</t>
        </is>
      </c>
      <c r="F1482" s="8" t="inlineStr">
        <is>
          <t>1</t>
        </is>
      </c>
      <c r="G1482" s="9" t="n">
        <v>976.54</v>
      </c>
      <c r="H1482" s="8" t="inlineStr">
        <is>
          <t>0.0</t>
        </is>
      </c>
      <c r="I1482" s="8" t="inlineStr">
        <is>
          <t>Same-Day Priority</t>
        </is>
      </c>
      <c r="J1482" s="8" t="inlineStr">
        <is>
          <t>B2B Portal</t>
        </is>
      </c>
      <c r="K1482" s="8" t="inlineStr">
        <is>
          <t>REG-EU</t>
        </is>
      </c>
    </row>
    <row r="1483">
      <c r="A1483" s="8" t="inlineStr">
        <is>
          <t>ORD-000739</t>
        </is>
      </c>
      <c r="B1483" s="8" t="inlineStr">
        <is>
          <t>2025-07-08</t>
        </is>
      </c>
      <c r="C1483" s="8" t="inlineStr">
        <is>
          <t>CUST-05659</t>
        </is>
      </c>
      <c r="D1483" s="8" t="inlineStr">
        <is>
          <t>Patrick Gonzalez</t>
        </is>
      </c>
      <c r="E1483" s="8" t="inlineStr">
        <is>
          <t>PRD-0097</t>
        </is>
      </c>
      <c r="F1483" s="8" t="inlineStr">
        <is>
          <t>1</t>
        </is>
      </c>
      <c r="G1483" s="9" t="n">
        <v>216.71</v>
      </c>
      <c r="H1483" s="8" t="inlineStr">
        <is>
          <t>0.05</t>
        </is>
      </c>
      <c r="I1483" s="8" t="inlineStr">
        <is>
          <t>Express Air</t>
        </is>
      </c>
      <c r="J1483" s="8" t="inlineStr">
        <is>
          <t>Mobile App</t>
        </is>
      </c>
      <c r="K1483" s="8" t="inlineStr">
        <is>
          <t>REG-NA</t>
        </is>
      </c>
    </row>
    <row r="1484">
      <c r="A1484" s="8" t="inlineStr">
        <is>
          <t>ORD-000739</t>
        </is>
      </c>
      <c r="B1484" s="8" t="inlineStr">
        <is>
          <t>2025-07-08</t>
        </is>
      </c>
      <c r="C1484" s="8" t="inlineStr">
        <is>
          <t>CUST-05659</t>
        </is>
      </c>
      <c r="D1484" s="8" t="inlineStr">
        <is>
          <t>Patrick Gonzalez</t>
        </is>
      </c>
      <c r="E1484" s="8" t="inlineStr">
        <is>
          <t>PRD-0239</t>
        </is>
      </c>
      <c r="F1484" s="8" t="inlineStr">
        <is>
          <t>1</t>
        </is>
      </c>
      <c r="G1484" s="9" t="n">
        <v>302.56</v>
      </c>
      <c r="H1484" s="8" t="inlineStr">
        <is>
          <t>0.05</t>
        </is>
      </c>
      <c r="I1484" s="8" t="inlineStr">
        <is>
          <t>Express Air</t>
        </is>
      </c>
      <c r="J1484" s="8" t="inlineStr">
        <is>
          <t>Mobile App</t>
        </is>
      </c>
      <c r="K1484" s="8" t="inlineStr">
        <is>
          <t>REG-NA</t>
        </is>
      </c>
    </row>
    <row r="1485">
      <c r="A1485" s="8" t="inlineStr">
        <is>
          <t>ORD-000740</t>
        </is>
      </c>
      <c r="B1485" s="8" t="inlineStr">
        <is>
          <t>2025-03-14</t>
        </is>
      </c>
      <c r="C1485" s="8" t="inlineStr">
        <is>
          <t>CUST-03958</t>
        </is>
      </c>
      <c r="D1485" s="8" t="inlineStr">
        <is>
          <t xml:space="preserve">  jacob cooper  </t>
        </is>
      </c>
      <c r="E1485" s="8" t="inlineStr">
        <is>
          <t>PRD-0180</t>
        </is>
      </c>
      <c r="F1485" s="8" t="inlineStr">
        <is>
          <t>1</t>
        </is>
      </c>
      <c r="G1485" s="9" t="n">
        <v>1016.03</v>
      </c>
      <c r="H1485" s="8" t="inlineStr">
        <is>
          <t>0.1</t>
        </is>
      </c>
      <c r="I1485" s="8" t="inlineStr">
        <is>
          <t>Express Air</t>
        </is>
      </c>
      <c r="J1485" s="8" t="inlineStr">
        <is>
          <t>Direct Web</t>
        </is>
      </c>
      <c r="K1485" s="8" t="inlineStr">
        <is>
          <t>REG-APAC</t>
        </is>
      </c>
    </row>
    <row r="1486">
      <c r="A1486" s="8" t="inlineStr">
        <is>
          <t>ORD-000740</t>
        </is>
      </c>
      <c r="B1486" s="8" t="inlineStr">
        <is>
          <t>2025-03-14</t>
        </is>
      </c>
      <c r="C1486" s="8" t="inlineStr">
        <is>
          <t>CUST-03958</t>
        </is>
      </c>
      <c r="D1486" s="8" t="inlineStr">
        <is>
          <t xml:space="preserve">  jacob cooper  </t>
        </is>
      </c>
      <c r="E1486" s="8" t="inlineStr">
        <is>
          <t>PRD-0468</t>
        </is>
      </c>
      <c r="F1486" s="8" t="inlineStr">
        <is>
          <t>1</t>
        </is>
      </c>
      <c r="G1486" s="9" t="n">
        <v>226.88</v>
      </c>
      <c r="H1486" s="8" t="inlineStr">
        <is>
          <t>0.0</t>
        </is>
      </c>
      <c r="I1486" s="8" t="inlineStr">
        <is>
          <t>Express Air</t>
        </is>
      </c>
      <c r="J1486" s="8" t="inlineStr">
        <is>
          <t>Direct Web</t>
        </is>
      </c>
      <c r="K1486" s="8" t="inlineStr">
        <is>
          <t>REG-APAC</t>
        </is>
      </c>
    </row>
    <row r="1487">
      <c r="A1487" s="8" t="inlineStr">
        <is>
          <t>ORD-000740</t>
        </is>
      </c>
      <c r="B1487" s="8" t="inlineStr">
        <is>
          <t>2025-03-14</t>
        </is>
      </c>
      <c r="C1487" s="8" t="inlineStr">
        <is>
          <t>CUST-03958</t>
        </is>
      </c>
      <c r="D1487" s="8" t="inlineStr">
        <is>
          <t xml:space="preserve">  jacob cooper  </t>
        </is>
      </c>
      <c r="E1487" s="8" t="inlineStr">
        <is>
          <t>PRD-0022</t>
        </is>
      </c>
      <c r="F1487" s="8" t="inlineStr">
        <is>
          <t>1</t>
        </is>
      </c>
      <c r="G1487" s="9" t="n">
        <v>801.74</v>
      </c>
      <c r="H1487" s="8" t="inlineStr">
        <is>
          <t>0.1</t>
        </is>
      </c>
      <c r="I1487" s="8" t="inlineStr">
        <is>
          <t>Express Air</t>
        </is>
      </c>
      <c r="J1487" s="8" t="inlineStr">
        <is>
          <t>Direct Web</t>
        </is>
      </c>
      <c r="K1487" s="8" t="inlineStr">
        <is>
          <t>REG-APAC</t>
        </is>
      </c>
    </row>
    <row r="1488">
      <c r="A1488" s="8" t="inlineStr">
        <is>
          <t>ORD-000740</t>
        </is>
      </c>
      <c r="B1488" s="8" t="inlineStr">
        <is>
          <t>2025-03-14</t>
        </is>
      </c>
      <c r="C1488" s="8" t="inlineStr">
        <is>
          <t>CUST-03958</t>
        </is>
      </c>
      <c r="D1488" s="8" t="inlineStr">
        <is>
          <t xml:space="preserve">  jacob cooper  </t>
        </is>
      </c>
      <c r="E1488" s="8" t="inlineStr">
        <is>
          <t>PRD-0036</t>
        </is>
      </c>
      <c r="F1488" s="8" t="inlineStr">
        <is>
          <t>3</t>
        </is>
      </c>
      <c r="G1488" s="9" t="n">
        <v>574.88</v>
      </c>
      <c r="H1488" s="8" t="inlineStr">
        <is>
          <t>0.05</t>
        </is>
      </c>
      <c r="I1488" s="8" t="inlineStr">
        <is>
          <t>Express Air</t>
        </is>
      </c>
      <c r="J1488" s="8" t="inlineStr">
        <is>
          <t>Direct Web</t>
        </is>
      </c>
      <c r="K1488" s="8" t="inlineStr">
        <is>
          <t>REG-APAC</t>
        </is>
      </c>
    </row>
    <row r="1489">
      <c r="A1489" s="8" t="inlineStr">
        <is>
          <t>ORD-000740</t>
        </is>
      </c>
      <c r="B1489" s="8" t="inlineStr">
        <is>
          <t>2025-03-14</t>
        </is>
      </c>
      <c r="C1489" s="8" t="inlineStr">
        <is>
          <t>CUST-03958</t>
        </is>
      </c>
      <c r="D1489" s="8" t="inlineStr">
        <is>
          <t xml:space="preserve">  jacob cooper  </t>
        </is>
      </c>
      <c r="E1489" s="8" t="inlineStr">
        <is>
          <t>PRD-0429</t>
        </is>
      </c>
      <c r="F1489" s="8" t="inlineStr">
        <is>
          <t>5</t>
        </is>
      </c>
      <c r="G1489" s="9" t="n">
        <v>790.21</v>
      </c>
      <c r="H1489" s="8" t="inlineStr">
        <is>
          <t>0.0</t>
        </is>
      </c>
      <c r="I1489" s="8" t="inlineStr">
        <is>
          <t>Express Air</t>
        </is>
      </c>
      <c r="J1489" s="8" t="inlineStr">
        <is>
          <t>Direct Web</t>
        </is>
      </c>
      <c r="K1489" s="8" t="inlineStr">
        <is>
          <t>REG-APAC</t>
        </is>
      </c>
    </row>
    <row r="1490">
      <c r="A1490" s="8" t="inlineStr">
        <is>
          <t>ORD-000741</t>
        </is>
      </c>
      <c r="B1490" s="8" t="inlineStr">
        <is>
          <t>2025-02-17</t>
        </is>
      </c>
      <c r="C1490" s="8" t="inlineStr">
        <is>
          <t>CUST-02753</t>
        </is>
      </c>
      <c r="D1490" s="8" t="inlineStr">
        <is>
          <t>Nicholas Anderson</t>
        </is>
      </c>
      <c r="E1490" s="8" t="inlineStr">
        <is>
          <t>PRD-0316</t>
        </is>
      </c>
      <c r="F1490" s="8" t="inlineStr">
        <is>
          <t>2</t>
        </is>
      </c>
      <c r="G1490" s="9" t="n">
        <v>575.96</v>
      </c>
      <c r="H1490" s="8" t="inlineStr">
        <is>
          <t>0.05</t>
        </is>
      </c>
      <c r="I1490" s="8" t="inlineStr">
        <is>
          <t>Standard Ground</t>
        </is>
      </c>
      <c r="J1490" s="8" t="inlineStr">
        <is>
          <t>Direct Web</t>
        </is>
      </c>
      <c r="K1490" s="8" t="inlineStr">
        <is>
          <t>REG-EU</t>
        </is>
      </c>
    </row>
    <row r="1491">
      <c r="A1491" s="8" t="inlineStr">
        <is>
          <t>ORD-000741</t>
        </is>
      </c>
      <c r="B1491" s="8" t="inlineStr">
        <is>
          <t>2025-02-17</t>
        </is>
      </c>
      <c r="C1491" s="8" t="inlineStr">
        <is>
          <t>CUST-02753</t>
        </is>
      </c>
      <c r="D1491" s="8" t="inlineStr">
        <is>
          <t>Nicholas Anderson</t>
        </is>
      </c>
      <c r="E1491" s="8" t="inlineStr">
        <is>
          <t>PRD-0055</t>
        </is>
      </c>
      <c r="F1491" s="8" t="inlineStr">
        <is>
          <t>1</t>
        </is>
      </c>
      <c r="G1491" s="9" t="n">
        <v>600.42</v>
      </c>
      <c r="H1491" s="8" t="inlineStr">
        <is>
          <t>0.2</t>
        </is>
      </c>
      <c r="I1491" s="8" t="inlineStr">
        <is>
          <t>Standard Ground</t>
        </is>
      </c>
      <c r="J1491" s="8" t="inlineStr">
        <is>
          <t>Direct Web</t>
        </is>
      </c>
      <c r="K1491" s="8" t="inlineStr">
        <is>
          <t>REG-EU</t>
        </is>
      </c>
    </row>
    <row r="1492">
      <c r="A1492" s="8" t="inlineStr">
        <is>
          <t>ORD-000741</t>
        </is>
      </c>
      <c r="B1492" s="8" t="inlineStr">
        <is>
          <t>2025-02-17</t>
        </is>
      </c>
      <c r="C1492" s="8" t="inlineStr">
        <is>
          <t>CUST-02753</t>
        </is>
      </c>
      <c r="D1492" s="8" t="inlineStr">
        <is>
          <t>Nicholas Anderson</t>
        </is>
      </c>
      <c r="E1492" s="8" t="inlineStr">
        <is>
          <t>PRD-0413</t>
        </is>
      </c>
      <c r="F1492" s="8" t="inlineStr">
        <is>
          <t>1</t>
        </is>
      </c>
      <c r="G1492" s="9" t="n">
        <v>764.48</v>
      </c>
      <c r="H1492" s="8" t="inlineStr">
        <is>
          <t>0.05</t>
        </is>
      </c>
      <c r="I1492" s="8" t="inlineStr">
        <is>
          <t>Standard Ground</t>
        </is>
      </c>
      <c r="J1492" s="8" t="inlineStr">
        <is>
          <t>Direct Web</t>
        </is>
      </c>
      <c r="K1492" s="8" t="inlineStr">
        <is>
          <t>REG-EU</t>
        </is>
      </c>
    </row>
    <row r="1493">
      <c r="A1493" s="8" t="inlineStr">
        <is>
          <t>ORD-000741</t>
        </is>
      </c>
      <c r="B1493" s="8" t="inlineStr">
        <is>
          <t>2025-02-17</t>
        </is>
      </c>
      <c r="C1493" s="8" t="inlineStr">
        <is>
          <t>CUST-02753</t>
        </is>
      </c>
      <c r="D1493" s="8" t="inlineStr">
        <is>
          <t>Nicholas Anderson</t>
        </is>
      </c>
      <c r="E1493" s="8" t="inlineStr">
        <is>
          <t>PRD-0087</t>
        </is>
      </c>
      <c r="F1493" s="8" t="inlineStr">
        <is>
          <t>5</t>
        </is>
      </c>
      <c r="G1493" s="9" t="n">
        <v>1103.24</v>
      </c>
      <c r="H1493" s="8" t="inlineStr">
        <is>
          <t>0.0</t>
        </is>
      </c>
      <c r="I1493" s="8" t="inlineStr">
        <is>
          <t>Standard Ground</t>
        </is>
      </c>
      <c r="J1493" s="8" t="inlineStr">
        <is>
          <t>Direct Web</t>
        </is>
      </c>
      <c r="K1493" s="8" t="inlineStr">
        <is>
          <t>REG-EU</t>
        </is>
      </c>
    </row>
    <row r="1494">
      <c r="A1494" s="8" t="inlineStr">
        <is>
          <t>ORD-000741</t>
        </is>
      </c>
      <c r="B1494" s="8" t="inlineStr">
        <is>
          <t>2025-02-17</t>
        </is>
      </c>
      <c r="C1494" s="8" t="inlineStr">
        <is>
          <t>CUST-02753</t>
        </is>
      </c>
      <c r="D1494" s="8" t="inlineStr">
        <is>
          <t>Nicholas Anderson</t>
        </is>
      </c>
      <c r="E1494" s="8" t="inlineStr">
        <is>
          <t>PRD-0371</t>
        </is>
      </c>
      <c r="F1494" s="8" t="inlineStr">
        <is>
          <t>1</t>
        </is>
      </c>
      <c r="G1494" s="9" t="n">
        <v>41.78</v>
      </c>
      <c r="H1494" s="8" t="inlineStr">
        <is>
          <t>0.0</t>
        </is>
      </c>
      <c r="I1494" s="8" t="inlineStr">
        <is>
          <t>Standard Ground</t>
        </is>
      </c>
      <c r="J1494" s="8" t="inlineStr">
        <is>
          <t>Direct Web</t>
        </is>
      </c>
      <c r="K1494" s="8" t="inlineStr">
        <is>
          <t>REG-EU</t>
        </is>
      </c>
    </row>
    <row r="1495">
      <c r="A1495" s="8" t="inlineStr">
        <is>
          <t>ORD-000742</t>
        </is>
      </c>
      <c r="B1495" s="8" t="inlineStr">
        <is>
          <t>2024-09-04</t>
        </is>
      </c>
      <c r="C1495" s="8" t="inlineStr">
        <is>
          <t>CUST-01024</t>
        </is>
      </c>
      <c r="D1495" s="8" t="inlineStr">
        <is>
          <t>Sarah Robinson</t>
        </is>
      </c>
      <c r="E1495" s="8" t="inlineStr">
        <is>
          <t>PRD-0405</t>
        </is>
      </c>
      <c r="F1495" s="8" t="inlineStr">
        <is>
          <t>1</t>
        </is>
      </c>
      <c r="G1495" s="9" t="n">
        <v>29.36</v>
      </c>
      <c r="H1495" s="8" t="inlineStr">
        <is>
          <t>0.2</t>
        </is>
      </c>
      <c r="I1495" s="8" t="inlineStr">
        <is>
          <t>Express Air</t>
        </is>
      </c>
      <c r="J1495" s="8" t="inlineStr">
        <is>
          <t>Affiliate Partner</t>
        </is>
      </c>
      <c r="K1495" s="8" t="inlineStr">
        <is>
          <t>REG-NA</t>
        </is>
      </c>
    </row>
    <row r="1496">
      <c r="A1496" s="8" t="inlineStr">
        <is>
          <t>ORD-000743</t>
        </is>
      </c>
      <c r="B1496" s="8" t="inlineStr">
        <is>
          <t>2024-11-18</t>
        </is>
      </c>
      <c r="C1496" s="8" t="inlineStr">
        <is>
          <t>CUST-02070</t>
        </is>
      </c>
      <c r="D1496" s="8" t="inlineStr">
        <is>
          <t>Sharon Parker</t>
        </is>
      </c>
      <c r="E1496" s="8" t="inlineStr">
        <is>
          <t>PRD-0302</t>
        </is>
      </c>
      <c r="F1496" s="8" t="inlineStr">
        <is>
          <t>2</t>
        </is>
      </c>
      <c r="G1496" s="9" t="n">
        <v>51.82</v>
      </c>
      <c r="H1496" s="8" t="inlineStr">
        <is>
          <t>0.0</t>
        </is>
      </c>
      <c r="I1496" s="8" t="inlineStr">
        <is>
          <t>Standard Ground</t>
        </is>
      </c>
      <c r="J1496" s="8" t="inlineStr">
        <is>
          <t>Mobile App</t>
        </is>
      </c>
      <c r="K1496" s="8" t="inlineStr">
        <is>
          <t>REG-EU</t>
        </is>
      </c>
    </row>
    <row r="1497">
      <c r="A1497" s="8" t="inlineStr">
        <is>
          <t>ORD-000743</t>
        </is>
      </c>
      <c r="B1497" s="8" t="inlineStr">
        <is>
          <t>2024-11-18</t>
        </is>
      </c>
      <c r="C1497" s="8" t="inlineStr">
        <is>
          <t>CUST-02070</t>
        </is>
      </c>
      <c r="D1497" s="8" t="inlineStr">
        <is>
          <t>Sharon Parker</t>
        </is>
      </c>
      <c r="E1497" s="8" t="inlineStr">
        <is>
          <t>PRD-0176</t>
        </is>
      </c>
      <c r="F1497" s="8" t="inlineStr">
        <is>
          <t>3</t>
        </is>
      </c>
      <c r="G1497" s="9" t="n">
        <v>18.25</v>
      </c>
      <c r="H1497" s="8" t="inlineStr">
        <is>
          <t>0.2</t>
        </is>
      </c>
      <c r="I1497" s="8" t="inlineStr">
        <is>
          <t>Standard Ground</t>
        </is>
      </c>
      <c r="J1497" s="8" t="inlineStr">
        <is>
          <t>Mobile App</t>
        </is>
      </c>
      <c r="K1497" s="8" t="inlineStr">
        <is>
          <t>REG-EU</t>
        </is>
      </c>
    </row>
    <row r="1498">
      <c r="A1498" s="8" t="inlineStr">
        <is>
          <t>ORD-000744</t>
        </is>
      </c>
      <c r="B1498" s="8" t="inlineStr">
        <is>
          <t>2024-10-01</t>
        </is>
      </c>
      <c r="C1498" s="8" t="inlineStr">
        <is>
          <t>CUST-02504</t>
        </is>
      </c>
      <c r="D1498" s="8" t="inlineStr">
        <is>
          <t>Paul Scott</t>
        </is>
      </c>
      <c r="E1498" s="8" t="inlineStr">
        <is>
          <t>PRD-0152</t>
        </is>
      </c>
      <c r="F1498" s="8" t="inlineStr">
        <is>
          <t>1</t>
        </is>
      </c>
      <c r="G1498" s="9" t="n">
        <v>1157.61</v>
      </c>
      <c r="H1498" s="8" t="inlineStr">
        <is>
          <t>0.15</t>
        </is>
      </c>
      <c r="I1498" s="8" t="inlineStr">
        <is>
          <t>Express Air</t>
        </is>
      </c>
      <c r="J1498" s="8" t="inlineStr">
        <is>
          <t>Mobile App</t>
        </is>
      </c>
      <c r="K1498" s="8" t="inlineStr">
        <is>
          <t>REG-NA</t>
        </is>
      </c>
    </row>
    <row r="1499">
      <c r="A1499" s="8" t="inlineStr">
        <is>
          <t>ORD-000744</t>
        </is>
      </c>
      <c r="B1499" s="8" t="inlineStr">
        <is>
          <t>2024-10-01</t>
        </is>
      </c>
      <c r="C1499" s="8" t="inlineStr">
        <is>
          <t>CUST-02504</t>
        </is>
      </c>
      <c r="D1499" s="8" t="inlineStr">
        <is>
          <t>Paul Scott</t>
        </is>
      </c>
      <c r="E1499" s="8" t="inlineStr">
        <is>
          <t>PRD-0092</t>
        </is>
      </c>
      <c r="F1499" s="8" t="inlineStr">
        <is>
          <t>2</t>
        </is>
      </c>
      <c r="G1499" s="9" t="n">
        <v>63.9</v>
      </c>
      <c r="H1499" s="8" t="inlineStr">
        <is>
          <t>0.25</t>
        </is>
      </c>
      <c r="I1499" s="8" t="inlineStr">
        <is>
          <t>Express Air</t>
        </is>
      </c>
      <c r="J1499" s="8" t="inlineStr">
        <is>
          <t>Mobile App</t>
        </is>
      </c>
      <c r="K1499" s="8" t="inlineStr">
        <is>
          <t>REG-NA</t>
        </is>
      </c>
    </row>
    <row r="1500">
      <c r="A1500" s="8" t="inlineStr">
        <is>
          <t>ORD-000745</t>
        </is>
      </c>
      <c r="B1500" s="8" t="inlineStr">
        <is>
          <t>2025-12-17</t>
        </is>
      </c>
      <c r="C1500" s="8" t="inlineStr">
        <is>
          <t>CUST-03574</t>
        </is>
      </c>
      <c r="D1500" s="8" t="inlineStr">
        <is>
          <t>Anna Patel</t>
        </is>
      </c>
      <c r="E1500" s="8" t="inlineStr">
        <is>
          <t>PRD-0024</t>
        </is>
      </c>
      <c r="F1500" s="8" t="inlineStr">
        <is>
          <t>1</t>
        </is>
      </c>
      <c r="G1500" s="9" t="n">
        <v>45.49</v>
      </c>
      <c r="H1500" s="8" t="inlineStr">
        <is>
          <t>0.25</t>
        </is>
      </c>
      <c r="I1500" s="8" t="inlineStr">
        <is>
          <t>Standard Ground</t>
        </is>
      </c>
      <c r="J1500" s="8" t="inlineStr">
        <is>
          <t>Mobile App</t>
        </is>
      </c>
      <c r="K1500" s="8" t="inlineStr">
        <is>
          <t>REG-NA</t>
        </is>
      </c>
    </row>
    <row r="1501">
      <c r="A1501" s="8" t="inlineStr">
        <is>
          <t>ORD-000746</t>
        </is>
      </c>
      <c r="B1501" s="8" t="inlineStr">
        <is>
          <t>2024-12-04</t>
        </is>
      </c>
      <c r="C1501" s="8" t="inlineStr">
        <is>
          <t>CUST-00628</t>
        </is>
      </c>
      <c r="D1501" s="8" t="inlineStr">
        <is>
          <t>Catherine Gomez</t>
        </is>
      </c>
      <c r="E1501" s="8" t="inlineStr">
        <is>
          <t>PRD-0371</t>
        </is>
      </c>
      <c r="F1501" s="8" t="inlineStr">
        <is>
          <t>-2</t>
        </is>
      </c>
      <c r="G1501" s="9" t="n">
        <v>41.78</v>
      </c>
      <c r="H1501" s="8" t="inlineStr">
        <is>
          <t>0.3</t>
        </is>
      </c>
      <c r="I1501" s="8" t="inlineStr">
        <is>
          <t>Standard Ground</t>
        </is>
      </c>
      <c r="J1501" s="8" t="inlineStr">
        <is>
          <t>Affiliate Partner</t>
        </is>
      </c>
      <c r="K1501" s="8" t="inlineStr">
        <is>
          <t>REG-APAC</t>
        </is>
      </c>
    </row>
    <row r="1502">
      <c r="A1502" s="8" t="inlineStr">
        <is>
          <t>ORD-000746</t>
        </is>
      </c>
      <c r="B1502" s="8" t="inlineStr">
        <is>
          <t>2024-12-04</t>
        </is>
      </c>
      <c r="C1502" s="8" t="inlineStr">
        <is>
          <t>CUST-00628</t>
        </is>
      </c>
      <c r="D1502" s="8" t="inlineStr">
        <is>
          <t>Catherine Gomez</t>
        </is>
      </c>
      <c r="E1502" s="8" t="inlineStr">
        <is>
          <t>PRD-0028</t>
        </is>
      </c>
      <c r="F1502" s="8" t="inlineStr">
        <is>
          <t>1</t>
        </is>
      </c>
      <c r="G1502" s="9" t="n">
        <v>832.11</v>
      </c>
      <c r="H1502" s="8" t="inlineStr">
        <is>
          <t>0.0</t>
        </is>
      </c>
      <c r="I1502" s="8" t="inlineStr">
        <is>
          <t>Standard Ground</t>
        </is>
      </c>
      <c r="J1502" s="8" t="inlineStr">
        <is>
          <t>Affiliate Partner</t>
        </is>
      </c>
      <c r="K1502" s="8" t="inlineStr">
        <is>
          <t>REG-APAC</t>
        </is>
      </c>
    </row>
    <row r="1503">
      <c r="A1503" s="8" t="inlineStr">
        <is>
          <t>ORD-000746</t>
        </is>
      </c>
      <c r="B1503" s="8" t="inlineStr">
        <is>
          <t>2024-12-04</t>
        </is>
      </c>
      <c r="C1503" s="8" t="inlineStr">
        <is>
          <t>CUST-00628</t>
        </is>
      </c>
      <c r="D1503" s="8" t="inlineStr">
        <is>
          <t>Catherine Gomez</t>
        </is>
      </c>
      <c r="E1503" s="8" t="inlineStr">
        <is>
          <t>PRD-0116</t>
        </is>
      </c>
      <c r="F1503" s="8" t="inlineStr">
        <is>
          <t>1</t>
        </is>
      </c>
      <c r="G1503" s="9" t="n">
        <v>177.13</v>
      </c>
      <c r="H1503" s="8" t="inlineStr">
        <is>
          <t>0.0</t>
        </is>
      </c>
      <c r="I1503" s="8" t="inlineStr">
        <is>
          <t>Standard Ground</t>
        </is>
      </c>
      <c r="J1503" s="8" t="inlineStr">
        <is>
          <t>Affiliate Partner</t>
        </is>
      </c>
      <c r="K1503" s="8" t="inlineStr">
        <is>
          <t>REG-APAC</t>
        </is>
      </c>
    </row>
    <row r="1504">
      <c r="A1504" s="8" t="inlineStr">
        <is>
          <t>ORD-000746</t>
        </is>
      </c>
      <c r="B1504" s="8" t="inlineStr">
        <is>
          <t>2024-12-04</t>
        </is>
      </c>
      <c r="C1504" s="8" t="inlineStr">
        <is>
          <t>CUST-00628</t>
        </is>
      </c>
      <c r="D1504" s="8" t="inlineStr">
        <is>
          <t>Catherine Gomez</t>
        </is>
      </c>
      <c r="E1504" s="8" t="inlineStr">
        <is>
          <t>PRD-0062</t>
        </is>
      </c>
      <c r="F1504" s="8" t="inlineStr">
        <is>
          <t>4</t>
        </is>
      </c>
      <c r="G1504" s="9" t="n">
        <v>829.67</v>
      </c>
      <c r="H1504" s="8" t="inlineStr">
        <is>
          <t>20%</t>
        </is>
      </c>
      <c r="I1504" s="8" t="inlineStr">
        <is>
          <t>Standard Ground</t>
        </is>
      </c>
      <c r="J1504" s="8" t="inlineStr">
        <is>
          <t>Affiliate Partner</t>
        </is>
      </c>
      <c r="K1504" s="8" t="inlineStr">
        <is>
          <t>REG-APAC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4"/>
  <sheetViews>
    <sheetView showGridLines="1" workbookViewId="0">
      <selection activeCell="A1" sqref="A1"/>
    </sheetView>
  </sheetViews>
  <sheetFormatPr baseColWidth="8" defaultRowHeight="15"/>
  <cols>
    <col width="134" customWidth="1" min="1" max="1"/>
    <col width="103" customWidth="1" min="2" max="2"/>
    <col width="94" customWidth="1" min="3" max="3"/>
    <col width="43" customWidth="1" min="4" max="4"/>
    <col width="77" customWidth="1" min="5" max="5"/>
    <col width="22" customWidth="1" min="6" max="6"/>
    <col width="118" customWidth="1" min="7" max="7"/>
    <col width="36" customWidth="1" min="8" max="8"/>
    <col width="71" customWidth="1" min="9" max="9"/>
    <col width="123" customWidth="1" min="10" max="10"/>
    <col width="225" customWidth="1" min="11" max="11"/>
  </cols>
  <sheetData>
    <row r="1">
      <c r="A1" s="1" t="inlineStr">
        <is>
          <t>DATA AUDIT &amp; CLEANSING TRANSFORMATION LAYER</t>
        </is>
      </c>
    </row>
    <row r="2">
      <c r="A2" s="2" t="inlineStr">
        <is>
          <t>Illustrative formulas over sample rows; production cleaning is performed by scripts/clean_raw_datasets.py.</t>
        </is>
      </c>
    </row>
    <row r="3">
      <c r="A3" s="2" t="inlineStr">
        <is>
          <t>Some demonstration formulas differ from production policy: missing customer keys are rejected by the Python pipeline, not imputed.</t>
        </is>
      </c>
    </row>
    <row r="4" ht="26" customHeight="1">
      <c r="A4" s="3" t="inlineStr">
        <is>
          <t>Order_ID</t>
        </is>
      </c>
      <c r="B4" s="3" t="inlineStr">
        <is>
          <t>Clean_Date</t>
        </is>
      </c>
      <c r="C4" s="3" t="inlineStr">
        <is>
          <t>Clean_Customer_ID</t>
        </is>
      </c>
      <c r="D4" s="3" t="inlineStr">
        <is>
          <t>Clean_Customer_Name</t>
        </is>
      </c>
      <c r="E4" s="3" t="inlineStr">
        <is>
          <t>Clean_Quantity</t>
        </is>
      </c>
      <c r="F4" s="3" t="inlineStr">
        <is>
          <t>Clean_Unit_Price</t>
        </is>
      </c>
      <c r="G4" s="3" t="inlineStr">
        <is>
          <t>Clean_Discount_Rate</t>
        </is>
      </c>
      <c r="H4" s="3" t="inlineStr">
        <is>
          <t>Clean_Sales_Channel</t>
        </is>
      </c>
      <c r="I4" s="3" t="inlineStr">
        <is>
          <t>Clean_Region</t>
        </is>
      </c>
      <c r="J4" s="3" t="inlineStr">
        <is>
          <t>Data_Quality_Flag</t>
        </is>
      </c>
      <c r="K4" s="3" t="inlineStr">
        <is>
          <t>Audit_Action_Taken</t>
        </is>
      </c>
    </row>
    <row r="5">
      <c r="A5" s="8">
        <f>'01_Raw_Data'!A5</f>
        <v/>
      </c>
      <c r="B5" s="10">
        <f>IFERROR(DATEVALUE('01_Raw_Data'!B5), IF('01_Raw_Data'!B5="", DATE(2024,1,1), '01_Raw_Data'!B5))</f>
        <v/>
      </c>
      <c r="C5" s="8">
        <f>IF(OR('01_Raw_Data'!C5="",'01_Raw_Data'!C5="0"), "CUST-GUEST", TRIM('01_Raw_Data'!C5))</f>
        <v/>
      </c>
      <c r="D5" s="8">
        <f>PROPER(TRIM(CLEAN('01_Raw_Data'!D5)))</f>
        <v/>
      </c>
      <c r="E5" s="8">
        <f>ABS(IF(ISNUMBER(VALUE('01_Raw_Data'!F5)), VALUE('01_Raw_Data'!F5), 1))</f>
        <v/>
      </c>
      <c r="F5" s="9">
        <f>'01_Raw_Data'!G5</f>
        <v/>
      </c>
      <c r="G5" s="11">
        <f>IF(ISNUMBER('01_Raw_Data'!H5), '01_Raw_Data'!H5, IFERROR(VALUE(SUBSTITUTE('01_Raw_Data'!H5, "%", ""))/100, 0))</f>
        <v/>
      </c>
      <c r="H5" s="8">
        <f>PROPER(TRIM('01_Raw_Data'!J5))</f>
        <v/>
      </c>
      <c r="I5" s="8">
        <f>IF('01_Raw_Data'!K5="", "REG-NA", UPPER(TRIM('01_Raw_Data'!K5)))</f>
        <v/>
      </c>
      <c r="J5" s="8">
        <f>IF(OR('01_Raw_Data'!C5="", '01_Raw_Data'!F5&lt;0, ISNUMBER(SEARCH("%", '01_Raw_Data'!H5))), "FIXED ANOMALY", "PASSED")</f>
        <v/>
      </c>
      <c r="K5" s="8">
        <f>IF('01_Raw_Data'!F5&lt;0, "Converted Negative Quantity to ABS", IF('01_Raw_Data'!C5="", "Imputed Missing Customer ID", IF(ISNUMBER(SEARCH("%", '01_Raw_Data'!H5)), "Parsed Text % to Numeric Rate", "Standardized Format")))</f>
        <v/>
      </c>
    </row>
    <row r="6">
      <c r="A6" s="8">
        <f>'01_Raw_Data'!A6</f>
        <v/>
      </c>
      <c r="B6" s="10">
        <f>IFERROR(DATEVALUE('01_Raw_Data'!B6), IF('01_Raw_Data'!B6="", DATE(2024,1,1), '01_Raw_Data'!B6))</f>
        <v/>
      </c>
      <c r="C6" s="8">
        <f>IF(OR('01_Raw_Data'!C6="",'01_Raw_Data'!C6="0"), "CUST-GUEST", TRIM('01_Raw_Data'!C6))</f>
        <v/>
      </c>
      <c r="D6" s="8">
        <f>PROPER(TRIM(CLEAN('01_Raw_Data'!D6)))</f>
        <v/>
      </c>
      <c r="E6" s="8">
        <f>ABS(IF(ISNUMBER(VALUE('01_Raw_Data'!F6)), VALUE('01_Raw_Data'!F6), 1))</f>
        <v/>
      </c>
      <c r="F6" s="9">
        <f>'01_Raw_Data'!G6</f>
        <v/>
      </c>
      <c r="G6" s="11">
        <f>IF(ISNUMBER('01_Raw_Data'!H6), '01_Raw_Data'!H6, IFERROR(VALUE(SUBSTITUTE('01_Raw_Data'!H6, "%", ""))/100, 0))</f>
        <v/>
      </c>
      <c r="H6" s="8">
        <f>PROPER(TRIM('01_Raw_Data'!J6))</f>
        <v/>
      </c>
      <c r="I6" s="8">
        <f>IF('01_Raw_Data'!K6="", "REG-NA", UPPER(TRIM('01_Raw_Data'!K6)))</f>
        <v/>
      </c>
      <c r="J6" s="8">
        <f>IF(OR('01_Raw_Data'!C6="", '01_Raw_Data'!F6&lt;0, ISNUMBER(SEARCH("%", '01_Raw_Data'!H6))), "FIXED ANOMALY", "PASSED")</f>
        <v/>
      </c>
      <c r="K6" s="8">
        <f>IF('01_Raw_Data'!F6&lt;0, "Converted Negative Quantity to ABS", IF('01_Raw_Data'!C6="", "Imputed Missing Customer ID", IF(ISNUMBER(SEARCH("%", '01_Raw_Data'!H6)), "Parsed Text % to Numeric Rate", "Standardized Format")))</f>
        <v/>
      </c>
    </row>
    <row r="7">
      <c r="A7" s="8">
        <f>'01_Raw_Data'!A7</f>
        <v/>
      </c>
      <c r="B7" s="10">
        <f>IFERROR(DATEVALUE('01_Raw_Data'!B7), IF('01_Raw_Data'!B7="", DATE(2024,1,1), '01_Raw_Data'!B7))</f>
        <v/>
      </c>
      <c r="C7" s="8">
        <f>IF(OR('01_Raw_Data'!C7="",'01_Raw_Data'!C7="0"), "CUST-GUEST", TRIM('01_Raw_Data'!C7))</f>
        <v/>
      </c>
      <c r="D7" s="8">
        <f>PROPER(TRIM(CLEAN('01_Raw_Data'!D7)))</f>
        <v/>
      </c>
      <c r="E7" s="8">
        <f>ABS(IF(ISNUMBER(VALUE('01_Raw_Data'!F7)), VALUE('01_Raw_Data'!F7), 1))</f>
        <v/>
      </c>
      <c r="F7" s="9">
        <f>'01_Raw_Data'!G7</f>
        <v/>
      </c>
      <c r="G7" s="11">
        <f>IF(ISNUMBER('01_Raw_Data'!H7), '01_Raw_Data'!H7, IFERROR(VALUE(SUBSTITUTE('01_Raw_Data'!H7, "%", ""))/100, 0))</f>
        <v/>
      </c>
      <c r="H7" s="8">
        <f>PROPER(TRIM('01_Raw_Data'!J7))</f>
        <v/>
      </c>
      <c r="I7" s="8">
        <f>IF('01_Raw_Data'!K7="", "REG-NA", UPPER(TRIM('01_Raw_Data'!K7)))</f>
        <v/>
      </c>
      <c r="J7" s="8">
        <f>IF(OR('01_Raw_Data'!C7="", '01_Raw_Data'!F7&lt;0, ISNUMBER(SEARCH("%", '01_Raw_Data'!H7))), "FIXED ANOMALY", "PASSED")</f>
        <v/>
      </c>
      <c r="K7" s="8">
        <f>IF('01_Raw_Data'!F7&lt;0, "Converted Negative Quantity to ABS", IF('01_Raw_Data'!C7="", "Imputed Missing Customer ID", IF(ISNUMBER(SEARCH("%", '01_Raw_Data'!H7)), "Parsed Text % to Numeric Rate", "Standardized Format")))</f>
        <v/>
      </c>
    </row>
    <row r="8">
      <c r="A8" s="8">
        <f>'01_Raw_Data'!A8</f>
        <v/>
      </c>
      <c r="B8" s="10">
        <f>IFERROR(DATEVALUE('01_Raw_Data'!B8), IF('01_Raw_Data'!B8="", DATE(2024,1,1), '01_Raw_Data'!B8))</f>
        <v/>
      </c>
      <c r="C8" s="8">
        <f>IF(OR('01_Raw_Data'!C8="",'01_Raw_Data'!C8="0"), "CUST-GUEST", TRIM('01_Raw_Data'!C8))</f>
        <v/>
      </c>
      <c r="D8" s="8">
        <f>PROPER(TRIM(CLEAN('01_Raw_Data'!D8)))</f>
        <v/>
      </c>
      <c r="E8" s="8">
        <f>ABS(IF(ISNUMBER(VALUE('01_Raw_Data'!F8)), VALUE('01_Raw_Data'!F8), 1))</f>
        <v/>
      </c>
      <c r="F8" s="9">
        <f>'01_Raw_Data'!G8</f>
        <v/>
      </c>
      <c r="G8" s="11">
        <f>IF(ISNUMBER('01_Raw_Data'!H8), '01_Raw_Data'!H8, IFERROR(VALUE(SUBSTITUTE('01_Raw_Data'!H8, "%", ""))/100, 0))</f>
        <v/>
      </c>
      <c r="H8" s="8">
        <f>PROPER(TRIM('01_Raw_Data'!J8))</f>
        <v/>
      </c>
      <c r="I8" s="8">
        <f>IF('01_Raw_Data'!K8="", "REG-NA", UPPER(TRIM('01_Raw_Data'!K8)))</f>
        <v/>
      </c>
      <c r="J8" s="8">
        <f>IF(OR('01_Raw_Data'!C8="", '01_Raw_Data'!F8&lt;0, ISNUMBER(SEARCH("%", '01_Raw_Data'!H8))), "FIXED ANOMALY", "PASSED")</f>
        <v/>
      </c>
      <c r="K8" s="8">
        <f>IF('01_Raw_Data'!F8&lt;0, "Converted Negative Quantity to ABS", IF('01_Raw_Data'!C8="", "Imputed Missing Customer ID", IF(ISNUMBER(SEARCH("%", '01_Raw_Data'!H8)), "Parsed Text % to Numeric Rate", "Standardized Format")))</f>
        <v/>
      </c>
    </row>
    <row r="9">
      <c r="A9" s="8">
        <f>'01_Raw_Data'!A9</f>
        <v/>
      </c>
      <c r="B9" s="10">
        <f>IFERROR(DATEVALUE('01_Raw_Data'!B9), IF('01_Raw_Data'!B9="", DATE(2024,1,1), '01_Raw_Data'!B9))</f>
        <v/>
      </c>
      <c r="C9" s="8">
        <f>IF(OR('01_Raw_Data'!C9="",'01_Raw_Data'!C9="0"), "CUST-GUEST", TRIM('01_Raw_Data'!C9))</f>
        <v/>
      </c>
      <c r="D9" s="8">
        <f>PROPER(TRIM(CLEAN('01_Raw_Data'!D9)))</f>
        <v/>
      </c>
      <c r="E9" s="8">
        <f>ABS(IF(ISNUMBER(VALUE('01_Raw_Data'!F9)), VALUE('01_Raw_Data'!F9), 1))</f>
        <v/>
      </c>
      <c r="F9" s="9">
        <f>'01_Raw_Data'!G9</f>
        <v/>
      </c>
      <c r="G9" s="11">
        <f>IF(ISNUMBER('01_Raw_Data'!H9), '01_Raw_Data'!H9, IFERROR(VALUE(SUBSTITUTE('01_Raw_Data'!H9, "%", ""))/100, 0))</f>
        <v/>
      </c>
      <c r="H9" s="8">
        <f>PROPER(TRIM('01_Raw_Data'!J9))</f>
        <v/>
      </c>
      <c r="I9" s="8">
        <f>IF('01_Raw_Data'!K9="", "REG-NA", UPPER(TRIM('01_Raw_Data'!K9)))</f>
        <v/>
      </c>
      <c r="J9" s="8">
        <f>IF(OR('01_Raw_Data'!C9="", '01_Raw_Data'!F9&lt;0, ISNUMBER(SEARCH("%", '01_Raw_Data'!H9))), "FIXED ANOMALY", "PASSED")</f>
        <v/>
      </c>
      <c r="K9" s="8">
        <f>IF('01_Raw_Data'!F9&lt;0, "Converted Negative Quantity to ABS", IF('01_Raw_Data'!C9="", "Imputed Missing Customer ID", IF(ISNUMBER(SEARCH("%", '01_Raw_Data'!H9)), "Parsed Text % to Numeric Rate", "Standardized Format")))</f>
        <v/>
      </c>
    </row>
    <row r="10">
      <c r="A10" s="8">
        <f>'01_Raw_Data'!A10</f>
        <v/>
      </c>
      <c r="B10" s="10">
        <f>IFERROR(DATEVALUE('01_Raw_Data'!B10), IF('01_Raw_Data'!B10="", DATE(2024,1,1), '01_Raw_Data'!B10))</f>
        <v/>
      </c>
      <c r="C10" s="8">
        <f>IF(OR('01_Raw_Data'!C10="",'01_Raw_Data'!C10="0"), "CUST-GUEST", TRIM('01_Raw_Data'!C10))</f>
        <v/>
      </c>
      <c r="D10" s="8">
        <f>PROPER(TRIM(CLEAN('01_Raw_Data'!D10)))</f>
        <v/>
      </c>
      <c r="E10" s="8">
        <f>ABS(IF(ISNUMBER(VALUE('01_Raw_Data'!F10)), VALUE('01_Raw_Data'!F10), 1))</f>
        <v/>
      </c>
      <c r="F10" s="9">
        <f>'01_Raw_Data'!G10</f>
        <v/>
      </c>
      <c r="G10" s="11">
        <f>IF(ISNUMBER('01_Raw_Data'!H10), '01_Raw_Data'!H10, IFERROR(VALUE(SUBSTITUTE('01_Raw_Data'!H10, "%", ""))/100, 0))</f>
        <v/>
      </c>
      <c r="H10" s="8">
        <f>PROPER(TRIM('01_Raw_Data'!J10))</f>
        <v/>
      </c>
      <c r="I10" s="8">
        <f>IF('01_Raw_Data'!K10="", "REG-NA", UPPER(TRIM('01_Raw_Data'!K10)))</f>
        <v/>
      </c>
      <c r="J10" s="8">
        <f>IF(OR('01_Raw_Data'!C10="", '01_Raw_Data'!F10&lt;0, ISNUMBER(SEARCH("%", '01_Raw_Data'!H10))), "FIXED ANOMALY", "PASSED")</f>
        <v/>
      </c>
      <c r="K10" s="8">
        <f>IF('01_Raw_Data'!F10&lt;0, "Converted Negative Quantity to ABS", IF('01_Raw_Data'!C10="", "Imputed Missing Customer ID", IF(ISNUMBER(SEARCH("%", '01_Raw_Data'!H10)), "Parsed Text % to Numeric Rate", "Standardized Format")))</f>
        <v/>
      </c>
    </row>
    <row r="11">
      <c r="A11" s="8">
        <f>'01_Raw_Data'!A11</f>
        <v/>
      </c>
      <c r="B11" s="10">
        <f>IFERROR(DATEVALUE('01_Raw_Data'!B11), IF('01_Raw_Data'!B11="", DATE(2024,1,1), '01_Raw_Data'!B11))</f>
        <v/>
      </c>
      <c r="C11" s="8">
        <f>IF(OR('01_Raw_Data'!C11="",'01_Raw_Data'!C11="0"), "CUST-GUEST", TRIM('01_Raw_Data'!C11))</f>
        <v/>
      </c>
      <c r="D11" s="8">
        <f>PROPER(TRIM(CLEAN('01_Raw_Data'!D11)))</f>
        <v/>
      </c>
      <c r="E11" s="8">
        <f>ABS(IF(ISNUMBER(VALUE('01_Raw_Data'!F11)), VALUE('01_Raw_Data'!F11), 1))</f>
        <v/>
      </c>
      <c r="F11" s="9">
        <f>'01_Raw_Data'!G11</f>
        <v/>
      </c>
      <c r="G11" s="11">
        <f>IF(ISNUMBER('01_Raw_Data'!H11), '01_Raw_Data'!H11, IFERROR(VALUE(SUBSTITUTE('01_Raw_Data'!H11, "%", ""))/100, 0))</f>
        <v/>
      </c>
      <c r="H11" s="8">
        <f>PROPER(TRIM('01_Raw_Data'!J11))</f>
        <v/>
      </c>
      <c r="I11" s="8">
        <f>IF('01_Raw_Data'!K11="", "REG-NA", UPPER(TRIM('01_Raw_Data'!K11)))</f>
        <v/>
      </c>
      <c r="J11" s="8">
        <f>IF(OR('01_Raw_Data'!C11="", '01_Raw_Data'!F11&lt;0, ISNUMBER(SEARCH("%", '01_Raw_Data'!H11))), "FIXED ANOMALY", "PASSED")</f>
        <v/>
      </c>
      <c r="K11" s="8">
        <f>IF('01_Raw_Data'!F11&lt;0, "Converted Negative Quantity to ABS", IF('01_Raw_Data'!C11="", "Imputed Missing Customer ID", IF(ISNUMBER(SEARCH("%", '01_Raw_Data'!H11)), "Parsed Text % to Numeric Rate", "Standardized Format")))</f>
        <v/>
      </c>
    </row>
    <row r="12">
      <c r="A12" s="8">
        <f>'01_Raw_Data'!A12</f>
        <v/>
      </c>
      <c r="B12" s="10">
        <f>IFERROR(DATEVALUE('01_Raw_Data'!B12), IF('01_Raw_Data'!B12="", DATE(2024,1,1), '01_Raw_Data'!B12))</f>
        <v/>
      </c>
      <c r="C12" s="8">
        <f>IF(OR('01_Raw_Data'!C12="",'01_Raw_Data'!C12="0"), "CUST-GUEST", TRIM('01_Raw_Data'!C12))</f>
        <v/>
      </c>
      <c r="D12" s="8">
        <f>PROPER(TRIM(CLEAN('01_Raw_Data'!D12)))</f>
        <v/>
      </c>
      <c r="E12" s="8">
        <f>ABS(IF(ISNUMBER(VALUE('01_Raw_Data'!F12)), VALUE('01_Raw_Data'!F12), 1))</f>
        <v/>
      </c>
      <c r="F12" s="9">
        <f>'01_Raw_Data'!G12</f>
        <v/>
      </c>
      <c r="G12" s="11">
        <f>IF(ISNUMBER('01_Raw_Data'!H12), '01_Raw_Data'!H12, IFERROR(VALUE(SUBSTITUTE('01_Raw_Data'!H12, "%", ""))/100, 0))</f>
        <v/>
      </c>
      <c r="H12" s="8">
        <f>PROPER(TRIM('01_Raw_Data'!J12))</f>
        <v/>
      </c>
      <c r="I12" s="8">
        <f>IF('01_Raw_Data'!K12="", "REG-NA", UPPER(TRIM('01_Raw_Data'!K12)))</f>
        <v/>
      </c>
      <c r="J12" s="8">
        <f>IF(OR('01_Raw_Data'!C12="", '01_Raw_Data'!F12&lt;0, ISNUMBER(SEARCH("%", '01_Raw_Data'!H12))), "FIXED ANOMALY", "PASSED")</f>
        <v/>
      </c>
      <c r="K12" s="8">
        <f>IF('01_Raw_Data'!F12&lt;0, "Converted Negative Quantity to ABS", IF('01_Raw_Data'!C12="", "Imputed Missing Customer ID", IF(ISNUMBER(SEARCH("%", '01_Raw_Data'!H12)), "Parsed Text % to Numeric Rate", "Standardized Format")))</f>
        <v/>
      </c>
    </row>
    <row r="13">
      <c r="A13" s="8">
        <f>'01_Raw_Data'!A13</f>
        <v/>
      </c>
      <c r="B13" s="10">
        <f>IFERROR(DATEVALUE('01_Raw_Data'!B13), IF('01_Raw_Data'!B13="", DATE(2024,1,1), '01_Raw_Data'!B13))</f>
        <v/>
      </c>
      <c r="C13" s="8">
        <f>IF(OR('01_Raw_Data'!C13="",'01_Raw_Data'!C13="0"), "CUST-GUEST", TRIM('01_Raw_Data'!C13))</f>
        <v/>
      </c>
      <c r="D13" s="8">
        <f>PROPER(TRIM(CLEAN('01_Raw_Data'!D13)))</f>
        <v/>
      </c>
      <c r="E13" s="8">
        <f>ABS(IF(ISNUMBER(VALUE('01_Raw_Data'!F13)), VALUE('01_Raw_Data'!F13), 1))</f>
        <v/>
      </c>
      <c r="F13" s="9">
        <f>'01_Raw_Data'!G13</f>
        <v/>
      </c>
      <c r="G13" s="11">
        <f>IF(ISNUMBER('01_Raw_Data'!H13), '01_Raw_Data'!H13, IFERROR(VALUE(SUBSTITUTE('01_Raw_Data'!H13, "%", ""))/100, 0))</f>
        <v/>
      </c>
      <c r="H13" s="8">
        <f>PROPER(TRIM('01_Raw_Data'!J13))</f>
        <v/>
      </c>
      <c r="I13" s="8">
        <f>IF('01_Raw_Data'!K13="", "REG-NA", UPPER(TRIM('01_Raw_Data'!K13)))</f>
        <v/>
      </c>
      <c r="J13" s="8">
        <f>IF(OR('01_Raw_Data'!C13="", '01_Raw_Data'!F13&lt;0, ISNUMBER(SEARCH("%", '01_Raw_Data'!H13))), "FIXED ANOMALY", "PASSED")</f>
        <v/>
      </c>
      <c r="K13" s="8">
        <f>IF('01_Raw_Data'!F13&lt;0, "Converted Negative Quantity to ABS", IF('01_Raw_Data'!C13="", "Imputed Missing Customer ID", IF(ISNUMBER(SEARCH("%", '01_Raw_Data'!H13)), "Parsed Text % to Numeric Rate", "Standardized Format")))</f>
        <v/>
      </c>
    </row>
    <row r="14">
      <c r="A14" s="8">
        <f>'01_Raw_Data'!A14</f>
        <v/>
      </c>
      <c r="B14" s="10">
        <f>IFERROR(DATEVALUE('01_Raw_Data'!B14), IF('01_Raw_Data'!B14="", DATE(2024,1,1), '01_Raw_Data'!B14))</f>
        <v/>
      </c>
      <c r="C14" s="8">
        <f>IF(OR('01_Raw_Data'!C14="",'01_Raw_Data'!C14="0"), "CUST-GUEST", TRIM('01_Raw_Data'!C14))</f>
        <v/>
      </c>
      <c r="D14" s="8">
        <f>PROPER(TRIM(CLEAN('01_Raw_Data'!D14)))</f>
        <v/>
      </c>
      <c r="E14" s="8">
        <f>ABS(IF(ISNUMBER(VALUE('01_Raw_Data'!F14)), VALUE('01_Raw_Data'!F14), 1))</f>
        <v/>
      </c>
      <c r="F14" s="9">
        <f>'01_Raw_Data'!G14</f>
        <v/>
      </c>
      <c r="G14" s="11">
        <f>IF(ISNUMBER('01_Raw_Data'!H14), '01_Raw_Data'!H14, IFERROR(VALUE(SUBSTITUTE('01_Raw_Data'!H14, "%", ""))/100, 0))</f>
        <v/>
      </c>
      <c r="H14" s="8">
        <f>PROPER(TRIM('01_Raw_Data'!J14))</f>
        <v/>
      </c>
      <c r="I14" s="8">
        <f>IF('01_Raw_Data'!K14="", "REG-NA", UPPER(TRIM('01_Raw_Data'!K14)))</f>
        <v/>
      </c>
      <c r="J14" s="8">
        <f>IF(OR('01_Raw_Data'!C14="", '01_Raw_Data'!F14&lt;0, ISNUMBER(SEARCH("%", '01_Raw_Data'!H14))), "FIXED ANOMALY", "PASSED")</f>
        <v/>
      </c>
      <c r="K14" s="8">
        <f>IF('01_Raw_Data'!F14&lt;0, "Converted Negative Quantity to ABS", IF('01_Raw_Data'!C14="", "Imputed Missing Customer ID", IF(ISNUMBER(SEARCH("%", '01_Raw_Data'!H14)), "Parsed Text % to Numeric Rate", "Standardized Format")))</f>
        <v/>
      </c>
    </row>
    <row r="15">
      <c r="A15" s="8">
        <f>'01_Raw_Data'!A15</f>
        <v/>
      </c>
      <c r="B15" s="10">
        <f>IFERROR(DATEVALUE('01_Raw_Data'!B15), IF('01_Raw_Data'!B15="", DATE(2024,1,1), '01_Raw_Data'!B15))</f>
        <v/>
      </c>
      <c r="C15" s="8">
        <f>IF(OR('01_Raw_Data'!C15="",'01_Raw_Data'!C15="0"), "CUST-GUEST", TRIM('01_Raw_Data'!C15))</f>
        <v/>
      </c>
      <c r="D15" s="8">
        <f>PROPER(TRIM(CLEAN('01_Raw_Data'!D15)))</f>
        <v/>
      </c>
      <c r="E15" s="8">
        <f>ABS(IF(ISNUMBER(VALUE('01_Raw_Data'!F15)), VALUE('01_Raw_Data'!F15), 1))</f>
        <v/>
      </c>
      <c r="F15" s="9">
        <f>'01_Raw_Data'!G15</f>
        <v/>
      </c>
      <c r="G15" s="11">
        <f>IF(ISNUMBER('01_Raw_Data'!H15), '01_Raw_Data'!H15, IFERROR(VALUE(SUBSTITUTE('01_Raw_Data'!H15, "%", ""))/100, 0))</f>
        <v/>
      </c>
      <c r="H15" s="8">
        <f>PROPER(TRIM('01_Raw_Data'!J15))</f>
        <v/>
      </c>
      <c r="I15" s="8">
        <f>IF('01_Raw_Data'!K15="", "REG-NA", UPPER(TRIM('01_Raw_Data'!K15)))</f>
        <v/>
      </c>
      <c r="J15" s="8">
        <f>IF(OR('01_Raw_Data'!C15="", '01_Raw_Data'!F15&lt;0, ISNUMBER(SEARCH("%", '01_Raw_Data'!H15))), "FIXED ANOMALY", "PASSED")</f>
        <v/>
      </c>
      <c r="K15" s="8">
        <f>IF('01_Raw_Data'!F15&lt;0, "Converted Negative Quantity to ABS", IF('01_Raw_Data'!C15="", "Imputed Missing Customer ID", IF(ISNUMBER(SEARCH("%", '01_Raw_Data'!H15)), "Parsed Text % to Numeric Rate", "Standardized Format")))</f>
        <v/>
      </c>
    </row>
    <row r="16">
      <c r="A16" s="8">
        <f>'01_Raw_Data'!A16</f>
        <v/>
      </c>
      <c r="B16" s="10">
        <f>IFERROR(DATEVALUE('01_Raw_Data'!B16), IF('01_Raw_Data'!B16="", DATE(2024,1,1), '01_Raw_Data'!B16))</f>
        <v/>
      </c>
      <c r="C16" s="8">
        <f>IF(OR('01_Raw_Data'!C16="",'01_Raw_Data'!C16="0"), "CUST-GUEST", TRIM('01_Raw_Data'!C16))</f>
        <v/>
      </c>
      <c r="D16" s="8">
        <f>PROPER(TRIM(CLEAN('01_Raw_Data'!D16)))</f>
        <v/>
      </c>
      <c r="E16" s="8">
        <f>ABS(IF(ISNUMBER(VALUE('01_Raw_Data'!F16)), VALUE('01_Raw_Data'!F16), 1))</f>
        <v/>
      </c>
      <c r="F16" s="9">
        <f>'01_Raw_Data'!G16</f>
        <v/>
      </c>
      <c r="G16" s="11">
        <f>IF(ISNUMBER('01_Raw_Data'!H16), '01_Raw_Data'!H16, IFERROR(VALUE(SUBSTITUTE('01_Raw_Data'!H16, "%", ""))/100, 0))</f>
        <v/>
      </c>
      <c r="H16" s="8">
        <f>PROPER(TRIM('01_Raw_Data'!J16))</f>
        <v/>
      </c>
      <c r="I16" s="8">
        <f>IF('01_Raw_Data'!K16="", "REG-NA", UPPER(TRIM('01_Raw_Data'!K16)))</f>
        <v/>
      </c>
      <c r="J16" s="8">
        <f>IF(OR('01_Raw_Data'!C16="", '01_Raw_Data'!F16&lt;0, ISNUMBER(SEARCH("%", '01_Raw_Data'!H16))), "FIXED ANOMALY", "PASSED")</f>
        <v/>
      </c>
      <c r="K16" s="8">
        <f>IF('01_Raw_Data'!F16&lt;0, "Converted Negative Quantity to ABS", IF('01_Raw_Data'!C16="", "Imputed Missing Customer ID", IF(ISNUMBER(SEARCH("%", '01_Raw_Data'!H16)), "Parsed Text % to Numeric Rate", "Standardized Format")))</f>
        <v/>
      </c>
    </row>
    <row r="17">
      <c r="A17" s="8">
        <f>'01_Raw_Data'!A17</f>
        <v/>
      </c>
      <c r="B17" s="10">
        <f>IFERROR(DATEVALUE('01_Raw_Data'!B17), IF('01_Raw_Data'!B17="", DATE(2024,1,1), '01_Raw_Data'!B17))</f>
        <v/>
      </c>
      <c r="C17" s="8">
        <f>IF(OR('01_Raw_Data'!C17="",'01_Raw_Data'!C17="0"), "CUST-GUEST", TRIM('01_Raw_Data'!C17))</f>
        <v/>
      </c>
      <c r="D17" s="8">
        <f>PROPER(TRIM(CLEAN('01_Raw_Data'!D17)))</f>
        <v/>
      </c>
      <c r="E17" s="8">
        <f>ABS(IF(ISNUMBER(VALUE('01_Raw_Data'!F17)), VALUE('01_Raw_Data'!F17), 1))</f>
        <v/>
      </c>
      <c r="F17" s="9">
        <f>'01_Raw_Data'!G17</f>
        <v/>
      </c>
      <c r="G17" s="11">
        <f>IF(ISNUMBER('01_Raw_Data'!H17), '01_Raw_Data'!H17, IFERROR(VALUE(SUBSTITUTE('01_Raw_Data'!H17, "%", ""))/100, 0))</f>
        <v/>
      </c>
      <c r="H17" s="8">
        <f>PROPER(TRIM('01_Raw_Data'!J17))</f>
        <v/>
      </c>
      <c r="I17" s="8">
        <f>IF('01_Raw_Data'!K17="", "REG-NA", UPPER(TRIM('01_Raw_Data'!K17)))</f>
        <v/>
      </c>
      <c r="J17" s="8">
        <f>IF(OR('01_Raw_Data'!C17="", '01_Raw_Data'!F17&lt;0, ISNUMBER(SEARCH("%", '01_Raw_Data'!H17))), "FIXED ANOMALY", "PASSED")</f>
        <v/>
      </c>
      <c r="K17" s="8">
        <f>IF('01_Raw_Data'!F17&lt;0, "Converted Negative Quantity to ABS", IF('01_Raw_Data'!C17="", "Imputed Missing Customer ID", IF(ISNUMBER(SEARCH("%", '01_Raw_Data'!H17)), "Parsed Text % to Numeric Rate", "Standardized Format")))</f>
        <v/>
      </c>
    </row>
    <row r="18">
      <c r="A18" s="8">
        <f>'01_Raw_Data'!A18</f>
        <v/>
      </c>
      <c r="B18" s="10">
        <f>IFERROR(DATEVALUE('01_Raw_Data'!B18), IF('01_Raw_Data'!B18="", DATE(2024,1,1), '01_Raw_Data'!B18))</f>
        <v/>
      </c>
      <c r="C18" s="8">
        <f>IF(OR('01_Raw_Data'!C18="",'01_Raw_Data'!C18="0"), "CUST-GUEST", TRIM('01_Raw_Data'!C18))</f>
        <v/>
      </c>
      <c r="D18" s="8">
        <f>PROPER(TRIM(CLEAN('01_Raw_Data'!D18)))</f>
        <v/>
      </c>
      <c r="E18" s="8">
        <f>ABS(IF(ISNUMBER(VALUE('01_Raw_Data'!F18)), VALUE('01_Raw_Data'!F18), 1))</f>
        <v/>
      </c>
      <c r="F18" s="9">
        <f>'01_Raw_Data'!G18</f>
        <v/>
      </c>
      <c r="G18" s="11">
        <f>IF(ISNUMBER('01_Raw_Data'!H18), '01_Raw_Data'!H18, IFERROR(VALUE(SUBSTITUTE('01_Raw_Data'!H18, "%", ""))/100, 0))</f>
        <v/>
      </c>
      <c r="H18" s="8">
        <f>PROPER(TRIM('01_Raw_Data'!J18))</f>
        <v/>
      </c>
      <c r="I18" s="8">
        <f>IF('01_Raw_Data'!K18="", "REG-NA", UPPER(TRIM('01_Raw_Data'!K18)))</f>
        <v/>
      </c>
      <c r="J18" s="8">
        <f>IF(OR('01_Raw_Data'!C18="", '01_Raw_Data'!F18&lt;0, ISNUMBER(SEARCH("%", '01_Raw_Data'!H18))), "FIXED ANOMALY", "PASSED")</f>
        <v/>
      </c>
      <c r="K18" s="8">
        <f>IF('01_Raw_Data'!F18&lt;0, "Converted Negative Quantity to ABS", IF('01_Raw_Data'!C18="", "Imputed Missing Customer ID", IF(ISNUMBER(SEARCH("%", '01_Raw_Data'!H18)), "Parsed Text % to Numeric Rate", "Standardized Format")))</f>
        <v/>
      </c>
    </row>
    <row r="19">
      <c r="A19" s="8">
        <f>'01_Raw_Data'!A19</f>
        <v/>
      </c>
      <c r="B19" s="10">
        <f>IFERROR(DATEVALUE('01_Raw_Data'!B19), IF('01_Raw_Data'!B19="", DATE(2024,1,1), '01_Raw_Data'!B19))</f>
        <v/>
      </c>
      <c r="C19" s="8">
        <f>IF(OR('01_Raw_Data'!C19="",'01_Raw_Data'!C19="0"), "CUST-GUEST", TRIM('01_Raw_Data'!C19))</f>
        <v/>
      </c>
      <c r="D19" s="8">
        <f>PROPER(TRIM(CLEAN('01_Raw_Data'!D19)))</f>
        <v/>
      </c>
      <c r="E19" s="8">
        <f>ABS(IF(ISNUMBER(VALUE('01_Raw_Data'!F19)), VALUE('01_Raw_Data'!F19), 1))</f>
        <v/>
      </c>
      <c r="F19" s="9">
        <f>'01_Raw_Data'!G19</f>
        <v/>
      </c>
      <c r="G19" s="11">
        <f>IF(ISNUMBER('01_Raw_Data'!H19), '01_Raw_Data'!H19, IFERROR(VALUE(SUBSTITUTE('01_Raw_Data'!H19, "%", ""))/100, 0))</f>
        <v/>
      </c>
      <c r="H19" s="8">
        <f>PROPER(TRIM('01_Raw_Data'!J19))</f>
        <v/>
      </c>
      <c r="I19" s="8">
        <f>IF('01_Raw_Data'!K19="", "REG-NA", UPPER(TRIM('01_Raw_Data'!K19)))</f>
        <v/>
      </c>
      <c r="J19" s="8">
        <f>IF(OR('01_Raw_Data'!C19="", '01_Raw_Data'!F19&lt;0, ISNUMBER(SEARCH("%", '01_Raw_Data'!H19))), "FIXED ANOMALY", "PASSED")</f>
        <v/>
      </c>
      <c r="K19" s="8">
        <f>IF('01_Raw_Data'!F19&lt;0, "Converted Negative Quantity to ABS", IF('01_Raw_Data'!C19="", "Imputed Missing Customer ID", IF(ISNUMBER(SEARCH("%", '01_Raw_Data'!H19)), "Parsed Text % to Numeric Rate", "Standardized Format")))</f>
        <v/>
      </c>
    </row>
    <row r="20">
      <c r="A20" s="8">
        <f>'01_Raw_Data'!A20</f>
        <v/>
      </c>
      <c r="B20" s="10">
        <f>IFERROR(DATEVALUE('01_Raw_Data'!B20), IF('01_Raw_Data'!B20="", DATE(2024,1,1), '01_Raw_Data'!B20))</f>
        <v/>
      </c>
      <c r="C20" s="8">
        <f>IF(OR('01_Raw_Data'!C20="",'01_Raw_Data'!C20="0"), "CUST-GUEST", TRIM('01_Raw_Data'!C20))</f>
        <v/>
      </c>
      <c r="D20" s="8">
        <f>PROPER(TRIM(CLEAN('01_Raw_Data'!D20)))</f>
        <v/>
      </c>
      <c r="E20" s="8">
        <f>ABS(IF(ISNUMBER(VALUE('01_Raw_Data'!F20)), VALUE('01_Raw_Data'!F20), 1))</f>
        <v/>
      </c>
      <c r="F20" s="9">
        <f>'01_Raw_Data'!G20</f>
        <v/>
      </c>
      <c r="G20" s="11">
        <f>IF(ISNUMBER('01_Raw_Data'!H20), '01_Raw_Data'!H20, IFERROR(VALUE(SUBSTITUTE('01_Raw_Data'!H20, "%", ""))/100, 0))</f>
        <v/>
      </c>
      <c r="H20" s="8">
        <f>PROPER(TRIM('01_Raw_Data'!J20))</f>
        <v/>
      </c>
      <c r="I20" s="8">
        <f>IF('01_Raw_Data'!K20="", "REG-NA", UPPER(TRIM('01_Raw_Data'!K20)))</f>
        <v/>
      </c>
      <c r="J20" s="8">
        <f>IF(OR('01_Raw_Data'!C20="", '01_Raw_Data'!F20&lt;0, ISNUMBER(SEARCH("%", '01_Raw_Data'!H20))), "FIXED ANOMALY", "PASSED")</f>
        <v/>
      </c>
      <c r="K20" s="8">
        <f>IF('01_Raw_Data'!F20&lt;0, "Converted Negative Quantity to ABS", IF('01_Raw_Data'!C20="", "Imputed Missing Customer ID", IF(ISNUMBER(SEARCH("%", '01_Raw_Data'!H20)), "Parsed Text % to Numeric Rate", "Standardized Format")))</f>
        <v/>
      </c>
    </row>
    <row r="21">
      <c r="A21" s="8">
        <f>'01_Raw_Data'!A21</f>
        <v/>
      </c>
      <c r="B21" s="10">
        <f>IFERROR(DATEVALUE('01_Raw_Data'!B21), IF('01_Raw_Data'!B21="", DATE(2024,1,1), '01_Raw_Data'!B21))</f>
        <v/>
      </c>
      <c r="C21" s="8">
        <f>IF(OR('01_Raw_Data'!C21="",'01_Raw_Data'!C21="0"), "CUST-GUEST", TRIM('01_Raw_Data'!C21))</f>
        <v/>
      </c>
      <c r="D21" s="8">
        <f>PROPER(TRIM(CLEAN('01_Raw_Data'!D21)))</f>
        <v/>
      </c>
      <c r="E21" s="8">
        <f>ABS(IF(ISNUMBER(VALUE('01_Raw_Data'!F21)), VALUE('01_Raw_Data'!F21), 1))</f>
        <v/>
      </c>
      <c r="F21" s="9">
        <f>'01_Raw_Data'!G21</f>
        <v/>
      </c>
      <c r="G21" s="11">
        <f>IF(ISNUMBER('01_Raw_Data'!H21), '01_Raw_Data'!H21, IFERROR(VALUE(SUBSTITUTE('01_Raw_Data'!H21, "%", ""))/100, 0))</f>
        <v/>
      </c>
      <c r="H21" s="8">
        <f>PROPER(TRIM('01_Raw_Data'!J21))</f>
        <v/>
      </c>
      <c r="I21" s="8">
        <f>IF('01_Raw_Data'!K21="", "REG-NA", UPPER(TRIM('01_Raw_Data'!K21)))</f>
        <v/>
      </c>
      <c r="J21" s="8">
        <f>IF(OR('01_Raw_Data'!C21="", '01_Raw_Data'!F21&lt;0, ISNUMBER(SEARCH("%", '01_Raw_Data'!H21))), "FIXED ANOMALY", "PASSED")</f>
        <v/>
      </c>
      <c r="K21" s="8">
        <f>IF('01_Raw_Data'!F21&lt;0, "Converted Negative Quantity to ABS", IF('01_Raw_Data'!C21="", "Imputed Missing Customer ID", IF(ISNUMBER(SEARCH("%", '01_Raw_Data'!H21)), "Parsed Text % to Numeric Rate", "Standardized Format")))</f>
        <v/>
      </c>
    </row>
    <row r="22">
      <c r="A22" s="8">
        <f>'01_Raw_Data'!A22</f>
        <v/>
      </c>
      <c r="B22" s="10">
        <f>IFERROR(DATEVALUE('01_Raw_Data'!B22), IF('01_Raw_Data'!B22="", DATE(2024,1,1), '01_Raw_Data'!B22))</f>
        <v/>
      </c>
      <c r="C22" s="8">
        <f>IF(OR('01_Raw_Data'!C22="",'01_Raw_Data'!C22="0"), "CUST-GUEST", TRIM('01_Raw_Data'!C22))</f>
        <v/>
      </c>
      <c r="D22" s="8">
        <f>PROPER(TRIM(CLEAN('01_Raw_Data'!D22)))</f>
        <v/>
      </c>
      <c r="E22" s="8">
        <f>ABS(IF(ISNUMBER(VALUE('01_Raw_Data'!F22)), VALUE('01_Raw_Data'!F22), 1))</f>
        <v/>
      </c>
      <c r="F22" s="9">
        <f>'01_Raw_Data'!G22</f>
        <v/>
      </c>
      <c r="G22" s="11">
        <f>IF(ISNUMBER('01_Raw_Data'!H22), '01_Raw_Data'!H22, IFERROR(VALUE(SUBSTITUTE('01_Raw_Data'!H22, "%", ""))/100, 0))</f>
        <v/>
      </c>
      <c r="H22" s="8">
        <f>PROPER(TRIM('01_Raw_Data'!J22))</f>
        <v/>
      </c>
      <c r="I22" s="8">
        <f>IF('01_Raw_Data'!K22="", "REG-NA", UPPER(TRIM('01_Raw_Data'!K22)))</f>
        <v/>
      </c>
      <c r="J22" s="8">
        <f>IF(OR('01_Raw_Data'!C22="", '01_Raw_Data'!F22&lt;0, ISNUMBER(SEARCH("%", '01_Raw_Data'!H22))), "FIXED ANOMALY", "PASSED")</f>
        <v/>
      </c>
      <c r="K22" s="8">
        <f>IF('01_Raw_Data'!F22&lt;0, "Converted Negative Quantity to ABS", IF('01_Raw_Data'!C22="", "Imputed Missing Customer ID", IF(ISNUMBER(SEARCH("%", '01_Raw_Data'!H22)), "Parsed Text % to Numeric Rate", "Standardized Format")))</f>
        <v/>
      </c>
    </row>
    <row r="23">
      <c r="A23" s="8">
        <f>'01_Raw_Data'!A23</f>
        <v/>
      </c>
      <c r="B23" s="10">
        <f>IFERROR(DATEVALUE('01_Raw_Data'!B23), IF('01_Raw_Data'!B23="", DATE(2024,1,1), '01_Raw_Data'!B23))</f>
        <v/>
      </c>
      <c r="C23" s="8">
        <f>IF(OR('01_Raw_Data'!C23="",'01_Raw_Data'!C23="0"), "CUST-GUEST", TRIM('01_Raw_Data'!C23))</f>
        <v/>
      </c>
      <c r="D23" s="8">
        <f>PROPER(TRIM(CLEAN('01_Raw_Data'!D23)))</f>
        <v/>
      </c>
      <c r="E23" s="8">
        <f>ABS(IF(ISNUMBER(VALUE('01_Raw_Data'!F23)), VALUE('01_Raw_Data'!F23), 1))</f>
        <v/>
      </c>
      <c r="F23" s="9">
        <f>'01_Raw_Data'!G23</f>
        <v/>
      </c>
      <c r="G23" s="11">
        <f>IF(ISNUMBER('01_Raw_Data'!H23), '01_Raw_Data'!H23, IFERROR(VALUE(SUBSTITUTE('01_Raw_Data'!H23, "%", ""))/100, 0))</f>
        <v/>
      </c>
      <c r="H23" s="8">
        <f>PROPER(TRIM('01_Raw_Data'!J23))</f>
        <v/>
      </c>
      <c r="I23" s="8">
        <f>IF('01_Raw_Data'!K23="", "REG-NA", UPPER(TRIM('01_Raw_Data'!K23)))</f>
        <v/>
      </c>
      <c r="J23" s="8">
        <f>IF(OR('01_Raw_Data'!C23="", '01_Raw_Data'!F23&lt;0, ISNUMBER(SEARCH("%", '01_Raw_Data'!H23))), "FIXED ANOMALY", "PASSED")</f>
        <v/>
      </c>
      <c r="K23" s="8">
        <f>IF('01_Raw_Data'!F23&lt;0, "Converted Negative Quantity to ABS", IF('01_Raw_Data'!C23="", "Imputed Missing Customer ID", IF(ISNUMBER(SEARCH("%", '01_Raw_Data'!H23)), "Parsed Text % to Numeric Rate", "Standardized Format")))</f>
        <v/>
      </c>
    </row>
    <row r="24">
      <c r="A24" s="8">
        <f>'01_Raw_Data'!A24</f>
        <v/>
      </c>
      <c r="B24" s="10">
        <f>IFERROR(DATEVALUE('01_Raw_Data'!B24), IF('01_Raw_Data'!B24="", DATE(2024,1,1), '01_Raw_Data'!B24))</f>
        <v/>
      </c>
      <c r="C24" s="8">
        <f>IF(OR('01_Raw_Data'!C24="",'01_Raw_Data'!C24="0"), "CUST-GUEST", TRIM('01_Raw_Data'!C24))</f>
        <v/>
      </c>
      <c r="D24" s="8">
        <f>PROPER(TRIM(CLEAN('01_Raw_Data'!D24)))</f>
        <v/>
      </c>
      <c r="E24" s="8">
        <f>ABS(IF(ISNUMBER(VALUE('01_Raw_Data'!F24)), VALUE('01_Raw_Data'!F24), 1))</f>
        <v/>
      </c>
      <c r="F24" s="9">
        <f>'01_Raw_Data'!G24</f>
        <v/>
      </c>
      <c r="G24" s="11">
        <f>IF(ISNUMBER('01_Raw_Data'!H24), '01_Raw_Data'!H24, IFERROR(VALUE(SUBSTITUTE('01_Raw_Data'!H24, "%", ""))/100, 0))</f>
        <v/>
      </c>
      <c r="H24" s="8">
        <f>PROPER(TRIM('01_Raw_Data'!J24))</f>
        <v/>
      </c>
      <c r="I24" s="8">
        <f>IF('01_Raw_Data'!K24="", "REG-NA", UPPER(TRIM('01_Raw_Data'!K24)))</f>
        <v/>
      </c>
      <c r="J24" s="8">
        <f>IF(OR('01_Raw_Data'!C24="", '01_Raw_Data'!F24&lt;0, ISNUMBER(SEARCH("%", '01_Raw_Data'!H24))), "FIXED ANOMALY", "PASSED")</f>
        <v/>
      </c>
      <c r="K24" s="8">
        <f>IF('01_Raw_Data'!F24&lt;0, "Converted Negative Quantity to ABS", IF('01_Raw_Data'!C24="", "Imputed Missing Customer ID", IF(ISNUMBER(SEARCH("%", '01_Raw_Data'!H24)), "Parsed Text % to Numeric Rate", "Standardized Format")))</f>
        <v/>
      </c>
    </row>
    <row r="25">
      <c r="A25" s="8">
        <f>'01_Raw_Data'!A25</f>
        <v/>
      </c>
      <c r="B25" s="10">
        <f>IFERROR(DATEVALUE('01_Raw_Data'!B25), IF('01_Raw_Data'!B25="", DATE(2024,1,1), '01_Raw_Data'!B25))</f>
        <v/>
      </c>
      <c r="C25" s="8">
        <f>IF(OR('01_Raw_Data'!C25="",'01_Raw_Data'!C25="0"), "CUST-GUEST", TRIM('01_Raw_Data'!C25))</f>
        <v/>
      </c>
      <c r="D25" s="8">
        <f>PROPER(TRIM(CLEAN('01_Raw_Data'!D25)))</f>
        <v/>
      </c>
      <c r="E25" s="8">
        <f>ABS(IF(ISNUMBER(VALUE('01_Raw_Data'!F25)), VALUE('01_Raw_Data'!F25), 1))</f>
        <v/>
      </c>
      <c r="F25" s="9">
        <f>'01_Raw_Data'!G25</f>
        <v/>
      </c>
      <c r="G25" s="11">
        <f>IF(ISNUMBER('01_Raw_Data'!H25), '01_Raw_Data'!H25, IFERROR(VALUE(SUBSTITUTE('01_Raw_Data'!H25, "%", ""))/100, 0))</f>
        <v/>
      </c>
      <c r="H25" s="8">
        <f>PROPER(TRIM('01_Raw_Data'!J25))</f>
        <v/>
      </c>
      <c r="I25" s="8">
        <f>IF('01_Raw_Data'!K25="", "REG-NA", UPPER(TRIM('01_Raw_Data'!K25)))</f>
        <v/>
      </c>
      <c r="J25" s="8">
        <f>IF(OR('01_Raw_Data'!C25="", '01_Raw_Data'!F25&lt;0, ISNUMBER(SEARCH("%", '01_Raw_Data'!H25))), "FIXED ANOMALY", "PASSED")</f>
        <v/>
      </c>
      <c r="K25" s="8">
        <f>IF('01_Raw_Data'!F25&lt;0, "Converted Negative Quantity to ABS", IF('01_Raw_Data'!C25="", "Imputed Missing Customer ID", IF(ISNUMBER(SEARCH("%", '01_Raw_Data'!H25)), "Parsed Text % to Numeric Rate", "Standardized Format")))</f>
        <v/>
      </c>
    </row>
    <row r="26">
      <c r="A26" s="8">
        <f>'01_Raw_Data'!A26</f>
        <v/>
      </c>
      <c r="B26" s="10">
        <f>IFERROR(DATEVALUE('01_Raw_Data'!B26), IF('01_Raw_Data'!B26="", DATE(2024,1,1), '01_Raw_Data'!B26))</f>
        <v/>
      </c>
      <c r="C26" s="8">
        <f>IF(OR('01_Raw_Data'!C26="",'01_Raw_Data'!C26="0"), "CUST-GUEST", TRIM('01_Raw_Data'!C26))</f>
        <v/>
      </c>
      <c r="D26" s="8">
        <f>PROPER(TRIM(CLEAN('01_Raw_Data'!D26)))</f>
        <v/>
      </c>
      <c r="E26" s="8">
        <f>ABS(IF(ISNUMBER(VALUE('01_Raw_Data'!F26)), VALUE('01_Raw_Data'!F26), 1))</f>
        <v/>
      </c>
      <c r="F26" s="9">
        <f>'01_Raw_Data'!G26</f>
        <v/>
      </c>
      <c r="G26" s="11">
        <f>IF(ISNUMBER('01_Raw_Data'!H26), '01_Raw_Data'!H26, IFERROR(VALUE(SUBSTITUTE('01_Raw_Data'!H26, "%", ""))/100, 0))</f>
        <v/>
      </c>
      <c r="H26" s="8">
        <f>PROPER(TRIM('01_Raw_Data'!J26))</f>
        <v/>
      </c>
      <c r="I26" s="8">
        <f>IF('01_Raw_Data'!K26="", "REG-NA", UPPER(TRIM('01_Raw_Data'!K26)))</f>
        <v/>
      </c>
      <c r="J26" s="8">
        <f>IF(OR('01_Raw_Data'!C26="", '01_Raw_Data'!F26&lt;0, ISNUMBER(SEARCH("%", '01_Raw_Data'!H26))), "FIXED ANOMALY", "PASSED")</f>
        <v/>
      </c>
      <c r="K26" s="8">
        <f>IF('01_Raw_Data'!F26&lt;0, "Converted Negative Quantity to ABS", IF('01_Raw_Data'!C26="", "Imputed Missing Customer ID", IF(ISNUMBER(SEARCH("%", '01_Raw_Data'!H26)), "Parsed Text % to Numeric Rate", "Standardized Format")))</f>
        <v/>
      </c>
    </row>
    <row r="27">
      <c r="A27" s="8">
        <f>'01_Raw_Data'!A27</f>
        <v/>
      </c>
      <c r="B27" s="10">
        <f>IFERROR(DATEVALUE('01_Raw_Data'!B27), IF('01_Raw_Data'!B27="", DATE(2024,1,1), '01_Raw_Data'!B27))</f>
        <v/>
      </c>
      <c r="C27" s="8">
        <f>IF(OR('01_Raw_Data'!C27="",'01_Raw_Data'!C27="0"), "CUST-GUEST", TRIM('01_Raw_Data'!C27))</f>
        <v/>
      </c>
      <c r="D27" s="8">
        <f>PROPER(TRIM(CLEAN('01_Raw_Data'!D27)))</f>
        <v/>
      </c>
      <c r="E27" s="8">
        <f>ABS(IF(ISNUMBER(VALUE('01_Raw_Data'!F27)), VALUE('01_Raw_Data'!F27), 1))</f>
        <v/>
      </c>
      <c r="F27" s="9">
        <f>'01_Raw_Data'!G27</f>
        <v/>
      </c>
      <c r="G27" s="11">
        <f>IF(ISNUMBER('01_Raw_Data'!H27), '01_Raw_Data'!H27, IFERROR(VALUE(SUBSTITUTE('01_Raw_Data'!H27, "%", ""))/100, 0))</f>
        <v/>
      </c>
      <c r="H27" s="8">
        <f>PROPER(TRIM('01_Raw_Data'!J27))</f>
        <v/>
      </c>
      <c r="I27" s="8">
        <f>IF('01_Raw_Data'!K27="", "REG-NA", UPPER(TRIM('01_Raw_Data'!K27)))</f>
        <v/>
      </c>
      <c r="J27" s="8">
        <f>IF(OR('01_Raw_Data'!C27="", '01_Raw_Data'!F27&lt;0, ISNUMBER(SEARCH("%", '01_Raw_Data'!H27))), "FIXED ANOMALY", "PASSED")</f>
        <v/>
      </c>
      <c r="K27" s="8">
        <f>IF('01_Raw_Data'!F27&lt;0, "Converted Negative Quantity to ABS", IF('01_Raw_Data'!C27="", "Imputed Missing Customer ID", IF(ISNUMBER(SEARCH("%", '01_Raw_Data'!H27)), "Parsed Text % to Numeric Rate", "Standardized Format")))</f>
        <v/>
      </c>
    </row>
    <row r="28">
      <c r="A28" s="8">
        <f>'01_Raw_Data'!A28</f>
        <v/>
      </c>
      <c r="B28" s="10">
        <f>IFERROR(DATEVALUE('01_Raw_Data'!B28), IF('01_Raw_Data'!B28="", DATE(2024,1,1), '01_Raw_Data'!B28))</f>
        <v/>
      </c>
      <c r="C28" s="8">
        <f>IF(OR('01_Raw_Data'!C28="",'01_Raw_Data'!C28="0"), "CUST-GUEST", TRIM('01_Raw_Data'!C28))</f>
        <v/>
      </c>
      <c r="D28" s="8">
        <f>PROPER(TRIM(CLEAN('01_Raw_Data'!D28)))</f>
        <v/>
      </c>
      <c r="E28" s="8">
        <f>ABS(IF(ISNUMBER(VALUE('01_Raw_Data'!F28)), VALUE('01_Raw_Data'!F28), 1))</f>
        <v/>
      </c>
      <c r="F28" s="9">
        <f>'01_Raw_Data'!G28</f>
        <v/>
      </c>
      <c r="G28" s="11">
        <f>IF(ISNUMBER('01_Raw_Data'!H28), '01_Raw_Data'!H28, IFERROR(VALUE(SUBSTITUTE('01_Raw_Data'!H28, "%", ""))/100, 0))</f>
        <v/>
      </c>
      <c r="H28" s="8">
        <f>PROPER(TRIM('01_Raw_Data'!J28))</f>
        <v/>
      </c>
      <c r="I28" s="8">
        <f>IF('01_Raw_Data'!K28="", "REG-NA", UPPER(TRIM('01_Raw_Data'!K28)))</f>
        <v/>
      </c>
      <c r="J28" s="8">
        <f>IF(OR('01_Raw_Data'!C28="", '01_Raw_Data'!F28&lt;0, ISNUMBER(SEARCH("%", '01_Raw_Data'!H28))), "FIXED ANOMALY", "PASSED")</f>
        <v/>
      </c>
      <c r="K28" s="8">
        <f>IF('01_Raw_Data'!F28&lt;0, "Converted Negative Quantity to ABS", IF('01_Raw_Data'!C28="", "Imputed Missing Customer ID", IF(ISNUMBER(SEARCH("%", '01_Raw_Data'!H28)), "Parsed Text % to Numeric Rate", "Standardized Format")))</f>
        <v/>
      </c>
    </row>
    <row r="29">
      <c r="A29" s="8">
        <f>'01_Raw_Data'!A29</f>
        <v/>
      </c>
      <c r="B29" s="10">
        <f>IFERROR(DATEVALUE('01_Raw_Data'!B29), IF('01_Raw_Data'!B29="", DATE(2024,1,1), '01_Raw_Data'!B29))</f>
        <v/>
      </c>
      <c r="C29" s="8">
        <f>IF(OR('01_Raw_Data'!C29="",'01_Raw_Data'!C29="0"), "CUST-GUEST", TRIM('01_Raw_Data'!C29))</f>
        <v/>
      </c>
      <c r="D29" s="8">
        <f>PROPER(TRIM(CLEAN('01_Raw_Data'!D29)))</f>
        <v/>
      </c>
      <c r="E29" s="8">
        <f>ABS(IF(ISNUMBER(VALUE('01_Raw_Data'!F29)), VALUE('01_Raw_Data'!F29), 1))</f>
        <v/>
      </c>
      <c r="F29" s="9">
        <f>'01_Raw_Data'!G29</f>
        <v/>
      </c>
      <c r="G29" s="11">
        <f>IF(ISNUMBER('01_Raw_Data'!H29), '01_Raw_Data'!H29, IFERROR(VALUE(SUBSTITUTE('01_Raw_Data'!H29, "%", ""))/100, 0))</f>
        <v/>
      </c>
      <c r="H29" s="8">
        <f>PROPER(TRIM('01_Raw_Data'!J29))</f>
        <v/>
      </c>
      <c r="I29" s="8">
        <f>IF('01_Raw_Data'!K29="", "REG-NA", UPPER(TRIM('01_Raw_Data'!K29)))</f>
        <v/>
      </c>
      <c r="J29" s="8">
        <f>IF(OR('01_Raw_Data'!C29="", '01_Raw_Data'!F29&lt;0, ISNUMBER(SEARCH("%", '01_Raw_Data'!H29))), "FIXED ANOMALY", "PASSED")</f>
        <v/>
      </c>
      <c r="K29" s="8">
        <f>IF('01_Raw_Data'!F29&lt;0, "Converted Negative Quantity to ABS", IF('01_Raw_Data'!C29="", "Imputed Missing Customer ID", IF(ISNUMBER(SEARCH("%", '01_Raw_Data'!H29)), "Parsed Text % to Numeric Rate", "Standardized Format")))</f>
        <v/>
      </c>
    </row>
    <row r="30">
      <c r="A30" s="8">
        <f>'01_Raw_Data'!A30</f>
        <v/>
      </c>
      <c r="B30" s="10">
        <f>IFERROR(DATEVALUE('01_Raw_Data'!B30), IF('01_Raw_Data'!B30="", DATE(2024,1,1), '01_Raw_Data'!B30))</f>
        <v/>
      </c>
      <c r="C30" s="8">
        <f>IF(OR('01_Raw_Data'!C30="",'01_Raw_Data'!C30="0"), "CUST-GUEST", TRIM('01_Raw_Data'!C30))</f>
        <v/>
      </c>
      <c r="D30" s="8">
        <f>PROPER(TRIM(CLEAN('01_Raw_Data'!D30)))</f>
        <v/>
      </c>
      <c r="E30" s="8">
        <f>ABS(IF(ISNUMBER(VALUE('01_Raw_Data'!F30)), VALUE('01_Raw_Data'!F30), 1))</f>
        <v/>
      </c>
      <c r="F30" s="9">
        <f>'01_Raw_Data'!G30</f>
        <v/>
      </c>
      <c r="G30" s="11">
        <f>IF(ISNUMBER('01_Raw_Data'!H30), '01_Raw_Data'!H30, IFERROR(VALUE(SUBSTITUTE('01_Raw_Data'!H30, "%", ""))/100, 0))</f>
        <v/>
      </c>
      <c r="H30" s="8">
        <f>PROPER(TRIM('01_Raw_Data'!J30))</f>
        <v/>
      </c>
      <c r="I30" s="8">
        <f>IF('01_Raw_Data'!K30="", "REG-NA", UPPER(TRIM('01_Raw_Data'!K30)))</f>
        <v/>
      </c>
      <c r="J30" s="8">
        <f>IF(OR('01_Raw_Data'!C30="", '01_Raw_Data'!F30&lt;0, ISNUMBER(SEARCH("%", '01_Raw_Data'!H30))), "FIXED ANOMALY", "PASSED")</f>
        <v/>
      </c>
      <c r="K30" s="8">
        <f>IF('01_Raw_Data'!F30&lt;0, "Converted Negative Quantity to ABS", IF('01_Raw_Data'!C30="", "Imputed Missing Customer ID", IF(ISNUMBER(SEARCH("%", '01_Raw_Data'!H30)), "Parsed Text % to Numeric Rate", "Standardized Format")))</f>
        <v/>
      </c>
    </row>
    <row r="31">
      <c r="A31" s="8">
        <f>'01_Raw_Data'!A31</f>
        <v/>
      </c>
      <c r="B31" s="10">
        <f>IFERROR(DATEVALUE('01_Raw_Data'!B31), IF('01_Raw_Data'!B31="", DATE(2024,1,1), '01_Raw_Data'!B31))</f>
        <v/>
      </c>
      <c r="C31" s="8">
        <f>IF(OR('01_Raw_Data'!C31="",'01_Raw_Data'!C31="0"), "CUST-GUEST", TRIM('01_Raw_Data'!C31))</f>
        <v/>
      </c>
      <c r="D31" s="8">
        <f>PROPER(TRIM(CLEAN('01_Raw_Data'!D31)))</f>
        <v/>
      </c>
      <c r="E31" s="8">
        <f>ABS(IF(ISNUMBER(VALUE('01_Raw_Data'!F31)), VALUE('01_Raw_Data'!F31), 1))</f>
        <v/>
      </c>
      <c r="F31" s="9">
        <f>'01_Raw_Data'!G31</f>
        <v/>
      </c>
      <c r="G31" s="11">
        <f>IF(ISNUMBER('01_Raw_Data'!H31), '01_Raw_Data'!H31, IFERROR(VALUE(SUBSTITUTE('01_Raw_Data'!H31, "%", ""))/100, 0))</f>
        <v/>
      </c>
      <c r="H31" s="8">
        <f>PROPER(TRIM('01_Raw_Data'!J31))</f>
        <v/>
      </c>
      <c r="I31" s="8">
        <f>IF('01_Raw_Data'!K31="", "REG-NA", UPPER(TRIM('01_Raw_Data'!K31)))</f>
        <v/>
      </c>
      <c r="J31" s="8">
        <f>IF(OR('01_Raw_Data'!C31="", '01_Raw_Data'!F31&lt;0, ISNUMBER(SEARCH("%", '01_Raw_Data'!H31))), "FIXED ANOMALY", "PASSED")</f>
        <v/>
      </c>
      <c r="K31" s="8">
        <f>IF('01_Raw_Data'!F31&lt;0, "Converted Negative Quantity to ABS", IF('01_Raw_Data'!C31="", "Imputed Missing Customer ID", IF(ISNUMBER(SEARCH("%", '01_Raw_Data'!H31)), "Parsed Text % to Numeric Rate", "Standardized Format")))</f>
        <v/>
      </c>
    </row>
    <row r="32">
      <c r="A32" s="8">
        <f>'01_Raw_Data'!A32</f>
        <v/>
      </c>
      <c r="B32" s="10">
        <f>IFERROR(DATEVALUE('01_Raw_Data'!B32), IF('01_Raw_Data'!B32="", DATE(2024,1,1), '01_Raw_Data'!B32))</f>
        <v/>
      </c>
      <c r="C32" s="8">
        <f>IF(OR('01_Raw_Data'!C32="",'01_Raw_Data'!C32="0"), "CUST-GUEST", TRIM('01_Raw_Data'!C32))</f>
        <v/>
      </c>
      <c r="D32" s="8">
        <f>PROPER(TRIM(CLEAN('01_Raw_Data'!D32)))</f>
        <v/>
      </c>
      <c r="E32" s="8">
        <f>ABS(IF(ISNUMBER(VALUE('01_Raw_Data'!F32)), VALUE('01_Raw_Data'!F32), 1))</f>
        <v/>
      </c>
      <c r="F32" s="9">
        <f>'01_Raw_Data'!G32</f>
        <v/>
      </c>
      <c r="G32" s="11">
        <f>IF(ISNUMBER('01_Raw_Data'!H32), '01_Raw_Data'!H32, IFERROR(VALUE(SUBSTITUTE('01_Raw_Data'!H32, "%", ""))/100, 0))</f>
        <v/>
      </c>
      <c r="H32" s="8">
        <f>PROPER(TRIM('01_Raw_Data'!J32))</f>
        <v/>
      </c>
      <c r="I32" s="8">
        <f>IF('01_Raw_Data'!K32="", "REG-NA", UPPER(TRIM('01_Raw_Data'!K32)))</f>
        <v/>
      </c>
      <c r="J32" s="8">
        <f>IF(OR('01_Raw_Data'!C32="", '01_Raw_Data'!F32&lt;0, ISNUMBER(SEARCH("%", '01_Raw_Data'!H32))), "FIXED ANOMALY", "PASSED")</f>
        <v/>
      </c>
      <c r="K32" s="8">
        <f>IF('01_Raw_Data'!F32&lt;0, "Converted Negative Quantity to ABS", IF('01_Raw_Data'!C32="", "Imputed Missing Customer ID", IF(ISNUMBER(SEARCH("%", '01_Raw_Data'!H32)), "Parsed Text % to Numeric Rate", "Standardized Format")))</f>
        <v/>
      </c>
    </row>
    <row r="33">
      <c r="A33" s="8">
        <f>'01_Raw_Data'!A33</f>
        <v/>
      </c>
      <c r="B33" s="10">
        <f>IFERROR(DATEVALUE('01_Raw_Data'!B33), IF('01_Raw_Data'!B33="", DATE(2024,1,1), '01_Raw_Data'!B33))</f>
        <v/>
      </c>
      <c r="C33" s="8">
        <f>IF(OR('01_Raw_Data'!C33="",'01_Raw_Data'!C33="0"), "CUST-GUEST", TRIM('01_Raw_Data'!C33))</f>
        <v/>
      </c>
      <c r="D33" s="8">
        <f>PROPER(TRIM(CLEAN('01_Raw_Data'!D33)))</f>
        <v/>
      </c>
      <c r="E33" s="8">
        <f>ABS(IF(ISNUMBER(VALUE('01_Raw_Data'!F33)), VALUE('01_Raw_Data'!F33), 1))</f>
        <v/>
      </c>
      <c r="F33" s="9">
        <f>'01_Raw_Data'!G33</f>
        <v/>
      </c>
      <c r="G33" s="11">
        <f>IF(ISNUMBER('01_Raw_Data'!H33), '01_Raw_Data'!H33, IFERROR(VALUE(SUBSTITUTE('01_Raw_Data'!H33, "%", ""))/100, 0))</f>
        <v/>
      </c>
      <c r="H33" s="8">
        <f>PROPER(TRIM('01_Raw_Data'!J33))</f>
        <v/>
      </c>
      <c r="I33" s="8">
        <f>IF('01_Raw_Data'!K33="", "REG-NA", UPPER(TRIM('01_Raw_Data'!K33)))</f>
        <v/>
      </c>
      <c r="J33" s="8">
        <f>IF(OR('01_Raw_Data'!C33="", '01_Raw_Data'!F33&lt;0, ISNUMBER(SEARCH("%", '01_Raw_Data'!H33))), "FIXED ANOMALY", "PASSED")</f>
        <v/>
      </c>
      <c r="K33" s="8">
        <f>IF('01_Raw_Data'!F33&lt;0, "Converted Negative Quantity to ABS", IF('01_Raw_Data'!C33="", "Imputed Missing Customer ID", IF(ISNUMBER(SEARCH("%", '01_Raw_Data'!H33)), "Parsed Text % to Numeric Rate", "Standardized Format")))</f>
        <v/>
      </c>
    </row>
    <row r="34">
      <c r="A34" s="8">
        <f>'01_Raw_Data'!A34</f>
        <v/>
      </c>
      <c r="B34" s="10">
        <f>IFERROR(DATEVALUE('01_Raw_Data'!B34), IF('01_Raw_Data'!B34="", DATE(2024,1,1), '01_Raw_Data'!B34))</f>
        <v/>
      </c>
      <c r="C34" s="8">
        <f>IF(OR('01_Raw_Data'!C34="",'01_Raw_Data'!C34="0"), "CUST-GUEST", TRIM('01_Raw_Data'!C34))</f>
        <v/>
      </c>
      <c r="D34" s="8">
        <f>PROPER(TRIM(CLEAN('01_Raw_Data'!D34)))</f>
        <v/>
      </c>
      <c r="E34" s="8">
        <f>ABS(IF(ISNUMBER(VALUE('01_Raw_Data'!F34)), VALUE('01_Raw_Data'!F34), 1))</f>
        <v/>
      </c>
      <c r="F34" s="9">
        <f>'01_Raw_Data'!G34</f>
        <v/>
      </c>
      <c r="G34" s="11">
        <f>IF(ISNUMBER('01_Raw_Data'!H34), '01_Raw_Data'!H34, IFERROR(VALUE(SUBSTITUTE('01_Raw_Data'!H34, "%", ""))/100, 0))</f>
        <v/>
      </c>
      <c r="H34" s="8">
        <f>PROPER(TRIM('01_Raw_Data'!J34))</f>
        <v/>
      </c>
      <c r="I34" s="8">
        <f>IF('01_Raw_Data'!K34="", "REG-NA", UPPER(TRIM('01_Raw_Data'!K34)))</f>
        <v/>
      </c>
      <c r="J34" s="8">
        <f>IF(OR('01_Raw_Data'!C34="", '01_Raw_Data'!F34&lt;0, ISNUMBER(SEARCH("%", '01_Raw_Data'!H34))), "FIXED ANOMALY", "PASSED")</f>
        <v/>
      </c>
      <c r="K34" s="8">
        <f>IF('01_Raw_Data'!F34&lt;0, "Converted Negative Quantity to ABS", IF('01_Raw_Data'!C34="", "Imputed Missing Customer ID", IF(ISNUMBER(SEARCH("%", '01_Raw_Data'!H34)), "Parsed Text % to Numeric Rate", "Standardized Format")))</f>
        <v/>
      </c>
    </row>
    <row r="35">
      <c r="A35" s="8">
        <f>'01_Raw_Data'!A35</f>
        <v/>
      </c>
      <c r="B35" s="10">
        <f>IFERROR(DATEVALUE('01_Raw_Data'!B35), IF('01_Raw_Data'!B35="", DATE(2024,1,1), '01_Raw_Data'!B35))</f>
        <v/>
      </c>
      <c r="C35" s="8">
        <f>IF(OR('01_Raw_Data'!C35="",'01_Raw_Data'!C35="0"), "CUST-GUEST", TRIM('01_Raw_Data'!C35))</f>
        <v/>
      </c>
      <c r="D35" s="8">
        <f>PROPER(TRIM(CLEAN('01_Raw_Data'!D35)))</f>
        <v/>
      </c>
      <c r="E35" s="8">
        <f>ABS(IF(ISNUMBER(VALUE('01_Raw_Data'!F35)), VALUE('01_Raw_Data'!F35), 1))</f>
        <v/>
      </c>
      <c r="F35" s="9">
        <f>'01_Raw_Data'!G35</f>
        <v/>
      </c>
      <c r="G35" s="11">
        <f>IF(ISNUMBER('01_Raw_Data'!H35), '01_Raw_Data'!H35, IFERROR(VALUE(SUBSTITUTE('01_Raw_Data'!H35, "%", ""))/100, 0))</f>
        <v/>
      </c>
      <c r="H35" s="8">
        <f>PROPER(TRIM('01_Raw_Data'!J35))</f>
        <v/>
      </c>
      <c r="I35" s="8">
        <f>IF('01_Raw_Data'!K35="", "REG-NA", UPPER(TRIM('01_Raw_Data'!K35)))</f>
        <v/>
      </c>
      <c r="J35" s="8">
        <f>IF(OR('01_Raw_Data'!C35="", '01_Raw_Data'!F35&lt;0, ISNUMBER(SEARCH("%", '01_Raw_Data'!H35))), "FIXED ANOMALY", "PASSED")</f>
        <v/>
      </c>
      <c r="K35" s="8">
        <f>IF('01_Raw_Data'!F35&lt;0, "Converted Negative Quantity to ABS", IF('01_Raw_Data'!C35="", "Imputed Missing Customer ID", IF(ISNUMBER(SEARCH("%", '01_Raw_Data'!H35)), "Parsed Text % to Numeric Rate", "Standardized Format")))</f>
        <v/>
      </c>
    </row>
    <row r="36">
      <c r="A36" s="8">
        <f>'01_Raw_Data'!A36</f>
        <v/>
      </c>
      <c r="B36" s="10">
        <f>IFERROR(DATEVALUE('01_Raw_Data'!B36), IF('01_Raw_Data'!B36="", DATE(2024,1,1), '01_Raw_Data'!B36))</f>
        <v/>
      </c>
      <c r="C36" s="8">
        <f>IF(OR('01_Raw_Data'!C36="",'01_Raw_Data'!C36="0"), "CUST-GUEST", TRIM('01_Raw_Data'!C36))</f>
        <v/>
      </c>
      <c r="D36" s="8">
        <f>PROPER(TRIM(CLEAN('01_Raw_Data'!D36)))</f>
        <v/>
      </c>
      <c r="E36" s="8">
        <f>ABS(IF(ISNUMBER(VALUE('01_Raw_Data'!F36)), VALUE('01_Raw_Data'!F36), 1))</f>
        <v/>
      </c>
      <c r="F36" s="9">
        <f>'01_Raw_Data'!G36</f>
        <v/>
      </c>
      <c r="G36" s="11">
        <f>IF(ISNUMBER('01_Raw_Data'!H36), '01_Raw_Data'!H36, IFERROR(VALUE(SUBSTITUTE('01_Raw_Data'!H36, "%", ""))/100, 0))</f>
        <v/>
      </c>
      <c r="H36" s="8">
        <f>PROPER(TRIM('01_Raw_Data'!J36))</f>
        <v/>
      </c>
      <c r="I36" s="8">
        <f>IF('01_Raw_Data'!K36="", "REG-NA", UPPER(TRIM('01_Raw_Data'!K36)))</f>
        <v/>
      </c>
      <c r="J36" s="8">
        <f>IF(OR('01_Raw_Data'!C36="", '01_Raw_Data'!F36&lt;0, ISNUMBER(SEARCH("%", '01_Raw_Data'!H36))), "FIXED ANOMALY", "PASSED")</f>
        <v/>
      </c>
      <c r="K36" s="8">
        <f>IF('01_Raw_Data'!F36&lt;0, "Converted Negative Quantity to ABS", IF('01_Raw_Data'!C36="", "Imputed Missing Customer ID", IF(ISNUMBER(SEARCH("%", '01_Raw_Data'!H36)), "Parsed Text % to Numeric Rate", "Standardized Format")))</f>
        <v/>
      </c>
    </row>
    <row r="37">
      <c r="A37" s="8">
        <f>'01_Raw_Data'!A37</f>
        <v/>
      </c>
      <c r="B37" s="10">
        <f>IFERROR(DATEVALUE('01_Raw_Data'!B37), IF('01_Raw_Data'!B37="", DATE(2024,1,1), '01_Raw_Data'!B37))</f>
        <v/>
      </c>
      <c r="C37" s="8">
        <f>IF(OR('01_Raw_Data'!C37="",'01_Raw_Data'!C37="0"), "CUST-GUEST", TRIM('01_Raw_Data'!C37))</f>
        <v/>
      </c>
      <c r="D37" s="8">
        <f>PROPER(TRIM(CLEAN('01_Raw_Data'!D37)))</f>
        <v/>
      </c>
      <c r="E37" s="8">
        <f>ABS(IF(ISNUMBER(VALUE('01_Raw_Data'!F37)), VALUE('01_Raw_Data'!F37), 1))</f>
        <v/>
      </c>
      <c r="F37" s="9">
        <f>'01_Raw_Data'!G37</f>
        <v/>
      </c>
      <c r="G37" s="11">
        <f>IF(ISNUMBER('01_Raw_Data'!H37), '01_Raw_Data'!H37, IFERROR(VALUE(SUBSTITUTE('01_Raw_Data'!H37, "%", ""))/100, 0))</f>
        <v/>
      </c>
      <c r="H37" s="8">
        <f>PROPER(TRIM('01_Raw_Data'!J37))</f>
        <v/>
      </c>
      <c r="I37" s="8">
        <f>IF('01_Raw_Data'!K37="", "REG-NA", UPPER(TRIM('01_Raw_Data'!K37)))</f>
        <v/>
      </c>
      <c r="J37" s="8">
        <f>IF(OR('01_Raw_Data'!C37="", '01_Raw_Data'!F37&lt;0, ISNUMBER(SEARCH("%", '01_Raw_Data'!H37))), "FIXED ANOMALY", "PASSED")</f>
        <v/>
      </c>
      <c r="K37" s="8">
        <f>IF('01_Raw_Data'!F37&lt;0, "Converted Negative Quantity to ABS", IF('01_Raw_Data'!C37="", "Imputed Missing Customer ID", IF(ISNUMBER(SEARCH("%", '01_Raw_Data'!H37)), "Parsed Text % to Numeric Rate", "Standardized Format")))</f>
        <v/>
      </c>
    </row>
    <row r="38">
      <c r="A38" s="8">
        <f>'01_Raw_Data'!A38</f>
        <v/>
      </c>
      <c r="B38" s="10">
        <f>IFERROR(DATEVALUE('01_Raw_Data'!B38), IF('01_Raw_Data'!B38="", DATE(2024,1,1), '01_Raw_Data'!B38))</f>
        <v/>
      </c>
      <c r="C38" s="8">
        <f>IF(OR('01_Raw_Data'!C38="",'01_Raw_Data'!C38="0"), "CUST-GUEST", TRIM('01_Raw_Data'!C38))</f>
        <v/>
      </c>
      <c r="D38" s="8">
        <f>PROPER(TRIM(CLEAN('01_Raw_Data'!D38)))</f>
        <v/>
      </c>
      <c r="E38" s="8">
        <f>ABS(IF(ISNUMBER(VALUE('01_Raw_Data'!F38)), VALUE('01_Raw_Data'!F38), 1))</f>
        <v/>
      </c>
      <c r="F38" s="9">
        <f>'01_Raw_Data'!G38</f>
        <v/>
      </c>
      <c r="G38" s="11">
        <f>IF(ISNUMBER('01_Raw_Data'!H38), '01_Raw_Data'!H38, IFERROR(VALUE(SUBSTITUTE('01_Raw_Data'!H38, "%", ""))/100, 0))</f>
        <v/>
      </c>
      <c r="H38" s="8">
        <f>PROPER(TRIM('01_Raw_Data'!J38))</f>
        <v/>
      </c>
      <c r="I38" s="8">
        <f>IF('01_Raw_Data'!K38="", "REG-NA", UPPER(TRIM('01_Raw_Data'!K38)))</f>
        <v/>
      </c>
      <c r="J38" s="8">
        <f>IF(OR('01_Raw_Data'!C38="", '01_Raw_Data'!F38&lt;0, ISNUMBER(SEARCH("%", '01_Raw_Data'!H38))), "FIXED ANOMALY", "PASSED")</f>
        <v/>
      </c>
      <c r="K38" s="8">
        <f>IF('01_Raw_Data'!F38&lt;0, "Converted Negative Quantity to ABS", IF('01_Raw_Data'!C38="", "Imputed Missing Customer ID", IF(ISNUMBER(SEARCH("%", '01_Raw_Data'!H38)), "Parsed Text % to Numeric Rate", "Standardized Format")))</f>
        <v/>
      </c>
    </row>
    <row r="39">
      <c r="A39" s="8">
        <f>'01_Raw_Data'!A39</f>
        <v/>
      </c>
      <c r="B39" s="10">
        <f>IFERROR(DATEVALUE('01_Raw_Data'!B39), IF('01_Raw_Data'!B39="", DATE(2024,1,1), '01_Raw_Data'!B39))</f>
        <v/>
      </c>
      <c r="C39" s="8">
        <f>IF(OR('01_Raw_Data'!C39="",'01_Raw_Data'!C39="0"), "CUST-GUEST", TRIM('01_Raw_Data'!C39))</f>
        <v/>
      </c>
      <c r="D39" s="8">
        <f>PROPER(TRIM(CLEAN('01_Raw_Data'!D39)))</f>
        <v/>
      </c>
      <c r="E39" s="8">
        <f>ABS(IF(ISNUMBER(VALUE('01_Raw_Data'!F39)), VALUE('01_Raw_Data'!F39), 1))</f>
        <v/>
      </c>
      <c r="F39" s="9">
        <f>'01_Raw_Data'!G39</f>
        <v/>
      </c>
      <c r="G39" s="11">
        <f>IF(ISNUMBER('01_Raw_Data'!H39), '01_Raw_Data'!H39, IFERROR(VALUE(SUBSTITUTE('01_Raw_Data'!H39, "%", ""))/100, 0))</f>
        <v/>
      </c>
      <c r="H39" s="8">
        <f>PROPER(TRIM('01_Raw_Data'!J39))</f>
        <v/>
      </c>
      <c r="I39" s="8">
        <f>IF('01_Raw_Data'!K39="", "REG-NA", UPPER(TRIM('01_Raw_Data'!K39)))</f>
        <v/>
      </c>
      <c r="J39" s="8">
        <f>IF(OR('01_Raw_Data'!C39="", '01_Raw_Data'!F39&lt;0, ISNUMBER(SEARCH("%", '01_Raw_Data'!H39))), "FIXED ANOMALY", "PASSED")</f>
        <v/>
      </c>
      <c r="K39" s="8">
        <f>IF('01_Raw_Data'!F39&lt;0, "Converted Negative Quantity to ABS", IF('01_Raw_Data'!C39="", "Imputed Missing Customer ID", IF(ISNUMBER(SEARCH("%", '01_Raw_Data'!H39)), "Parsed Text % to Numeric Rate", "Standardized Format")))</f>
        <v/>
      </c>
    </row>
    <row r="40">
      <c r="A40" s="8">
        <f>'01_Raw_Data'!A40</f>
        <v/>
      </c>
      <c r="B40" s="10">
        <f>IFERROR(DATEVALUE('01_Raw_Data'!B40), IF('01_Raw_Data'!B40="", DATE(2024,1,1), '01_Raw_Data'!B40))</f>
        <v/>
      </c>
      <c r="C40" s="8">
        <f>IF(OR('01_Raw_Data'!C40="",'01_Raw_Data'!C40="0"), "CUST-GUEST", TRIM('01_Raw_Data'!C40))</f>
        <v/>
      </c>
      <c r="D40" s="8">
        <f>PROPER(TRIM(CLEAN('01_Raw_Data'!D40)))</f>
        <v/>
      </c>
      <c r="E40" s="8">
        <f>ABS(IF(ISNUMBER(VALUE('01_Raw_Data'!F40)), VALUE('01_Raw_Data'!F40), 1))</f>
        <v/>
      </c>
      <c r="F40" s="9">
        <f>'01_Raw_Data'!G40</f>
        <v/>
      </c>
      <c r="G40" s="11">
        <f>IF(ISNUMBER('01_Raw_Data'!H40), '01_Raw_Data'!H40, IFERROR(VALUE(SUBSTITUTE('01_Raw_Data'!H40, "%", ""))/100, 0))</f>
        <v/>
      </c>
      <c r="H40" s="8">
        <f>PROPER(TRIM('01_Raw_Data'!J40))</f>
        <v/>
      </c>
      <c r="I40" s="8">
        <f>IF('01_Raw_Data'!K40="", "REG-NA", UPPER(TRIM('01_Raw_Data'!K40)))</f>
        <v/>
      </c>
      <c r="J40" s="8">
        <f>IF(OR('01_Raw_Data'!C40="", '01_Raw_Data'!F40&lt;0, ISNUMBER(SEARCH("%", '01_Raw_Data'!H40))), "FIXED ANOMALY", "PASSED")</f>
        <v/>
      </c>
      <c r="K40" s="8">
        <f>IF('01_Raw_Data'!F40&lt;0, "Converted Negative Quantity to ABS", IF('01_Raw_Data'!C40="", "Imputed Missing Customer ID", IF(ISNUMBER(SEARCH("%", '01_Raw_Data'!H40)), "Parsed Text % to Numeric Rate", "Standardized Format")))</f>
        <v/>
      </c>
    </row>
    <row r="41">
      <c r="A41" s="8">
        <f>'01_Raw_Data'!A41</f>
        <v/>
      </c>
      <c r="B41" s="10">
        <f>IFERROR(DATEVALUE('01_Raw_Data'!B41), IF('01_Raw_Data'!B41="", DATE(2024,1,1), '01_Raw_Data'!B41))</f>
        <v/>
      </c>
      <c r="C41" s="8">
        <f>IF(OR('01_Raw_Data'!C41="",'01_Raw_Data'!C41="0"), "CUST-GUEST", TRIM('01_Raw_Data'!C41))</f>
        <v/>
      </c>
      <c r="D41" s="8">
        <f>PROPER(TRIM(CLEAN('01_Raw_Data'!D41)))</f>
        <v/>
      </c>
      <c r="E41" s="8">
        <f>ABS(IF(ISNUMBER(VALUE('01_Raw_Data'!F41)), VALUE('01_Raw_Data'!F41), 1))</f>
        <v/>
      </c>
      <c r="F41" s="9">
        <f>'01_Raw_Data'!G41</f>
        <v/>
      </c>
      <c r="G41" s="11">
        <f>IF(ISNUMBER('01_Raw_Data'!H41), '01_Raw_Data'!H41, IFERROR(VALUE(SUBSTITUTE('01_Raw_Data'!H41, "%", ""))/100, 0))</f>
        <v/>
      </c>
      <c r="H41" s="8">
        <f>PROPER(TRIM('01_Raw_Data'!J41))</f>
        <v/>
      </c>
      <c r="I41" s="8">
        <f>IF('01_Raw_Data'!K41="", "REG-NA", UPPER(TRIM('01_Raw_Data'!K41)))</f>
        <v/>
      </c>
      <c r="J41" s="8">
        <f>IF(OR('01_Raw_Data'!C41="", '01_Raw_Data'!F41&lt;0, ISNUMBER(SEARCH("%", '01_Raw_Data'!H41))), "FIXED ANOMALY", "PASSED")</f>
        <v/>
      </c>
      <c r="K41" s="8">
        <f>IF('01_Raw_Data'!F41&lt;0, "Converted Negative Quantity to ABS", IF('01_Raw_Data'!C41="", "Imputed Missing Customer ID", IF(ISNUMBER(SEARCH("%", '01_Raw_Data'!H41)), "Parsed Text % to Numeric Rate", "Standardized Format")))</f>
        <v/>
      </c>
    </row>
    <row r="42">
      <c r="A42" s="8">
        <f>'01_Raw_Data'!A42</f>
        <v/>
      </c>
      <c r="B42" s="10">
        <f>IFERROR(DATEVALUE('01_Raw_Data'!B42), IF('01_Raw_Data'!B42="", DATE(2024,1,1), '01_Raw_Data'!B42))</f>
        <v/>
      </c>
      <c r="C42" s="8">
        <f>IF(OR('01_Raw_Data'!C42="",'01_Raw_Data'!C42="0"), "CUST-GUEST", TRIM('01_Raw_Data'!C42))</f>
        <v/>
      </c>
      <c r="D42" s="8">
        <f>PROPER(TRIM(CLEAN('01_Raw_Data'!D42)))</f>
        <v/>
      </c>
      <c r="E42" s="8">
        <f>ABS(IF(ISNUMBER(VALUE('01_Raw_Data'!F42)), VALUE('01_Raw_Data'!F42), 1))</f>
        <v/>
      </c>
      <c r="F42" s="9">
        <f>'01_Raw_Data'!G42</f>
        <v/>
      </c>
      <c r="G42" s="11">
        <f>IF(ISNUMBER('01_Raw_Data'!H42), '01_Raw_Data'!H42, IFERROR(VALUE(SUBSTITUTE('01_Raw_Data'!H42, "%", ""))/100, 0))</f>
        <v/>
      </c>
      <c r="H42" s="8">
        <f>PROPER(TRIM('01_Raw_Data'!J42))</f>
        <v/>
      </c>
      <c r="I42" s="8">
        <f>IF('01_Raw_Data'!K42="", "REG-NA", UPPER(TRIM('01_Raw_Data'!K42)))</f>
        <v/>
      </c>
      <c r="J42" s="8">
        <f>IF(OR('01_Raw_Data'!C42="", '01_Raw_Data'!F42&lt;0, ISNUMBER(SEARCH("%", '01_Raw_Data'!H42))), "FIXED ANOMALY", "PASSED")</f>
        <v/>
      </c>
      <c r="K42" s="8">
        <f>IF('01_Raw_Data'!F42&lt;0, "Converted Negative Quantity to ABS", IF('01_Raw_Data'!C42="", "Imputed Missing Customer ID", IF(ISNUMBER(SEARCH("%", '01_Raw_Data'!H42)), "Parsed Text % to Numeric Rate", "Standardized Format")))</f>
        <v/>
      </c>
    </row>
    <row r="43">
      <c r="A43" s="8">
        <f>'01_Raw_Data'!A43</f>
        <v/>
      </c>
      <c r="B43" s="10">
        <f>IFERROR(DATEVALUE('01_Raw_Data'!B43), IF('01_Raw_Data'!B43="", DATE(2024,1,1), '01_Raw_Data'!B43))</f>
        <v/>
      </c>
      <c r="C43" s="8">
        <f>IF(OR('01_Raw_Data'!C43="",'01_Raw_Data'!C43="0"), "CUST-GUEST", TRIM('01_Raw_Data'!C43))</f>
        <v/>
      </c>
      <c r="D43" s="8">
        <f>PROPER(TRIM(CLEAN('01_Raw_Data'!D43)))</f>
        <v/>
      </c>
      <c r="E43" s="8">
        <f>ABS(IF(ISNUMBER(VALUE('01_Raw_Data'!F43)), VALUE('01_Raw_Data'!F43), 1))</f>
        <v/>
      </c>
      <c r="F43" s="9">
        <f>'01_Raw_Data'!G43</f>
        <v/>
      </c>
      <c r="G43" s="11">
        <f>IF(ISNUMBER('01_Raw_Data'!H43), '01_Raw_Data'!H43, IFERROR(VALUE(SUBSTITUTE('01_Raw_Data'!H43, "%", ""))/100, 0))</f>
        <v/>
      </c>
      <c r="H43" s="8">
        <f>PROPER(TRIM('01_Raw_Data'!J43))</f>
        <v/>
      </c>
      <c r="I43" s="8">
        <f>IF('01_Raw_Data'!K43="", "REG-NA", UPPER(TRIM('01_Raw_Data'!K43)))</f>
        <v/>
      </c>
      <c r="J43" s="8">
        <f>IF(OR('01_Raw_Data'!C43="", '01_Raw_Data'!F43&lt;0, ISNUMBER(SEARCH("%", '01_Raw_Data'!H43))), "FIXED ANOMALY", "PASSED")</f>
        <v/>
      </c>
      <c r="K43" s="8">
        <f>IF('01_Raw_Data'!F43&lt;0, "Converted Negative Quantity to ABS", IF('01_Raw_Data'!C43="", "Imputed Missing Customer ID", IF(ISNUMBER(SEARCH("%", '01_Raw_Data'!H43)), "Parsed Text % to Numeric Rate", "Standardized Format")))</f>
        <v/>
      </c>
    </row>
    <row r="44">
      <c r="A44" s="8">
        <f>'01_Raw_Data'!A44</f>
        <v/>
      </c>
      <c r="B44" s="10">
        <f>IFERROR(DATEVALUE('01_Raw_Data'!B44), IF('01_Raw_Data'!B44="", DATE(2024,1,1), '01_Raw_Data'!B44))</f>
        <v/>
      </c>
      <c r="C44" s="8">
        <f>IF(OR('01_Raw_Data'!C44="",'01_Raw_Data'!C44="0"), "CUST-GUEST", TRIM('01_Raw_Data'!C44))</f>
        <v/>
      </c>
      <c r="D44" s="8">
        <f>PROPER(TRIM(CLEAN('01_Raw_Data'!D44)))</f>
        <v/>
      </c>
      <c r="E44" s="8">
        <f>ABS(IF(ISNUMBER(VALUE('01_Raw_Data'!F44)), VALUE('01_Raw_Data'!F44), 1))</f>
        <v/>
      </c>
      <c r="F44" s="9">
        <f>'01_Raw_Data'!G44</f>
        <v/>
      </c>
      <c r="G44" s="11">
        <f>IF(ISNUMBER('01_Raw_Data'!H44), '01_Raw_Data'!H44, IFERROR(VALUE(SUBSTITUTE('01_Raw_Data'!H44, "%", ""))/100, 0))</f>
        <v/>
      </c>
      <c r="H44" s="8">
        <f>PROPER(TRIM('01_Raw_Data'!J44))</f>
        <v/>
      </c>
      <c r="I44" s="8">
        <f>IF('01_Raw_Data'!K44="", "REG-NA", UPPER(TRIM('01_Raw_Data'!K44)))</f>
        <v/>
      </c>
      <c r="J44" s="8">
        <f>IF(OR('01_Raw_Data'!C44="", '01_Raw_Data'!F44&lt;0, ISNUMBER(SEARCH("%", '01_Raw_Data'!H44))), "FIXED ANOMALY", "PASSED")</f>
        <v/>
      </c>
      <c r="K44" s="8">
        <f>IF('01_Raw_Data'!F44&lt;0, "Converted Negative Quantity to ABS", IF('01_Raw_Data'!C44="", "Imputed Missing Customer ID", IF(ISNUMBER(SEARCH("%", '01_Raw_Data'!H44)), "Parsed Text % to Numeric Rate", "Standardized Format")))</f>
        <v/>
      </c>
    </row>
    <row r="45">
      <c r="A45" s="8">
        <f>'01_Raw_Data'!A45</f>
        <v/>
      </c>
      <c r="B45" s="10">
        <f>IFERROR(DATEVALUE('01_Raw_Data'!B45), IF('01_Raw_Data'!B45="", DATE(2024,1,1), '01_Raw_Data'!B45))</f>
        <v/>
      </c>
      <c r="C45" s="8">
        <f>IF(OR('01_Raw_Data'!C45="",'01_Raw_Data'!C45="0"), "CUST-GUEST", TRIM('01_Raw_Data'!C45))</f>
        <v/>
      </c>
      <c r="D45" s="8">
        <f>PROPER(TRIM(CLEAN('01_Raw_Data'!D45)))</f>
        <v/>
      </c>
      <c r="E45" s="8">
        <f>ABS(IF(ISNUMBER(VALUE('01_Raw_Data'!F45)), VALUE('01_Raw_Data'!F45), 1))</f>
        <v/>
      </c>
      <c r="F45" s="9">
        <f>'01_Raw_Data'!G45</f>
        <v/>
      </c>
      <c r="G45" s="11">
        <f>IF(ISNUMBER('01_Raw_Data'!H45), '01_Raw_Data'!H45, IFERROR(VALUE(SUBSTITUTE('01_Raw_Data'!H45, "%", ""))/100, 0))</f>
        <v/>
      </c>
      <c r="H45" s="8">
        <f>PROPER(TRIM('01_Raw_Data'!J45))</f>
        <v/>
      </c>
      <c r="I45" s="8">
        <f>IF('01_Raw_Data'!K45="", "REG-NA", UPPER(TRIM('01_Raw_Data'!K45)))</f>
        <v/>
      </c>
      <c r="J45" s="8">
        <f>IF(OR('01_Raw_Data'!C45="", '01_Raw_Data'!F45&lt;0, ISNUMBER(SEARCH("%", '01_Raw_Data'!H45))), "FIXED ANOMALY", "PASSED")</f>
        <v/>
      </c>
      <c r="K45" s="8">
        <f>IF('01_Raw_Data'!F45&lt;0, "Converted Negative Quantity to ABS", IF('01_Raw_Data'!C45="", "Imputed Missing Customer ID", IF(ISNUMBER(SEARCH("%", '01_Raw_Data'!H45)), "Parsed Text % to Numeric Rate", "Standardized Format")))</f>
        <v/>
      </c>
    </row>
    <row r="46">
      <c r="A46" s="8">
        <f>'01_Raw_Data'!A46</f>
        <v/>
      </c>
      <c r="B46" s="10">
        <f>IFERROR(DATEVALUE('01_Raw_Data'!B46), IF('01_Raw_Data'!B46="", DATE(2024,1,1), '01_Raw_Data'!B46))</f>
        <v/>
      </c>
      <c r="C46" s="8">
        <f>IF(OR('01_Raw_Data'!C46="",'01_Raw_Data'!C46="0"), "CUST-GUEST", TRIM('01_Raw_Data'!C46))</f>
        <v/>
      </c>
      <c r="D46" s="8">
        <f>PROPER(TRIM(CLEAN('01_Raw_Data'!D46)))</f>
        <v/>
      </c>
      <c r="E46" s="8">
        <f>ABS(IF(ISNUMBER(VALUE('01_Raw_Data'!F46)), VALUE('01_Raw_Data'!F46), 1))</f>
        <v/>
      </c>
      <c r="F46" s="9">
        <f>'01_Raw_Data'!G46</f>
        <v/>
      </c>
      <c r="G46" s="11">
        <f>IF(ISNUMBER('01_Raw_Data'!H46), '01_Raw_Data'!H46, IFERROR(VALUE(SUBSTITUTE('01_Raw_Data'!H46, "%", ""))/100, 0))</f>
        <v/>
      </c>
      <c r="H46" s="8">
        <f>PROPER(TRIM('01_Raw_Data'!J46))</f>
        <v/>
      </c>
      <c r="I46" s="8">
        <f>IF('01_Raw_Data'!K46="", "REG-NA", UPPER(TRIM('01_Raw_Data'!K46)))</f>
        <v/>
      </c>
      <c r="J46" s="8">
        <f>IF(OR('01_Raw_Data'!C46="", '01_Raw_Data'!F46&lt;0, ISNUMBER(SEARCH("%", '01_Raw_Data'!H46))), "FIXED ANOMALY", "PASSED")</f>
        <v/>
      </c>
      <c r="K46" s="8">
        <f>IF('01_Raw_Data'!F46&lt;0, "Converted Negative Quantity to ABS", IF('01_Raw_Data'!C46="", "Imputed Missing Customer ID", IF(ISNUMBER(SEARCH("%", '01_Raw_Data'!H46)), "Parsed Text % to Numeric Rate", "Standardized Format")))</f>
        <v/>
      </c>
    </row>
    <row r="47">
      <c r="A47" s="8">
        <f>'01_Raw_Data'!A47</f>
        <v/>
      </c>
      <c r="B47" s="10">
        <f>IFERROR(DATEVALUE('01_Raw_Data'!B47), IF('01_Raw_Data'!B47="", DATE(2024,1,1), '01_Raw_Data'!B47))</f>
        <v/>
      </c>
      <c r="C47" s="8">
        <f>IF(OR('01_Raw_Data'!C47="",'01_Raw_Data'!C47="0"), "CUST-GUEST", TRIM('01_Raw_Data'!C47))</f>
        <v/>
      </c>
      <c r="D47" s="8">
        <f>PROPER(TRIM(CLEAN('01_Raw_Data'!D47)))</f>
        <v/>
      </c>
      <c r="E47" s="8">
        <f>ABS(IF(ISNUMBER(VALUE('01_Raw_Data'!F47)), VALUE('01_Raw_Data'!F47), 1))</f>
        <v/>
      </c>
      <c r="F47" s="9">
        <f>'01_Raw_Data'!G47</f>
        <v/>
      </c>
      <c r="G47" s="11">
        <f>IF(ISNUMBER('01_Raw_Data'!H47), '01_Raw_Data'!H47, IFERROR(VALUE(SUBSTITUTE('01_Raw_Data'!H47, "%", ""))/100, 0))</f>
        <v/>
      </c>
      <c r="H47" s="8">
        <f>PROPER(TRIM('01_Raw_Data'!J47))</f>
        <v/>
      </c>
      <c r="I47" s="8">
        <f>IF('01_Raw_Data'!K47="", "REG-NA", UPPER(TRIM('01_Raw_Data'!K47)))</f>
        <v/>
      </c>
      <c r="J47" s="8">
        <f>IF(OR('01_Raw_Data'!C47="", '01_Raw_Data'!F47&lt;0, ISNUMBER(SEARCH("%", '01_Raw_Data'!H47))), "FIXED ANOMALY", "PASSED")</f>
        <v/>
      </c>
      <c r="K47" s="8">
        <f>IF('01_Raw_Data'!F47&lt;0, "Converted Negative Quantity to ABS", IF('01_Raw_Data'!C47="", "Imputed Missing Customer ID", IF(ISNUMBER(SEARCH("%", '01_Raw_Data'!H47)), "Parsed Text % to Numeric Rate", "Standardized Format")))</f>
        <v/>
      </c>
    </row>
    <row r="48">
      <c r="A48" s="8">
        <f>'01_Raw_Data'!A48</f>
        <v/>
      </c>
      <c r="B48" s="10">
        <f>IFERROR(DATEVALUE('01_Raw_Data'!B48), IF('01_Raw_Data'!B48="", DATE(2024,1,1), '01_Raw_Data'!B48))</f>
        <v/>
      </c>
      <c r="C48" s="8">
        <f>IF(OR('01_Raw_Data'!C48="",'01_Raw_Data'!C48="0"), "CUST-GUEST", TRIM('01_Raw_Data'!C48))</f>
        <v/>
      </c>
      <c r="D48" s="8">
        <f>PROPER(TRIM(CLEAN('01_Raw_Data'!D48)))</f>
        <v/>
      </c>
      <c r="E48" s="8">
        <f>ABS(IF(ISNUMBER(VALUE('01_Raw_Data'!F48)), VALUE('01_Raw_Data'!F48), 1))</f>
        <v/>
      </c>
      <c r="F48" s="9">
        <f>'01_Raw_Data'!G48</f>
        <v/>
      </c>
      <c r="G48" s="11">
        <f>IF(ISNUMBER('01_Raw_Data'!H48), '01_Raw_Data'!H48, IFERROR(VALUE(SUBSTITUTE('01_Raw_Data'!H48, "%", ""))/100, 0))</f>
        <v/>
      </c>
      <c r="H48" s="8">
        <f>PROPER(TRIM('01_Raw_Data'!J48))</f>
        <v/>
      </c>
      <c r="I48" s="8">
        <f>IF('01_Raw_Data'!K48="", "REG-NA", UPPER(TRIM('01_Raw_Data'!K48)))</f>
        <v/>
      </c>
      <c r="J48" s="8">
        <f>IF(OR('01_Raw_Data'!C48="", '01_Raw_Data'!F48&lt;0, ISNUMBER(SEARCH("%", '01_Raw_Data'!H48))), "FIXED ANOMALY", "PASSED")</f>
        <v/>
      </c>
      <c r="K48" s="8">
        <f>IF('01_Raw_Data'!F48&lt;0, "Converted Negative Quantity to ABS", IF('01_Raw_Data'!C48="", "Imputed Missing Customer ID", IF(ISNUMBER(SEARCH("%", '01_Raw_Data'!H48)), "Parsed Text % to Numeric Rate", "Standardized Format")))</f>
        <v/>
      </c>
    </row>
    <row r="49">
      <c r="A49" s="8">
        <f>'01_Raw_Data'!A49</f>
        <v/>
      </c>
      <c r="B49" s="10">
        <f>IFERROR(DATEVALUE('01_Raw_Data'!B49), IF('01_Raw_Data'!B49="", DATE(2024,1,1), '01_Raw_Data'!B49))</f>
        <v/>
      </c>
      <c r="C49" s="8">
        <f>IF(OR('01_Raw_Data'!C49="",'01_Raw_Data'!C49="0"), "CUST-GUEST", TRIM('01_Raw_Data'!C49))</f>
        <v/>
      </c>
      <c r="D49" s="8">
        <f>PROPER(TRIM(CLEAN('01_Raw_Data'!D49)))</f>
        <v/>
      </c>
      <c r="E49" s="8">
        <f>ABS(IF(ISNUMBER(VALUE('01_Raw_Data'!F49)), VALUE('01_Raw_Data'!F49), 1))</f>
        <v/>
      </c>
      <c r="F49" s="9">
        <f>'01_Raw_Data'!G49</f>
        <v/>
      </c>
      <c r="G49" s="11">
        <f>IF(ISNUMBER('01_Raw_Data'!H49), '01_Raw_Data'!H49, IFERROR(VALUE(SUBSTITUTE('01_Raw_Data'!H49, "%", ""))/100, 0))</f>
        <v/>
      </c>
      <c r="H49" s="8">
        <f>PROPER(TRIM('01_Raw_Data'!J49))</f>
        <v/>
      </c>
      <c r="I49" s="8">
        <f>IF('01_Raw_Data'!K49="", "REG-NA", UPPER(TRIM('01_Raw_Data'!K49)))</f>
        <v/>
      </c>
      <c r="J49" s="8">
        <f>IF(OR('01_Raw_Data'!C49="", '01_Raw_Data'!F49&lt;0, ISNUMBER(SEARCH("%", '01_Raw_Data'!H49))), "FIXED ANOMALY", "PASSED")</f>
        <v/>
      </c>
      <c r="K49" s="8">
        <f>IF('01_Raw_Data'!F49&lt;0, "Converted Negative Quantity to ABS", IF('01_Raw_Data'!C49="", "Imputed Missing Customer ID", IF(ISNUMBER(SEARCH("%", '01_Raw_Data'!H49)), "Parsed Text % to Numeric Rate", "Standardized Format")))</f>
        <v/>
      </c>
    </row>
    <row r="50">
      <c r="A50" s="8">
        <f>'01_Raw_Data'!A50</f>
        <v/>
      </c>
      <c r="B50" s="10">
        <f>IFERROR(DATEVALUE('01_Raw_Data'!B50), IF('01_Raw_Data'!B50="", DATE(2024,1,1), '01_Raw_Data'!B50))</f>
        <v/>
      </c>
      <c r="C50" s="8">
        <f>IF(OR('01_Raw_Data'!C50="",'01_Raw_Data'!C50="0"), "CUST-GUEST", TRIM('01_Raw_Data'!C50))</f>
        <v/>
      </c>
      <c r="D50" s="8">
        <f>PROPER(TRIM(CLEAN('01_Raw_Data'!D50)))</f>
        <v/>
      </c>
      <c r="E50" s="8">
        <f>ABS(IF(ISNUMBER(VALUE('01_Raw_Data'!F50)), VALUE('01_Raw_Data'!F50), 1))</f>
        <v/>
      </c>
      <c r="F50" s="9">
        <f>'01_Raw_Data'!G50</f>
        <v/>
      </c>
      <c r="G50" s="11">
        <f>IF(ISNUMBER('01_Raw_Data'!H50), '01_Raw_Data'!H50, IFERROR(VALUE(SUBSTITUTE('01_Raw_Data'!H50, "%", ""))/100, 0))</f>
        <v/>
      </c>
      <c r="H50" s="8">
        <f>PROPER(TRIM('01_Raw_Data'!J50))</f>
        <v/>
      </c>
      <c r="I50" s="8">
        <f>IF('01_Raw_Data'!K50="", "REG-NA", UPPER(TRIM('01_Raw_Data'!K50)))</f>
        <v/>
      </c>
      <c r="J50" s="8">
        <f>IF(OR('01_Raw_Data'!C50="", '01_Raw_Data'!F50&lt;0, ISNUMBER(SEARCH("%", '01_Raw_Data'!H50))), "FIXED ANOMALY", "PASSED")</f>
        <v/>
      </c>
      <c r="K50" s="8">
        <f>IF('01_Raw_Data'!F50&lt;0, "Converted Negative Quantity to ABS", IF('01_Raw_Data'!C50="", "Imputed Missing Customer ID", IF(ISNUMBER(SEARCH("%", '01_Raw_Data'!H50)), "Parsed Text % to Numeric Rate", "Standardized Format")))</f>
        <v/>
      </c>
    </row>
    <row r="51">
      <c r="A51" s="8">
        <f>'01_Raw_Data'!A51</f>
        <v/>
      </c>
      <c r="B51" s="10">
        <f>IFERROR(DATEVALUE('01_Raw_Data'!B51), IF('01_Raw_Data'!B51="", DATE(2024,1,1), '01_Raw_Data'!B51))</f>
        <v/>
      </c>
      <c r="C51" s="8">
        <f>IF(OR('01_Raw_Data'!C51="",'01_Raw_Data'!C51="0"), "CUST-GUEST", TRIM('01_Raw_Data'!C51))</f>
        <v/>
      </c>
      <c r="D51" s="8">
        <f>PROPER(TRIM(CLEAN('01_Raw_Data'!D51)))</f>
        <v/>
      </c>
      <c r="E51" s="8">
        <f>ABS(IF(ISNUMBER(VALUE('01_Raw_Data'!F51)), VALUE('01_Raw_Data'!F51), 1))</f>
        <v/>
      </c>
      <c r="F51" s="9">
        <f>'01_Raw_Data'!G51</f>
        <v/>
      </c>
      <c r="G51" s="11">
        <f>IF(ISNUMBER('01_Raw_Data'!H51), '01_Raw_Data'!H51, IFERROR(VALUE(SUBSTITUTE('01_Raw_Data'!H51, "%", ""))/100, 0))</f>
        <v/>
      </c>
      <c r="H51" s="8">
        <f>PROPER(TRIM('01_Raw_Data'!J51))</f>
        <v/>
      </c>
      <c r="I51" s="8">
        <f>IF('01_Raw_Data'!K51="", "REG-NA", UPPER(TRIM('01_Raw_Data'!K51)))</f>
        <v/>
      </c>
      <c r="J51" s="8">
        <f>IF(OR('01_Raw_Data'!C51="", '01_Raw_Data'!F51&lt;0, ISNUMBER(SEARCH("%", '01_Raw_Data'!H51))), "FIXED ANOMALY", "PASSED")</f>
        <v/>
      </c>
      <c r="K51" s="8">
        <f>IF('01_Raw_Data'!F51&lt;0, "Converted Negative Quantity to ABS", IF('01_Raw_Data'!C51="", "Imputed Missing Customer ID", IF(ISNUMBER(SEARCH("%", '01_Raw_Data'!H51)), "Parsed Text % to Numeric Rate", "Standardized Format")))</f>
        <v/>
      </c>
    </row>
    <row r="52">
      <c r="A52" s="8">
        <f>'01_Raw_Data'!A52</f>
        <v/>
      </c>
      <c r="B52" s="10">
        <f>IFERROR(DATEVALUE('01_Raw_Data'!B52), IF('01_Raw_Data'!B52="", DATE(2024,1,1), '01_Raw_Data'!B52))</f>
        <v/>
      </c>
      <c r="C52" s="8">
        <f>IF(OR('01_Raw_Data'!C52="",'01_Raw_Data'!C52="0"), "CUST-GUEST", TRIM('01_Raw_Data'!C52))</f>
        <v/>
      </c>
      <c r="D52" s="8">
        <f>PROPER(TRIM(CLEAN('01_Raw_Data'!D52)))</f>
        <v/>
      </c>
      <c r="E52" s="8">
        <f>ABS(IF(ISNUMBER(VALUE('01_Raw_Data'!F52)), VALUE('01_Raw_Data'!F52), 1))</f>
        <v/>
      </c>
      <c r="F52" s="9">
        <f>'01_Raw_Data'!G52</f>
        <v/>
      </c>
      <c r="G52" s="11">
        <f>IF(ISNUMBER('01_Raw_Data'!H52), '01_Raw_Data'!H52, IFERROR(VALUE(SUBSTITUTE('01_Raw_Data'!H52, "%", ""))/100, 0))</f>
        <v/>
      </c>
      <c r="H52" s="8">
        <f>PROPER(TRIM('01_Raw_Data'!J52))</f>
        <v/>
      </c>
      <c r="I52" s="8">
        <f>IF('01_Raw_Data'!K52="", "REG-NA", UPPER(TRIM('01_Raw_Data'!K52)))</f>
        <v/>
      </c>
      <c r="J52" s="8">
        <f>IF(OR('01_Raw_Data'!C52="", '01_Raw_Data'!F52&lt;0, ISNUMBER(SEARCH("%", '01_Raw_Data'!H52))), "FIXED ANOMALY", "PASSED")</f>
        <v/>
      </c>
      <c r="K52" s="8">
        <f>IF('01_Raw_Data'!F52&lt;0, "Converted Negative Quantity to ABS", IF('01_Raw_Data'!C52="", "Imputed Missing Customer ID", IF(ISNUMBER(SEARCH("%", '01_Raw_Data'!H52)), "Parsed Text % to Numeric Rate", "Standardized Format")))</f>
        <v/>
      </c>
    </row>
    <row r="53">
      <c r="A53" s="8">
        <f>'01_Raw_Data'!A53</f>
        <v/>
      </c>
      <c r="B53" s="10">
        <f>IFERROR(DATEVALUE('01_Raw_Data'!B53), IF('01_Raw_Data'!B53="", DATE(2024,1,1), '01_Raw_Data'!B53))</f>
        <v/>
      </c>
      <c r="C53" s="8">
        <f>IF(OR('01_Raw_Data'!C53="",'01_Raw_Data'!C53="0"), "CUST-GUEST", TRIM('01_Raw_Data'!C53))</f>
        <v/>
      </c>
      <c r="D53" s="8">
        <f>PROPER(TRIM(CLEAN('01_Raw_Data'!D53)))</f>
        <v/>
      </c>
      <c r="E53" s="8">
        <f>ABS(IF(ISNUMBER(VALUE('01_Raw_Data'!F53)), VALUE('01_Raw_Data'!F53), 1))</f>
        <v/>
      </c>
      <c r="F53" s="9">
        <f>'01_Raw_Data'!G53</f>
        <v/>
      </c>
      <c r="G53" s="11">
        <f>IF(ISNUMBER('01_Raw_Data'!H53), '01_Raw_Data'!H53, IFERROR(VALUE(SUBSTITUTE('01_Raw_Data'!H53, "%", ""))/100, 0))</f>
        <v/>
      </c>
      <c r="H53" s="8">
        <f>PROPER(TRIM('01_Raw_Data'!J53))</f>
        <v/>
      </c>
      <c r="I53" s="8">
        <f>IF('01_Raw_Data'!K53="", "REG-NA", UPPER(TRIM('01_Raw_Data'!K53)))</f>
        <v/>
      </c>
      <c r="J53" s="8">
        <f>IF(OR('01_Raw_Data'!C53="", '01_Raw_Data'!F53&lt;0, ISNUMBER(SEARCH("%", '01_Raw_Data'!H53))), "FIXED ANOMALY", "PASSED")</f>
        <v/>
      </c>
      <c r="K53" s="8">
        <f>IF('01_Raw_Data'!F53&lt;0, "Converted Negative Quantity to ABS", IF('01_Raw_Data'!C53="", "Imputed Missing Customer ID", IF(ISNUMBER(SEARCH("%", '01_Raw_Data'!H53)), "Parsed Text % to Numeric Rate", "Standardized Format")))</f>
        <v/>
      </c>
    </row>
    <row r="54">
      <c r="A54" s="8">
        <f>'01_Raw_Data'!A54</f>
        <v/>
      </c>
      <c r="B54" s="10">
        <f>IFERROR(DATEVALUE('01_Raw_Data'!B54), IF('01_Raw_Data'!B54="", DATE(2024,1,1), '01_Raw_Data'!B54))</f>
        <v/>
      </c>
      <c r="C54" s="8">
        <f>IF(OR('01_Raw_Data'!C54="",'01_Raw_Data'!C54="0"), "CUST-GUEST", TRIM('01_Raw_Data'!C54))</f>
        <v/>
      </c>
      <c r="D54" s="8">
        <f>PROPER(TRIM(CLEAN('01_Raw_Data'!D54)))</f>
        <v/>
      </c>
      <c r="E54" s="8">
        <f>ABS(IF(ISNUMBER(VALUE('01_Raw_Data'!F54)), VALUE('01_Raw_Data'!F54), 1))</f>
        <v/>
      </c>
      <c r="F54" s="9">
        <f>'01_Raw_Data'!G54</f>
        <v/>
      </c>
      <c r="G54" s="11">
        <f>IF(ISNUMBER('01_Raw_Data'!H54), '01_Raw_Data'!H54, IFERROR(VALUE(SUBSTITUTE('01_Raw_Data'!H54, "%", ""))/100, 0))</f>
        <v/>
      </c>
      <c r="H54" s="8">
        <f>PROPER(TRIM('01_Raw_Data'!J54))</f>
        <v/>
      </c>
      <c r="I54" s="8">
        <f>IF('01_Raw_Data'!K54="", "REG-NA", UPPER(TRIM('01_Raw_Data'!K54)))</f>
        <v/>
      </c>
      <c r="J54" s="8">
        <f>IF(OR('01_Raw_Data'!C54="", '01_Raw_Data'!F54&lt;0, ISNUMBER(SEARCH("%", '01_Raw_Data'!H54))), "FIXED ANOMALY", "PASSED")</f>
        <v/>
      </c>
      <c r="K54" s="8">
        <f>IF('01_Raw_Data'!F54&lt;0, "Converted Negative Quantity to ABS", IF('01_Raw_Data'!C54="", "Imputed Missing Customer ID", IF(ISNUMBER(SEARCH("%", '01_Raw_Data'!H54)), "Parsed Text % to Numeric Rate", "Standardized Format")))</f>
        <v/>
      </c>
    </row>
    <row r="55">
      <c r="A55" s="8">
        <f>'01_Raw_Data'!A55</f>
        <v/>
      </c>
      <c r="B55" s="10">
        <f>IFERROR(DATEVALUE('01_Raw_Data'!B55), IF('01_Raw_Data'!B55="", DATE(2024,1,1), '01_Raw_Data'!B55))</f>
        <v/>
      </c>
      <c r="C55" s="8">
        <f>IF(OR('01_Raw_Data'!C55="",'01_Raw_Data'!C55="0"), "CUST-GUEST", TRIM('01_Raw_Data'!C55))</f>
        <v/>
      </c>
      <c r="D55" s="8">
        <f>PROPER(TRIM(CLEAN('01_Raw_Data'!D55)))</f>
        <v/>
      </c>
      <c r="E55" s="8">
        <f>ABS(IF(ISNUMBER(VALUE('01_Raw_Data'!F55)), VALUE('01_Raw_Data'!F55), 1))</f>
        <v/>
      </c>
      <c r="F55" s="9">
        <f>'01_Raw_Data'!G55</f>
        <v/>
      </c>
      <c r="G55" s="11">
        <f>IF(ISNUMBER('01_Raw_Data'!H55), '01_Raw_Data'!H55, IFERROR(VALUE(SUBSTITUTE('01_Raw_Data'!H55, "%", ""))/100, 0))</f>
        <v/>
      </c>
      <c r="H55" s="8">
        <f>PROPER(TRIM('01_Raw_Data'!J55))</f>
        <v/>
      </c>
      <c r="I55" s="8">
        <f>IF('01_Raw_Data'!K55="", "REG-NA", UPPER(TRIM('01_Raw_Data'!K55)))</f>
        <v/>
      </c>
      <c r="J55" s="8">
        <f>IF(OR('01_Raw_Data'!C55="", '01_Raw_Data'!F55&lt;0, ISNUMBER(SEARCH("%", '01_Raw_Data'!H55))), "FIXED ANOMALY", "PASSED")</f>
        <v/>
      </c>
      <c r="K55" s="8">
        <f>IF('01_Raw_Data'!F55&lt;0, "Converted Negative Quantity to ABS", IF('01_Raw_Data'!C55="", "Imputed Missing Customer ID", IF(ISNUMBER(SEARCH("%", '01_Raw_Data'!H55)), "Parsed Text % to Numeric Rate", "Standardized Format")))</f>
        <v/>
      </c>
    </row>
    <row r="56">
      <c r="A56" s="8">
        <f>'01_Raw_Data'!A56</f>
        <v/>
      </c>
      <c r="B56" s="10">
        <f>IFERROR(DATEVALUE('01_Raw_Data'!B56), IF('01_Raw_Data'!B56="", DATE(2024,1,1), '01_Raw_Data'!B56))</f>
        <v/>
      </c>
      <c r="C56" s="8">
        <f>IF(OR('01_Raw_Data'!C56="",'01_Raw_Data'!C56="0"), "CUST-GUEST", TRIM('01_Raw_Data'!C56))</f>
        <v/>
      </c>
      <c r="D56" s="8">
        <f>PROPER(TRIM(CLEAN('01_Raw_Data'!D56)))</f>
        <v/>
      </c>
      <c r="E56" s="8">
        <f>ABS(IF(ISNUMBER(VALUE('01_Raw_Data'!F56)), VALUE('01_Raw_Data'!F56), 1))</f>
        <v/>
      </c>
      <c r="F56" s="9">
        <f>'01_Raw_Data'!G56</f>
        <v/>
      </c>
      <c r="G56" s="11">
        <f>IF(ISNUMBER('01_Raw_Data'!H56), '01_Raw_Data'!H56, IFERROR(VALUE(SUBSTITUTE('01_Raw_Data'!H56, "%", ""))/100, 0))</f>
        <v/>
      </c>
      <c r="H56" s="8">
        <f>PROPER(TRIM('01_Raw_Data'!J56))</f>
        <v/>
      </c>
      <c r="I56" s="8">
        <f>IF('01_Raw_Data'!K56="", "REG-NA", UPPER(TRIM('01_Raw_Data'!K56)))</f>
        <v/>
      </c>
      <c r="J56" s="8">
        <f>IF(OR('01_Raw_Data'!C56="", '01_Raw_Data'!F56&lt;0, ISNUMBER(SEARCH("%", '01_Raw_Data'!H56))), "FIXED ANOMALY", "PASSED")</f>
        <v/>
      </c>
      <c r="K56" s="8">
        <f>IF('01_Raw_Data'!F56&lt;0, "Converted Negative Quantity to ABS", IF('01_Raw_Data'!C56="", "Imputed Missing Customer ID", IF(ISNUMBER(SEARCH("%", '01_Raw_Data'!H56)), "Parsed Text % to Numeric Rate", "Standardized Format")))</f>
        <v/>
      </c>
    </row>
    <row r="57">
      <c r="A57" s="8">
        <f>'01_Raw_Data'!A57</f>
        <v/>
      </c>
      <c r="B57" s="10">
        <f>IFERROR(DATEVALUE('01_Raw_Data'!B57), IF('01_Raw_Data'!B57="", DATE(2024,1,1), '01_Raw_Data'!B57))</f>
        <v/>
      </c>
      <c r="C57" s="8">
        <f>IF(OR('01_Raw_Data'!C57="",'01_Raw_Data'!C57="0"), "CUST-GUEST", TRIM('01_Raw_Data'!C57))</f>
        <v/>
      </c>
      <c r="D57" s="8">
        <f>PROPER(TRIM(CLEAN('01_Raw_Data'!D57)))</f>
        <v/>
      </c>
      <c r="E57" s="8">
        <f>ABS(IF(ISNUMBER(VALUE('01_Raw_Data'!F57)), VALUE('01_Raw_Data'!F57), 1))</f>
        <v/>
      </c>
      <c r="F57" s="9">
        <f>'01_Raw_Data'!G57</f>
        <v/>
      </c>
      <c r="G57" s="11">
        <f>IF(ISNUMBER('01_Raw_Data'!H57), '01_Raw_Data'!H57, IFERROR(VALUE(SUBSTITUTE('01_Raw_Data'!H57, "%", ""))/100, 0))</f>
        <v/>
      </c>
      <c r="H57" s="8">
        <f>PROPER(TRIM('01_Raw_Data'!J57))</f>
        <v/>
      </c>
      <c r="I57" s="8">
        <f>IF('01_Raw_Data'!K57="", "REG-NA", UPPER(TRIM('01_Raw_Data'!K57)))</f>
        <v/>
      </c>
      <c r="J57" s="8">
        <f>IF(OR('01_Raw_Data'!C57="", '01_Raw_Data'!F57&lt;0, ISNUMBER(SEARCH("%", '01_Raw_Data'!H57))), "FIXED ANOMALY", "PASSED")</f>
        <v/>
      </c>
      <c r="K57" s="8">
        <f>IF('01_Raw_Data'!F57&lt;0, "Converted Negative Quantity to ABS", IF('01_Raw_Data'!C57="", "Imputed Missing Customer ID", IF(ISNUMBER(SEARCH("%", '01_Raw_Data'!H57)), "Parsed Text % to Numeric Rate", "Standardized Format")))</f>
        <v/>
      </c>
    </row>
    <row r="58">
      <c r="A58" s="8">
        <f>'01_Raw_Data'!A58</f>
        <v/>
      </c>
      <c r="B58" s="10">
        <f>IFERROR(DATEVALUE('01_Raw_Data'!B58), IF('01_Raw_Data'!B58="", DATE(2024,1,1), '01_Raw_Data'!B58))</f>
        <v/>
      </c>
      <c r="C58" s="8">
        <f>IF(OR('01_Raw_Data'!C58="",'01_Raw_Data'!C58="0"), "CUST-GUEST", TRIM('01_Raw_Data'!C58))</f>
        <v/>
      </c>
      <c r="D58" s="8">
        <f>PROPER(TRIM(CLEAN('01_Raw_Data'!D58)))</f>
        <v/>
      </c>
      <c r="E58" s="8">
        <f>ABS(IF(ISNUMBER(VALUE('01_Raw_Data'!F58)), VALUE('01_Raw_Data'!F58), 1))</f>
        <v/>
      </c>
      <c r="F58" s="9">
        <f>'01_Raw_Data'!G58</f>
        <v/>
      </c>
      <c r="G58" s="11">
        <f>IF(ISNUMBER('01_Raw_Data'!H58), '01_Raw_Data'!H58, IFERROR(VALUE(SUBSTITUTE('01_Raw_Data'!H58, "%", ""))/100, 0))</f>
        <v/>
      </c>
      <c r="H58" s="8">
        <f>PROPER(TRIM('01_Raw_Data'!J58))</f>
        <v/>
      </c>
      <c r="I58" s="8">
        <f>IF('01_Raw_Data'!K58="", "REG-NA", UPPER(TRIM('01_Raw_Data'!K58)))</f>
        <v/>
      </c>
      <c r="J58" s="8">
        <f>IF(OR('01_Raw_Data'!C58="", '01_Raw_Data'!F58&lt;0, ISNUMBER(SEARCH("%", '01_Raw_Data'!H58))), "FIXED ANOMALY", "PASSED")</f>
        <v/>
      </c>
      <c r="K58" s="8">
        <f>IF('01_Raw_Data'!F58&lt;0, "Converted Negative Quantity to ABS", IF('01_Raw_Data'!C58="", "Imputed Missing Customer ID", IF(ISNUMBER(SEARCH("%", '01_Raw_Data'!H58)), "Parsed Text % to Numeric Rate", "Standardized Format")))</f>
        <v/>
      </c>
    </row>
    <row r="59">
      <c r="A59" s="8">
        <f>'01_Raw_Data'!A59</f>
        <v/>
      </c>
      <c r="B59" s="10">
        <f>IFERROR(DATEVALUE('01_Raw_Data'!B59), IF('01_Raw_Data'!B59="", DATE(2024,1,1), '01_Raw_Data'!B59))</f>
        <v/>
      </c>
      <c r="C59" s="8">
        <f>IF(OR('01_Raw_Data'!C59="",'01_Raw_Data'!C59="0"), "CUST-GUEST", TRIM('01_Raw_Data'!C59))</f>
        <v/>
      </c>
      <c r="D59" s="8">
        <f>PROPER(TRIM(CLEAN('01_Raw_Data'!D59)))</f>
        <v/>
      </c>
      <c r="E59" s="8">
        <f>ABS(IF(ISNUMBER(VALUE('01_Raw_Data'!F59)), VALUE('01_Raw_Data'!F59), 1))</f>
        <v/>
      </c>
      <c r="F59" s="9">
        <f>'01_Raw_Data'!G59</f>
        <v/>
      </c>
      <c r="G59" s="11">
        <f>IF(ISNUMBER('01_Raw_Data'!H59), '01_Raw_Data'!H59, IFERROR(VALUE(SUBSTITUTE('01_Raw_Data'!H59, "%", ""))/100, 0))</f>
        <v/>
      </c>
      <c r="H59" s="8">
        <f>PROPER(TRIM('01_Raw_Data'!J59))</f>
        <v/>
      </c>
      <c r="I59" s="8">
        <f>IF('01_Raw_Data'!K59="", "REG-NA", UPPER(TRIM('01_Raw_Data'!K59)))</f>
        <v/>
      </c>
      <c r="J59" s="8">
        <f>IF(OR('01_Raw_Data'!C59="", '01_Raw_Data'!F59&lt;0, ISNUMBER(SEARCH("%", '01_Raw_Data'!H59))), "FIXED ANOMALY", "PASSED")</f>
        <v/>
      </c>
      <c r="K59" s="8">
        <f>IF('01_Raw_Data'!F59&lt;0, "Converted Negative Quantity to ABS", IF('01_Raw_Data'!C59="", "Imputed Missing Customer ID", IF(ISNUMBER(SEARCH("%", '01_Raw_Data'!H59)), "Parsed Text % to Numeric Rate", "Standardized Format")))</f>
        <v/>
      </c>
    </row>
    <row r="60">
      <c r="A60" s="8">
        <f>'01_Raw_Data'!A60</f>
        <v/>
      </c>
      <c r="B60" s="10">
        <f>IFERROR(DATEVALUE('01_Raw_Data'!B60), IF('01_Raw_Data'!B60="", DATE(2024,1,1), '01_Raw_Data'!B60))</f>
        <v/>
      </c>
      <c r="C60" s="8">
        <f>IF(OR('01_Raw_Data'!C60="",'01_Raw_Data'!C60="0"), "CUST-GUEST", TRIM('01_Raw_Data'!C60))</f>
        <v/>
      </c>
      <c r="D60" s="8">
        <f>PROPER(TRIM(CLEAN('01_Raw_Data'!D60)))</f>
        <v/>
      </c>
      <c r="E60" s="8">
        <f>ABS(IF(ISNUMBER(VALUE('01_Raw_Data'!F60)), VALUE('01_Raw_Data'!F60), 1))</f>
        <v/>
      </c>
      <c r="F60" s="9">
        <f>'01_Raw_Data'!G60</f>
        <v/>
      </c>
      <c r="G60" s="11">
        <f>IF(ISNUMBER('01_Raw_Data'!H60), '01_Raw_Data'!H60, IFERROR(VALUE(SUBSTITUTE('01_Raw_Data'!H60, "%", ""))/100, 0))</f>
        <v/>
      </c>
      <c r="H60" s="8">
        <f>PROPER(TRIM('01_Raw_Data'!J60))</f>
        <v/>
      </c>
      <c r="I60" s="8">
        <f>IF('01_Raw_Data'!K60="", "REG-NA", UPPER(TRIM('01_Raw_Data'!K60)))</f>
        <v/>
      </c>
      <c r="J60" s="8">
        <f>IF(OR('01_Raw_Data'!C60="", '01_Raw_Data'!F60&lt;0, ISNUMBER(SEARCH("%", '01_Raw_Data'!H60))), "FIXED ANOMALY", "PASSED")</f>
        <v/>
      </c>
      <c r="K60" s="8">
        <f>IF('01_Raw_Data'!F60&lt;0, "Converted Negative Quantity to ABS", IF('01_Raw_Data'!C60="", "Imputed Missing Customer ID", IF(ISNUMBER(SEARCH("%", '01_Raw_Data'!H60)), "Parsed Text % to Numeric Rate", "Standardized Format")))</f>
        <v/>
      </c>
    </row>
    <row r="61">
      <c r="A61" s="8">
        <f>'01_Raw_Data'!A61</f>
        <v/>
      </c>
      <c r="B61" s="10">
        <f>IFERROR(DATEVALUE('01_Raw_Data'!B61), IF('01_Raw_Data'!B61="", DATE(2024,1,1), '01_Raw_Data'!B61))</f>
        <v/>
      </c>
      <c r="C61" s="8">
        <f>IF(OR('01_Raw_Data'!C61="",'01_Raw_Data'!C61="0"), "CUST-GUEST", TRIM('01_Raw_Data'!C61))</f>
        <v/>
      </c>
      <c r="D61" s="8">
        <f>PROPER(TRIM(CLEAN('01_Raw_Data'!D61)))</f>
        <v/>
      </c>
      <c r="E61" s="8">
        <f>ABS(IF(ISNUMBER(VALUE('01_Raw_Data'!F61)), VALUE('01_Raw_Data'!F61), 1))</f>
        <v/>
      </c>
      <c r="F61" s="9">
        <f>'01_Raw_Data'!G61</f>
        <v/>
      </c>
      <c r="G61" s="11">
        <f>IF(ISNUMBER('01_Raw_Data'!H61), '01_Raw_Data'!H61, IFERROR(VALUE(SUBSTITUTE('01_Raw_Data'!H61, "%", ""))/100, 0))</f>
        <v/>
      </c>
      <c r="H61" s="8">
        <f>PROPER(TRIM('01_Raw_Data'!J61))</f>
        <v/>
      </c>
      <c r="I61" s="8">
        <f>IF('01_Raw_Data'!K61="", "REG-NA", UPPER(TRIM('01_Raw_Data'!K61)))</f>
        <v/>
      </c>
      <c r="J61" s="8">
        <f>IF(OR('01_Raw_Data'!C61="", '01_Raw_Data'!F61&lt;0, ISNUMBER(SEARCH("%", '01_Raw_Data'!H61))), "FIXED ANOMALY", "PASSED")</f>
        <v/>
      </c>
      <c r="K61" s="8">
        <f>IF('01_Raw_Data'!F61&lt;0, "Converted Negative Quantity to ABS", IF('01_Raw_Data'!C61="", "Imputed Missing Customer ID", IF(ISNUMBER(SEARCH("%", '01_Raw_Data'!H61)), "Parsed Text % to Numeric Rate", "Standardized Format")))</f>
        <v/>
      </c>
    </row>
    <row r="62">
      <c r="A62" s="8">
        <f>'01_Raw_Data'!A62</f>
        <v/>
      </c>
      <c r="B62" s="10">
        <f>IFERROR(DATEVALUE('01_Raw_Data'!B62), IF('01_Raw_Data'!B62="", DATE(2024,1,1), '01_Raw_Data'!B62))</f>
        <v/>
      </c>
      <c r="C62" s="8">
        <f>IF(OR('01_Raw_Data'!C62="",'01_Raw_Data'!C62="0"), "CUST-GUEST", TRIM('01_Raw_Data'!C62))</f>
        <v/>
      </c>
      <c r="D62" s="8">
        <f>PROPER(TRIM(CLEAN('01_Raw_Data'!D62)))</f>
        <v/>
      </c>
      <c r="E62" s="8">
        <f>ABS(IF(ISNUMBER(VALUE('01_Raw_Data'!F62)), VALUE('01_Raw_Data'!F62), 1))</f>
        <v/>
      </c>
      <c r="F62" s="9">
        <f>'01_Raw_Data'!G62</f>
        <v/>
      </c>
      <c r="G62" s="11">
        <f>IF(ISNUMBER('01_Raw_Data'!H62), '01_Raw_Data'!H62, IFERROR(VALUE(SUBSTITUTE('01_Raw_Data'!H62, "%", ""))/100, 0))</f>
        <v/>
      </c>
      <c r="H62" s="8">
        <f>PROPER(TRIM('01_Raw_Data'!J62))</f>
        <v/>
      </c>
      <c r="I62" s="8">
        <f>IF('01_Raw_Data'!K62="", "REG-NA", UPPER(TRIM('01_Raw_Data'!K62)))</f>
        <v/>
      </c>
      <c r="J62" s="8">
        <f>IF(OR('01_Raw_Data'!C62="", '01_Raw_Data'!F62&lt;0, ISNUMBER(SEARCH("%", '01_Raw_Data'!H62))), "FIXED ANOMALY", "PASSED")</f>
        <v/>
      </c>
      <c r="K62" s="8">
        <f>IF('01_Raw_Data'!F62&lt;0, "Converted Negative Quantity to ABS", IF('01_Raw_Data'!C62="", "Imputed Missing Customer ID", IF(ISNUMBER(SEARCH("%", '01_Raw_Data'!H62)), "Parsed Text % to Numeric Rate", "Standardized Format")))</f>
        <v/>
      </c>
    </row>
    <row r="63">
      <c r="A63" s="8">
        <f>'01_Raw_Data'!A63</f>
        <v/>
      </c>
      <c r="B63" s="10">
        <f>IFERROR(DATEVALUE('01_Raw_Data'!B63), IF('01_Raw_Data'!B63="", DATE(2024,1,1), '01_Raw_Data'!B63))</f>
        <v/>
      </c>
      <c r="C63" s="8">
        <f>IF(OR('01_Raw_Data'!C63="",'01_Raw_Data'!C63="0"), "CUST-GUEST", TRIM('01_Raw_Data'!C63))</f>
        <v/>
      </c>
      <c r="D63" s="8">
        <f>PROPER(TRIM(CLEAN('01_Raw_Data'!D63)))</f>
        <v/>
      </c>
      <c r="E63" s="8">
        <f>ABS(IF(ISNUMBER(VALUE('01_Raw_Data'!F63)), VALUE('01_Raw_Data'!F63), 1))</f>
        <v/>
      </c>
      <c r="F63" s="9">
        <f>'01_Raw_Data'!G63</f>
        <v/>
      </c>
      <c r="G63" s="11">
        <f>IF(ISNUMBER('01_Raw_Data'!H63), '01_Raw_Data'!H63, IFERROR(VALUE(SUBSTITUTE('01_Raw_Data'!H63, "%", ""))/100, 0))</f>
        <v/>
      </c>
      <c r="H63" s="8">
        <f>PROPER(TRIM('01_Raw_Data'!J63))</f>
        <v/>
      </c>
      <c r="I63" s="8">
        <f>IF('01_Raw_Data'!K63="", "REG-NA", UPPER(TRIM('01_Raw_Data'!K63)))</f>
        <v/>
      </c>
      <c r="J63" s="8">
        <f>IF(OR('01_Raw_Data'!C63="", '01_Raw_Data'!F63&lt;0, ISNUMBER(SEARCH("%", '01_Raw_Data'!H63))), "FIXED ANOMALY", "PASSED")</f>
        <v/>
      </c>
      <c r="K63" s="8">
        <f>IF('01_Raw_Data'!F63&lt;0, "Converted Negative Quantity to ABS", IF('01_Raw_Data'!C63="", "Imputed Missing Customer ID", IF(ISNUMBER(SEARCH("%", '01_Raw_Data'!H63)), "Parsed Text % to Numeric Rate", "Standardized Format")))</f>
        <v/>
      </c>
    </row>
    <row r="64">
      <c r="A64" s="8">
        <f>'01_Raw_Data'!A64</f>
        <v/>
      </c>
      <c r="B64" s="10">
        <f>IFERROR(DATEVALUE('01_Raw_Data'!B64), IF('01_Raw_Data'!B64="", DATE(2024,1,1), '01_Raw_Data'!B64))</f>
        <v/>
      </c>
      <c r="C64" s="8">
        <f>IF(OR('01_Raw_Data'!C64="",'01_Raw_Data'!C64="0"), "CUST-GUEST", TRIM('01_Raw_Data'!C64))</f>
        <v/>
      </c>
      <c r="D64" s="8">
        <f>PROPER(TRIM(CLEAN('01_Raw_Data'!D64)))</f>
        <v/>
      </c>
      <c r="E64" s="8">
        <f>ABS(IF(ISNUMBER(VALUE('01_Raw_Data'!F64)), VALUE('01_Raw_Data'!F64), 1))</f>
        <v/>
      </c>
      <c r="F64" s="9">
        <f>'01_Raw_Data'!G64</f>
        <v/>
      </c>
      <c r="G64" s="11">
        <f>IF(ISNUMBER('01_Raw_Data'!H64), '01_Raw_Data'!H64, IFERROR(VALUE(SUBSTITUTE('01_Raw_Data'!H64, "%", ""))/100, 0))</f>
        <v/>
      </c>
      <c r="H64" s="8">
        <f>PROPER(TRIM('01_Raw_Data'!J64))</f>
        <v/>
      </c>
      <c r="I64" s="8">
        <f>IF('01_Raw_Data'!K64="", "REG-NA", UPPER(TRIM('01_Raw_Data'!K64)))</f>
        <v/>
      </c>
      <c r="J64" s="8">
        <f>IF(OR('01_Raw_Data'!C64="", '01_Raw_Data'!F64&lt;0, ISNUMBER(SEARCH("%", '01_Raw_Data'!H64))), "FIXED ANOMALY", "PASSED")</f>
        <v/>
      </c>
      <c r="K64" s="8">
        <f>IF('01_Raw_Data'!F64&lt;0, "Converted Negative Quantity to ABS", IF('01_Raw_Data'!C64="", "Imputed Missing Customer ID", IF(ISNUMBER(SEARCH("%", '01_Raw_Data'!H64)), "Parsed Text % to Numeric Rate", "Standardized Format")))</f>
        <v/>
      </c>
    </row>
    <row r="65">
      <c r="A65" s="8">
        <f>'01_Raw_Data'!A65</f>
        <v/>
      </c>
      <c r="B65" s="10">
        <f>IFERROR(DATEVALUE('01_Raw_Data'!B65), IF('01_Raw_Data'!B65="", DATE(2024,1,1), '01_Raw_Data'!B65))</f>
        <v/>
      </c>
      <c r="C65" s="8">
        <f>IF(OR('01_Raw_Data'!C65="",'01_Raw_Data'!C65="0"), "CUST-GUEST", TRIM('01_Raw_Data'!C65))</f>
        <v/>
      </c>
      <c r="D65" s="8">
        <f>PROPER(TRIM(CLEAN('01_Raw_Data'!D65)))</f>
        <v/>
      </c>
      <c r="E65" s="8">
        <f>ABS(IF(ISNUMBER(VALUE('01_Raw_Data'!F65)), VALUE('01_Raw_Data'!F65), 1))</f>
        <v/>
      </c>
      <c r="F65" s="9">
        <f>'01_Raw_Data'!G65</f>
        <v/>
      </c>
      <c r="G65" s="11">
        <f>IF(ISNUMBER('01_Raw_Data'!H65), '01_Raw_Data'!H65, IFERROR(VALUE(SUBSTITUTE('01_Raw_Data'!H65, "%", ""))/100, 0))</f>
        <v/>
      </c>
      <c r="H65" s="8">
        <f>PROPER(TRIM('01_Raw_Data'!J65))</f>
        <v/>
      </c>
      <c r="I65" s="8">
        <f>IF('01_Raw_Data'!K65="", "REG-NA", UPPER(TRIM('01_Raw_Data'!K65)))</f>
        <v/>
      </c>
      <c r="J65" s="8">
        <f>IF(OR('01_Raw_Data'!C65="", '01_Raw_Data'!F65&lt;0, ISNUMBER(SEARCH("%", '01_Raw_Data'!H65))), "FIXED ANOMALY", "PASSED")</f>
        <v/>
      </c>
      <c r="K65" s="8">
        <f>IF('01_Raw_Data'!F65&lt;0, "Converted Negative Quantity to ABS", IF('01_Raw_Data'!C65="", "Imputed Missing Customer ID", IF(ISNUMBER(SEARCH("%", '01_Raw_Data'!H65)), "Parsed Text % to Numeric Rate", "Standardized Format")))</f>
        <v/>
      </c>
    </row>
    <row r="66">
      <c r="A66" s="8">
        <f>'01_Raw_Data'!A66</f>
        <v/>
      </c>
      <c r="B66" s="10">
        <f>IFERROR(DATEVALUE('01_Raw_Data'!B66), IF('01_Raw_Data'!B66="", DATE(2024,1,1), '01_Raw_Data'!B66))</f>
        <v/>
      </c>
      <c r="C66" s="8">
        <f>IF(OR('01_Raw_Data'!C66="",'01_Raw_Data'!C66="0"), "CUST-GUEST", TRIM('01_Raw_Data'!C66))</f>
        <v/>
      </c>
      <c r="D66" s="8">
        <f>PROPER(TRIM(CLEAN('01_Raw_Data'!D66)))</f>
        <v/>
      </c>
      <c r="E66" s="8">
        <f>ABS(IF(ISNUMBER(VALUE('01_Raw_Data'!F66)), VALUE('01_Raw_Data'!F66), 1))</f>
        <v/>
      </c>
      <c r="F66" s="9">
        <f>'01_Raw_Data'!G66</f>
        <v/>
      </c>
      <c r="G66" s="11">
        <f>IF(ISNUMBER('01_Raw_Data'!H66), '01_Raw_Data'!H66, IFERROR(VALUE(SUBSTITUTE('01_Raw_Data'!H66, "%", ""))/100, 0))</f>
        <v/>
      </c>
      <c r="H66" s="8">
        <f>PROPER(TRIM('01_Raw_Data'!J66))</f>
        <v/>
      </c>
      <c r="I66" s="8">
        <f>IF('01_Raw_Data'!K66="", "REG-NA", UPPER(TRIM('01_Raw_Data'!K66)))</f>
        <v/>
      </c>
      <c r="J66" s="8">
        <f>IF(OR('01_Raw_Data'!C66="", '01_Raw_Data'!F66&lt;0, ISNUMBER(SEARCH("%", '01_Raw_Data'!H66))), "FIXED ANOMALY", "PASSED")</f>
        <v/>
      </c>
      <c r="K66" s="8">
        <f>IF('01_Raw_Data'!F66&lt;0, "Converted Negative Quantity to ABS", IF('01_Raw_Data'!C66="", "Imputed Missing Customer ID", IF(ISNUMBER(SEARCH("%", '01_Raw_Data'!H66)), "Parsed Text % to Numeric Rate", "Standardized Format")))</f>
        <v/>
      </c>
    </row>
    <row r="67">
      <c r="A67" s="8">
        <f>'01_Raw_Data'!A67</f>
        <v/>
      </c>
      <c r="B67" s="10">
        <f>IFERROR(DATEVALUE('01_Raw_Data'!B67), IF('01_Raw_Data'!B67="", DATE(2024,1,1), '01_Raw_Data'!B67))</f>
        <v/>
      </c>
      <c r="C67" s="8">
        <f>IF(OR('01_Raw_Data'!C67="",'01_Raw_Data'!C67="0"), "CUST-GUEST", TRIM('01_Raw_Data'!C67))</f>
        <v/>
      </c>
      <c r="D67" s="8">
        <f>PROPER(TRIM(CLEAN('01_Raw_Data'!D67)))</f>
        <v/>
      </c>
      <c r="E67" s="8">
        <f>ABS(IF(ISNUMBER(VALUE('01_Raw_Data'!F67)), VALUE('01_Raw_Data'!F67), 1))</f>
        <v/>
      </c>
      <c r="F67" s="9">
        <f>'01_Raw_Data'!G67</f>
        <v/>
      </c>
      <c r="G67" s="11">
        <f>IF(ISNUMBER('01_Raw_Data'!H67), '01_Raw_Data'!H67, IFERROR(VALUE(SUBSTITUTE('01_Raw_Data'!H67, "%", ""))/100, 0))</f>
        <v/>
      </c>
      <c r="H67" s="8">
        <f>PROPER(TRIM('01_Raw_Data'!J67))</f>
        <v/>
      </c>
      <c r="I67" s="8">
        <f>IF('01_Raw_Data'!K67="", "REG-NA", UPPER(TRIM('01_Raw_Data'!K67)))</f>
        <v/>
      </c>
      <c r="J67" s="8">
        <f>IF(OR('01_Raw_Data'!C67="", '01_Raw_Data'!F67&lt;0, ISNUMBER(SEARCH("%", '01_Raw_Data'!H67))), "FIXED ANOMALY", "PASSED")</f>
        <v/>
      </c>
      <c r="K67" s="8">
        <f>IF('01_Raw_Data'!F67&lt;0, "Converted Negative Quantity to ABS", IF('01_Raw_Data'!C67="", "Imputed Missing Customer ID", IF(ISNUMBER(SEARCH("%", '01_Raw_Data'!H67)), "Parsed Text % to Numeric Rate", "Standardized Format")))</f>
        <v/>
      </c>
    </row>
    <row r="68">
      <c r="A68" s="8">
        <f>'01_Raw_Data'!A68</f>
        <v/>
      </c>
      <c r="B68" s="10">
        <f>IFERROR(DATEVALUE('01_Raw_Data'!B68), IF('01_Raw_Data'!B68="", DATE(2024,1,1), '01_Raw_Data'!B68))</f>
        <v/>
      </c>
      <c r="C68" s="8">
        <f>IF(OR('01_Raw_Data'!C68="",'01_Raw_Data'!C68="0"), "CUST-GUEST", TRIM('01_Raw_Data'!C68))</f>
        <v/>
      </c>
      <c r="D68" s="8">
        <f>PROPER(TRIM(CLEAN('01_Raw_Data'!D68)))</f>
        <v/>
      </c>
      <c r="E68" s="8">
        <f>ABS(IF(ISNUMBER(VALUE('01_Raw_Data'!F68)), VALUE('01_Raw_Data'!F68), 1))</f>
        <v/>
      </c>
      <c r="F68" s="9">
        <f>'01_Raw_Data'!G68</f>
        <v/>
      </c>
      <c r="G68" s="11">
        <f>IF(ISNUMBER('01_Raw_Data'!H68), '01_Raw_Data'!H68, IFERROR(VALUE(SUBSTITUTE('01_Raw_Data'!H68, "%", ""))/100, 0))</f>
        <v/>
      </c>
      <c r="H68" s="8">
        <f>PROPER(TRIM('01_Raw_Data'!J68))</f>
        <v/>
      </c>
      <c r="I68" s="8">
        <f>IF('01_Raw_Data'!K68="", "REG-NA", UPPER(TRIM('01_Raw_Data'!K68)))</f>
        <v/>
      </c>
      <c r="J68" s="8">
        <f>IF(OR('01_Raw_Data'!C68="", '01_Raw_Data'!F68&lt;0, ISNUMBER(SEARCH("%", '01_Raw_Data'!H68))), "FIXED ANOMALY", "PASSED")</f>
        <v/>
      </c>
      <c r="K68" s="8">
        <f>IF('01_Raw_Data'!F68&lt;0, "Converted Negative Quantity to ABS", IF('01_Raw_Data'!C68="", "Imputed Missing Customer ID", IF(ISNUMBER(SEARCH("%", '01_Raw_Data'!H68)), "Parsed Text % to Numeric Rate", "Standardized Format")))</f>
        <v/>
      </c>
    </row>
    <row r="69">
      <c r="A69" s="8">
        <f>'01_Raw_Data'!A69</f>
        <v/>
      </c>
      <c r="B69" s="10">
        <f>IFERROR(DATEVALUE('01_Raw_Data'!B69), IF('01_Raw_Data'!B69="", DATE(2024,1,1), '01_Raw_Data'!B69))</f>
        <v/>
      </c>
      <c r="C69" s="8">
        <f>IF(OR('01_Raw_Data'!C69="",'01_Raw_Data'!C69="0"), "CUST-GUEST", TRIM('01_Raw_Data'!C69))</f>
        <v/>
      </c>
      <c r="D69" s="8">
        <f>PROPER(TRIM(CLEAN('01_Raw_Data'!D69)))</f>
        <v/>
      </c>
      <c r="E69" s="8">
        <f>ABS(IF(ISNUMBER(VALUE('01_Raw_Data'!F69)), VALUE('01_Raw_Data'!F69), 1))</f>
        <v/>
      </c>
      <c r="F69" s="9">
        <f>'01_Raw_Data'!G69</f>
        <v/>
      </c>
      <c r="G69" s="11">
        <f>IF(ISNUMBER('01_Raw_Data'!H69), '01_Raw_Data'!H69, IFERROR(VALUE(SUBSTITUTE('01_Raw_Data'!H69, "%", ""))/100, 0))</f>
        <v/>
      </c>
      <c r="H69" s="8">
        <f>PROPER(TRIM('01_Raw_Data'!J69))</f>
        <v/>
      </c>
      <c r="I69" s="8">
        <f>IF('01_Raw_Data'!K69="", "REG-NA", UPPER(TRIM('01_Raw_Data'!K69)))</f>
        <v/>
      </c>
      <c r="J69" s="8">
        <f>IF(OR('01_Raw_Data'!C69="", '01_Raw_Data'!F69&lt;0, ISNUMBER(SEARCH("%", '01_Raw_Data'!H69))), "FIXED ANOMALY", "PASSED")</f>
        <v/>
      </c>
      <c r="K69" s="8">
        <f>IF('01_Raw_Data'!F69&lt;0, "Converted Negative Quantity to ABS", IF('01_Raw_Data'!C69="", "Imputed Missing Customer ID", IF(ISNUMBER(SEARCH("%", '01_Raw_Data'!H69)), "Parsed Text % to Numeric Rate", "Standardized Format")))</f>
        <v/>
      </c>
    </row>
    <row r="70">
      <c r="A70" s="8">
        <f>'01_Raw_Data'!A70</f>
        <v/>
      </c>
      <c r="B70" s="10">
        <f>IFERROR(DATEVALUE('01_Raw_Data'!B70), IF('01_Raw_Data'!B70="", DATE(2024,1,1), '01_Raw_Data'!B70))</f>
        <v/>
      </c>
      <c r="C70" s="8">
        <f>IF(OR('01_Raw_Data'!C70="",'01_Raw_Data'!C70="0"), "CUST-GUEST", TRIM('01_Raw_Data'!C70))</f>
        <v/>
      </c>
      <c r="D70" s="8">
        <f>PROPER(TRIM(CLEAN('01_Raw_Data'!D70)))</f>
        <v/>
      </c>
      <c r="E70" s="8">
        <f>ABS(IF(ISNUMBER(VALUE('01_Raw_Data'!F70)), VALUE('01_Raw_Data'!F70), 1))</f>
        <v/>
      </c>
      <c r="F70" s="9">
        <f>'01_Raw_Data'!G70</f>
        <v/>
      </c>
      <c r="G70" s="11">
        <f>IF(ISNUMBER('01_Raw_Data'!H70), '01_Raw_Data'!H70, IFERROR(VALUE(SUBSTITUTE('01_Raw_Data'!H70, "%", ""))/100, 0))</f>
        <v/>
      </c>
      <c r="H70" s="8">
        <f>PROPER(TRIM('01_Raw_Data'!J70))</f>
        <v/>
      </c>
      <c r="I70" s="8">
        <f>IF('01_Raw_Data'!K70="", "REG-NA", UPPER(TRIM('01_Raw_Data'!K70)))</f>
        <v/>
      </c>
      <c r="J70" s="8">
        <f>IF(OR('01_Raw_Data'!C70="", '01_Raw_Data'!F70&lt;0, ISNUMBER(SEARCH("%", '01_Raw_Data'!H70))), "FIXED ANOMALY", "PASSED")</f>
        <v/>
      </c>
      <c r="K70" s="8">
        <f>IF('01_Raw_Data'!F70&lt;0, "Converted Negative Quantity to ABS", IF('01_Raw_Data'!C70="", "Imputed Missing Customer ID", IF(ISNUMBER(SEARCH("%", '01_Raw_Data'!H70)), "Parsed Text % to Numeric Rate", "Standardized Format")))</f>
        <v/>
      </c>
    </row>
    <row r="71">
      <c r="A71" s="8">
        <f>'01_Raw_Data'!A71</f>
        <v/>
      </c>
      <c r="B71" s="10">
        <f>IFERROR(DATEVALUE('01_Raw_Data'!B71), IF('01_Raw_Data'!B71="", DATE(2024,1,1), '01_Raw_Data'!B71))</f>
        <v/>
      </c>
      <c r="C71" s="8">
        <f>IF(OR('01_Raw_Data'!C71="",'01_Raw_Data'!C71="0"), "CUST-GUEST", TRIM('01_Raw_Data'!C71))</f>
        <v/>
      </c>
      <c r="D71" s="8">
        <f>PROPER(TRIM(CLEAN('01_Raw_Data'!D71)))</f>
        <v/>
      </c>
      <c r="E71" s="8">
        <f>ABS(IF(ISNUMBER(VALUE('01_Raw_Data'!F71)), VALUE('01_Raw_Data'!F71), 1))</f>
        <v/>
      </c>
      <c r="F71" s="9">
        <f>'01_Raw_Data'!G71</f>
        <v/>
      </c>
      <c r="G71" s="11">
        <f>IF(ISNUMBER('01_Raw_Data'!H71), '01_Raw_Data'!H71, IFERROR(VALUE(SUBSTITUTE('01_Raw_Data'!H71, "%", ""))/100, 0))</f>
        <v/>
      </c>
      <c r="H71" s="8">
        <f>PROPER(TRIM('01_Raw_Data'!J71))</f>
        <v/>
      </c>
      <c r="I71" s="8">
        <f>IF('01_Raw_Data'!K71="", "REG-NA", UPPER(TRIM('01_Raw_Data'!K71)))</f>
        <v/>
      </c>
      <c r="J71" s="8">
        <f>IF(OR('01_Raw_Data'!C71="", '01_Raw_Data'!F71&lt;0, ISNUMBER(SEARCH("%", '01_Raw_Data'!H71))), "FIXED ANOMALY", "PASSED")</f>
        <v/>
      </c>
      <c r="K71" s="8">
        <f>IF('01_Raw_Data'!F71&lt;0, "Converted Negative Quantity to ABS", IF('01_Raw_Data'!C71="", "Imputed Missing Customer ID", IF(ISNUMBER(SEARCH("%", '01_Raw_Data'!H71)), "Parsed Text % to Numeric Rate", "Standardized Format")))</f>
        <v/>
      </c>
    </row>
    <row r="72">
      <c r="A72" s="8">
        <f>'01_Raw_Data'!A72</f>
        <v/>
      </c>
      <c r="B72" s="10">
        <f>IFERROR(DATEVALUE('01_Raw_Data'!B72), IF('01_Raw_Data'!B72="", DATE(2024,1,1), '01_Raw_Data'!B72))</f>
        <v/>
      </c>
      <c r="C72" s="8">
        <f>IF(OR('01_Raw_Data'!C72="",'01_Raw_Data'!C72="0"), "CUST-GUEST", TRIM('01_Raw_Data'!C72))</f>
        <v/>
      </c>
      <c r="D72" s="8">
        <f>PROPER(TRIM(CLEAN('01_Raw_Data'!D72)))</f>
        <v/>
      </c>
      <c r="E72" s="8">
        <f>ABS(IF(ISNUMBER(VALUE('01_Raw_Data'!F72)), VALUE('01_Raw_Data'!F72), 1))</f>
        <v/>
      </c>
      <c r="F72" s="9">
        <f>'01_Raw_Data'!G72</f>
        <v/>
      </c>
      <c r="G72" s="11">
        <f>IF(ISNUMBER('01_Raw_Data'!H72), '01_Raw_Data'!H72, IFERROR(VALUE(SUBSTITUTE('01_Raw_Data'!H72, "%", ""))/100, 0))</f>
        <v/>
      </c>
      <c r="H72" s="8">
        <f>PROPER(TRIM('01_Raw_Data'!J72))</f>
        <v/>
      </c>
      <c r="I72" s="8">
        <f>IF('01_Raw_Data'!K72="", "REG-NA", UPPER(TRIM('01_Raw_Data'!K72)))</f>
        <v/>
      </c>
      <c r="J72" s="8">
        <f>IF(OR('01_Raw_Data'!C72="", '01_Raw_Data'!F72&lt;0, ISNUMBER(SEARCH("%", '01_Raw_Data'!H72))), "FIXED ANOMALY", "PASSED")</f>
        <v/>
      </c>
      <c r="K72" s="8">
        <f>IF('01_Raw_Data'!F72&lt;0, "Converted Negative Quantity to ABS", IF('01_Raw_Data'!C72="", "Imputed Missing Customer ID", IF(ISNUMBER(SEARCH("%", '01_Raw_Data'!H72)), "Parsed Text % to Numeric Rate", "Standardized Format")))</f>
        <v/>
      </c>
    </row>
    <row r="73">
      <c r="A73" s="8">
        <f>'01_Raw_Data'!A73</f>
        <v/>
      </c>
      <c r="B73" s="10">
        <f>IFERROR(DATEVALUE('01_Raw_Data'!B73), IF('01_Raw_Data'!B73="", DATE(2024,1,1), '01_Raw_Data'!B73))</f>
        <v/>
      </c>
      <c r="C73" s="8">
        <f>IF(OR('01_Raw_Data'!C73="",'01_Raw_Data'!C73="0"), "CUST-GUEST", TRIM('01_Raw_Data'!C73))</f>
        <v/>
      </c>
      <c r="D73" s="8">
        <f>PROPER(TRIM(CLEAN('01_Raw_Data'!D73)))</f>
        <v/>
      </c>
      <c r="E73" s="8">
        <f>ABS(IF(ISNUMBER(VALUE('01_Raw_Data'!F73)), VALUE('01_Raw_Data'!F73), 1))</f>
        <v/>
      </c>
      <c r="F73" s="9">
        <f>'01_Raw_Data'!G73</f>
        <v/>
      </c>
      <c r="G73" s="11">
        <f>IF(ISNUMBER('01_Raw_Data'!H73), '01_Raw_Data'!H73, IFERROR(VALUE(SUBSTITUTE('01_Raw_Data'!H73, "%", ""))/100, 0))</f>
        <v/>
      </c>
      <c r="H73" s="8">
        <f>PROPER(TRIM('01_Raw_Data'!J73))</f>
        <v/>
      </c>
      <c r="I73" s="8">
        <f>IF('01_Raw_Data'!K73="", "REG-NA", UPPER(TRIM('01_Raw_Data'!K73)))</f>
        <v/>
      </c>
      <c r="J73" s="8">
        <f>IF(OR('01_Raw_Data'!C73="", '01_Raw_Data'!F73&lt;0, ISNUMBER(SEARCH("%", '01_Raw_Data'!H73))), "FIXED ANOMALY", "PASSED")</f>
        <v/>
      </c>
      <c r="K73" s="8">
        <f>IF('01_Raw_Data'!F73&lt;0, "Converted Negative Quantity to ABS", IF('01_Raw_Data'!C73="", "Imputed Missing Customer ID", IF(ISNUMBER(SEARCH("%", '01_Raw_Data'!H73)), "Parsed Text % to Numeric Rate", "Standardized Format")))</f>
        <v/>
      </c>
    </row>
    <row r="74">
      <c r="A74" s="8">
        <f>'01_Raw_Data'!A74</f>
        <v/>
      </c>
      <c r="B74" s="10">
        <f>IFERROR(DATEVALUE('01_Raw_Data'!B74), IF('01_Raw_Data'!B74="", DATE(2024,1,1), '01_Raw_Data'!B74))</f>
        <v/>
      </c>
      <c r="C74" s="8">
        <f>IF(OR('01_Raw_Data'!C74="",'01_Raw_Data'!C74="0"), "CUST-GUEST", TRIM('01_Raw_Data'!C74))</f>
        <v/>
      </c>
      <c r="D74" s="8">
        <f>PROPER(TRIM(CLEAN('01_Raw_Data'!D74)))</f>
        <v/>
      </c>
      <c r="E74" s="8">
        <f>ABS(IF(ISNUMBER(VALUE('01_Raw_Data'!F74)), VALUE('01_Raw_Data'!F74), 1))</f>
        <v/>
      </c>
      <c r="F74" s="9">
        <f>'01_Raw_Data'!G74</f>
        <v/>
      </c>
      <c r="G74" s="11">
        <f>IF(ISNUMBER('01_Raw_Data'!H74), '01_Raw_Data'!H74, IFERROR(VALUE(SUBSTITUTE('01_Raw_Data'!H74, "%", ""))/100, 0))</f>
        <v/>
      </c>
      <c r="H74" s="8">
        <f>PROPER(TRIM('01_Raw_Data'!J74))</f>
        <v/>
      </c>
      <c r="I74" s="8">
        <f>IF('01_Raw_Data'!K74="", "REG-NA", UPPER(TRIM('01_Raw_Data'!K74)))</f>
        <v/>
      </c>
      <c r="J74" s="8">
        <f>IF(OR('01_Raw_Data'!C74="", '01_Raw_Data'!F74&lt;0, ISNUMBER(SEARCH("%", '01_Raw_Data'!H74))), "FIXED ANOMALY", "PASSED")</f>
        <v/>
      </c>
      <c r="K74" s="8">
        <f>IF('01_Raw_Data'!F74&lt;0, "Converted Negative Quantity to ABS", IF('01_Raw_Data'!C74="", "Imputed Missing Customer ID", IF(ISNUMBER(SEARCH("%", '01_Raw_Data'!H74)), "Parsed Text % to Numeric Rate", "Standardized Format")))</f>
        <v/>
      </c>
    </row>
    <row r="75">
      <c r="A75" s="8">
        <f>'01_Raw_Data'!A75</f>
        <v/>
      </c>
      <c r="B75" s="10">
        <f>IFERROR(DATEVALUE('01_Raw_Data'!B75), IF('01_Raw_Data'!B75="", DATE(2024,1,1), '01_Raw_Data'!B75))</f>
        <v/>
      </c>
      <c r="C75" s="8">
        <f>IF(OR('01_Raw_Data'!C75="",'01_Raw_Data'!C75="0"), "CUST-GUEST", TRIM('01_Raw_Data'!C75))</f>
        <v/>
      </c>
      <c r="D75" s="8">
        <f>PROPER(TRIM(CLEAN('01_Raw_Data'!D75)))</f>
        <v/>
      </c>
      <c r="E75" s="8">
        <f>ABS(IF(ISNUMBER(VALUE('01_Raw_Data'!F75)), VALUE('01_Raw_Data'!F75), 1))</f>
        <v/>
      </c>
      <c r="F75" s="9">
        <f>'01_Raw_Data'!G75</f>
        <v/>
      </c>
      <c r="G75" s="11">
        <f>IF(ISNUMBER('01_Raw_Data'!H75), '01_Raw_Data'!H75, IFERROR(VALUE(SUBSTITUTE('01_Raw_Data'!H75, "%", ""))/100, 0))</f>
        <v/>
      </c>
      <c r="H75" s="8">
        <f>PROPER(TRIM('01_Raw_Data'!J75))</f>
        <v/>
      </c>
      <c r="I75" s="8">
        <f>IF('01_Raw_Data'!K75="", "REG-NA", UPPER(TRIM('01_Raw_Data'!K75)))</f>
        <v/>
      </c>
      <c r="J75" s="8">
        <f>IF(OR('01_Raw_Data'!C75="", '01_Raw_Data'!F75&lt;0, ISNUMBER(SEARCH("%", '01_Raw_Data'!H75))), "FIXED ANOMALY", "PASSED")</f>
        <v/>
      </c>
      <c r="K75" s="8">
        <f>IF('01_Raw_Data'!F75&lt;0, "Converted Negative Quantity to ABS", IF('01_Raw_Data'!C75="", "Imputed Missing Customer ID", IF(ISNUMBER(SEARCH("%", '01_Raw_Data'!H75)), "Parsed Text % to Numeric Rate", "Standardized Format")))</f>
        <v/>
      </c>
    </row>
    <row r="76">
      <c r="A76" s="8">
        <f>'01_Raw_Data'!A76</f>
        <v/>
      </c>
      <c r="B76" s="10">
        <f>IFERROR(DATEVALUE('01_Raw_Data'!B76), IF('01_Raw_Data'!B76="", DATE(2024,1,1), '01_Raw_Data'!B76))</f>
        <v/>
      </c>
      <c r="C76" s="8">
        <f>IF(OR('01_Raw_Data'!C76="",'01_Raw_Data'!C76="0"), "CUST-GUEST", TRIM('01_Raw_Data'!C76))</f>
        <v/>
      </c>
      <c r="D76" s="8">
        <f>PROPER(TRIM(CLEAN('01_Raw_Data'!D76)))</f>
        <v/>
      </c>
      <c r="E76" s="8">
        <f>ABS(IF(ISNUMBER(VALUE('01_Raw_Data'!F76)), VALUE('01_Raw_Data'!F76), 1))</f>
        <v/>
      </c>
      <c r="F76" s="9">
        <f>'01_Raw_Data'!G76</f>
        <v/>
      </c>
      <c r="G76" s="11">
        <f>IF(ISNUMBER('01_Raw_Data'!H76), '01_Raw_Data'!H76, IFERROR(VALUE(SUBSTITUTE('01_Raw_Data'!H76, "%", ""))/100, 0))</f>
        <v/>
      </c>
      <c r="H76" s="8">
        <f>PROPER(TRIM('01_Raw_Data'!J76))</f>
        <v/>
      </c>
      <c r="I76" s="8">
        <f>IF('01_Raw_Data'!K76="", "REG-NA", UPPER(TRIM('01_Raw_Data'!K76)))</f>
        <v/>
      </c>
      <c r="J76" s="8">
        <f>IF(OR('01_Raw_Data'!C76="", '01_Raw_Data'!F76&lt;0, ISNUMBER(SEARCH("%", '01_Raw_Data'!H76))), "FIXED ANOMALY", "PASSED")</f>
        <v/>
      </c>
      <c r="K76" s="8">
        <f>IF('01_Raw_Data'!F76&lt;0, "Converted Negative Quantity to ABS", IF('01_Raw_Data'!C76="", "Imputed Missing Customer ID", IF(ISNUMBER(SEARCH("%", '01_Raw_Data'!H76)), "Parsed Text % to Numeric Rate", "Standardized Format")))</f>
        <v/>
      </c>
    </row>
    <row r="77">
      <c r="A77" s="8">
        <f>'01_Raw_Data'!A77</f>
        <v/>
      </c>
      <c r="B77" s="10">
        <f>IFERROR(DATEVALUE('01_Raw_Data'!B77), IF('01_Raw_Data'!B77="", DATE(2024,1,1), '01_Raw_Data'!B77))</f>
        <v/>
      </c>
      <c r="C77" s="8">
        <f>IF(OR('01_Raw_Data'!C77="",'01_Raw_Data'!C77="0"), "CUST-GUEST", TRIM('01_Raw_Data'!C77))</f>
        <v/>
      </c>
      <c r="D77" s="8">
        <f>PROPER(TRIM(CLEAN('01_Raw_Data'!D77)))</f>
        <v/>
      </c>
      <c r="E77" s="8">
        <f>ABS(IF(ISNUMBER(VALUE('01_Raw_Data'!F77)), VALUE('01_Raw_Data'!F77), 1))</f>
        <v/>
      </c>
      <c r="F77" s="9">
        <f>'01_Raw_Data'!G77</f>
        <v/>
      </c>
      <c r="G77" s="11">
        <f>IF(ISNUMBER('01_Raw_Data'!H77), '01_Raw_Data'!H77, IFERROR(VALUE(SUBSTITUTE('01_Raw_Data'!H77, "%", ""))/100, 0))</f>
        <v/>
      </c>
      <c r="H77" s="8">
        <f>PROPER(TRIM('01_Raw_Data'!J77))</f>
        <v/>
      </c>
      <c r="I77" s="8">
        <f>IF('01_Raw_Data'!K77="", "REG-NA", UPPER(TRIM('01_Raw_Data'!K77)))</f>
        <v/>
      </c>
      <c r="J77" s="8">
        <f>IF(OR('01_Raw_Data'!C77="", '01_Raw_Data'!F77&lt;0, ISNUMBER(SEARCH("%", '01_Raw_Data'!H77))), "FIXED ANOMALY", "PASSED")</f>
        <v/>
      </c>
      <c r="K77" s="8">
        <f>IF('01_Raw_Data'!F77&lt;0, "Converted Negative Quantity to ABS", IF('01_Raw_Data'!C77="", "Imputed Missing Customer ID", IF(ISNUMBER(SEARCH("%", '01_Raw_Data'!H77)), "Parsed Text % to Numeric Rate", "Standardized Format")))</f>
        <v/>
      </c>
    </row>
    <row r="78">
      <c r="A78" s="8">
        <f>'01_Raw_Data'!A78</f>
        <v/>
      </c>
      <c r="B78" s="10">
        <f>IFERROR(DATEVALUE('01_Raw_Data'!B78), IF('01_Raw_Data'!B78="", DATE(2024,1,1), '01_Raw_Data'!B78))</f>
        <v/>
      </c>
      <c r="C78" s="8">
        <f>IF(OR('01_Raw_Data'!C78="",'01_Raw_Data'!C78="0"), "CUST-GUEST", TRIM('01_Raw_Data'!C78))</f>
        <v/>
      </c>
      <c r="D78" s="8">
        <f>PROPER(TRIM(CLEAN('01_Raw_Data'!D78)))</f>
        <v/>
      </c>
      <c r="E78" s="8">
        <f>ABS(IF(ISNUMBER(VALUE('01_Raw_Data'!F78)), VALUE('01_Raw_Data'!F78), 1))</f>
        <v/>
      </c>
      <c r="F78" s="9">
        <f>'01_Raw_Data'!G78</f>
        <v/>
      </c>
      <c r="G78" s="11">
        <f>IF(ISNUMBER('01_Raw_Data'!H78), '01_Raw_Data'!H78, IFERROR(VALUE(SUBSTITUTE('01_Raw_Data'!H78, "%", ""))/100, 0))</f>
        <v/>
      </c>
      <c r="H78" s="8">
        <f>PROPER(TRIM('01_Raw_Data'!J78))</f>
        <v/>
      </c>
      <c r="I78" s="8">
        <f>IF('01_Raw_Data'!K78="", "REG-NA", UPPER(TRIM('01_Raw_Data'!K78)))</f>
        <v/>
      </c>
      <c r="J78" s="8">
        <f>IF(OR('01_Raw_Data'!C78="", '01_Raw_Data'!F78&lt;0, ISNUMBER(SEARCH("%", '01_Raw_Data'!H78))), "FIXED ANOMALY", "PASSED")</f>
        <v/>
      </c>
      <c r="K78" s="8">
        <f>IF('01_Raw_Data'!F78&lt;0, "Converted Negative Quantity to ABS", IF('01_Raw_Data'!C78="", "Imputed Missing Customer ID", IF(ISNUMBER(SEARCH("%", '01_Raw_Data'!H78)), "Parsed Text % to Numeric Rate", "Standardized Format")))</f>
        <v/>
      </c>
    </row>
    <row r="79">
      <c r="A79" s="8">
        <f>'01_Raw_Data'!A79</f>
        <v/>
      </c>
      <c r="B79" s="10">
        <f>IFERROR(DATEVALUE('01_Raw_Data'!B79), IF('01_Raw_Data'!B79="", DATE(2024,1,1), '01_Raw_Data'!B79))</f>
        <v/>
      </c>
      <c r="C79" s="8">
        <f>IF(OR('01_Raw_Data'!C79="",'01_Raw_Data'!C79="0"), "CUST-GUEST", TRIM('01_Raw_Data'!C79))</f>
        <v/>
      </c>
      <c r="D79" s="8">
        <f>PROPER(TRIM(CLEAN('01_Raw_Data'!D79)))</f>
        <v/>
      </c>
      <c r="E79" s="8">
        <f>ABS(IF(ISNUMBER(VALUE('01_Raw_Data'!F79)), VALUE('01_Raw_Data'!F79), 1))</f>
        <v/>
      </c>
      <c r="F79" s="9">
        <f>'01_Raw_Data'!G79</f>
        <v/>
      </c>
      <c r="G79" s="11">
        <f>IF(ISNUMBER('01_Raw_Data'!H79), '01_Raw_Data'!H79, IFERROR(VALUE(SUBSTITUTE('01_Raw_Data'!H79, "%", ""))/100, 0))</f>
        <v/>
      </c>
      <c r="H79" s="8">
        <f>PROPER(TRIM('01_Raw_Data'!J79))</f>
        <v/>
      </c>
      <c r="I79" s="8">
        <f>IF('01_Raw_Data'!K79="", "REG-NA", UPPER(TRIM('01_Raw_Data'!K79)))</f>
        <v/>
      </c>
      <c r="J79" s="8">
        <f>IF(OR('01_Raw_Data'!C79="", '01_Raw_Data'!F79&lt;0, ISNUMBER(SEARCH("%", '01_Raw_Data'!H79))), "FIXED ANOMALY", "PASSED")</f>
        <v/>
      </c>
      <c r="K79" s="8">
        <f>IF('01_Raw_Data'!F79&lt;0, "Converted Negative Quantity to ABS", IF('01_Raw_Data'!C79="", "Imputed Missing Customer ID", IF(ISNUMBER(SEARCH("%", '01_Raw_Data'!H79)), "Parsed Text % to Numeric Rate", "Standardized Format")))</f>
        <v/>
      </c>
    </row>
    <row r="80">
      <c r="A80" s="8">
        <f>'01_Raw_Data'!A80</f>
        <v/>
      </c>
      <c r="B80" s="10">
        <f>IFERROR(DATEVALUE('01_Raw_Data'!B80), IF('01_Raw_Data'!B80="", DATE(2024,1,1), '01_Raw_Data'!B80))</f>
        <v/>
      </c>
      <c r="C80" s="8">
        <f>IF(OR('01_Raw_Data'!C80="",'01_Raw_Data'!C80="0"), "CUST-GUEST", TRIM('01_Raw_Data'!C80))</f>
        <v/>
      </c>
      <c r="D80" s="8">
        <f>PROPER(TRIM(CLEAN('01_Raw_Data'!D80)))</f>
        <v/>
      </c>
      <c r="E80" s="8">
        <f>ABS(IF(ISNUMBER(VALUE('01_Raw_Data'!F80)), VALUE('01_Raw_Data'!F80), 1))</f>
        <v/>
      </c>
      <c r="F80" s="9">
        <f>'01_Raw_Data'!G80</f>
        <v/>
      </c>
      <c r="G80" s="11">
        <f>IF(ISNUMBER('01_Raw_Data'!H80), '01_Raw_Data'!H80, IFERROR(VALUE(SUBSTITUTE('01_Raw_Data'!H80, "%", ""))/100, 0))</f>
        <v/>
      </c>
      <c r="H80" s="8">
        <f>PROPER(TRIM('01_Raw_Data'!J80))</f>
        <v/>
      </c>
      <c r="I80" s="8">
        <f>IF('01_Raw_Data'!K80="", "REG-NA", UPPER(TRIM('01_Raw_Data'!K80)))</f>
        <v/>
      </c>
      <c r="J80" s="8">
        <f>IF(OR('01_Raw_Data'!C80="", '01_Raw_Data'!F80&lt;0, ISNUMBER(SEARCH("%", '01_Raw_Data'!H80))), "FIXED ANOMALY", "PASSED")</f>
        <v/>
      </c>
      <c r="K80" s="8">
        <f>IF('01_Raw_Data'!F80&lt;0, "Converted Negative Quantity to ABS", IF('01_Raw_Data'!C80="", "Imputed Missing Customer ID", IF(ISNUMBER(SEARCH("%", '01_Raw_Data'!H80)), "Parsed Text % to Numeric Rate", "Standardized Format")))</f>
        <v/>
      </c>
    </row>
    <row r="81">
      <c r="A81" s="8">
        <f>'01_Raw_Data'!A81</f>
        <v/>
      </c>
      <c r="B81" s="10">
        <f>IFERROR(DATEVALUE('01_Raw_Data'!B81), IF('01_Raw_Data'!B81="", DATE(2024,1,1), '01_Raw_Data'!B81))</f>
        <v/>
      </c>
      <c r="C81" s="8">
        <f>IF(OR('01_Raw_Data'!C81="",'01_Raw_Data'!C81="0"), "CUST-GUEST", TRIM('01_Raw_Data'!C81))</f>
        <v/>
      </c>
      <c r="D81" s="8">
        <f>PROPER(TRIM(CLEAN('01_Raw_Data'!D81)))</f>
        <v/>
      </c>
      <c r="E81" s="8">
        <f>ABS(IF(ISNUMBER(VALUE('01_Raw_Data'!F81)), VALUE('01_Raw_Data'!F81), 1))</f>
        <v/>
      </c>
      <c r="F81" s="9">
        <f>'01_Raw_Data'!G81</f>
        <v/>
      </c>
      <c r="G81" s="11">
        <f>IF(ISNUMBER('01_Raw_Data'!H81), '01_Raw_Data'!H81, IFERROR(VALUE(SUBSTITUTE('01_Raw_Data'!H81, "%", ""))/100, 0))</f>
        <v/>
      </c>
      <c r="H81" s="8">
        <f>PROPER(TRIM('01_Raw_Data'!J81))</f>
        <v/>
      </c>
      <c r="I81" s="8">
        <f>IF('01_Raw_Data'!K81="", "REG-NA", UPPER(TRIM('01_Raw_Data'!K81)))</f>
        <v/>
      </c>
      <c r="J81" s="8">
        <f>IF(OR('01_Raw_Data'!C81="", '01_Raw_Data'!F81&lt;0, ISNUMBER(SEARCH("%", '01_Raw_Data'!H81))), "FIXED ANOMALY", "PASSED")</f>
        <v/>
      </c>
      <c r="K81" s="8">
        <f>IF('01_Raw_Data'!F81&lt;0, "Converted Negative Quantity to ABS", IF('01_Raw_Data'!C81="", "Imputed Missing Customer ID", IF(ISNUMBER(SEARCH("%", '01_Raw_Data'!H81)), "Parsed Text % to Numeric Rate", "Standardized Format")))</f>
        <v/>
      </c>
    </row>
    <row r="82">
      <c r="A82" s="8">
        <f>'01_Raw_Data'!A82</f>
        <v/>
      </c>
      <c r="B82" s="10">
        <f>IFERROR(DATEVALUE('01_Raw_Data'!B82), IF('01_Raw_Data'!B82="", DATE(2024,1,1), '01_Raw_Data'!B82))</f>
        <v/>
      </c>
      <c r="C82" s="8">
        <f>IF(OR('01_Raw_Data'!C82="",'01_Raw_Data'!C82="0"), "CUST-GUEST", TRIM('01_Raw_Data'!C82))</f>
        <v/>
      </c>
      <c r="D82" s="8">
        <f>PROPER(TRIM(CLEAN('01_Raw_Data'!D82)))</f>
        <v/>
      </c>
      <c r="E82" s="8">
        <f>ABS(IF(ISNUMBER(VALUE('01_Raw_Data'!F82)), VALUE('01_Raw_Data'!F82), 1))</f>
        <v/>
      </c>
      <c r="F82" s="9">
        <f>'01_Raw_Data'!G82</f>
        <v/>
      </c>
      <c r="G82" s="11">
        <f>IF(ISNUMBER('01_Raw_Data'!H82), '01_Raw_Data'!H82, IFERROR(VALUE(SUBSTITUTE('01_Raw_Data'!H82, "%", ""))/100, 0))</f>
        <v/>
      </c>
      <c r="H82" s="8">
        <f>PROPER(TRIM('01_Raw_Data'!J82))</f>
        <v/>
      </c>
      <c r="I82" s="8">
        <f>IF('01_Raw_Data'!K82="", "REG-NA", UPPER(TRIM('01_Raw_Data'!K82)))</f>
        <v/>
      </c>
      <c r="J82" s="8">
        <f>IF(OR('01_Raw_Data'!C82="", '01_Raw_Data'!F82&lt;0, ISNUMBER(SEARCH("%", '01_Raw_Data'!H82))), "FIXED ANOMALY", "PASSED")</f>
        <v/>
      </c>
      <c r="K82" s="8">
        <f>IF('01_Raw_Data'!F82&lt;0, "Converted Negative Quantity to ABS", IF('01_Raw_Data'!C82="", "Imputed Missing Customer ID", IF(ISNUMBER(SEARCH("%", '01_Raw_Data'!H82)), "Parsed Text % to Numeric Rate", "Standardized Format")))</f>
        <v/>
      </c>
    </row>
    <row r="83">
      <c r="A83" s="8">
        <f>'01_Raw_Data'!A83</f>
        <v/>
      </c>
      <c r="B83" s="10">
        <f>IFERROR(DATEVALUE('01_Raw_Data'!B83), IF('01_Raw_Data'!B83="", DATE(2024,1,1), '01_Raw_Data'!B83))</f>
        <v/>
      </c>
      <c r="C83" s="8">
        <f>IF(OR('01_Raw_Data'!C83="",'01_Raw_Data'!C83="0"), "CUST-GUEST", TRIM('01_Raw_Data'!C83))</f>
        <v/>
      </c>
      <c r="D83" s="8">
        <f>PROPER(TRIM(CLEAN('01_Raw_Data'!D83)))</f>
        <v/>
      </c>
      <c r="E83" s="8">
        <f>ABS(IF(ISNUMBER(VALUE('01_Raw_Data'!F83)), VALUE('01_Raw_Data'!F83), 1))</f>
        <v/>
      </c>
      <c r="F83" s="9">
        <f>'01_Raw_Data'!G83</f>
        <v/>
      </c>
      <c r="G83" s="11">
        <f>IF(ISNUMBER('01_Raw_Data'!H83), '01_Raw_Data'!H83, IFERROR(VALUE(SUBSTITUTE('01_Raw_Data'!H83, "%", ""))/100, 0))</f>
        <v/>
      </c>
      <c r="H83" s="8">
        <f>PROPER(TRIM('01_Raw_Data'!J83))</f>
        <v/>
      </c>
      <c r="I83" s="8">
        <f>IF('01_Raw_Data'!K83="", "REG-NA", UPPER(TRIM('01_Raw_Data'!K83)))</f>
        <v/>
      </c>
      <c r="J83" s="8">
        <f>IF(OR('01_Raw_Data'!C83="", '01_Raw_Data'!F83&lt;0, ISNUMBER(SEARCH("%", '01_Raw_Data'!H83))), "FIXED ANOMALY", "PASSED")</f>
        <v/>
      </c>
      <c r="K83" s="8">
        <f>IF('01_Raw_Data'!F83&lt;0, "Converted Negative Quantity to ABS", IF('01_Raw_Data'!C83="", "Imputed Missing Customer ID", IF(ISNUMBER(SEARCH("%", '01_Raw_Data'!H83)), "Parsed Text % to Numeric Rate", "Standardized Format")))</f>
        <v/>
      </c>
    </row>
    <row r="84">
      <c r="A84" s="8">
        <f>'01_Raw_Data'!A84</f>
        <v/>
      </c>
      <c r="B84" s="10">
        <f>IFERROR(DATEVALUE('01_Raw_Data'!B84), IF('01_Raw_Data'!B84="", DATE(2024,1,1), '01_Raw_Data'!B84))</f>
        <v/>
      </c>
      <c r="C84" s="8">
        <f>IF(OR('01_Raw_Data'!C84="",'01_Raw_Data'!C84="0"), "CUST-GUEST", TRIM('01_Raw_Data'!C84))</f>
        <v/>
      </c>
      <c r="D84" s="8">
        <f>PROPER(TRIM(CLEAN('01_Raw_Data'!D84)))</f>
        <v/>
      </c>
      <c r="E84" s="8">
        <f>ABS(IF(ISNUMBER(VALUE('01_Raw_Data'!F84)), VALUE('01_Raw_Data'!F84), 1))</f>
        <v/>
      </c>
      <c r="F84" s="9">
        <f>'01_Raw_Data'!G84</f>
        <v/>
      </c>
      <c r="G84" s="11">
        <f>IF(ISNUMBER('01_Raw_Data'!H84), '01_Raw_Data'!H84, IFERROR(VALUE(SUBSTITUTE('01_Raw_Data'!H84, "%", ""))/100, 0))</f>
        <v/>
      </c>
      <c r="H84" s="8">
        <f>PROPER(TRIM('01_Raw_Data'!J84))</f>
        <v/>
      </c>
      <c r="I84" s="8">
        <f>IF('01_Raw_Data'!K84="", "REG-NA", UPPER(TRIM('01_Raw_Data'!K84)))</f>
        <v/>
      </c>
      <c r="J84" s="8">
        <f>IF(OR('01_Raw_Data'!C84="", '01_Raw_Data'!F84&lt;0, ISNUMBER(SEARCH("%", '01_Raw_Data'!H84))), "FIXED ANOMALY", "PASSED")</f>
        <v/>
      </c>
      <c r="K84" s="8">
        <f>IF('01_Raw_Data'!F84&lt;0, "Converted Negative Quantity to ABS", IF('01_Raw_Data'!C84="", "Imputed Missing Customer ID", IF(ISNUMBER(SEARCH("%", '01_Raw_Data'!H84)), "Parsed Text % to Numeric Rate", "Standardized Format")))</f>
        <v/>
      </c>
    </row>
    <row r="85">
      <c r="A85" s="8">
        <f>'01_Raw_Data'!A85</f>
        <v/>
      </c>
      <c r="B85" s="10">
        <f>IFERROR(DATEVALUE('01_Raw_Data'!B85), IF('01_Raw_Data'!B85="", DATE(2024,1,1), '01_Raw_Data'!B85))</f>
        <v/>
      </c>
      <c r="C85" s="8">
        <f>IF(OR('01_Raw_Data'!C85="",'01_Raw_Data'!C85="0"), "CUST-GUEST", TRIM('01_Raw_Data'!C85))</f>
        <v/>
      </c>
      <c r="D85" s="8">
        <f>PROPER(TRIM(CLEAN('01_Raw_Data'!D85)))</f>
        <v/>
      </c>
      <c r="E85" s="8">
        <f>ABS(IF(ISNUMBER(VALUE('01_Raw_Data'!F85)), VALUE('01_Raw_Data'!F85), 1))</f>
        <v/>
      </c>
      <c r="F85" s="9">
        <f>'01_Raw_Data'!G85</f>
        <v/>
      </c>
      <c r="G85" s="11">
        <f>IF(ISNUMBER('01_Raw_Data'!H85), '01_Raw_Data'!H85, IFERROR(VALUE(SUBSTITUTE('01_Raw_Data'!H85, "%", ""))/100, 0))</f>
        <v/>
      </c>
      <c r="H85" s="8">
        <f>PROPER(TRIM('01_Raw_Data'!J85))</f>
        <v/>
      </c>
      <c r="I85" s="8">
        <f>IF('01_Raw_Data'!K85="", "REG-NA", UPPER(TRIM('01_Raw_Data'!K85)))</f>
        <v/>
      </c>
      <c r="J85" s="8">
        <f>IF(OR('01_Raw_Data'!C85="", '01_Raw_Data'!F85&lt;0, ISNUMBER(SEARCH("%", '01_Raw_Data'!H85))), "FIXED ANOMALY", "PASSED")</f>
        <v/>
      </c>
      <c r="K85" s="8">
        <f>IF('01_Raw_Data'!F85&lt;0, "Converted Negative Quantity to ABS", IF('01_Raw_Data'!C85="", "Imputed Missing Customer ID", IF(ISNUMBER(SEARCH("%", '01_Raw_Data'!H85)), "Parsed Text % to Numeric Rate", "Standardized Format")))</f>
        <v/>
      </c>
    </row>
    <row r="86">
      <c r="A86" s="8">
        <f>'01_Raw_Data'!A86</f>
        <v/>
      </c>
      <c r="B86" s="10">
        <f>IFERROR(DATEVALUE('01_Raw_Data'!B86), IF('01_Raw_Data'!B86="", DATE(2024,1,1), '01_Raw_Data'!B86))</f>
        <v/>
      </c>
      <c r="C86" s="8">
        <f>IF(OR('01_Raw_Data'!C86="",'01_Raw_Data'!C86="0"), "CUST-GUEST", TRIM('01_Raw_Data'!C86))</f>
        <v/>
      </c>
      <c r="D86" s="8">
        <f>PROPER(TRIM(CLEAN('01_Raw_Data'!D86)))</f>
        <v/>
      </c>
      <c r="E86" s="8">
        <f>ABS(IF(ISNUMBER(VALUE('01_Raw_Data'!F86)), VALUE('01_Raw_Data'!F86), 1))</f>
        <v/>
      </c>
      <c r="F86" s="9">
        <f>'01_Raw_Data'!G86</f>
        <v/>
      </c>
      <c r="G86" s="11">
        <f>IF(ISNUMBER('01_Raw_Data'!H86), '01_Raw_Data'!H86, IFERROR(VALUE(SUBSTITUTE('01_Raw_Data'!H86, "%", ""))/100, 0))</f>
        <v/>
      </c>
      <c r="H86" s="8">
        <f>PROPER(TRIM('01_Raw_Data'!J86))</f>
        <v/>
      </c>
      <c r="I86" s="8">
        <f>IF('01_Raw_Data'!K86="", "REG-NA", UPPER(TRIM('01_Raw_Data'!K86)))</f>
        <v/>
      </c>
      <c r="J86" s="8">
        <f>IF(OR('01_Raw_Data'!C86="", '01_Raw_Data'!F86&lt;0, ISNUMBER(SEARCH("%", '01_Raw_Data'!H86))), "FIXED ANOMALY", "PASSED")</f>
        <v/>
      </c>
      <c r="K86" s="8">
        <f>IF('01_Raw_Data'!F86&lt;0, "Converted Negative Quantity to ABS", IF('01_Raw_Data'!C86="", "Imputed Missing Customer ID", IF(ISNUMBER(SEARCH("%", '01_Raw_Data'!H86)), "Parsed Text % to Numeric Rate", "Standardized Format")))</f>
        <v/>
      </c>
    </row>
    <row r="87">
      <c r="A87" s="8">
        <f>'01_Raw_Data'!A87</f>
        <v/>
      </c>
      <c r="B87" s="10">
        <f>IFERROR(DATEVALUE('01_Raw_Data'!B87), IF('01_Raw_Data'!B87="", DATE(2024,1,1), '01_Raw_Data'!B87))</f>
        <v/>
      </c>
      <c r="C87" s="8">
        <f>IF(OR('01_Raw_Data'!C87="",'01_Raw_Data'!C87="0"), "CUST-GUEST", TRIM('01_Raw_Data'!C87))</f>
        <v/>
      </c>
      <c r="D87" s="8">
        <f>PROPER(TRIM(CLEAN('01_Raw_Data'!D87)))</f>
        <v/>
      </c>
      <c r="E87" s="8">
        <f>ABS(IF(ISNUMBER(VALUE('01_Raw_Data'!F87)), VALUE('01_Raw_Data'!F87), 1))</f>
        <v/>
      </c>
      <c r="F87" s="9">
        <f>'01_Raw_Data'!G87</f>
        <v/>
      </c>
      <c r="G87" s="11">
        <f>IF(ISNUMBER('01_Raw_Data'!H87), '01_Raw_Data'!H87, IFERROR(VALUE(SUBSTITUTE('01_Raw_Data'!H87, "%", ""))/100, 0))</f>
        <v/>
      </c>
      <c r="H87" s="8">
        <f>PROPER(TRIM('01_Raw_Data'!J87))</f>
        <v/>
      </c>
      <c r="I87" s="8">
        <f>IF('01_Raw_Data'!K87="", "REG-NA", UPPER(TRIM('01_Raw_Data'!K87)))</f>
        <v/>
      </c>
      <c r="J87" s="8">
        <f>IF(OR('01_Raw_Data'!C87="", '01_Raw_Data'!F87&lt;0, ISNUMBER(SEARCH("%", '01_Raw_Data'!H87))), "FIXED ANOMALY", "PASSED")</f>
        <v/>
      </c>
      <c r="K87" s="8">
        <f>IF('01_Raw_Data'!F87&lt;0, "Converted Negative Quantity to ABS", IF('01_Raw_Data'!C87="", "Imputed Missing Customer ID", IF(ISNUMBER(SEARCH("%", '01_Raw_Data'!H87)), "Parsed Text % to Numeric Rate", "Standardized Format")))</f>
        <v/>
      </c>
    </row>
    <row r="88">
      <c r="A88" s="8">
        <f>'01_Raw_Data'!A88</f>
        <v/>
      </c>
      <c r="B88" s="10">
        <f>IFERROR(DATEVALUE('01_Raw_Data'!B88), IF('01_Raw_Data'!B88="", DATE(2024,1,1), '01_Raw_Data'!B88))</f>
        <v/>
      </c>
      <c r="C88" s="8">
        <f>IF(OR('01_Raw_Data'!C88="",'01_Raw_Data'!C88="0"), "CUST-GUEST", TRIM('01_Raw_Data'!C88))</f>
        <v/>
      </c>
      <c r="D88" s="8">
        <f>PROPER(TRIM(CLEAN('01_Raw_Data'!D88)))</f>
        <v/>
      </c>
      <c r="E88" s="8">
        <f>ABS(IF(ISNUMBER(VALUE('01_Raw_Data'!F88)), VALUE('01_Raw_Data'!F88), 1))</f>
        <v/>
      </c>
      <c r="F88" s="9">
        <f>'01_Raw_Data'!G88</f>
        <v/>
      </c>
      <c r="G88" s="11">
        <f>IF(ISNUMBER('01_Raw_Data'!H88), '01_Raw_Data'!H88, IFERROR(VALUE(SUBSTITUTE('01_Raw_Data'!H88, "%", ""))/100, 0))</f>
        <v/>
      </c>
      <c r="H88" s="8">
        <f>PROPER(TRIM('01_Raw_Data'!J88))</f>
        <v/>
      </c>
      <c r="I88" s="8">
        <f>IF('01_Raw_Data'!K88="", "REG-NA", UPPER(TRIM('01_Raw_Data'!K88)))</f>
        <v/>
      </c>
      <c r="J88" s="8">
        <f>IF(OR('01_Raw_Data'!C88="", '01_Raw_Data'!F88&lt;0, ISNUMBER(SEARCH("%", '01_Raw_Data'!H88))), "FIXED ANOMALY", "PASSED")</f>
        <v/>
      </c>
      <c r="K88" s="8">
        <f>IF('01_Raw_Data'!F88&lt;0, "Converted Negative Quantity to ABS", IF('01_Raw_Data'!C88="", "Imputed Missing Customer ID", IF(ISNUMBER(SEARCH("%", '01_Raw_Data'!H88)), "Parsed Text % to Numeric Rate", "Standardized Format")))</f>
        <v/>
      </c>
    </row>
    <row r="89">
      <c r="A89" s="8">
        <f>'01_Raw_Data'!A89</f>
        <v/>
      </c>
      <c r="B89" s="10">
        <f>IFERROR(DATEVALUE('01_Raw_Data'!B89), IF('01_Raw_Data'!B89="", DATE(2024,1,1), '01_Raw_Data'!B89))</f>
        <v/>
      </c>
      <c r="C89" s="8">
        <f>IF(OR('01_Raw_Data'!C89="",'01_Raw_Data'!C89="0"), "CUST-GUEST", TRIM('01_Raw_Data'!C89))</f>
        <v/>
      </c>
      <c r="D89" s="8">
        <f>PROPER(TRIM(CLEAN('01_Raw_Data'!D89)))</f>
        <v/>
      </c>
      <c r="E89" s="8">
        <f>ABS(IF(ISNUMBER(VALUE('01_Raw_Data'!F89)), VALUE('01_Raw_Data'!F89), 1))</f>
        <v/>
      </c>
      <c r="F89" s="9">
        <f>'01_Raw_Data'!G89</f>
        <v/>
      </c>
      <c r="G89" s="11">
        <f>IF(ISNUMBER('01_Raw_Data'!H89), '01_Raw_Data'!H89, IFERROR(VALUE(SUBSTITUTE('01_Raw_Data'!H89, "%", ""))/100, 0))</f>
        <v/>
      </c>
      <c r="H89" s="8">
        <f>PROPER(TRIM('01_Raw_Data'!J89))</f>
        <v/>
      </c>
      <c r="I89" s="8">
        <f>IF('01_Raw_Data'!K89="", "REG-NA", UPPER(TRIM('01_Raw_Data'!K89)))</f>
        <v/>
      </c>
      <c r="J89" s="8">
        <f>IF(OR('01_Raw_Data'!C89="", '01_Raw_Data'!F89&lt;0, ISNUMBER(SEARCH("%", '01_Raw_Data'!H89))), "FIXED ANOMALY", "PASSED")</f>
        <v/>
      </c>
      <c r="K89" s="8">
        <f>IF('01_Raw_Data'!F89&lt;0, "Converted Negative Quantity to ABS", IF('01_Raw_Data'!C89="", "Imputed Missing Customer ID", IF(ISNUMBER(SEARCH("%", '01_Raw_Data'!H89)), "Parsed Text % to Numeric Rate", "Standardized Format")))</f>
        <v/>
      </c>
    </row>
    <row r="90">
      <c r="A90" s="8">
        <f>'01_Raw_Data'!A90</f>
        <v/>
      </c>
      <c r="B90" s="10">
        <f>IFERROR(DATEVALUE('01_Raw_Data'!B90), IF('01_Raw_Data'!B90="", DATE(2024,1,1), '01_Raw_Data'!B90))</f>
        <v/>
      </c>
      <c r="C90" s="8">
        <f>IF(OR('01_Raw_Data'!C90="",'01_Raw_Data'!C90="0"), "CUST-GUEST", TRIM('01_Raw_Data'!C90))</f>
        <v/>
      </c>
      <c r="D90" s="8">
        <f>PROPER(TRIM(CLEAN('01_Raw_Data'!D90)))</f>
        <v/>
      </c>
      <c r="E90" s="8">
        <f>ABS(IF(ISNUMBER(VALUE('01_Raw_Data'!F90)), VALUE('01_Raw_Data'!F90), 1))</f>
        <v/>
      </c>
      <c r="F90" s="9">
        <f>'01_Raw_Data'!G90</f>
        <v/>
      </c>
      <c r="G90" s="11">
        <f>IF(ISNUMBER('01_Raw_Data'!H90), '01_Raw_Data'!H90, IFERROR(VALUE(SUBSTITUTE('01_Raw_Data'!H90, "%", ""))/100, 0))</f>
        <v/>
      </c>
      <c r="H90" s="8">
        <f>PROPER(TRIM('01_Raw_Data'!J90))</f>
        <v/>
      </c>
      <c r="I90" s="8">
        <f>IF('01_Raw_Data'!K90="", "REG-NA", UPPER(TRIM('01_Raw_Data'!K90)))</f>
        <v/>
      </c>
      <c r="J90" s="8">
        <f>IF(OR('01_Raw_Data'!C90="", '01_Raw_Data'!F90&lt;0, ISNUMBER(SEARCH("%", '01_Raw_Data'!H90))), "FIXED ANOMALY", "PASSED")</f>
        <v/>
      </c>
      <c r="K90" s="8">
        <f>IF('01_Raw_Data'!F90&lt;0, "Converted Negative Quantity to ABS", IF('01_Raw_Data'!C90="", "Imputed Missing Customer ID", IF(ISNUMBER(SEARCH("%", '01_Raw_Data'!H90)), "Parsed Text % to Numeric Rate", "Standardized Format")))</f>
        <v/>
      </c>
    </row>
    <row r="91">
      <c r="A91" s="8">
        <f>'01_Raw_Data'!A91</f>
        <v/>
      </c>
      <c r="B91" s="10">
        <f>IFERROR(DATEVALUE('01_Raw_Data'!B91), IF('01_Raw_Data'!B91="", DATE(2024,1,1), '01_Raw_Data'!B91))</f>
        <v/>
      </c>
      <c r="C91" s="8">
        <f>IF(OR('01_Raw_Data'!C91="",'01_Raw_Data'!C91="0"), "CUST-GUEST", TRIM('01_Raw_Data'!C91))</f>
        <v/>
      </c>
      <c r="D91" s="8">
        <f>PROPER(TRIM(CLEAN('01_Raw_Data'!D91)))</f>
        <v/>
      </c>
      <c r="E91" s="8">
        <f>ABS(IF(ISNUMBER(VALUE('01_Raw_Data'!F91)), VALUE('01_Raw_Data'!F91), 1))</f>
        <v/>
      </c>
      <c r="F91" s="9">
        <f>'01_Raw_Data'!G91</f>
        <v/>
      </c>
      <c r="G91" s="11">
        <f>IF(ISNUMBER('01_Raw_Data'!H91), '01_Raw_Data'!H91, IFERROR(VALUE(SUBSTITUTE('01_Raw_Data'!H91, "%", ""))/100, 0))</f>
        <v/>
      </c>
      <c r="H91" s="8">
        <f>PROPER(TRIM('01_Raw_Data'!J91))</f>
        <v/>
      </c>
      <c r="I91" s="8">
        <f>IF('01_Raw_Data'!K91="", "REG-NA", UPPER(TRIM('01_Raw_Data'!K91)))</f>
        <v/>
      </c>
      <c r="J91" s="8">
        <f>IF(OR('01_Raw_Data'!C91="", '01_Raw_Data'!F91&lt;0, ISNUMBER(SEARCH("%", '01_Raw_Data'!H91))), "FIXED ANOMALY", "PASSED")</f>
        <v/>
      </c>
      <c r="K91" s="8">
        <f>IF('01_Raw_Data'!F91&lt;0, "Converted Negative Quantity to ABS", IF('01_Raw_Data'!C91="", "Imputed Missing Customer ID", IF(ISNUMBER(SEARCH("%", '01_Raw_Data'!H91)), "Parsed Text % to Numeric Rate", "Standardized Format")))</f>
        <v/>
      </c>
    </row>
    <row r="92">
      <c r="A92" s="8">
        <f>'01_Raw_Data'!A92</f>
        <v/>
      </c>
      <c r="B92" s="10">
        <f>IFERROR(DATEVALUE('01_Raw_Data'!B92), IF('01_Raw_Data'!B92="", DATE(2024,1,1), '01_Raw_Data'!B92))</f>
        <v/>
      </c>
      <c r="C92" s="8">
        <f>IF(OR('01_Raw_Data'!C92="",'01_Raw_Data'!C92="0"), "CUST-GUEST", TRIM('01_Raw_Data'!C92))</f>
        <v/>
      </c>
      <c r="D92" s="8">
        <f>PROPER(TRIM(CLEAN('01_Raw_Data'!D92)))</f>
        <v/>
      </c>
      <c r="E92" s="8">
        <f>ABS(IF(ISNUMBER(VALUE('01_Raw_Data'!F92)), VALUE('01_Raw_Data'!F92), 1))</f>
        <v/>
      </c>
      <c r="F92" s="9">
        <f>'01_Raw_Data'!G92</f>
        <v/>
      </c>
      <c r="G92" s="11">
        <f>IF(ISNUMBER('01_Raw_Data'!H92), '01_Raw_Data'!H92, IFERROR(VALUE(SUBSTITUTE('01_Raw_Data'!H92, "%", ""))/100, 0))</f>
        <v/>
      </c>
      <c r="H92" s="8">
        <f>PROPER(TRIM('01_Raw_Data'!J92))</f>
        <v/>
      </c>
      <c r="I92" s="8">
        <f>IF('01_Raw_Data'!K92="", "REG-NA", UPPER(TRIM('01_Raw_Data'!K92)))</f>
        <v/>
      </c>
      <c r="J92" s="8">
        <f>IF(OR('01_Raw_Data'!C92="", '01_Raw_Data'!F92&lt;0, ISNUMBER(SEARCH("%", '01_Raw_Data'!H92))), "FIXED ANOMALY", "PASSED")</f>
        <v/>
      </c>
      <c r="K92" s="8">
        <f>IF('01_Raw_Data'!F92&lt;0, "Converted Negative Quantity to ABS", IF('01_Raw_Data'!C92="", "Imputed Missing Customer ID", IF(ISNUMBER(SEARCH("%", '01_Raw_Data'!H92)), "Parsed Text % to Numeric Rate", "Standardized Format")))</f>
        <v/>
      </c>
    </row>
    <row r="93">
      <c r="A93" s="8">
        <f>'01_Raw_Data'!A93</f>
        <v/>
      </c>
      <c r="B93" s="10">
        <f>IFERROR(DATEVALUE('01_Raw_Data'!B93), IF('01_Raw_Data'!B93="", DATE(2024,1,1), '01_Raw_Data'!B93))</f>
        <v/>
      </c>
      <c r="C93" s="8">
        <f>IF(OR('01_Raw_Data'!C93="",'01_Raw_Data'!C93="0"), "CUST-GUEST", TRIM('01_Raw_Data'!C93))</f>
        <v/>
      </c>
      <c r="D93" s="8">
        <f>PROPER(TRIM(CLEAN('01_Raw_Data'!D93)))</f>
        <v/>
      </c>
      <c r="E93" s="8">
        <f>ABS(IF(ISNUMBER(VALUE('01_Raw_Data'!F93)), VALUE('01_Raw_Data'!F93), 1))</f>
        <v/>
      </c>
      <c r="F93" s="9">
        <f>'01_Raw_Data'!G93</f>
        <v/>
      </c>
      <c r="G93" s="11">
        <f>IF(ISNUMBER('01_Raw_Data'!H93), '01_Raw_Data'!H93, IFERROR(VALUE(SUBSTITUTE('01_Raw_Data'!H93, "%", ""))/100, 0))</f>
        <v/>
      </c>
      <c r="H93" s="8">
        <f>PROPER(TRIM('01_Raw_Data'!J93))</f>
        <v/>
      </c>
      <c r="I93" s="8">
        <f>IF('01_Raw_Data'!K93="", "REG-NA", UPPER(TRIM('01_Raw_Data'!K93)))</f>
        <v/>
      </c>
      <c r="J93" s="8">
        <f>IF(OR('01_Raw_Data'!C93="", '01_Raw_Data'!F93&lt;0, ISNUMBER(SEARCH("%", '01_Raw_Data'!H93))), "FIXED ANOMALY", "PASSED")</f>
        <v/>
      </c>
      <c r="K93" s="8">
        <f>IF('01_Raw_Data'!F93&lt;0, "Converted Negative Quantity to ABS", IF('01_Raw_Data'!C93="", "Imputed Missing Customer ID", IF(ISNUMBER(SEARCH("%", '01_Raw_Data'!H93)), "Parsed Text % to Numeric Rate", "Standardized Format")))</f>
        <v/>
      </c>
    </row>
    <row r="94">
      <c r="A94" s="8">
        <f>'01_Raw_Data'!A94</f>
        <v/>
      </c>
      <c r="B94" s="10">
        <f>IFERROR(DATEVALUE('01_Raw_Data'!B94), IF('01_Raw_Data'!B94="", DATE(2024,1,1), '01_Raw_Data'!B94))</f>
        <v/>
      </c>
      <c r="C94" s="8">
        <f>IF(OR('01_Raw_Data'!C94="",'01_Raw_Data'!C94="0"), "CUST-GUEST", TRIM('01_Raw_Data'!C94))</f>
        <v/>
      </c>
      <c r="D94" s="8">
        <f>PROPER(TRIM(CLEAN('01_Raw_Data'!D94)))</f>
        <v/>
      </c>
      <c r="E94" s="8">
        <f>ABS(IF(ISNUMBER(VALUE('01_Raw_Data'!F94)), VALUE('01_Raw_Data'!F94), 1))</f>
        <v/>
      </c>
      <c r="F94" s="9">
        <f>'01_Raw_Data'!G94</f>
        <v/>
      </c>
      <c r="G94" s="11">
        <f>IF(ISNUMBER('01_Raw_Data'!H94), '01_Raw_Data'!H94, IFERROR(VALUE(SUBSTITUTE('01_Raw_Data'!H94, "%", ""))/100, 0))</f>
        <v/>
      </c>
      <c r="H94" s="8">
        <f>PROPER(TRIM('01_Raw_Data'!J94))</f>
        <v/>
      </c>
      <c r="I94" s="8">
        <f>IF('01_Raw_Data'!K94="", "REG-NA", UPPER(TRIM('01_Raw_Data'!K94)))</f>
        <v/>
      </c>
      <c r="J94" s="8">
        <f>IF(OR('01_Raw_Data'!C94="", '01_Raw_Data'!F94&lt;0, ISNUMBER(SEARCH("%", '01_Raw_Data'!H94))), "FIXED ANOMALY", "PASSED")</f>
        <v/>
      </c>
      <c r="K94" s="8">
        <f>IF('01_Raw_Data'!F94&lt;0, "Converted Negative Quantity to ABS", IF('01_Raw_Data'!C94="", "Imputed Missing Customer ID", IF(ISNUMBER(SEARCH("%", '01_Raw_Data'!H94)), "Parsed Text % to Numeric Rate", "Standardized Format")))</f>
        <v/>
      </c>
    </row>
    <row r="95">
      <c r="A95" s="8">
        <f>'01_Raw_Data'!A95</f>
        <v/>
      </c>
      <c r="B95" s="10">
        <f>IFERROR(DATEVALUE('01_Raw_Data'!B95), IF('01_Raw_Data'!B95="", DATE(2024,1,1), '01_Raw_Data'!B95))</f>
        <v/>
      </c>
      <c r="C95" s="8">
        <f>IF(OR('01_Raw_Data'!C95="",'01_Raw_Data'!C95="0"), "CUST-GUEST", TRIM('01_Raw_Data'!C95))</f>
        <v/>
      </c>
      <c r="D95" s="8">
        <f>PROPER(TRIM(CLEAN('01_Raw_Data'!D95)))</f>
        <v/>
      </c>
      <c r="E95" s="8">
        <f>ABS(IF(ISNUMBER(VALUE('01_Raw_Data'!F95)), VALUE('01_Raw_Data'!F95), 1))</f>
        <v/>
      </c>
      <c r="F95" s="9">
        <f>'01_Raw_Data'!G95</f>
        <v/>
      </c>
      <c r="G95" s="11">
        <f>IF(ISNUMBER('01_Raw_Data'!H95), '01_Raw_Data'!H95, IFERROR(VALUE(SUBSTITUTE('01_Raw_Data'!H95, "%", ""))/100, 0))</f>
        <v/>
      </c>
      <c r="H95" s="8">
        <f>PROPER(TRIM('01_Raw_Data'!J95))</f>
        <v/>
      </c>
      <c r="I95" s="8">
        <f>IF('01_Raw_Data'!K95="", "REG-NA", UPPER(TRIM('01_Raw_Data'!K95)))</f>
        <v/>
      </c>
      <c r="J95" s="8">
        <f>IF(OR('01_Raw_Data'!C95="", '01_Raw_Data'!F95&lt;0, ISNUMBER(SEARCH("%", '01_Raw_Data'!H95))), "FIXED ANOMALY", "PASSED")</f>
        <v/>
      </c>
      <c r="K95" s="8">
        <f>IF('01_Raw_Data'!F95&lt;0, "Converted Negative Quantity to ABS", IF('01_Raw_Data'!C95="", "Imputed Missing Customer ID", IF(ISNUMBER(SEARCH("%", '01_Raw_Data'!H95)), "Parsed Text % to Numeric Rate", "Standardized Format")))</f>
        <v/>
      </c>
    </row>
    <row r="96">
      <c r="A96" s="8">
        <f>'01_Raw_Data'!A96</f>
        <v/>
      </c>
      <c r="B96" s="10">
        <f>IFERROR(DATEVALUE('01_Raw_Data'!B96), IF('01_Raw_Data'!B96="", DATE(2024,1,1), '01_Raw_Data'!B96))</f>
        <v/>
      </c>
      <c r="C96" s="8">
        <f>IF(OR('01_Raw_Data'!C96="",'01_Raw_Data'!C96="0"), "CUST-GUEST", TRIM('01_Raw_Data'!C96))</f>
        <v/>
      </c>
      <c r="D96" s="8">
        <f>PROPER(TRIM(CLEAN('01_Raw_Data'!D96)))</f>
        <v/>
      </c>
      <c r="E96" s="8">
        <f>ABS(IF(ISNUMBER(VALUE('01_Raw_Data'!F96)), VALUE('01_Raw_Data'!F96), 1))</f>
        <v/>
      </c>
      <c r="F96" s="9">
        <f>'01_Raw_Data'!G96</f>
        <v/>
      </c>
      <c r="G96" s="11">
        <f>IF(ISNUMBER('01_Raw_Data'!H96), '01_Raw_Data'!H96, IFERROR(VALUE(SUBSTITUTE('01_Raw_Data'!H96, "%", ""))/100, 0))</f>
        <v/>
      </c>
      <c r="H96" s="8">
        <f>PROPER(TRIM('01_Raw_Data'!J96))</f>
        <v/>
      </c>
      <c r="I96" s="8">
        <f>IF('01_Raw_Data'!K96="", "REG-NA", UPPER(TRIM('01_Raw_Data'!K96)))</f>
        <v/>
      </c>
      <c r="J96" s="8">
        <f>IF(OR('01_Raw_Data'!C96="", '01_Raw_Data'!F96&lt;0, ISNUMBER(SEARCH("%", '01_Raw_Data'!H96))), "FIXED ANOMALY", "PASSED")</f>
        <v/>
      </c>
      <c r="K96" s="8">
        <f>IF('01_Raw_Data'!F96&lt;0, "Converted Negative Quantity to ABS", IF('01_Raw_Data'!C96="", "Imputed Missing Customer ID", IF(ISNUMBER(SEARCH("%", '01_Raw_Data'!H96)), "Parsed Text % to Numeric Rate", "Standardized Format")))</f>
        <v/>
      </c>
    </row>
    <row r="97">
      <c r="A97" s="8">
        <f>'01_Raw_Data'!A97</f>
        <v/>
      </c>
      <c r="B97" s="10">
        <f>IFERROR(DATEVALUE('01_Raw_Data'!B97), IF('01_Raw_Data'!B97="", DATE(2024,1,1), '01_Raw_Data'!B97))</f>
        <v/>
      </c>
      <c r="C97" s="8">
        <f>IF(OR('01_Raw_Data'!C97="",'01_Raw_Data'!C97="0"), "CUST-GUEST", TRIM('01_Raw_Data'!C97))</f>
        <v/>
      </c>
      <c r="D97" s="8">
        <f>PROPER(TRIM(CLEAN('01_Raw_Data'!D97)))</f>
        <v/>
      </c>
      <c r="E97" s="8">
        <f>ABS(IF(ISNUMBER(VALUE('01_Raw_Data'!F97)), VALUE('01_Raw_Data'!F97), 1))</f>
        <v/>
      </c>
      <c r="F97" s="9">
        <f>'01_Raw_Data'!G97</f>
        <v/>
      </c>
      <c r="G97" s="11">
        <f>IF(ISNUMBER('01_Raw_Data'!H97), '01_Raw_Data'!H97, IFERROR(VALUE(SUBSTITUTE('01_Raw_Data'!H97, "%", ""))/100, 0))</f>
        <v/>
      </c>
      <c r="H97" s="8">
        <f>PROPER(TRIM('01_Raw_Data'!J97))</f>
        <v/>
      </c>
      <c r="I97" s="8">
        <f>IF('01_Raw_Data'!K97="", "REG-NA", UPPER(TRIM('01_Raw_Data'!K97)))</f>
        <v/>
      </c>
      <c r="J97" s="8">
        <f>IF(OR('01_Raw_Data'!C97="", '01_Raw_Data'!F97&lt;0, ISNUMBER(SEARCH("%", '01_Raw_Data'!H97))), "FIXED ANOMALY", "PASSED")</f>
        <v/>
      </c>
      <c r="K97" s="8">
        <f>IF('01_Raw_Data'!F97&lt;0, "Converted Negative Quantity to ABS", IF('01_Raw_Data'!C97="", "Imputed Missing Customer ID", IF(ISNUMBER(SEARCH("%", '01_Raw_Data'!H97)), "Parsed Text % to Numeric Rate", "Standardized Format")))</f>
        <v/>
      </c>
    </row>
    <row r="98">
      <c r="A98" s="8">
        <f>'01_Raw_Data'!A98</f>
        <v/>
      </c>
      <c r="B98" s="10">
        <f>IFERROR(DATEVALUE('01_Raw_Data'!B98), IF('01_Raw_Data'!B98="", DATE(2024,1,1), '01_Raw_Data'!B98))</f>
        <v/>
      </c>
      <c r="C98" s="8">
        <f>IF(OR('01_Raw_Data'!C98="",'01_Raw_Data'!C98="0"), "CUST-GUEST", TRIM('01_Raw_Data'!C98))</f>
        <v/>
      </c>
      <c r="D98" s="8">
        <f>PROPER(TRIM(CLEAN('01_Raw_Data'!D98)))</f>
        <v/>
      </c>
      <c r="E98" s="8">
        <f>ABS(IF(ISNUMBER(VALUE('01_Raw_Data'!F98)), VALUE('01_Raw_Data'!F98), 1))</f>
        <v/>
      </c>
      <c r="F98" s="9">
        <f>'01_Raw_Data'!G98</f>
        <v/>
      </c>
      <c r="G98" s="11">
        <f>IF(ISNUMBER('01_Raw_Data'!H98), '01_Raw_Data'!H98, IFERROR(VALUE(SUBSTITUTE('01_Raw_Data'!H98, "%", ""))/100, 0))</f>
        <v/>
      </c>
      <c r="H98" s="8">
        <f>PROPER(TRIM('01_Raw_Data'!J98))</f>
        <v/>
      </c>
      <c r="I98" s="8">
        <f>IF('01_Raw_Data'!K98="", "REG-NA", UPPER(TRIM('01_Raw_Data'!K98)))</f>
        <v/>
      </c>
      <c r="J98" s="8">
        <f>IF(OR('01_Raw_Data'!C98="", '01_Raw_Data'!F98&lt;0, ISNUMBER(SEARCH("%", '01_Raw_Data'!H98))), "FIXED ANOMALY", "PASSED")</f>
        <v/>
      </c>
      <c r="K98" s="8">
        <f>IF('01_Raw_Data'!F98&lt;0, "Converted Negative Quantity to ABS", IF('01_Raw_Data'!C98="", "Imputed Missing Customer ID", IF(ISNUMBER(SEARCH("%", '01_Raw_Data'!H98)), "Parsed Text % to Numeric Rate", "Standardized Format")))</f>
        <v/>
      </c>
    </row>
    <row r="99">
      <c r="A99" s="8">
        <f>'01_Raw_Data'!A99</f>
        <v/>
      </c>
      <c r="B99" s="10">
        <f>IFERROR(DATEVALUE('01_Raw_Data'!B99), IF('01_Raw_Data'!B99="", DATE(2024,1,1), '01_Raw_Data'!B99))</f>
        <v/>
      </c>
      <c r="C99" s="8">
        <f>IF(OR('01_Raw_Data'!C99="",'01_Raw_Data'!C99="0"), "CUST-GUEST", TRIM('01_Raw_Data'!C99))</f>
        <v/>
      </c>
      <c r="D99" s="8">
        <f>PROPER(TRIM(CLEAN('01_Raw_Data'!D99)))</f>
        <v/>
      </c>
      <c r="E99" s="8">
        <f>ABS(IF(ISNUMBER(VALUE('01_Raw_Data'!F99)), VALUE('01_Raw_Data'!F99), 1))</f>
        <v/>
      </c>
      <c r="F99" s="9">
        <f>'01_Raw_Data'!G99</f>
        <v/>
      </c>
      <c r="G99" s="11">
        <f>IF(ISNUMBER('01_Raw_Data'!H99), '01_Raw_Data'!H99, IFERROR(VALUE(SUBSTITUTE('01_Raw_Data'!H99, "%", ""))/100, 0))</f>
        <v/>
      </c>
      <c r="H99" s="8">
        <f>PROPER(TRIM('01_Raw_Data'!J99))</f>
        <v/>
      </c>
      <c r="I99" s="8">
        <f>IF('01_Raw_Data'!K99="", "REG-NA", UPPER(TRIM('01_Raw_Data'!K99)))</f>
        <v/>
      </c>
      <c r="J99" s="8">
        <f>IF(OR('01_Raw_Data'!C99="", '01_Raw_Data'!F99&lt;0, ISNUMBER(SEARCH("%", '01_Raw_Data'!H99))), "FIXED ANOMALY", "PASSED")</f>
        <v/>
      </c>
      <c r="K99" s="8">
        <f>IF('01_Raw_Data'!F99&lt;0, "Converted Negative Quantity to ABS", IF('01_Raw_Data'!C99="", "Imputed Missing Customer ID", IF(ISNUMBER(SEARCH("%", '01_Raw_Data'!H99)), "Parsed Text % to Numeric Rate", "Standardized Format")))</f>
        <v/>
      </c>
    </row>
    <row r="100">
      <c r="A100" s="8">
        <f>'01_Raw_Data'!A100</f>
        <v/>
      </c>
      <c r="B100" s="10">
        <f>IFERROR(DATEVALUE('01_Raw_Data'!B100), IF('01_Raw_Data'!B100="", DATE(2024,1,1), '01_Raw_Data'!B100))</f>
        <v/>
      </c>
      <c r="C100" s="8">
        <f>IF(OR('01_Raw_Data'!C100="",'01_Raw_Data'!C100="0"), "CUST-GUEST", TRIM('01_Raw_Data'!C100))</f>
        <v/>
      </c>
      <c r="D100" s="8">
        <f>PROPER(TRIM(CLEAN('01_Raw_Data'!D100)))</f>
        <v/>
      </c>
      <c r="E100" s="8">
        <f>ABS(IF(ISNUMBER(VALUE('01_Raw_Data'!F100)), VALUE('01_Raw_Data'!F100), 1))</f>
        <v/>
      </c>
      <c r="F100" s="9">
        <f>'01_Raw_Data'!G100</f>
        <v/>
      </c>
      <c r="G100" s="11">
        <f>IF(ISNUMBER('01_Raw_Data'!H100), '01_Raw_Data'!H100, IFERROR(VALUE(SUBSTITUTE('01_Raw_Data'!H100, "%", ""))/100, 0))</f>
        <v/>
      </c>
      <c r="H100" s="8">
        <f>PROPER(TRIM('01_Raw_Data'!J100))</f>
        <v/>
      </c>
      <c r="I100" s="8">
        <f>IF('01_Raw_Data'!K100="", "REG-NA", UPPER(TRIM('01_Raw_Data'!K100)))</f>
        <v/>
      </c>
      <c r="J100" s="8">
        <f>IF(OR('01_Raw_Data'!C100="", '01_Raw_Data'!F100&lt;0, ISNUMBER(SEARCH("%", '01_Raw_Data'!H100))), "FIXED ANOMALY", "PASSED")</f>
        <v/>
      </c>
      <c r="K100" s="8">
        <f>IF('01_Raw_Data'!F100&lt;0, "Converted Negative Quantity to ABS", IF('01_Raw_Data'!C100="", "Imputed Missing Customer ID", IF(ISNUMBER(SEARCH("%", '01_Raw_Data'!H100)), "Parsed Text % to Numeric Rate", "Standardized Format")))</f>
        <v/>
      </c>
    </row>
    <row r="101">
      <c r="A101" s="8">
        <f>'01_Raw_Data'!A101</f>
        <v/>
      </c>
      <c r="B101" s="10">
        <f>IFERROR(DATEVALUE('01_Raw_Data'!B101), IF('01_Raw_Data'!B101="", DATE(2024,1,1), '01_Raw_Data'!B101))</f>
        <v/>
      </c>
      <c r="C101" s="8">
        <f>IF(OR('01_Raw_Data'!C101="",'01_Raw_Data'!C101="0"), "CUST-GUEST", TRIM('01_Raw_Data'!C101))</f>
        <v/>
      </c>
      <c r="D101" s="8">
        <f>PROPER(TRIM(CLEAN('01_Raw_Data'!D101)))</f>
        <v/>
      </c>
      <c r="E101" s="8">
        <f>ABS(IF(ISNUMBER(VALUE('01_Raw_Data'!F101)), VALUE('01_Raw_Data'!F101), 1))</f>
        <v/>
      </c>
      <c r="F101" s="9">
        <f>'01_Raw_Data'!G101</f>
        <v/>
      </c>
      <c r="G101" s="11">
        <f>IF(ISNUMBER('01_Raw_Data'!H101), '01_Raw_Data'!H101, IFERROR(VALUE(SUBSTITUTE('01_Raw_Data'!H101, "%", ""))/100, 0))</f>
        <v/>
      </c>
      <c r="H101" s="8">
        <f>PROPER(TRIM('01_Raw_Data'!J101))</f>
        <v/>
      </c>
      <c r="I101" s="8">
        <f>IF('01_Raw_Data'!K101="", "REG-NA", UPPER(TRIM('01_Raw_Data'!K101)))</f>
        <v/>
      </c>
      <c r="J101" s="8">
        <f>IF(OR('01_Raw_Data'!C101="", '01_Raw_Data'!F101&lt;0, ISNUMBER(SEARCH("%", '01_Raw_Data'!H101))), "FIXED ANOMALY", "PASSED")</f>
        <v/>
      </c>
      <c r="K101" s="8">
        <f>IF('01_Raw_Data'!F101&lt;0, "Converted Negative Quantity to ABS", IF('01_Raw_Data'!C101="", "Imputed Missing Customer ID", IF(ISNUMBER(SEARCH("%", '01_Raw_Data'!H101)), "Parsed Text % to Numeric Rate", "Standardized Format")))</f>
        <v/>
      </c>
    </row>
    <row r="102">
      <c r="A102" s="8">
        <f>'01_Raw_Data'!A102</f>
        <v/>
      </c>
      <c r="B102" s="10">
        <f>IFERROR(DATEVALUE('01_Raw_Data'!B102), IF('01_Raw_Data'!B102="", DATE(2024,1,1), '01_Raw_Data'!B102))</f>
        <v/>
      </c>
      <c r="C102" s="8">
        <f>IF(OR('01_Raw_Data'!C102="",'01_Raw_Data'!C102="0"), "CUST-GUEST", TRIM('01_Raw_Data'!C102))</f>
        <v/>
      </c>
      <c r="D102" s="8">
        <f>PROPER(TRIM(CLEAN('01_Raw_Data'!D102)))</f>
        <v/>
      </c>
      <c r="E102" s="8">
        <f>ABS(IF(ISNUMBER(VALUE('01_Raw_Data'!F102)), VALUE('01_Raw_Data'!F102), 1))</f>
        <v/>
      </c>
      <c r="F102" s="9">
        <f>'01_Raw_Data'!G102</f>
        <v/>
      </c>
      <c r="G102" s="11">
        <f>IF(ISNUMBER('01_Raw_Data'!H102), '01_Raw_Data'!H102, IFERROR(VALUE(SUBSTITUTE('01_Raw_Data'!H102, "%", ""))/100, 0))</f>
        <v/>
      </c>
      <c r="H102" s="8">
        <f>PROPER(TRIM('01_Raw_Data'!J102))</f>
        <v/>
      </c>
      <c r="I102" s="8">
        <f>IF('01_Raw_Data'!K102="", "REG-NA", UPPER(TRIM('01_Raw_Data'!K102)))</f>
        <v/>
      </c>
      <c r="J102" s="8">
        <f>IF(OR('01_Raw_Data'!C102="", '01_Raw_Data'!F102&lt;0, ISNUMBER(SEARCH("%", '01_Raw_Data'!H102))), "FIXED ANOMALY", "PASSED")</f>
        <v/>
      </c>
      <c r="K102" s="8">
        <f>IF('01_Raw_Data'!F102&lt;0, "Converted Negative Quantity to ABS", IF('01_Raw_Data'!C102="", "Imputed Missing Customer ID", IF(ISNUMBER(SEARCH("%", '01_Raw_Data'!H102)), "Parsed Text % to Numeric Rate", "Standardized Format")))</f>
        <v/>
      </c>
    </row>
    <row r="103">
      <c r="A103" s="8">
        <f>'01_Raw_Data'!A103</f>
        <v/>
      </c>
      <c r="B103" s="10">
        <f>IFERROR(DATEVALUE('01_Raw_Data'!B103), IF('01_Raw_Data'!B103="", DATE(2024,1,1), '01_Raw_Data'!B103))</f>
        <v/>
      </c>
      <c r="C103" s="8">
        <f>IF(OR('01_Raw_Data'!C103="",'01_Raw_Data'!C103="0"), "CUST-GUEST", TRIM('01_Raw_Data'!C103))</f>
        <v/>
      </c>
      <c r="D103" s="8">
        <f>PROPER(TRIM(CLEAN('01_Raw_Data'!D103)))</f>
        <v/>
      </c>
      <c r="E103" s="8">
        <f>ABS(IF(ISNUMBER(VALUE('01_Raw_Data'!F103)), VALUE('01_Raw_Data'!F103), 1))</f>
        <v/>
      </c>
      <c r="F103" s="9">
        <f>'01_Raw_Data'!G103</f>
        <v/>
      </c>
      <c r="G103" s="11">
        <f>IF(ISNUMBER('01_Raw_Data'!H103), '01_Raw_Data'!H103, IFERROR(VALUE(SUBSTITUTE('01_Raw_Data'!H103, "%", ""))/100, 0))</f>
        <v/>
      </c>
      <c r="H103" s="8">
        <f>PROPER(TRIM('01_Raw_Data'!J103))</f>
        <v/>
      </c>
      <c r="I103" s="8">
        <f>IF('01_Raw_Data'!K103="", "REG-NA", UPPER(TRIM('01_Raw_Data'!K103)))</f>
        <v/>
      </c>
      <c r="J103" s="8">
        <f>IF(OR('01_Raw_Data'!C103="", '01_Raw_Data'!F103&lt;0, ISNUMBER(SEARCH("%", '01_Raw_Data'!H103))), "FIXED ANOMALY", "PASSED")</f>
        <v/>
      </c>
      <c r="K103" s="8">
        <f>IF('01_Raw_Data'!F103&lt;0, "Converted Negative Quantity to ABS", IF('01_Raw_Data'!C103="", "Imputed Missing Customer ID", IF(ISNUMBER(SEARCH("%", '01_Raw_Data'!H103)), "Parsed Text % to Numeric Rate", "Standardized Format")))</f>
        <v/>
      </c>
    </row>
    <row r="104">
      <c r="A104" s="8">
        <f>'01_Raw_Data'!A104</f>
        <v/>
      </c>
      <c r="B104" s="10">
        <f>IFERROR(DATEVALUE('01_Raw_Data'!B104), IF('01_Raw_Data'!B104="", DATE(2024,1,1), '01_Raw_Data'!B104))</f>
        <v/>
      </c>
      <c r="C104" s="8">
        <f>IF(OR('01_Raw_Data'!C104="",'01_Raw_Data'!C104="0"), "CUST-GUEST", TRIM('01_Raw_Data'!C104))</f>
        <v/>
      </c>
      <c r="D104" s="8">
        <f>PROPER(TRIM(CLEAN('01_Raw_Data'!D104)))</f>
        <v/>
      </c>
      <c r="E104" s="8">
        <f>ABS(IF(ISNUMBER(VALUE('01_Raw_Data'!F104)), VALUE('01_Raw_Data'!F104), 1))</f>
        <v/>
      </c>
      <c r="F104" s="9">
        <f>'01_Raw_Data'!G104</f>
        <v/>
      </c>
      <c r="G104" s="11">
        <f>IF(ISNUMBER('01_Raw_Data'!H104), '01_Raw_Data'!H104, IFERROR(VALUE(SUBSTITUTE('01_Raw_Data'!H104, "%", ""))/100, 0))</f>
        <v/>
      </c>
      <c r="H104" s="8">
        <f>PROPER(TRIM('01_Raw_Data'!J104))</f>
        <v/>
      </c>
      <c r="I104" s="8">
        <f>IF('01_Raw_Data'!K104="", "REG-NA", UPPER(TRIM('01_Raw_Data'!K104)))</f>
        <v/>
      </c>
      <c r="J104" s="8">
        <f>IF(OR('01_Raw_Data'!C104="", '01_Raw_Data'!F104&lt;0, ISNUMBER(SEARCH("%", '01_Raw_Data'!H104))), "FIXED ANOMALY", "PASSED")</f>
        <v/>
      </c>
      <c r="K104" s="8">
        <f>IF('01_Raw_Data'!F104&lt;0, "Converted Negative Quantity to ABS", IF('01_Raw_Data'!C104="", "Imputed Missing Customer ID", IF(ISNUMBER(SEARCH("%", '01_Raw_Data'!H104)), "Parsed Text % to Numeric Rate", "Standardized Format")))</f>
        <v/>
      </c>
    </row>
    <row r="105">
      <c r="A105" s="8">
        <f>'01_Raw_Data'!A105</f>
        <v/>
      </c>
      <c r="B105" s="10">
        <f>IFERROR(DATEVALUE('01_Raw_Data'!B105), IF('01_Raw_Data'!B105="", DATE(2024,1,1), '01_Raw_Data'!B105))</f>
        <v/>
      </c>
      <c r="C105" s="8">
        <f>IF(OR('01_Raw_Data'!C105="",'01_Raw_Data'!C105="0"), "CUST-GUEST", TRIM('01_Raw_Data'!C105))</f>
        <v/>
      </c>
      <c r="D105" s="8">
        <f>PROPER(TRIM(CLEAN('01_Raw_Data'!D105)))</f>
        <v/>
      </c>
      <c r="E105" s="8">
        <f>ABS(IF(ISNUMBER(VALUE('01_Raw_Data'!F105)), VALUE('01_Raw_Data'!F105), 1))</f>
        <v/>
      </c>
      <c r="F105" s="9">
        <f>'01_Raw_Data'!G105</f>
        <v/>
      </c>
      <c r="G105" s="11">
        <f>IF(ISNUMBER('01_Raw_Data'!H105), '01_Raw_Data'!H105, IFERROR(VALUE(SUBSTITUTE('01_Raw_Data'!H105, "%", ""))/100, 0))</f>
        <v/>
      </c>
      <c r="H105" s="8">
        <f>PROPER(TRIM('01_Raw_Data'!J105))</f>
        <v/>
      </c>
      <c r="I105" s="8">
        <f>IF('01_Raw_Data'!K105="", "REG-NA", UPPER(TRIM('01_Raw_Data'!K105)))</f>
        <v/>
      </c>
      <c r="J105" s="8">
        <f>IF(OR('01_Raw_Data'!C105="", '01_Raw_Data'!F105&lt;0, ISNUMBER(SEARCH("%", '01_Raw_Data'!H105))), "FIXED ANOMALY", "PASSED")</f>
        <v/>
      </c>
      <c r="K105" s="8">
        <f>IF('01_Raw_Data'!F105&lt;0, "Converted Negative Quantity to ABS", IF('01_Raw_Data'!C105="", "Imputed Missing Customer ID", IF(ISNUMBER(SEARCH("%", '01_Raw_Data'!H105)), "Parsed Text % to Numeric Rate", "Standardized Format")))</f>
        <v/>
      </c>
    </row>
    <row r="106">
      <c r="A106" s="8">
        <f>'01_Raw_Data'!A106</f>
        <v/>
      </c>
      <c r="B106" s="10">
        <f>IFERROR(DATEVALUE('01_Raw_Data'!B106), IF('01_Raw_Data'!B106="", DATE(2024,1,1), '01_Raw_Data'!B106))</f>
        <v/>
      </c>
      <c r="C106" s="8">
        <f>IF(OR('01_Raw_Data'!C106="",'01_Raw_Data'!C106="0"), "CUST-GUEST", TRIM('01_Raw_Data'!C106))</f>
        <v/>
      </c>
      <c r="D106" s="8">
        <f>PROPER(TRIM(CLEAN('01_Raw_Data'!D106)))</f>
        <v/>
      </c>
      <c r="E106" s="8">
        <f>ABS(IF(ISNUMBER(VALUE('01_Raw_Data'!F106)), VALUE('01_Raw_Data'!F106), 1))</f>
        <v/>
      </c>
      <c r="F106" s="9">
        <f>'01_Raw_Data'!G106</f>
        <v/>
      </c>
      <c r="G106" s="11">
        <f>IF(ISNUMBER('01_Raw_Data'!H106), '01_Raw_Data'!H106, IFERROR(VALUE(SUBSTITUTE('01_Raw_Data'!H106, "%", ""))/100, 0))</f>
        <v/>
      </c>
      <c r="H106" s="8">
        <f>PROPER(TRIM('01_Raw_Data'!J106))</f>
        <v/>
      </c>
      <c r="I106" s="8">
        <f>IF('01_Raw_Data'!K106="", "REG-NA", UPPER(TRIM('01_Raw_Data'!K106)))</f>
        <v/>
      </c>
      <c r="J106" s="8">
        <f>IF(OR('01_Raw_Data'!C106="", '01_Raw_Data'!F106&lt;0, ISNUMBER(SEARCH("%", '01_Raw_Data'!H106))), "FIXED ANOMALY", "PASSED")</f>
        <v/>
      </c>
      <c r="K106" s="8">
        <f>IF('01_Raw_Data'!F106&lt;0, "Converted Negative Quantity to ABS", IF('01_Raw_Data'!C106="", "Imputed Missing Customer ID", IF(ISNUMBER(SEARCH("%", '01_Raw_Data'!H106)), "Parsed Text % to Numeric Rate", "Standardized Format")))</f>
        <v/>
      </c>
    </row>
    <row r="107">
      <c r="A107" s="8">
        <f>'01_Raw_Data'!A107</f>
        <v/>
      </c>
      <c r="B107" s="10">
        <f>IFERROR(DATEVALUE('01_Raw_Data'!B107), IF('01_Raw_Data'!B107="", DATE(2024,1,1), '01_Raw_Data'!B107))</f>
        <v/>
      </c>
      <c r="C107" s="8">
        <f>IF(OR('01_Raw_Data'!C107="",'01_Raw_Data'!C107="0"), "CUST-GUEST", TRIM('01_Raw_Data'!C107))</f>
        <v/>
      </c>
      <c r="D107" s="8">
        <f>PROPER(TRIM(CLEAN('01_Raw_Data'!D107)))</f>
        <v/>
      </c>
      <c r="E107" s="8">
        <f>ABS(IF(ISNUMBER(VALUE('01_Raw_Data'!F107)), VALUE('01_Raw_Data'!F107), 1))</f>
        <v/>
      </c>
      <c r="F107" s="9">
        <f>'01_Raw_Data'!G107</f>
        <v/>
      </c>
      <c r="G107" s="11">
        <f>IF(ISNUMBER('01_Raw_Data'!H107), '01_Raw_Data'!H107, IFERROR(VALUE(SUBSTITUTE('01_Raw_Data'!H107, "%", ""))/100, 0))</f>
        <v/>
      </c>
      <c r="H107" s="8">
        <f>PROPER(TRIM('01_Raw_Data'!J107))</f>
        <v/>
      </c>
      <c r="I107" s="8">
        <f>IF('01_Raw_Data'!K107="", "REG-NA", UPPER(TRIM('01_Raw_Data'!K107)))</f>
        <v/>
      </c>
      <c r="J107" s="8">
        <f>IF(OR('01_Raw_Data'!C107="", '01_Raw_Data'!F107&lt;0, ISNUMBER(SEARCH("%", '01_Raw_Data'!H107))), "FIXED ANOMALY", "PASSED")</f>
        <v/>
      </c>
      <c r="K107" s="8">
        <f>IF('01_Raw_Data'!F107&lt;0, "Converted Negative Quantity to ABS", IF('01_Raw_Data'!C107="", "Imputed Missing Customer ID", IF(ISNUMBER(SEARCH("%", '01_Raw_Data'!H107)), "Parsed Text % to Numeric Rate", "Standardized Format")))</f>
        <v/>
      </c>
    </row>
    <row r="108">
      <c r="A108" s="8">
        <f>'01_Raw_Data'!A108</f>
        <v/>
      </c>
      <c r="B108" s="10">
        <f>IFERROR(DATEVALUE('01_Raw_Data'!B108), IF('01_Raw_Data'!B108="", DATE(2024,1,1), '01_Raw_Data'!B108))</f>
        <v/>
      </c>
      <c r="C108" s="8">
        <f>IF(OR('01_Raw_Data'!C108="",'01_Raw_Data'!C108="0"), "CUST-GUEST", TRIM('01_Raw_Data'!C108))</f>
        <v/>
      </c>
      <c r="D108" s="8">
        <f>PROPER(TRIM(CLEAN('01_Raw_Data'!D108)))</f>
        <v/>
      </c>
      <c r="E108" s="8">
        <f>ABS(IF(ISNUMBER(VALUE('01_Raw_Data'!F108)), VALUE('01_Raw_Data'!F108), 1))</f>
        <v/>
      </c>
      <c r="F108" s="9">
        <f>'01_Raw_Data'!G108</f>
        <v/>
      </c>
      <c r="G108" s="11">
        <f>IF(ISNUMBER('01_Raw_Data'!H108), '01_Raw_Data'!H108, IFERROR(VALUE(SUBSTITUTE('01_Raw_Data'!H108, "%", ""))/100, 0))</f>
        <v/>
      </c>
      <c r="H108" s="8">
        <f>PROPER(TRIM('01_Raw_Data'!J108))</f>
        <v/>
      </c>
      <c r="I108" s="8">
        <f>IF('01_Raw_Data'!K108="", "REG-NA", UPPER(TRIM('01_Raw_Data'!K108)))</f>
        <v/>
      </c>
      <c r="J108" s="8">
        <f>IF(OR('01_Raw_Data'!C108="", '01_Raw_Data'!F108&lt;0, ISNUMBER(SEARCH("%", '01_Raw_Data'!H108))), "FIXED ANOMALY", "PASSED")</f>
        <v/>
      </c>
      <c r="K108" s="8">
        <f>IF('01_Raw_Data'!F108&lt;0, "Converted Negative Quantity to ABS", IF('01_Raw_Data'!C108="", "Imputed Missing Customer ID", IF(ISNUMBER(SEARCH("%", '01_Raw_Data'!H108)), "Parsed Text % to Numeric Rate", "Standardized Format")))</f>
        <v/>
      </c>
    </row>
    <row r="109">
      <c r="A109" s="8">
        <f>'01_Raw_Data'!A109</f>
        <v/>
      </c>
      <c r="B109" s="10">
        <f>IFERROR(DATEVALUE('01_Raw_Data'!B109), IF('01_Raw_Data'!B109="", DATE(2024,1,1), '01_Raw_Data'!B109))</f>
        <v/>
      </c>
      <c r="C109" s="8">
        <f>IF(OR('01_Raw_Data'!C109="",'01_Raw_Data'!C109="0"), "CUST-GUEST", TRIM('01_Raw_Data'!C109))</f>
        <v/>
      </c>
      <c r="D109" s="8">
        <f>PROPER(TRIM(CLEAN('01_Raw_Data'!D109)))</f>
        <v/>
      </c>
      <c r="E109" s="8">
        <f>ABS(IF(ISNUMBER(VALUE('01_Raw_Data'!F109)), VALUE('01_Raw_Data'!F109), 1))</f>
        <v/>
      </c>
      <c r="F109" s="9">
        <f>'01_Raw_Data'!G109</f>
        <v/>
      </c>
      <c r="G109" s="11">
        <f>IF(ISNUMBER('01_Raw_Data'!H109), '01_Raw_Data'!H109, IFERROR(VALUE(SUBSTITUTE('01_Raw_Data'!H109, "%", ""))/100, 0))</f>
        <v/>
      </c>
      <c r="H109" s="8">
        <f>PROPER(TRIM('01_Raw_Data'!J109))</f>
        <v/>
      </c>
      <c r="I109" s="8">
        <f>IF('01_Raw_Data'!K109="", "REG-NA", UPPER(TRIM('01_Raw_Data'!K109)))</f>
        <v/>
      </c>
      <c r="J109" s="8">
        <f>IF(OR('01_Raw_Data'!C109="", '01_Raw_Data'!F109&lt;0, ISNUMBER(SEARCH("%", '01_Raw_Data'!H109))), "FIXED ANOMALY", "PASSED")</f>
        <v/>
      </c>
      <c r="K109" s="8">
        <f>IF('01_Raw_Data'!F109&lt;0, "Converted Negative Quantity to ABS", IF('01_Raw_Data'!C109="", "Imputed Missing Customer ID", IF(ISNUMBER(SEARCH("%", '01_Raw_Data'!H109)), "Parsed Text % to Numeric Rate", "Standardized Format")))</f>
        <v/>
      </c>
    </row>
    <row r="110">
      <c r="A110" s="8">
        <f>'01_Raw_Data'!A110</f>
        <v/>
      </c>
      <c r="B110" s="10">
        <f>IFERROR(DATEVALUE('01_Raw_Data'!B110), IF('01_Raw_Data'!B110="", DATE(2024,1,1), '01_Raw_Data'!B110))</f>
        <v/>
      </c>
      <c r="C110" s="8">
        <f>IF(OR('01_Raw_Data'!C110="",'01_Raw_Data'!C110="0"), "CUST-GUEST", TRIM('01_Raw_Data'!C110))</f>
        <v/>
      </c>
      <c r="D110" s="8">
        <f>PROPER(TRIM(CLEAN('01_Raw_Data'!D110)))</f>
        <v/>
      </c>
      <c r="E110" s="8">
        <f>ABS(IF(ISNUMBER(VALUE('01_Raw_Data'!F110)), VALUE('01_Raw_Data'!F110), 1))</f>
        <v/>
      </c>
      <c r="F110" s="9">
        <f>'01_Raw_Data'!G110</f>
        <v/>
      </c>
      <c r="G110" s="11">
        <f>IF(ISNUMBER('01_Raw_Data'!H110), '01_Raw_Data'!H110, IFERROR(VALUE(SUBSTITUTE('01_Raw_Data'!H110, "%", ""))/100, 0))</f>
        <v/>
      </c>
      <c r="H110" s="8">
        <f>PROPER(TRIM('01_Raw_Data'!J110))</f>
        <v/>
      </c>
      <c r="I110" s="8">
        <f>IF('01_Raw_Data'!K110="", "REG-NA", UPPER(TRIM('01_Raw_Data'!K110)))</f>
        <v/>
      </c>
      <c r="J110" s="8">
        <f>IF(OR('01_Raw_Data'!C110="", '01_Raw_Data'!F110&lt;0, ISNUMBER(SEARCH("%", '01_Raw_Data'!H110))), "FIXED ANOMALY", "PASSED")</f>
        <v/>
      </c>
      <c r="K110" s="8">
        <f>IF('01_Raw_Data'!F110&lt;0, "Converted Negative Quantity to ABS", IF('01_Raw_Data'!C110="", "Imputed Missing Customer ID", IF(ISNUMBER(SEARCH("%", '01_Raw_Data'!H110)), "Parsed Text % to Numeric Rate", "Standardized Format")))</f>
        <v/>
      </c>
    </row>
    <row r="111">
      <c r="A111" s="8">
        <f>'01_Raw_Data'!A111</f>
        <v/>
      </c>
      <c r="B111" s="10">
        <f>IFERROR(DATEVALUE('01_Raw_Data'!B111), IF('01_Raw_Data'!B111="", DATE(2024,1,1), '01_Raw_Data'!B111))</f>
        <v/>
      </c>
      <c r="C111" s="8">
        <f>IF(OR('01_Raw_Data'!C111="",'01_Raw_Data'!C111="0"), "CUST-GUEST", TRIM('01_Raw_Data'!C111))</f>
        <v/>
      </c>
      <c r="D111" s="8">
        <f>PROPER(TRIM(CLEAN('01_Raw_Data'!D111)))</f>
        <v/>
      </c>
      <c r="E111" s="8">
        <f>ABS(IF(ISNUMBER(VALUE('01_Raw_Data'!F111)), VALUE('01_Raw_Data'!F111), 1))</f>
        <v/>
      </c>
      <c r="F111" s="9">
        <f>'01_Raw_Data'!G111</f>
        <v/>
      </c>
      <c r="G111" s="11">
        <f>IF(ISNUMBER('01_Raw_Data'!H111), '01_Raw_Data'!H111, IFERROR(VALUE(SUBSTITUTE('01_Raw_Data'!H111, "%", ""))/100, 0))</f>
        <v/>
      </c>
      <c r="H111" s="8">
        <f>PROPER(TRIM('01_Raw_Data'!J111))</f>
        <v/>
      </c>
      <c r="I111" s="8">
        <f>IF('01_Raw_Data'!K111="", "REG-NA", UPPER(TRIM('01_Raw_Data'!K111)))</f>
        <v/>
      </c>
      <c r="J111" s="8">
        <f>IF(OR('01_Raw_Data'!C111="", '01_Raw_Data'!F111&lt;0, ISNUMBER(SEARCH("%", '01_Raw_Data'!H111))), "FIXED ANOMALY", "PASSED")</f>
        <v/>
      </c>
      <c r="K111" s="8">
        <f>IF('01_Raw_Data'!F111&lt;0, "Converted Negative Quantity to ABS", IF('01_Raw_Data'!C111="", "Imputed Missing Customer ID", IF(ISNUMBER(SEARCH("%", '01_Raw_Data'!H111)), "Parsed Text % to Numeric Rate", "Standardized Format")))</f>
        <v/>
      </c>
    </row>
    <row r="112">
      <c r="A112" s="8">
        <f>'01_Raw_Data'!A112</f>
        <v/>
      </c>
      <c r="B112" s="10">
        <f>IFERROR(DATEVALUE('01_Raw_Data'!B112), IF('01_Raw_Data'!B112="", DATE(2024,1,1), '01_Raw_Data'!B112))</f>
        <v/>
      </c>
      <c r="C112" s="8">
        <f>IF(OR('01_Raw_Data'!C112="",'01_Raw_Data'!C112="0"), "CUST-GUEST", TRIM('01_Raw_Data'!C112))</f>
        <v/>
      </c>
      <c r="D112" s="8">
        <f>PROPER(TRIM(CLEAN('01_Raw_Data'!D112)))</f>
        <v/>
      </c>
      <c r="E112" s="8">
        <f>ABS(IF(ISNUMBER(VALUE('01_Raw_Data'!F112)), VALUE('01_Raw_Data'!F112), 1))</f>
        <v/>
      </c>
      <c r="F112" s="9">
        <f>'01_Raw_Data'!G112</f>
        <v/>
      </c>
      <c r="G112" s="11">
        <f>IF(ISNUMBER('01_Raw_Data'!H112), '01_Raw_Data'!H112, IFERROR(VALUE(SUBSTITUTE('01_Raw_Data'!H112, "%", ""))/100, 0))</f>
        <v/>
      </c>
      <c r="H112" s="8">
        <f>PROPER(TRIM('01_Raw_Data'!J112))</f>
        <v/>
      </c>
      <c r="I112" s="8">
        <f>IF('01_Raw_Data'!K112="", "REG-NA", UPPER(TRIM('01_Raw_Data'!K112)))</f>
        <v/>
      </c>
      <c r="J112" s="8">
        <f>IF(OR('01_Raw_Data'!C112="", '01_Raw_Data'!F112&lt;0, ISNUMBER(SEARCH("%", '01_Raw_Data'!H112))), "FIXED ANOMALY", "PASSED")</f>
        <v/>
      </c>
      <c r="K112" s="8">
        <f>IF('01_Raw_Data'!F112&lt;0, "Converted Negative Quantity to ABS", IF('01_Raw_Data'!C112="", "Imputed Missing Customer ID", IF(ISNUMBER(SEARCH("%", '01_Raw_Data'!H112)), "Parsed Text % to Numeric Rate", "Standardized Format")))</f>
        <v/>
      </c>
    </row>
    <row r="113">
      <c r="A113" s="8">
        <f>'01_Raw_Data'!A113</f>
        <v/>
      </c>
      <c r="B113" s="10">
        <f>IFERROR(DATEVALUE('01_Raw_Data'!B113), IF('01_Raw_Data'!B113="", DATE(2024,1,1), '01_Raw_Data'!B113))</f>
        <v/>
      </c>
      <c r="C113" s="8">
        <f>IF(OR('01_Raw_Data'!C113="",'01_Raw_Data'!C113="0"), "CUST-GUEST", TRIM('01_Raw_Data'!C113))</f>
        <v/>
      </c>
      <c r="D113" s="8">
        <f>PROPER(TRIM(CLEAN('01_Raw_Data'!D113)))</f>
        <v/>
      </c>
      <c r="E113" s="8">
        <f>ABS(IF(ISNUMBER(VALUE('01_Raw_Data'!F113)), VALUE('01_Raw_Data'!F113), 1))</f>
        <v/>
      </c>
      <c r="F113" s="9">
        <f>'01_Raw_Data'!G113</f>
        <v/>
      </c>
      <c r="G113" s="11">
        <f>IF(ISNUMBER('01_Raw_Data'!H113), '01_Raw_Data'!H113, IFERROR(VALUE(SUBSTITUTE('01_Raw_Data'!H113, "%", ""))/100, 0))</f>
        <v/>
      </c>
      <c r="H113" s="8">
        <f>PROPER(TRIM('01_Raw_Data'!J113))</f>
        <v/>
      </c>
      <c r="I113" s="8">
        <f>IF('01_Raw_Data'!K113="", "REG-NA", UPPER(TRIM('01_Raw_Data'!K113)))</f>
        <v/>
      </c>
      <c r="J113" s="8">
        <f>IF(OR('01_Raw_Data'!C113="", '01_Raw_Data'!F113&lt;0, ISNUMBER(SEARCH("%", '01_Raw_Data'!H113))), "FIXED ANOMALY", "PASSED")</f>
        <v/>
      </c>
      <c r="K113" s="8">
        <f>IF('01_Raw_Data'!F113&lt;0, "Converted Negative Quantity to ABS", IF('01_Raw_Data'!C113="", "Imputed Missing Customer ID", IF(ISNUMBER(SEARCH("%", '01_Raw_Data'!H113)), "Parsed Text % to Numeric Rate", "Standardized Format")))</f>
        <v/>
      </c>
    </row>
    <row r="114">
      <c r="A114" s="8">
        <f>'01_Raw_Data'!A114</f>
        <v/>
      </c>
      <c r="B114" s="10">
        <f>IFERROR(DATEVALUE('01_Raw_Data'!B114), IF('01_Raw_Data'!B114="", DATE(2024,1,1), '01_Raw_Data'!B114))</f>
        <v/>
      </c>
      <c r="C114" s="8">
        <f>IF(OR('01_Raw_Data'!C114="",'01_Raw_Data'!C114="0"), "CUST-GUEST", TRIM('01_Raw_Data'!C114))</f>
        <v/>
      </c>
      <c r="D114" s="8">
        <f>PROPER(TRIM(CLEAN('01_Raw_Data'!D114)))</f>
        <v/>
      </c>
      <c r="E114" s="8">
        <f>ABS(IF(ISNUMBER(VALUE('01_Raw_Data'!F114)), VALUE('01_Raw_Data'!F114), 1))</f>
        <v/>
      </c>
      <c r="F114" s="9">
        <f>'01_Raw_Data'!G114</f>
        <v/>
      </c>
      <c r="G114" s="11">
        <f>IF(ISNUMBER('01_Raw_Data'!H114), '01_Raw_Data'!H114, IFERROR(VALUE(SUBSTITUTE('01_Raw_Data'!H114, "%", ""))/100, 0))</f>
        <v/>
      </c>
      <c r="H114" s="8">
        <f>PROPER(TRIM('01_Raw_Data'!J114))</f>
        <v/>
      </c>
      <c r="I114" s="8">
        <f>IF('01_Raw_Data'!K114="", "REG-NA", UPPER(TRIM('01_Raw_Data'!K114)))</f>
        <v/>
      </c>
      <c r="J114" s="8">
        <f>IF(OR('01_Raw_Data'!C114="", '01_Raw_Data'!F114&lt;0, ISNUMBER(SEARCH("%", '01_Raw_Data'!H114))), "FIXED ANOMALY", "PASSED")</f>
        <v/>
      </c>
      <c r="K114" s="8">
        <f>IF('01_Raw_Data'!F114&lt;0, "Converted Negative Quantity to ABS", IF('01_Raw_Data'!C114="", "Imputed Missing Customer ID", IF(ISNUMBER(SEARCH("%", '01_Raw_Data'!H114)), "Parsed Text % to Numeric Rate", "Standardized Format")))</f>
        <v/>
      </c>
    </row>
    <row r="115">
      <c r="A115" s="8">
        <f>'01_Raw_Data'!A115</f>
        <v/>
      </c>
      <c r="B115" s="10">
        <f>IFERROR(DATEVALUE('01_Raw_Data'!B115), IF('01_Raw_Data'!B115="", DATE(2024,1,1), '01_Raw_Data'!B115))</f>
        <v/>
      </c>
      <c r="C115" s="8">
        <f>IF(OR('01_Raw_Data'!C115="",'01_Raw_Data'!C115="0"), "CUST-GUEST", TRIM('01_Raw_Data'!C115))</f>
        <v/>
      </c>
      <c r="D115" s="8">
        <f>PROPER(TRIM(CLEAN('01_Raw_Data'!D115)))</f>
        <v/>
      </c>
      <c r="E115" s="8">
        <f>ABS(IF(ISNUMBER(VALUE('01_Raw_Data'!F115)), VALUE('01_Raw_Data'!F115), 1))</f>
        <v/>
      </c>
      <c r="F115" s="9">
        <f>'01_Raw_Data'!G115</f>
        <v/>
      </c>
      <c r="G115" s="11">
        <f>IF(ISNUMBER('01_Raw_Data'!H115), '01_Raw_Data'!H115, IFERROR(VALUE(SUBSTITUTE('01_Raw_Data'!H115, "%", ""))/100, 0))</f>
        <v/>
      </c>
      <c r="H115" s="8">
        <f>PROPER(TRIM('01_Raw_Data'!J115))</f>
        <v/>
      </c>
      <c r="I115" s="8">
        <f>IF('01_Raw_Data'!K115="", "REG-NA", UPPER(TRIM('01_Raw_Data'!K115)))</f>
        <v/>
      </c>
      <c r="J115" s="8">
        <f>IF(OR('01_Raw_Data'!C115="", '01_Raw_Data'!F115&lt;0, ISNUMBER(SEARCH("%", '01_Raw_Data'!H115))), "FIXED ANOMALY", "PASSED")</f>
        <v/>
      </c>
      <c r="K115" s="8">
        <f>IF('01_Raw_Data'!F115&lt;0, "Converted Negative Quantity to ABS", IF('01_Raw_Data'!C115="", "Imputed Missing Customer ID", IF(ISNUMBER(SEARCH("%", '01_Raw_Data'!H115)), "Parsed Text % to Numeric Rate", "Standardized Format")))</f>
        <v/>
      </c>
    </row>
    <row r="116">
      <c r="A116" s="8">
        <f>'01_Raw_Data'!A116</f>
        <v/>
      </c>
      <c r="B116" s="10">
        <f>IFERROR(DATEVALUE('01_Raw_Data'!B116), IF('01_Raw_Data'!B116="", DATE(2024,1,1), '01_Raw_Data'!B116))</f>
        <v/>
      </c>
      <c r="C116" s="8">
        <f>IF(OR('01_Raw_Data'!C116="",'01_Raw_Data'!C116="0"), "CUST-GUEST", TRIM('01_Raw_Data'!C116))</f>
        <v/>
      </c>
      <c r="D116" s="8">
        <f>PROPER(TRIM(CLEAN('01_Raw_Data'!D116)))</f>
        <v/>
      </c>
      <c r="E116" s="8">
        <f>ABS(IF(ISNUMBER(VALUE('01_Raw_Data'!F116)), VALUE('01_Raw_Data'!F116), 1))</f>
        <v/>
      </c>
      <c r="F116" s="9">
        <f>'01_Raw_Data'!G116</f>
        <v/>
      </c>
      <c r="G116" s="11">
        <f>IF(ISNUMBER('01_Raw_Data'!H116), '01_Raw_Data'!H116, IFERROR(VALUE(SUBSTITUTE('01_Raw_Data'!H116, "%", ""))/100, 0))</f>
        <v/>
      </c>
      <c r="H116" s="8">
        <f>PROPER(TRIM('01_Raw_Data'!J116))</f>
        <v/>
      </c>
      <c r="I116" s="8">
        <f>IF('01_Raw_Data'!K116="", "REG-NA", UPPER(TRIM('01_Raw_Data'!K116)))</f>
        <v/>
      </c>
      <c r="J116" s="8">
        <f>IF(OR('01_Raw_Data'!C116="", '01_Raw_Data'!F116&lt;0, ISNUMBER(SEARCH("%", '01_Raw_Data'!H116))), "FIXED ANOMALY", "PASSED")</f>
        <v/>
      </c>
      <c r="K116" s="8">
        <f>IF('01_Raw_Data'!F116&lt;0, "Converted Negative Quantity to ABS", IF('01_Raw_Data'!C116="", "Imputed Missing Customer ID", IF(ISNUMBER(SEARCH("%", '01_Raw_Data'!H116)), "Parsed Text % to Numeric Rate", "Standardized Format")))</f>
        <v/>
      </c>
    </row>
    <row r="117">
      <c r="A117" s="8">
        <f>'01_Raw_Data'!A117</f>
        <v/>
      </c>
      <c r="B117" s="10">
        <f>IFERROR(DATEVALUE('01_Raw_Data'!B117), IF('01_Raw_Data'!B117="", DATE(2024,1,1), '01_Raw_Data'!B117))</f>
        <v/>
      </c>
      <c r="C117" s="8">
        <f>IF(OR('01_Raw_Data'!C117="",'01_Raw_Data'!C117="0"), "CUST-GUEST", TRIM('01_Raw_Data'!C117))</f>
        <v/>
      </c>
      <c r="D117" s="8">
        <f>PROPER(TRIM(CLEAN('01_Raw_Data'!D117)))</f>
        <v/>
      </c>
      <c r="E117" s="8">
        <f>ABS(IF(ISNUMBER(VALUE('01_Raw_Data'!F117)), VALUE('01_Raw_Data'!F117), 1))</f>
        <v/>
      </c>
      <c r="F117" s="9">
        <f>'01_Raw_Data'!G117</f>
        <v/>
      </c>
      <c r="G117" s="11">
        <f>IF(ISNUMBER('01_Raw_Data'!H117), '01_Raw_Data'!H117, IFERROR(VALUE(SUBSTITUTE('01_Raw_Data'!H117, "%", ""))/100, 0))</f>
        <v/>
      </c>
      <c r="H117" s="8">
        <f>PROPER(TRIM('01_Raw_Data'!J117))</f>
        <v/>
      </c>
      <c r="I117" s="8">
        <f>IF('01_Raw_Data'!K117="", "REG-NA", UPPER(TRIM('01_Raw_Data'!K117)))</f>
        <v/>
      </c>
      <c r="J117" s="8">
        <f>IF(OR('01_Raw_Data'!C117="", '01_Raw_Data'!F117&lt;0, ISNUMBER(SEARCH("%", '01_Raw_Data'!H117))), "FIXED ANOMALY", "PASSED")</f>
        <v/>
      </c>
      <c r="K117" s="8">
        <f>IF('01_Raw_Data'!F117&lt;0, "Converted Negative Quantity to ABS", IF('01_Raw_Data'!C117="", "Imputed Missing Customer ID", IF(ISNUMBER(SEARCH("%", '01_Raw_Data'!H117)), "Parsed Text % to Numeric Rate", "Standardized Format")))</f>
        <v/>
      </c>
    </row>
    <row r="118">
      <c r="A118" s="8">
        <f>'01_Raw_Data'!A118</f>
        <v/>
      </c>
      <c r="B118" s="10">
        <f>IFERROR(DATEVALUE('01_Raw_Data'!B118), IF('01_Raw_Data'!B118="", DATE(2024,1,1), '01_Raw_Data'!B118))</f>
        <v/>
      </c>
      <c r="C118" s="8">
        <f>IF(OR('01_Raw_Data'!C118="",'01_Raw_Data'!C118="0"), "CUST-GUEST", TRIM('01_Raw_Data'!C118))</f>
        <v/>
      </c>
      <c r="D118" s="8">
        <f>PROPER(TRIM(CLEAN('01_Raw_Data'!D118)))</f>
        <v/>
      </c>
      <c r="E118" s="8">
        <f>ABS(IF(ISNUMBER(VALUE('01_Raw_Data'!F118)), VALUE('01_Raw_Data'!F118), 1))</f>
        <v/>
      </c>
      <c r="F118" s="9">
        <f>'01_Raw_Data'!G118</f>
        <v/>
      </c>
      <c r="G118" s="11">
        <f>IF(ISNUMBER('01_Raw_Data'!H118), '01_Raw_Data'!H118, IFERROR(VALUE(SUBSTITUTE('01_Raw_Data'!H118, "%", ""))/100, 0))</f>
        <v/>
      </c>
      <c r="H118" s="8">
        <f>PROPER(TRIM('01_Raw_Data'!J118))</f>
        <v/>
      </c>
      <c r="I118" s="8">
        <f>IF('01_Raw_Data'!K118="", "REG-NA", UPPER(TRIM('01_Raw_Data'!K118)))</f>
        <v/>
      </c>
      <c r="J118" s="8">
        <f>IF(OR('01_Raw_Data'!C118="", '01_Raw_Data'!F118&lt;0, ISNUMBER(SEARCH("%", '01_Raw_Data'!H118))), "FIXED ANOMALY", "PASSED")</f>
        <v/>
      </c>
      <c r="K118" s="8">
        <f>IF('01_Raw_Data'!F118&lt;0, "Converted Negative Quantity to ABS", IF('01_Raw_Data'!C118="", "Imputed Missing Customer ID", IF(ISNUMBER(SEARCH("%", '01_Raw_Data'!H118)), "Parsed Text % to Numeric Rate", "Standardized Format")))</f>
        <v/>
      </c>
    </row>
    <row r="119">
      <c r="A119" s="8">
        <f>'01_Raw_Data'!A119</f>
        <v/>
      </c>
      <c r="B119" s="10">
        <f>IFERROR(DATEVALUE('01_Raw_Data'!B119), IF('01_Raw_Data'!B119="", DATE(2024,1,1), '01_Raw_Data'!B119))</f>
        <v/>
      </c>
      <c r="C119" s="8">
        <f>IF(OR('01_Raw_Data'!C119="",'01_Raw_Data'!C119="0"), "CUST-GUEST", TRIM('01_Raw_Data'!C119))</f>
        <v/>
      </c>
      <c r="D119" s="8">
        <f>PROPER(TRIM(CLEAN('01_Raw_Data'!D119)))</f>
        <v/>
      </c>
      <c r="E119" s="8">
        <f>ABS(IF(ISNUMBER(VALUE('01_Raw_Data'!F119)), VALUE('01_Raw_Data'!F119), 1))</f>
        <v/>
      </c>
      <c r="F119" s="9">
        <f>'01_Raw_Data'!G119</f>
        <v/>
      </c>
      <c r="G119" s="11">
        <f>IF(ISNUMBER('01_Raw_Data'!H119), '01_Raw_Data'!H119, IFERROR(VALUE(SUBSTITUTE('01_Raw_Data'!H119, "%", ""))/100, 0))</f>
        <v/>
      </c>
      <c r="H119" s="8">
        <f>PROPER(TRIM('01_Raw_Data'!J119))</f>
        <v/>
      </c>
      <c r="I119" s="8">
        <f>IF('01_Raw_Data'!K119="", "REG-NA", UPPER(TRIM('01_Raw_Data'!K119)))</f>
        <v/>
      </c>
      <c r="J119" s="8">
        <f>IF(OR('01_Raw_Data'!C119="", '01_Raw_Data'!F119&lt;0, ISNUMBER(SEARCH("%", '01_Raw_Data'!H119))), "FIXED ANOMALY", "PASSED")</f>
        <v/>
      </c>
      <c r="K119" s="8">
        <f>IF('01_Raw_Data'!F119&lt;0, "Converted Negative Quantity to ABS", IF('01_Raw_Data'!C119="", "Imputed Missing Customer ID", IF(ISNUMBER(SEARCH("%", '01_Raw_Data'!H119)), "Parsed Text % to Numeric Rate", "Standardized Format")))</f>
        <v/>
      </c>
    </row>
    <row r="120">
      <c r="A120" s="8">
        <f>'01_Raw_Data'!A120</f>
        <v/>
      </c>
      <c r="B120" s="10">
        <f>IFERROR(DATEVALUE('01_Raw_Data'!B120), IF('01_Raw_Data'!B120="", DATE(2024,1,1), '01_Raw_Data'!B120))</f>
        <v/>
      </c>
      <c r="C120" s="8">
        <f>IF(OR('01_Raw_Data'!C120="",'01_Raw_Data'!C120="0"), "CUST-GUEST", TRIM('01_Raw_Data'!C120))</f>
        <v/>
      </c>
      <c r="D120" s="8">
        <f>PROPER(TRIM(CLEAN('01_Raw_Data'!D120)))</f>
        <v/>
      </c>
      <c r="E120" s="8">
        <f>ABS(IF(ISNUMBER(VALUE('01_Raw_Data'!F120)), VALUE('01_Raw_Data'!F120), 1))</f>
        <v/>
      </c>
      <c r="F120" s="9">
        <f>'01_Raw_Data'!G120</f>
        <v/>
      </c>
      <c r="G120" s="11">
        <f>IF(ISNUMBER('01_Raw_Data'!H120), '01_Raw_Data'!H120, IFERROR(VALUE(SUBSTITUTE('01_Raw_Data'!H120, "%", ""))/100, 0))</f>
        <v/>
      </c>
      <c r="H120" s="8">
        <f>PROPER(TRIM('01_Raw_Data'!J120))</f>
        <v/>
      </c>
      <c r="I120" s="8">
        <f>IF('01_Raw_Data'!K120="", "REG-NA", UPPER(TRIM('01_Raw_Data'!K120)))</f>
        <v/>
      </c>
      <c r="J120" s="8">
        <f>IF(OR('01_Raw_Data'!C120="", '01_Raw_Data'!F120&lt;0, ISNUMBER(SEARCH("%", '01_Raw_Data'!H120))), "FIXED ANOMALY", "PASSED")</f>
        <v/>
      </c>
      <c r="K120" s="8">
        <f>IF('01_Raw_Data'!F120&lt;0, "Converted Negative Quantity to ABS", IF('01_Raw_Data'!C120="", "Imputed Missing Customer ID", IF(ISNUMBER(SEARCH("%", '01_Raw_Data'!H120)), "Parsed Text % to Numeric Rate", "Standardized Format")))</f>
        <v/>
      </c>
    </row>
    <row r="121">
      <c r="A121" s="8">
        <f>'01_Raw_Data'!A121</f>
        <v/>
      </c>
      <c r="B121" s="10">
        <f>IFERROR(DATEVALUE('01_Raw_Data'!B121), IF('01_Raw_Data'!B121="", DATE(2024,1,1), '01_Raw_Data'!B121))</f>
        <v/>
      </c>
      <c r="C121" s="8">
        <f>IF(OR('01_Raw_Data'!C121="",'01_Raw_Data'!C121="0"), "CUST-GUEST", TRIM('01_Raw_Data'!C121))</f>
        <v/>
      </c>
      <c r="D121" s="8">
        <f>PROPER(TRIM(CLEAN('01_Raw_Data'!D121)))</f>
        <v/>
      </c>
      <c r="E121" s="8">
        <f>ABS(IF(ISNUMBER(VALUE('01_Raw_Data'!F121)), VALUE('01_Raw_Data'!F121), 1))</f>
        <v/>
      </c>
      <c r="F121" s="9">
        <f>'01_Raw_Data'!G121</f>
        <v/>
      </c>
      <c r="G121" s="11">
        <f>IF(ISNUMBER('01_Raw_Data'!H121), '01_Raw_Data'!H121, IFERROR(VALUE(SUBSTITUTE('01_Raw_Data'!H121, "%", ""))/100, 0))</f>
        <v/>
      </c>
      <c r="H121" s="8">
        <f>PROPER(TRIM('01_Raw_Data'!J121))</f>
        <v/>
      </c>
      <c r="I121" s="8">
        <f>IF('01_Raw_Data'!K121="", "REG-NA", UPPER(TRIM('01_Raw_Data'!K121)))</f>
        <v/>
      </c>
      <c r="J121" s="8">
        <f>IF(OR('01_Raw_Data'!C121="", '01_Raw_Data'!F121&lt;0, ISNUMBER(SEARCH("%", '01_Raw_Data'!H121))), "FIXED ANOMALY", "PASSED")</f>
        <v/>
      </c>
      <c r="K121" s="8">
        <f>IF('01_Raw_Data'!F121&lt;0, "Converted Negative Quantity to ABS", IF('01_Raw_Data'!C121="", "Imputed Missing Customer ID", IF(ISNUMBER(SEARCH("%", '01_Raw_Data'!H121)), "Parsed Text % to Numeric Rate", "Standardized Format")))</f>
        <v/>
      </c>
    </row>
    <row r="122">
      <c r="A122" s="8">
        <f>'01_Raw_Data'!A122</f>
        <v/>
      </c>
      <c r="B122" s="10">
        <f>IFERROR(DATEVALUE('01_Raw_Data'!B122), IF('01_Raw_Data'!B122="", DATE(2024,1,1), '01_Raw_Data'!B122))</f>
        <v/>
      </c>
      <c r="C122" s="8">
        <f>IF(OR('01_Raw_Data'!C122="",'01_Raw_Data'!C122="0"), "CUST-GUEST", TRIM('01_Raw_Data'!C122))</f>
        <v/>
      </c>
      <c r="D122" s="8">
        <f>PROPER(TRIM(CLEAN('01_Raw_Data'!D122)))</f>
        <v/>
      </c>
      <c r="E122" s="8">
        <f>ABS(IF(ISNUMBER(VALUE('01_Raw_Data'!F122)), VALUE('01_Raw_Data'!F122), 1))</f>
        <v/>
      </c>
      <c r="F122" s="9">
        <f>'01_Raw_Data'!G122</f>
        <v/>
      </c>
      <c r="G122" s="11">
        <f>IF(ISNUMBER('01_Raw_Data'!H122), '01_Raw_Data'!H122, IFERROR(VALUE(SUBSTITUTE('01_Raw_Data'!H122, "%", ""))/100, 0))</f>
        <v/>
      </c>
      <c r="H122" s="8">
        <f>PROPER(TRIM('01_Raw_Data'!J122))</f>
        <v/>
      </c>
      <c r="I122" s="8">
        <f>IF('01_Raw_Data'!K122="", "REG-NA", UPPER(TRIM('01_Raw_Data'!K122)))</f>
        <v/>
      </c>
      <c r="J122" s="8">
        <f>IF(OR('01_Raw_Data'!C122="", '01_Raw_Data'!F122&lt;0, ISNUMBER(SEARCH("%", '01_Raw_Data'!H122))), "FIXED ANOMALY", "PASSED")</f>
        <v/>
      </c>
      <c r="K122" s="8">
        <f>IF('01_Raw_Data'!F122&lt;0, "Converted Negative Quantity to ABS", IF('01_Raw_Data'!C122="", "Imputed Missing Customer ID", IF(ISNUMBER(SEARCH("%", '01_Raw_Data'!H122)), "Parsed Text % to Numeric Rate", "Standardized Format")))</f>
        <v/>
      </c>
    </row>
    <row r="123">
      <c r="A123" s="8">
        <f>'01_Raw_Data'!A123</f>
        <v/>
      </c>
      <c r="B123" s="10">
        <f>IFERROR(DATEVALUE('01_Raw_Data'!B123), IF('01_Raw_Data'!B123="", DATE(2024,1,1), '01_Raw_Data'!B123))</f>
        <v/>
      </c>
      <c r="C123" s="8">
        <f>IF(OR('01_Raw_Data'!C123="",'01_Raw_Data'!C123="0"), "CUST-GUEST", TRIM('01_Raw_Data'!C123))</f>
        <v/>
      </c>
      <c r="D123" s="8">
        <f>PROPER(TRIM(CLEAN('01_Raw_Data'!D123)))</f>
        <v/>
      </c>
      <c r="E123" s="8">
        <f>ABS(IF(ISNUMBER(VALUE('01_Raw_Data'!F123)), VALUE('01_Raw_Data'!F123), 1))</f>
        <v/>
      </c>
      <c r="F123" s="9">
        <f>'01_Raw_Data'!G123</f>
        <v/>
      </c>
      <c r="G123" s="11">
        <f>IF(ISNUMBER('01_Raw_Data'!H123), '01_Raw_Data'!H123, IFERROR(VALUE(SUBSTITUTE('01_Raw_Data'!H123, "%", ""))/100, 0))</f>
        <v/>
      </c>
      <c r="H123" s="8">
        <f>PROPER(TRIM('01_Raw_Data'!J123))</f>
        <v/>
      </c>
      <c r="I123" s="8">
        <f>IF('01_Raw_Data'!K123="", "REG-NA", UPPER(TRIM('01_Raw_Data'!K123)))</f>
        <v/>
      </c>
      <c r="J123" s="8">
        <f>IF(OR('01_Raw_Data'!C123="", '01_Raw_Data'!F123&lt;0, ISNUMBER(SEARCH("%", '01_Raw_Data'!H123))), "FIXED ANOMALY", "PASSED")</f>
        <v/>
      </c>
      <c r="K123" s="8">
        <f>IF('01_Raw_Data'!F123&lt;0, "Converted Negative Quantity to ABS", IF('01_Raw_Data'!C123="", "Imputed Missing Customer ID", IF(ISNUMBER(SEARCH("%", '01_Raw_Data'!H123)), "Parsed Text % to Numeric Rate", "Standardized Format")))</f>
        <v/>
      </c>
    </row>
    <row r="124">
      <c r="A124" s="8">
        <f>'01_Raw_Data'!A124</f>
        <v/>
      </c>
      <c r="B124" s="10">
        <f>IFERROR(DATEVALUE('01_Raw_Data'!B124), IF('01_Raw_Data'!B124="", DATE(2024,1,1), '01_Raw_Data'!B124))</f>
        <v/>
      </c>
      <c r="C124" s="8">
        <f>IF(OR('01_Raw_Data'!C124="",'01_Raw_Data'!C124="0"), "CUST-GUEST", TRIM('01_Raw_Data'!C124))</f>
        <v/>
      </c>
      <c r="D124" s="8">
        <f>PROPER(TRIM(CLEAN('01_Raw_Data'!D124)))</f>
        <v/>
      </c>
      <c r="E124" s="8">
        <f>ABS(IF(ISNUMBER(VALUE('01_Raw_Data'!F124)), VALUE('01_Raw_Data'!F124), 1))</f>
        <v/>
      </c>
      <c r="F124" s="9">
        <f>'01_Raw_Data'!G124</f>
        <v/>
      </c>
      <c r="G124" s="11">
        <f>IF(ISNUMBER('01_Raw_Data'!H124), '01_Raw_Data'!H124, IFERROR(VALUE(SUBSTITUTE('01_Raw_Data'!H124, "%", ""))/100, 0))</f>
        <v/>
      </c>
      <c r="H124" s="8">
        <f>PROPER(TRIM('01_Raw_Data'!J124))</f>
        <v/>
      </c>
      <c r="I124" s="8">
        <f>IF('01_Raw_Data'!K124="", "REG-NA", UPPER(TRIM('01_Raw_Data'!K124)))</f>
        <v/>
      </c>
      <c r="J124" s="8">
        <f>IF(OR('01_Raw_Data'!C124="", '01_Raw_Data'!F124&lt;0, ISNUMBER(SEARCH("%", '01_Raw_Data'!H124))), "FIXED ANOMALY", "PASSED")</f>
        <v/>
      </c>
      <c r="K124" s="8">
        <f>IF('01_Raw_Data'!F124&lt;0, "Converted Negative Quantity to ABS", IF('01_Raw_Data'!C124="", "Imputed Missing Customer ID", IF(ISNUMBER(SEARCH("%", '01_Raw_Data'!H124)), "Parsed Text % to Numeric Rate", "Standardized Format")))</f>
        <v/>
      </c>
    </row>
    <row r="125">
      <c r="A125" s="8">
        <f>'01_Raw_Data'!A125</f>
        <v/>
      </c>
      <c r="B125" s="10">
        <f>IFERROR(DATEVALUE('01_Raw_Data'!B125), IF('01_Raw_Data'!B125="", DATE(2024,1,1), '01_Raw_Data'!B125))</f>
        <v/>
      </c>
      <c r="C125" s="8">
        <f>IF(OR('01_Raw_Data'!C125="",'01_Raw_Data'!C125="0"), "CUST-GUEST", TRIM('01_Raw_Data'!C125))</f>
        <v/>
      </c>
      <c r="D125" s="8">
        <f>PROPER(TRIM(CLEAN('01_Raw_Data'!D125)))</f>
        <v/>
      </c>
      <c r="E125" s="8">
        <f>ABS(IF(ISNUMBER(VALUE('01_Raw_Data'!F125)), VALUE('01_Raw_Data'!F125), 1))</f>
        <v/>
      </c>
      <c r="F125" s="9">
        <f>'01_Raw_Data'!G125</f>
        <v/>
      </c>
      <c r="G125" s="11">
        <f>IF(ISNUMBER('01_Raw_Data'!H125), '01_Raw_Data'!H125, IFERROR(VALUE(SUBSTITUTE('01_Raw_Data'!H125, "%", ""))/100, 0))</f>
        <v/>
      </c>
      <c r="H125" s="8">
        <f>PROPER(TRIM('01_Raw_Data'!J125))</f>
        <v/>
      </c>
      <c r="I125" s="8">
        <f>IF('01_Raw_Data'!K125="", "REG-NA", UPPER(TRIM('01_Raw_Data'!K125)))</f>
        <v/>
      </c>
      <c r="J125" s="8">
        <f>IF(OR('01_Raw_Data'!C125="", '01_Raw_Data'!F125&lt;0, ISNUMBER(SEARCH("%", '01_Raw_Data'!H125))), "FIXED ANOMALY", "PASSED")</f>
        <v/>
      </c>
      <c r="K125" s="8">
        <f>IF('01_Raw_Data'!F125&lt;0, "Converted Negative Quantity to ABS", IF('01_Raw_Data'!C125="", "Imputed Missing Customer ID", IF(ISNUMBER(SEARCH("%", '01_Raw_Data'!H125)), "Parsed Text % to Numeric Rate", "Standardized Format")))</f>
        <v/>
      </c>
    </row>
    <row r="126">
      <c r="A126" s="8">
        <f>'01_Raw_Data'!A126</f>
        <v/>
      </c>
      <c r="B126" s="10">
        <f>IFERROR(DATEVALUE('01_Raw_Data'!B126), IF('01_Raw_Data'!B126="", DATE(2024,1,1), '01_Raw_Data'!B126))</f>
        <v/>
      </c>
      <c r="C126" s="8">
        <f>IF(OR('01_Raw_Data'!C126="",'01_Raw_Data'!C126="0"), "CUST-GUEST", TRIM('01_Raw_Data'!C126))</f>
        <v/>
      </c>
      <c r="D126" s="8">
        <f>PROPER(TRIM(CLEAN('01_Raw_Data'!D126)))</f>
        <v/>
      </c>
      <c r="E126" s="8">
        <f>ABS(IF(ISNUMBER(VALUE('01_Raw_Data'!F126)), VALUE('01_Raw_Data'!F126), 1))</f>
        <v/>
      </c>
      <c r="F126" s="9">
        <f>'01_Raw_Data'!G126</f>
        <v/>
      </c>
      <c r="G126" s="11">
        <f>IF(ISNUMBER('01_Raw_Data'!H126), '01_Raw_Data'!H126, IFERROR(VALUE(SUBSTITUTE('01_Raw_Data'!H126, "%", ""))/100, 0))</f>
        <v/>
      </c>
      <c r="H126" s="8">
        <f>PROPER(TRIM('01_Raw_Data'!J126))</f>
        <v/>
      </c>
      <c r="I126" s="8">
        <f>IF('01_Raw_Data'!K126="", "REG-NA", UPPER(TRIM('01_Raw_Data'!K126)))</f>
        <v/>
      </c>
      <c r="J126" s="8">
        <f>IF(OR('01_Raw_Data'!C126="", '01_Raw_Data'!F126&lt;0, ISNUMBER(SEARCH("%", '01_Raw_Data'!H126))), "FIXED ANOMALY", "PASSED")</f>
        <v/>
      </c>
      <c r="K126" s="8">
        <f>IF('01_Raw_Data'!F126&lt;0, "Converted Negative Quantity to ABS", IF('01_Raw_Data'!C126="", "Imputed Missing Customer ID", IF(ISNUMBER(SEARCH("%", '01_Raw_Data'!H126)), "Parsed Text % to Numeric Rate", "Standardized Format")))</f>
        <v/>
      </c>
    </row>
    <row r="127">
      <c r="A127" s="8">
        <f>'01_Raw_Data'!A127</f>
        <v/>
      </c>
      <c r="B127" s="10">
        <f>IFERROR(DATEVALUE('01_Raw_Data'!B127), IF('01_Raw_Data'!B127="", DATE(2024,1,1), '01_Raw_Data'!B127))</f>
        <v/>
      </c>
      <c r="C127" s="8">
        <f>IF(OR('01_Raw_Data'!C127="",'01_Raw_Data'!C127="0"), "CUST-GUEST", TRIM('01_Raw_Data'!C127))</f>
        <v/>
      </c>
      <c r="D127" s="8">
        <f>PROPER(TRIM(CLEAN('01_Raw_Data'!D127)))</f>
        <v/>
      </c>
      <c r="E127" s="8">
        <f>ABS(IF(ISNUMBER(VALUE('01_Raw_Data'!F127)), VALUE('01_Raw_Data'!F127), 1))</f>
        <v/>
      </c>
      <c r="F127" s="9">
        <f>'01_Raw_Data'!G127</f>
        <v/>
      </c>
      <c r="G127" s="11">
        <f>IF(ISNUMBER('01_Raw_Data'!H127), '01_Raw_Data'!H127, IFERROR(VALUE(SUBSTITUTE('01_Raw_Data'!H127, "%", ""))/100, 0))</f>
        <v/>
      </c>
      <c r="H127" s="8">
        <f>PROPER(TRIM('01_Raw_Data'!J127))</f>
        <v/>
      </c>
      <c r="I127" s="8">
        <f>IF('01_Raw_Data'!K127="", "REG-NA", UPPER(TRIM('01_Raw_Data'!K127)))</f>
        <v/>
      </c>
      <c r="J127" s="8">
        <f>IF(OR('01_Raw_Data'!C127="", '01_Raw_Data'!F127&lt;0, ISNUMBER(SEARCH("%", '01_Raw_Data'!H127))), "FIXED ANOMALY", "PASSED")</f>
        <v/>
      </c>
      <c r="K127" s="8">
        <f>IF('01_Raw_Data'!F127&lt;0, "Converted Negative Quantity to ABS", IF('01_Raw_Data'!C127="", "Imputed Missing Customer ID", IF(ISNUMBER(SEARCH("%", '01_Raw_Data'!H127)), "Parsed Text % to Numeric Rate", "Standardized Format")))</f>
        <v/>
      </c>
    </row>
    <row r="128">
      <c r="A128" s="8">
        <f>'01_Raw_Data'!A128</f>
        <v/>
      </c>
      <c r="B128" s="10">
        <f>IFERROR(DATEVALUE('01_Raw_Data'!B128), IF('01_Raw_Data'!B128="", DATE(2024,1,1), '01_Raw_Data'!B128))</f>
        <v/>
      </c>
      <c r="C128" s="8">
        <f>IF(OR('01_Raw_Data'!C128="",'01_Raw_Data'!C128="0"), "CUST-GUEST", TRIM('01_Raw_Data'!C128))</f>
        <v/>
      </c>
      <c r="D128" s="8">
        <f>PROPER(TRIM(CLEAN('01_Raw_Data'!D128)))</f>
        <v/>
      </c>
      <c r="E128" s="8">
        <f>ABS(IF(ISNUMBER(VALUE('01_Raw_Data'!F128)), VALUE('01_Raw_Data'!F128), 1))</f>
        <v/>
      </c>
      <c r="F128" s="9">
        <f>'01_Raw_Data'!G128</f>
        <v/>
      </c>
      <c r="G128" s="11">
        <f>IF(ISNUMBER('01_Raw_Data'!H128), '01_Raw_Data'!H128, IFERROR(VALUE(SUBSTITUTE('01_Raw_Data'!H128, "%", ""))/100, 0))</f>
        <v/>
      </c>
      <c r="H128" s="8">
        <f>PROPER(TRIM('01_Raw_Data'!J128))</f>
        <v/>
      </c>
      <c r="I128" s="8">
        <f>IF('01_Raw_Data'!K128="", "REG-NA", UPPER(TRIM('01_Raw_Data'!K128)))</f>
        <v/>
      </c>
      <c r="J128" s="8">
        <f>IF(OR('01_Raw_Data'!C128="", '01_Raw_Data'!F128&lt;0, ISNUMBER(SEARCH("%", '01_Raw_Data'!H128))), "FIXED ANOMALY", "PASSED")</f>
        <v/>
      </c>
      <c r="K128" s="8">
        <f>IF('01_Raw_Data'!F128&lt;0, "Converted Negative Quantity to ABS", IF('01_Raw_Data'!C128="", "Imputed Missing Customer ID", IF(ISNUMBER(SEARCH("%", '01_Raw_Data'!H128)), "Parsed Text % to Numeric Rate", "Standardized Format")))</f>
        <v/>
      </c>
    </row>
    <row r="129">
      <c r="A129" s="8">
        <f>'01_Raw_Data'!A129</f>
        <v/>
      </c>
      <c r="B129" s="10">
        <f>IFERROR(DATEVALUE('01_Raw_Data'!B129), IF('01_Raw_Data'!B129="", DATE(2024,1,1), '01_Raw_Data'!B129))</f>
        <v/>
      </c>
      <c r="C129" s="8">
        <f>IF(OR('01_Raw_Data'!C129="",'01_Raw_Data'!C129="0"), "CUST-GUEST", TRIM('01_Raw_Data'!C129))</f>
        <v/>
      </c>
      <c r="D129" s="8">
        <f>PROPER(TRIM(CLEAN('01_Raw_Data'!D129)))</f>
        <v/>
      </c>
      <c r="E129" s="8">
        <f>ABS(IF(ISNUMBER(VALUE('01_Raw_Data'!F129)), VALUE('01_Raw_Data'!F129), 1))</f>
        <v/>
      </c>
      <c r="F129" s="9">
        <f>'01_Raw_Data'!G129</f>
        <v/>
      </c>
      <c r="G129" s="11">
        <f>IF(ISNUMBER('01_Raw_Data'!H129), '01_Raw_Data'!H129, IFERROR(VALUE(SUBSTITUTE('01_Raw_Data'!H129, "%", ""))/100, 0))</f>
        <v/>
      </c>
      <c r="H129" s="8">
        <f>PROPER(TRIM('01_Raw_Data'!J129))</f>
        <v/>
      </c>
      <c r="I129" s="8">
        <f>IF('01_Raw_Data'!K129="", "REG-NA", UPPER(TRIM('01_Raw_Data'!K129)))</f>
        <v/>
      </c>
      <c r="J129" s="8">
        <f>IF(OR('01_Raw_Data'!C129="", '01_Raw_Data'!F129&lt;0, ISNUMBER(SEARCH("%", '01_Raw_Data'!H129))), "FIXED ANOMALY", "PASSED")</f>
        <v/>
      </c>
      <c r="K129" s="8">
        <f>IF('01_Raw_Data'!F129&lt;0, "Converted Negative Quantity to ABS", IF('01_Raw_Data'!C129="", "Imputed Missing Customer ID", IF(ISNUMBER(SEARCH("%", '01_Raw_Data'!H129)), "Parsed Text % to Numeric Rate", "Standardized Format")))</f>
        <v/>
      </c>
    </row>
    <row r="130">
      <c r="A130" s="8">
        <f>'01_Raw_Data'!A130</f>
        <v/>
      </c>
      <c r="B130" s="10">
        <f>IFERROR(DATEVALUE('01_Raw_Data'!B130), IF('01_Raw_Data'!B130="", DATE(2024,1,1), '01_Raw_Data'!B130))</f>
        <v/>
      </c>
      <c r="C130" s="8">
        <f>IF(OR('01_Raw_Data'!C130="",'01_Raw_Data'!C130="0"), "CUST-GUEST", TRIM('01_Raw_Data'!C130))</f>
        <v/>
      </c>
      <c r="D130" s="8">
        <f>PROPER(TRIM(CLEAN('01_Raw_Data'!D130)))</f>
        <v/>
      </c>
      <c r="E130" s="8">
        <f>ABS(IF(ISNUMBER(VALUE('01_Raw_Data'!F130)), VALUE('01_Raw_Data'!F130), 1))</f>
        <v/>
      </c>
      <c r="F130" s="9">
        <f>'01_Raw_Data'!G130</f>
        <v/>
      </c>
      <c r="G130" s="11">
        <f>IF(ISNUMBER('01_Raw_Data'!H130), '01_Raw_Data'!H130, IFERROR(VALUE(SUBSTITUTE('01_Raw_Data'!H130, "%", ""))/100, 0))</f>
        <v/>
      </c>
      <c r="H130" s="8">
        <f>PROPER(TRIM('01_Raw_Data'!J130))</f>
        <v/>
      </c>
      <c r="I130" s="8">
        <f>IF('01_Raw_Data'!K130="", "REG-NA", UPPER(TRIM('01_Raw_Data'!K130)))</f>
        <v/>
      </c>
      <c r="J130" s="8">
        <f>IF(OR('01_Raw_Data'!C130="", '01_Raw_Data'!F130&lt;0, ISNUMBER(SEARCH("%", '01_Raw_Data'!H130))), "FIXED ANOMALY", "PASSED")</f>
        <v/>
      </c>
      <c r="K130" s="8">
        <f>IF('01_Raw_Data'!F130&lt;0, "Converted Negative Quantity to ABS", IF('01_Raw_Data'!C130="", "Imputed Missing Customer ID", IF(ISNUMBER(SEARCH("%", '01_Raw_Data'!H130)), "Parsed Text % to Numeric Rate", "Standardized Format")))</f>
        <v/>
      </c>
    </row>
    <row r="131">
      <c r="A131" s="8">
        <f>'01_Raw_Data'!A131</f>
        <v/>
      </c>
      <c r="B131" s="10">
        <f>IFERROR(DATEVALUE('01_Raw_Data'!B131), IF('01_Raw_Data'!B131="", DATE(2024,1,1), '01_Raw_Data'!B131))</f>
        <v/>
      </c>
      <c r="C131" s="8">
        <f>IF(OR('01_Raw_Data'!C131="",'01_Raw_Data'!C131="0"), "CUST-GUEST", TRIM('01_Raw_Data'!C131))</f>
        <v/>
      </c>
      <c r="D131" s="8">
        <f>PROPER(TRIM(CLEAN('01_Raw_Data'!D131)))</f>
        <v/>
      </c>
      <c r="E131" s="8">
        <f>ABS(IF(ISNUMBER(VALUE('01_Raw_Data'!F131)), VALUE('01_Raw_Data'!F131), 1))</f>
        <v/>
      </c>
      <c r="F131" s="9">
        <f>'01_Raw_Data'!G131</f>
        <v/>
      </c>
      <c r="G131" s="11">
        <f>IF(ISNUMBER('01_Raw_Data'!H131), '01_Raw_Data'!H131, IFERROR(VALUE(SUBSTITUTE('01_Raw_Data'!H131, "%", ""))/100, 0))</f>
        <v/>
      </c>
      <c r="H131" s="8">
        <f>PROPER(TRIM('01_Raw_Data'!J131))</f>
        <v/>
      </c>
      <c r="I131" s="8">
        <f>IF('01_Raw_Data'!K131="", "REG-NA", UPPER(TRIM('01_Raw_Data'!K131)))</f>
        <v/>
      </c>
      <c r="J131" s="8">
        <f>IF(OR('01_Raw_Data'!C131="", '01_Raw_Data'!F131&lt;0, ISNUMBER(SEARCH("%", '01_Raw_Data'!H131))), "FIXED ANOMALY", "PASSED")</f>
        <v/>
      </c>
      <c r="K131" s="8">
        <f>IF('01_Raw_Data'!F131&lt;0, "Converted Negative Quantity to ABS", IF('01_Raw_Data'!C131="", "Imputed Missing Customer ID", IF(ISNUMBER(SEARCH("%", '01_Raw_Data'!H131)), "Parsed Text % to Numeric Rate", "Standardized Format")))</f>
        <v/>
      </c>
    </row>
    <row r="132">
      <c r="A132" s="8">
        <f>'01_Raw_Data'!A132</f>
        <v/>
      </c>
      <c r="B132" s="10">
        <f>IFERROR(DATEVALUE('01_Raw_Data'!B132), IF('01_Raw_Data'!B132="", DATE(2024,1,1), '01_Raw_Data'!B132))</f>
        <v/>
      </c>
      <c r="C132" s="8">
        <f>IF(OR('01_Raw_Data'!C132="",'01_Raw_Data'!C132="0"), "CUST-GUEST", TRIM('01_Raw_Data'!C132))</f>
        <v/>
      </c>
      <c r="D132" s="8">
        <f>PROPER(TRIM(CLEAN('01_Raw_Data'!D132)))</f>
        <v/>
      </c>
      <c r="E132" s="8">
        <f>ABS(IF(ISNUMBER(VALUE('01_Raw_Data'!F132)), VALUE('01_Raw_Data'!F132), 1))</f>
        <v/>
      </c>
      <c r="F132" s="9">
        <f>'01_Raw_Data'!G132</f>
        <v/>
      </c>
      <c r="G132" s="11">
        <f>IF(ISNUMBER('01_Raw_Data'!H132), '01_Raw_Data'!H132, IFERROR(VALUE(SUBSTITUTE('01_Raw_Data'!H132, "%", ""))/100, 0))</f>
        <v/>
      </c>
      <c r="H132" s="8">
        <f>PROPER(TRIM('01_Raw_Data'!J132))</f>
        <v/>
      </c>
      <c r="I132" s="8">
        <f>IF('01_Raw_Data'!K132="", "REG-NA", UPPER(TRIM('01_Raw_Data'!K132)))</f>
        <v/>
      </c>
      <c r="J132" s="8">
        <f>IF(OR('01_Raw_Data'!C132="", '01_Raw_Data'!F132&lt;0, ISNUMBER(SEARCH("%", '01_Raw_Data'!H132))), "FIXED ANOMALY", "PASSED")</f>
        <v/>
      </c>
      <c r="K132" s="8">
        <f>IF('01_Raw_Data'!F132&lt;0, "Converted Negative Quantity to ABS", IF('01_Raw_Data'!C132="", "Imputed Missing Customer ID", IF(ISNUMBER(SEARCH("%", '01_Raw_Data'!H132)), "Parsed Text % to Numeric Rate", "Standardized Format")))</f>
        <v/>
      </c>
    </row>
    <row r="133">
      <c r="A133" s="8">
        <f>'01_Raw_Data'!A133</f>
        <v/>
      </c>
      <c r="B133" s="10">
        <f>IFERROR(DATEVALUE('01_Raw_Data'!B133), IF('01_Raw_Data'!B133="", DATE(2024,1,1), '01_Raw_Data'!B133))</f>
        <v/>
      </c>
      <c r="C133" s="8">
        <f>IF(OR('01_Raw_Data'!C133="",'01_Raw_Data'!C133="0"), "CUST-GUEST", TRIM('01_Raw_Data'!C133))</f>
        <v/>
      </c>
      <c r="D133" s="8">
        <f>PROPER(TRIM(CLEAN('01_Raw_Data'!D133)))</f>
        <v/>
      </c>
      <c r="E133" s="8">
        <f>ABS(IF(ISNUMBER(VALUE('01_Raw_Data'!F133)), VALUE('01_Raw_Data'!F133), 1))</f>
        <v/>
      </c>
      <c r="F133" s="9">
        <f>'01_Raw_Data'!G133</f>
        <v/>
      </c>
      <c r="G133" s="11">
        <f>IF(ISNUMBER('01_Raw_Data'!H133), '01_Raw_Data'!H133, IFERROR(VALUE(SUBSTITUTE('01_Raw_Data'!H133, "%", ""))/100, 0))</f>
        <v/>
      </c>
      <c r="H133" s="8">
        <f>PROPER(TRIM('01_Raw_Data'!J133))</f>
        <v/>
      </c>
      <c r="I133" s="8">
        <f>IF('01_Raw_Data'!K133="", "REG-NA", UPPER(TRIM('01_Raw_Data'!K133)))</f>
        <v/>
      </c>
      <c r="J133" s="8">
        <f>IF(OR('01_Raw_Data'!C133="", '01_Raw_Data'!F133&lt;0, ISNUMBER(SEARCH("%", '01_Raw_Data'!H133))), "FIXED ANOMALY", "PASSED")</f>
        <v/>
      </c>
      <c r="K133" s="8">
        <f>IF('01_Raw_Data'!F133&lt;0, "Converted Negative Quantity to ABS", IF('01_Raw_Data'!C133="", "Imputed Missing Customer ID", IF(ISNUMBER(SEARCH("%", '01_Raw_Data'!H133)), "Parsed Text % to Numeric Rate", "Standardized Format")))</f>
        <v/>
      </c>
    </row>
    <row r="134">
      <c r="A134" s="8">
        <f>'01_Raw_Data'!A134</f>
        <v/>
      </c>
      <c r="B134" s="10">
        <f>IFERROR(DATEVALUE('01_Raw_Data'!B134), IF('01_Raw_Data'!B134="", DATE(2024,1,1), '01_Raw_Data'!B134))</f>
        <v/>
      </c>
      <c r="C134" s="8">
        <f>IF(OR('01_Raw_Data'!C134="",'01_Raw_Data'!C134="0"), "CUST-GUEST", TRIM('01_Raw_Data'!C134))</f>
        <v/>
      </c>
      <c r="D134" s="8">
        <f>PROPER(TRIM(CLEAN('01_Raw_Data'!D134)))</f>
        <v/>
      </c>
      <c r="E134" s="8">
        <f>ABS(IF(ISNUMBER(VALUE('01_Raw_Data'!F134)), VALUE('01_Raw_Data'!F134), 1))</f>
        <v/>
      </c>
      <c r="F134" s="9">
        <f>'01_Raw_Data'!G134</f>
        <v/>
      </c>
      <c r="G134" s="11">
        <f>IF(ISNUMBER('01_Raw_Data'!H134), '01_Raw_Data'!H134, IFERROR(VALUE(SUBSTITUTE('01_Raw_Data'!H134, "%", ""))/100, 0))</f>
        <v/>
      </c>
      <c r="H134" s="8">
        <f>PROPER(TRIM('01_Raw_Data'!J134))</f>
        <v/>
      </c>
      <c r="I134" s="8">
        <f>IF('01_Raw_Data'!K134="", "REG-NA", UPPER(TRIM('01_Raw_Data'!K134)))</f>
        <v/>
      </c>
      <c r="J134" s="8">
        <f>IF(OR('01_Raw_Data'!C134="", '01_Raw_Data'!F134&lt;0, ISNUMBER(SEARCH("%", '01_Raw_Data'!H134))), "FIXED ANOMALY", "PASSED")</f>
        <v/>
      </c>
      <c r="K134" s="8">
        <f>IF('01_Raw_Data'!F134&lt;0, "Converted Negative Quantity to ABS", IF('01_Raw_Data'!C134="", "Imputed Missing Customer ID", IF(ISNUMBER(SEARCH("%", '01_Raw_Data'!H134)), "Parsed Text % to Numeric Rate", "Standardized Format")))</f>
        <v/>
      </c>
    </row>
    <row r="135">
      <c r="A135" s="8">
        <f>'01_Raw_Data'!A135</f>
        <v/>
      </c>
      <c r="B135" s="10">
        <f>IFERROR(DATEVALUE('01_Raw_Data'!B135), IF('01_Raw_Data'!B135="", DATE(2024,1,1), '01_Raw_Data'!B135))</f>
        <v/>
      </c>
      <c r="C135" s="8">
        <f>IF(OR('01_Raw_Data'!C135="",'01_Raw_Data'!C135="0"), "CUST-GUEST", TRIM('01_Raw_Data'!C135))</f>
        <v/>
      </c>
      <c r="D135" s="8">
        <f>PROPER(TRIM(CLEAN('01_Raw_Data'!D135)))</f>
        <v/>
      </c>
      <c r="E135" s="8">
        <f>ABS(IF(ISNUMBER(VALUE('01_Raw_Data'!F135)), VALUE('01_Raw_Data'!F135), 1))</f>
        <v/>
      </c>
      <c r="F135" s="9">
        <f>'01_Raw_Data'!G135</f>
        <v/>
      </c>
      <c r="G135" s="11">
        <f>IF(ISNUMBER('01_Raw_Data'!H135), '01_Raw_Data'!H135, IFERROR(VALUE(SUBSTITUTE('01_Raw_Data'!H135, "%", ""))/100, 0))</f>
        <v/>
      </c>
      <c r="H135" s="8">
        <f>PROPER(TRIM('01_Raw_Data'!J135))</f>
        <v/>
      </c>
      <c r="I135" s="8">
        <f>IF('01_Raw_Data'!K135="", "REG-NA", UPPER(TRIM('01_Raw_Data'!K135)))</f>
        <v/>
      </c>
      <c r="J135" s="8">
        <f>IF(OR('01_Raw_Data'!C135="", '01_Raw_Data'!F135&lt;0, ISNUMBER(SEARCH("%", '01_Raw_Data'!H135))), "FIXED ANOMALY", "PASSED")</f>
        <v/>
      </c>
      <c r="K135" s="8">
        <f>IF('01_Raw_Data'!F135&lt;0, "Converted Negative Quantity to ABS", IF('01_Raw_Data'!C135="", "Imputed Missing Customer ID", IF(ISNUMBER(SEARCH("%", '01_Raw_Data'!H135)), "Parsed Text % to Numeric Rate", "Standardized Format")))</f>
        <v/>
      </c>
    </row>
    <row r="136">
      <c r="A136" s="8">
        <f>'01_Raw_Data'!A136</f>
        <v/>
      </c>
      <c r="B136" s="10">
        <f>IFERROR(DATEVALUE('01_Raw_Data'!B136), IF('01_Raw_Data'!B136="", DATE(2024,1,1), '01_Raw_Data'!B136))</f>
        <v/>
      </c>
      <c r="C136" s="8">
        <f>IF(OR('01_Raw_Data'!C136="",'01_Raw_Data'!C136="0"), "CUST-GUEST", TRIM('01_Raw_Data'!C136))</f>
        <v/>
      </c>
      <c r="D136" s="8">
        <f>PROPER(TRIM(CLEAN('01_Raw_Data'!D136)))</f>
        <v/>
      </c>
      <c r="E136" s="8">
        <f>ABS(IF(ISNUMBER(VALUE('01_Raw_Data'!F136)), VALUE('01_Raw_Data'!F136), 1))</f>
        <v/>
      </c>
      <c r="F136" s="9">
        <f>'01_Raw_Data'!G136</f>
        <v/>
      </c>
      <c r="G136" s="11">
        <f>IF(ISNUMBER('01_Raw_Data'!H136), '01_Raw_Data'!H136, IFERROR(VALUE(SUBSTITUTE('01_Raw_Data'!H136, "%", ""))/100, 0))</f>
        <v/>
      </c>
      <c r="H136" s="8">
        <f>PROPER(TRIM('01_Raw_Data'!J136))</f>
        <v/>
      </c>
      <c r="I136" s="8">
        <f>IF('01_Raw_Data'!K136="", "REG-NA", UPPER(TRIM('01_Raw_Data'!K136)))</f>
        <v/>
      </c>
      <c r="J136" s="8">
        <f>IF(OR('01_Raw_Data'!C136="", '01_Raw_Data'!F136&lt;0, ISNUMBER(SEARCH("%", '01_Raw_Data'!H136))), "FIXED ANOMALY", "PASSED")</f>
        <v/>
      </c>
      <c r="K136" s="8">
        <f>IF('01_Raw_Data'!F136&lt;0, "Converted Negative Quantity to ABS", IF('01_Raw_Data'!C136="", "Imputed Missing Customer ID", IF(ISNUMBER(SEARCH("%", '01_Raw_Data'!H136)), "Parsed Text % to Numeric Rate", "Standardized Format")))</f>
        <v/>
      </c>
    </row>
    <row r="137">
      <c r="A137" s="8">
        <f>'01_Raw_Data'!A137</f>
        <v/>
      </c>
      <c r="B137" s="10">
        <f>IFERROR(DATEVALUE('01_Raw_Data'!B137), IF('01_Raw_Data'!B137="", DATE(2024,1,1), '01_Raw_Data'!B137))</f>
        <v/>
      </c>
      <c r="C137" s="8">
        <f>IF(OR('01_Raw_Data'!C137="",'01_Raw_Data'!C137="0"), "CUST-GUEST", TRIM('01_Raw_Data'!C137))</f>
        <v/>
      </c>
      <c r="D137" s="8">
        <f>PROPER(TRIM(CLEAN('01_Raw_Data'!D137)))</f>
        <v/>
      </c>
      <c r="E137" s="8">
        <f>ABS(IF(ISNUMBER(VALUE('01_Raw_Data'!F137)), VALUE('01_Raw_Data'!F137), 1))</f>
        <v/>
      </c>
      <c r="F137" s="9">
        <f>'01_Raw_Data'!G137</f>
        <v/>
      </c>
      <c r="G137" s="11">
        <f>IF(ISNUMBER('01_Raw_Data'!H137), '01_Raw_Data'!H137, IFERROR(VALUE(SUBSTITUTE('01_Raw_Data'!H137, "%", ""))/100, 0))</f>
        <v/>
      </c>
      <c r="H137" s="8">
        <f>PROPER(TRIM('01_Raw_Data'!J137))</f>
        <v/>
      </c>
      <c r="I137" s="8">
        <f>IF('01_Raw_Data'!K137="", "REG-NA", UPPER(TRIM('01_Raw_Data'!K137)))</f>
        <v/>
      </c>
      <c r="J137" s="8">
        <f>IF(OR('01_Raw_Data'!C137="", '01_Raw_Data'!F137&lt;0, ISNUMBER(SEARCH("%", '01_Raw_Data'!H137))), "FIXED ANOMALY", "PASSED")</f>
        <v/>
      </c>
      <c r="K137" s="8">
        <f>IF('01_Raw_Data'!F137&lt;0, "Converted Negative Quantity to ABS", IF('01_Raw_Data'!C137="", "Imputed Missing Customer ID", IF(ISNUMBER(SEARCH("%", '01_Raw_Data'!H137)), "Parsed Text % to Numeric Rate", "Standardized Format")))</f>
        <v/>
      </c>
    </row>
    <row r="138">
      <c r="A138" s="8">
        <f>'01_Raw_Data'!A138</f>
        <v/>
      </c>
      <c r="B138" s="10">
        <f>IFERROR(DATEVALUE('01_Raw_Data'!B138), IF('01_Raw_Data'!B138="", DATE(2024,1,1), '01_Raw_Data'!B138))</f>
        <v/>
      </c>
      <c r="C138" s="8">
        <f>IF(OR('01_Raw_Data'!C138="",'01_Raw_Data'!C138="0"), "CUST-GUEST", TRIM('01_Raw_Data'!C138))</f>
        <v/>
      </c>
      <c r="D138" s="8">
        <f>PROPER(TRIM(CLEAN('01_Raw_Data'!D138)))</f>
        <v/>
      </c>
      <c r="E138" s="8">
        <f>ABS(IF(ISNUMBER(VALUE('01_Raw_Data'!F138)), VALUE('01_Raw_Data'!F138), 1))</f>
        <v/>
      </c>
      <c r="F138" s="9">
        <f>'01_Raw_Data'!G138</f>
        <v/>
      </c>
      <c r="G138" s="11">
        <f>IF(ISNUMBER('01_Raw_Data'!H138), '01_Raw_Data'!H138, IFERROR(VALUE(SUBSTITUTE('01_Raw_Data'!H138, "%", ""))/100, 0))</f>
        <v/>
      </c>
      <c r="H138" s="8">
        <f>PROPER(TRIM('01_Raw_Data'!J138))</f>
        <v/>
      </c>
      <c r="I138" s="8">
        <f>IF('01_Raw_Data'!K138="", "REG-NA", UPPER(TRIM('01_Raw_Data'!K138)))</f>
        <v/>
      </c>
      <c r="J138" s="8">
        <f>IF(OR('01_Raw_Data'!C138="", '01_Raw_Data'!F138&lt;0, ISNUMBER(SEARCH("%", '01_Raw_Data'!H138))), "FIXED ANOMALY", "PASSED")</f>
        <v/>
      </c>
      <c r="K138" s="8">
        <f>IF('01_Raw_Data'!F138&lt;0, "Converted Negative Quantity to ABS", IF('01_Raw_Data'!C138="", "Imputed Missing Customer ID", IF(ISNUMBER(SEARCH("%", '01_Raw_Data'!H138)), "Parsed Text % to Numeric Rate", "Standardized Format")))</f>
        <v/>
      </c>
    </row>
    <row r="139">
      <c r="A139" s="8">
        <f>'01_Raw_Data'!A139</f>
        <v/>
      </c>
      <c r="B139" s="10">
        <f>IFERROR(DATEVALUE('01_Raw_Data'!B139), IF('01_Raw_Data'!B139="", DATE(2024,1,1), '01_Raw_Data'!B139))</f>
        <v/>
      </c>
      <c r="C139" s="8">
        <f>IF(OR('01_Raw_Data'!C139="",'01_Raw_Data'!C139="0"), "CUST-GUEST", TRIM('01_Raw_Data'!C139))</f>
        <v/>
      </c>
      <c r="D139" s="8">
        <f>PROPER(TRIM(CLEAN('01_Raw_Data'!D139)))</f>
        <v/>
      </c>
      <c r="E139" s="8">
        <f>ABS(IF(ISNUMBER(VALUE('01_Raw_Data'!F139)), VALUE('01_Raw_Data'!F139), 1))</f>
        <v/>
      </c>
      <c r="F139" s="9">
        <f>'01_Raw_Data'!G139</f>
        <v/>
      </c>
      <c r="G139" s="11">
        <f>IF(ISNUMBER('01_Raw_Data'!H139), '01_Raw_Data'!H139, IFERROR(VALUE(SUBSTITUTE('01_Raw_Data'!H139, "%", ""))/100, 0))</f>
        <v/>
      </c>
      <c r="H139" s="8">
        <f>PROPER(TRIM('01_Raw_Data'!J139))</f>
        <v/>
      </c>
      <c r="I139" s="8">
        <f>IF('01_Raw_Data'!K139="", "REG-NA", UPPER(TRIM('01_Raw_Data'!K139)))</f>
        <v/>
      </c>
      <c r="J139" s="8">
        <f>IF(OR('01_Raw_Data'!C139="", '01_Raw_Data'!F139&lt;0, ISNUMBER(SEARCH("%", '01_Raw_Data'!H139))), "FIXED ANOMALY", "PASSED")</f>
        <v/>
      </c>
      <c r="K139" s="8">
        <f>IF('01_Raw_Data'!F139&lt;0, "Converted Negative Quantity to ABS", IF('01_Raw_Data'!C139="", "Imputed Missing Customer ID", IF(ISNUMBER(SEARCH("%", '01_Raw_Data'!H139)), "Parsed Text % to Numeric Rate", "Standardized Format")))</f>
        <v/>
      </c>
    </row>
    <row r="140">
      <c r="A140" s="8">
        <f>'01_Raw_Data'!A140</f>
        <v/>
      </c>
      <c r="B140" s="10">
        <f>IFERROR(DATEVALUE('01_Raw_Data'!B140), IF('01_Raw_Data'!B140="", DATE(2024,1,1), '01_Raw_Data'!B140))</f>
        <v/>
      </c>
      <c r="C140" s="8">
        <f>IF(OR('01_Raw_Data'!C140="",'01_Raw_Data'!C140="0"), "CUST-GUEST", TRIM('01_Raw_Data'!C140))</f>
        <v/>
      </c>
      <c r="D140" s="8">
        <f>PROPER(TRIM(CLEAN('01_Raw_Data'!D140)))</f>
        <v/>
      </c>
      <c r="E140" s="8">
        <f>ABS(IF(ISNUMBER(VALUE('01_Raw_Data'!F140)), VALUE('01_Raw_Data'!F140), 1))</f>
        <v/>
      </c>
      <c r="F140" s="9">
        <f>'01_Raw_Data'!G140</f>
        <v/>
      </c>
      <c r="G140" s="11">
        <f>IF(ISNUMBER('01_Raw_Data'!H140), '01_Raw_Data'!H140, IFERROR(VALUE(SUBSTITUTE('01_Raw_Data'!H140, "%", ""))/100, 0))</f>
        <v/>
      </c>
      <c r="H140" s="8">
        <f>PROPER(TRIM('01_Raw_Data'!J140))</f>
        <v/>
      </c>
      <c r="I140" s="8">
        <f>IF('01_Raw_Data'!K140="", "REG-NA", UPPER(TRIM('01_Raw_Data'!K140)))</f>
        <v/>
      </c>
      <c r="J140" s="8">
        <f>IF(OR('01_Raw_Data'!C140="", '01_Raw_Data'!F140&lt;0, ISNUMBER(SEARCH("%", '01_Raw_Data'!H140))), "FIXED ANOMALY", "PASSED")</f>
        <v/>
      </c>
      <c r="K140" s="8">
        <f>IF('01_Raw_Data'!F140&lt;0, "Converted Negative Quantity to ABS", IF('01_Raw_Data'!C140="", "Imputed Missing Customer ID", IF(ISNUMBER(SEARCH("%", '01_Raw_Data'!H140)), "Parsed Text % to Numeric Rate", "Standardized Format")))</f>
        <v/>
      </c>
    </row>
    <row r="141">
      <c r="A141" s="8">
        <f>'01_Raw_Data'!A141</f>
        <v/>
      </c>
      <c r="B141" s="10">
        <f>IFERROR(DATEVALUE('01_Raw_Data'!B141), IF('01_Raw_Data'!B141="", DATE(2024,1,1), '01_Raw_Data'!B141))</f>
        <v/>
      </c>
      <c r="C141" s="8">
        <f>IF(OR('01_Raw_Data'!C141="",'01_Raw_Data'!C141="0"), "CUST-GUEST", TRIM('01_Raw_Data'!C141))</f>
        <v/>
      </c>
      <c r="D141" s="8">
        <f>PROPER(TRIM(CLEAN('01_Raw_Data'!D141)))</f>
        <v/>
      </c>
      <c r="E141" s="8">
        <f>ABS(IF(ISNUMBER(VALUE('01_Raw_Data'!F141)), VALUE('01_Raw_Data'!F141), 1))</f>
        <v/>
      </c>
      <c r="F141" s="9">
        <f>'01_Raw_Data'!G141</f>
        <v/>
      </c>
      <c r="G141" s="11">
        <f>IF(ISNUMBER('01_Raw_Data'!H141), '01_Raw_Data'!H141, IFERROR(VALUE(SUBSTITUTE('01_Raw_Data'!H141, "%", ""))/100, 0))</f>
        <v/>
      </c>
      <c r="H141" s="8">
        <f>PROPER(TRIM('01_Raw_Data'!J141))</f>
        <v/>
      </c>
      <c r="I141" s="8">
        <f>IF('01_Raw_Data'!K141="", "REG-NA", UPPER(TRIM('01_Raw_Data'!K141)))</f>
        <v/>
      </c>
      <c r="J141" s="8">
        <f>IF(OR('01_Raw_Data'!C141="", '01_Raw_Data'!F141&lt;0, ISNUMBER(SEARCH("%", '01_Raw_Data'!H141))), "FIXED ANOMALY", "PASSED")</f>
        <v/>
      </c>
      <c r="K141" s="8">
        <f>IF('01_Raw_Data'!F141&lt;0, "Converted Negative Quantity to ABS", IF('01_Raw_Data'!C141="", "Imputed Missing Customer ID", IF(ISNUMBER(SEARCH("%", '01_Raw_Data'!H141)), "Parsed Text % to Numeric Rate", "Standardized Format")))</f>
        <v/>
      </c>
    </row>
    <row r="142">
      <c r="A142" s="8">
        <f>'01_Raw_Data'!A142</f>
        <v/>
      </c>
      <c r="B142" s="10">
        <f>IFERROR(DATEVALUE('01_Raw_Data'!B142), IF('01_Raw_Data'!B142="", DATE(2024,1,1), '01_Raw_Data'!B142))</f>
        <v/>
      </c>
      <c r="C142" s="8">
        <f>IF(OR('01_Raw_Data'!C142="",'01_Raw_Data'!C142="0"), "CUST-GUEST", TRIM('01_Raw_Data'!C142))</f>
        <v/>
      </c>
      <c r="D142" s="8">
        <f>PROPER(TRIM(CLEAN('01_Raw_Data'!D142)))</f>
        <v/>
      </c>
      <c r="E142" s="8">
        <f>ABS(IF(ISNUMBER(VALUE('01_Raw_Data'!F142)), VALUE('01_Raw_Data'!F142), 1))</f>
        <v/>
      </c>
      <c r="F142" s="9">
        <f>'01_Raw_Data'!G142</f>
        <v/>
      </c>
      <c r="G142" s="11">
        <f>IF(ISNUMBER('01_Raw_Data'!H142), '01_Raw_Data'!H142, IFERROR(VALUE(SUBSTITUTE('01_Raw_Data'!H142, "%", ""))/100, 0))</f>
        <v/>
      </c>
      <c r="H142" s="8">
        <f>PROPER(TRIM('01_Raw_Data'!J142))</f>
        <v/>
      </c>
      <c r="I142" s="8">
        <f>IF('01_Raw_Data'!K142="", "REG-NA", UPPER(TRIM('01_Raw_Data'!K142)))</f>
        <v/>
      </c>
      <c r="J142" s="8">
        <f>IF(OR('01_Raw_Data'!C142="", '01_Raw_Data'!F142&lt;0, ISNUMBER(SEARCH("%", '01_Raw_Data'!H142))), "FIXED ANOMALY", "PASSED")</f>
        <v/>
      </c>
      <c r="K142" s="8">
        <f>IF('01_Raw_Data'!F142&lt;0, "Converted Negative Quantity to ABS", IF('01_Raw_Data'!C142="", "Imputed Missing Customer ID", IF(ISNUMBER(SEARCH("%", '01_Raw_Data'!H142)), "Parsed Text % to Numeric Rate", "Standardized Format")))</f>
        <v/>
      </c>
    </row>
    <row r="143">
      <c r="A143" s="8">
        <f>'01_Raw_Data'!A143</f>
        <v/>
      </c>
      <c r="B143" s="10">
        <f>IFERROR(DATEVALUE('01_Raw_Data'!B143), IF('01_Raw_Data'!B143="", DATE(2024,1,1), '01_Raw_Data'!B143))</f>
        <v/>
      </c>
      <c r="C143" s="8">
        <f>IF(OR('01_Raw_Data'!C143="",'01_Raw_Data'!C143="0"), "CUST-GUEST", TRIM('01_Raw_Data'!C143))</f>
        <v/>
      </c>
      <c r="D143" s="8">
        <f>PROPER(TRIM(CLEAN('01_Raw_Data'!D143)))</f>
        <v/>
      </c>
      <c r="E143" s="8">
        <f>ABS(IF(ISNUMBER(VALUE('01_Raw_Data'!F143)), VALUE('01_Raw_Data'!F143), 1))</f>
        <v/>
      </c>
      <c r="F143" s="9">
        <f>'01_Raw_Data'!G143</f>
        <v/>
      </c>
      <c r="G143" s="11">
        <f>IF(ISNUMBER('01_Raw_Data'!H143), '01_Raw_Data'!H143, IFERROR(VALUE(SUBSTITUTE('01_Raw_Data'!H143, "%", ""))/100, 0))</f>
        <v/>
      </c>
      <c r="H143" s="8">
        <f>PROPER(TRIM('01_Raw_Data'!J143))</f>
        <v/>
      </c>
      <c r="I143" s="8">
        <f>IF('01_Raw_Data'!K143="", "REG-NA", UPPER(TRIM('01_Raw_Data'!K143)))</f>
        <v/>
      </c>
      <c r="J143" s="8">
        <f>IF(OR('01_Raw_Data'!C143="", '01_Raw_Data'!F143&lt;0, ISNUMBER(SEARCH("%", '01_Raw_Data'!H143))), "FIXED ANOMALY", "PASSED")</f>
        <v/>
      </c>
      <c r="K143" s="8">
        <f>IF('01_Raw_Data'!F143&lt;0, "Converted Negative Quantity to ABS", IF('01_Raw_Data'!C143="", "Imputed Missing Customer ID", IF(ISNUMBER(SEARCH("%", '01_Raw_Data'!H143)), "Parsed Text % to Numeric Rate", "Standardized Format")))</f>
        <v/>
      </c>
    </row>
    <row r="144">
      <c r="A144" s="8">
        <f>'01_Raw_Data'!A144</f>
        <v/>
      </c>
      <c r="B144" s="10">
        <f>IFERROR(DATEVALUE('01_Raw_Data'!B144), IF('01_Raw_Data'!B144="", DATE(2024,1,1), '01_Raw_Data'!B144))</f>
        <v/>
      </c>
      <c r="C144" s="8">
        <f>IF(OR('01_Raw_Data'!C144="",'01_Raw_Data'!C144="0"), "CUST-GUEST", TRIM('01_Raw_Data'!C144))</f>
        <v/>
      </c>
      <c r="D144" s="8">
        <f>PROPER(TRIM(CLEAN('01_Raw_Data'!D144)))</f>
        <v/>
      </c>
      <c r="E144" s="8">
        <f>ABS(IF(ISNUMBER(VALUE('01_Raw_Data'!F144)), VALUE('01_Raw_Data'!F144), 1))</f>
        <v/>
      </c>
      <c r="F144" s="9">
        <f>'01_Raw_Data'!G144</f>
        <v/>
      </c>
      <c r="G144" s="11">
        <f>IF(ISNUMBER('01_Raw_Data'!H144), '01_Raw_Data'!H144, IFERROR(VALUE(SUBSTITUTE('01_Raw_Data'!H144, "%", ""))/100, 0))</f>
        <v/>
      </c>
      <c r="H144" s="8">
        <f>PROPER(TRIM('01_Raw_Data'!J144))</f>
        <v/>
      </c>
      <c r="I144" s="8">
        <f>IF('01_Raw_Data'!K144="", "REG-NA", UPPER(TRIM('01_Raw_Data'!K144)))</f>
        <v/>
      </c>
      <c r="J144" s="8">
        <f>IF(OR('01_Raw_Data'!C144="", '01_Raw_Data'!F144&lt;0, ISNUMBER(SEARCH("%", '01_Raw_Data'!H144))), "FIXED ANOMALY", "PASSED")</f>
        <v/>
      </c>
      <c r="K144" s="8">
        <f>IF('01_Raw_Data'!F144&lt;0, "Converted Negative Quantity to ABS", IF('01_Raw_Data'!C144="", "Imputed Missing Customer ID", IF(ISNUMBER(SEARCH("%", '01_Raw_Data'!H144)), "Parsed Text % to Numeric Rate", "Standardized Format")))</f>
        <v/>
      </c>
    </row>
    <row r="145">
      <c r="A145" s="8">
        <f>'01_Raw_Data'!A145</f>
        <v/>
      </c>
      <c r="B145" s="10">
        <f>IFERROR(DATEVALUE('01_Raw_Data'!B145), IF('01_Raw_Data'!B145="", DATE(2024,1,1), '01_Raw_Data'!B145))</f>
        <v/>
      </c>
      <c r="C145" s="8">
        <f>IF(OR('01_Raw_Data'!C145="",'01_Raw_Data'!C145="0"), "CUST-GUEST", TRIM('01_Raw_Data'!C145))</f>
        <v/>
      </c>
      <c r="D145" s="8">
        <f>PROPER(TRIM(CLEAN('01_Raw_Data'!D145)))</f>
        <v/>
      </c>
      <c r="E145" s="8">
        <f>ABS(IF(ISNUMBER(VALUE('01_Raw_Data'!F145)), VALUE('01_Raw_Data'!F145), 1))</f>
        <v/>
      </c>
      <c r="F145" s="9">
        <f>'01_Raw_Data'!G145</f>
        <v/>
      </c>
      <c r="G145" s="11">
        <f>IF(ISNUMBER('01_Raw_Data'!H145), '01_Raw_Data'!H145, IFERROR(VALUE(SUBSTITUTE('01_Raw_Data'!H145, "%", ""))/100, 0))</f>
        <v/>
      </c>
      <c r="H145" s="8">
        <f>PROPER(TRIM('01_Raw_Data'!J145))</f>
        <v/>
      </c>
      <c r="I145" s="8">
        <f>IF('01_Raw_Data'!K145="", "REG-NA", UPPER(TRIM('01_Raw_Data'!K145)))</f>
        <v/>
      </c>
      <c r="J145" s="8">
        <f>IF(OR('01_Raw_Data'!C145="", '01_Raw_Data'!F145&lt;0, ISNUMBER(SEARCH("%", '01_Raw_Data'!H145))), "FIXED ANOMALY", "PASSED")</f>
        <v/>
      </c>
      <c r="K145" s="8">
        <f>IF('01_Raw_Data'!F145&lt;0, "Converted Negative Quantity to ABS", IF('01_Raw_Data'!C145="", "Imputed Missing Customer ID", IF(ISNUMBER(SEARCH("%", '01_Raw_Data'!H145)), "Parsed Text % to Numeric Rate", "Standardized Format")))</f>
        <v/>
      </c>
    </row>
    <row r="146">
      <c r="A146" s="8">
        <f>'01_Raw_Data'!A146</f>
        <v/>
      </c>
      <c r="B146" s="10">
        <f>IFERROR(DATEVALUE('01_Raw_Data'!B146), IF('01_Raw_Data'!B146="", DATE(2024,1,1), '01_Raw_Data'!B146))</f>
        <v/>
      </c>
      <c r="C146" s="8">
        <f>IF(OR('01_Raw_Data'!C146="",'01_Raw_Data'!C146="0"), "CUST-GUEST", TRIM('01_Raw_Data'!C146))</f>
        <v/>
      </c>
      <c r="D146" s="8">
        <f>PROPER(TRIM(CLEAN('01_Raw_Data'!D146)))</f>
        <v/>
      </c>
      <c r="E146" s="8">
        <f>ABS(IF(ISNUMBER(VALUE('01_Raw_Data'!F146)), VALUE('01_Raw_Data'!F146), 1))</f>
        <v/>
      </c>
      <c r="F146" s="9">
        <f>'01_Raw_Data'!G146</f>
        <v/>
      </c>
      <c r="G146" s="11">
        <f>IF(ISNUMBER('01_Raw_Data'!H146), '01_Raw_Data'!H146, IFERROR(VALUE(SUBSTITUTE('01_Raw_Data'!H146, "%", ""))/100, 0))</f>
        <v/>
      </c>
      <c r="H146" s="8">
        <f>PROPER(TRIM('01_Raw_Data'!J146))</f>
        <v/>
      </c>
      <c r="I146" s="8">
        <f>IF('01_Raw_Data'!K146="", "REG-NA", UPPER(TRIM('01_Raw_Data'!K146)))</f>
        <v/>
      </c>
      <c r="J146" s="8">
        <f>IF(OR('01_Raw_Data'!C146="", '01_Raw_Data'!F146&lt;0, ISNUMBER(SEARCH("%", '01_Raw_Data'!H146))), "FIXED ANOMALY", "PASSED")</f>
        <v/>
      </c>
      <c r="K146" s="8">
        <f>IF('01_Raw_Data'!F146&lt;0, "Converted Negative Quantity to ABS", IF('01_Raw_Data'!C146="", "Imputed Missing Customer ID", IF(ISNUMBER(SEARCH("%", '01_Raw_Data'!H146)), "Parsed Text % to Numeric Rate", "Standardized Format")))</f>
        <v/>
      </c>
    </row>
    <row r="147">
      <c r="A147" s="8">
        <f>'01_Raw_Data'!A147</f>
        <v/>
      </c>
      <c r="B147" s="10">
        <f>IFERROR(DATEVALUE('01_Raw_Data'!B147), IF('01_Raw_Data'!B147="", DATE(2024,1,1), '01_Raw_Data'!B147))</f>
        <v/>
      </c>
      <c r="C147" s="8">
        <f>IF(OR('01_Raw_Data'!C147="",'01_Raw_Data'!C147="0"), "CUST-GUEST", TRIM('01_Raw_Data'!C147))</f>
        <v/>
      </c>
      <c r="D147" s="8">
        <f>PROPER(TRIM(CLEAN('01_Raw_Data'!D147)))</f>
        <v/>
      </c>
      <c r="E147" s="8">
        <f>ABS(IF(ISNUMBER(VALUE('01_Raw_Data'!F147)), VALUE('01_Raw_Data'!F147), 1))</f>
        <v/>
      </c>
      <c r="F147" s="9">
        <f>'01_Raw_Data'!G147</f>
        <v/>
      </c>
      <c r="G147" s="11">
        <f>IF(ISNUMBER('01_Raw_Data'!H147), '01_Raw_Data'!H147, IFERROR(VALUE(SUBSTITUTE('01_Raw_Data'!H147, "%", ""))/100, 0))</f>
        <v/>
      </c>
      <c r="H147" s="8">
        <f>PROPER(TRIM('01_Raw_Data'!J147))</f>
        <v/>
      </c>
      <c r="I147" s="8">
        <f>IF('01_Raw_Data'!K147="", "REG-NA", UPPER(TRIM('01_Raw_Data'!K147)))</f>
        <v/>
      </c>
      <c r="J147" s="8">
        <f>IF(OR('01_Raw_Data'!C147="", '01_Raw_Data'!F147&lt;0, ISNUMBER(SEARCH("%", '01_Raw_Data'!H147))), "FIXED ANOMALY", "PASSED")</f>
        <v/>
      </c>
      <c r="K147" s="8">
        <f>IF('01_Raw_Data'!F147&lt;0, "Converted Negative Quantity to ABS", IF('01_Raw_Data'!C147="", "Imputed Missing Customer ID", IF(ISNUMBER(SEARCH("%", '01_Raw_Data'!H147)), "Parsed Text % to Numeric Rate", "Standardized Format")))</f>
        <v/>
      </c>
    </row>
    <row r="148">
      <c r="A148" s="8">
        <f>'01_Raw_Data'!A148</f>
        <v/>
      </c>
      <c r="B148" s="10">
        <f>IFERROR(DATEVALUE('01_Raw_Data'!B148), IF('01_Raw_Data'!B148="", DATE(2024,1,1), '01_Raw_Data'!B148))</f>
        <v/>
      </c>
      <c r="C148" s="8">
        <f>IF(OR('01_Raw_Data'!C148="",'01_Raw_Data'!C148="0"), "CUST-GUEST", TRIM('01_Raw_Data'!C148))</f>
        <v/>
      </c>
      <c r="D148" s="8">
        <f>PROPER(TRIM(CLEAN('01_Raw_Data'!D148)))</f>
        <v/>
      </c>
      <c r="E148" s="8">
        <f>ABS(IF(ISNUMBER(VALUE('01_Raw_Data'!F148)), VALUE('01_Raw_Data'!F148), 1))</f>
        <v/>
      </c>
      <c r="F148" s="9">
        <f>'01_Raw_Data'!G148</f>
        <v/>
      </c>
      <c r="G148" s="11">
        <f>IF(ISNUMBER('01_Raw_Data'!H148), '01_Raw_Data'!H148, IFERROR(VALUE(SUBSTITUTE('01_Raw_Data'!H148, "%", ""))/100, 0))</f>
        <v/>
      </c>
      <c r="H148" s="8">
        <f>PROPER(TRIM('01_Raw_Data'!J148))</f>
        <v/>
      </c>
      <c r="I148" s="8">
        <f>IF('01_Raw_Data'!K148="", "REG-NA", UPPER(TRIM('01_Raw_Data'!K148)))</f>
        <v/>
      </c>
      <c r="J148" s="8">
        <f>IF(OR('01_Raw_Data'!C148="", '01_Raw_Data'!F148&lt;0, ISNUMBER(SEARCH("%", '01_Raw_Data'!H148))), "FIXED ANOMALY", "PASSED")</f>
        <v/>
      </c>
      <c r="K148" s="8">
        <f>IF('01_Raw_Data'!F148&lt;0, "Converted Negative Quantity to ABS", IF('01_Raw_Data'!C148="", "Imputed Missing Customer ID", IF(ISNUMBER(SEARCH("%", '01_Raw_Data'!H148)), "Parsed Text % to Numeric Rate", "Standardized Format")))</f>
        <v/>
      </c>
    </row>
    <row r="149">
      <c r="A149" s="8">
        <f>'01_Raw_Data'!A149</f>
        <v/>
      </c>
      <c r="B149" s="10">
        <f>IFERROR(DATEVALUE('01_Raw_Data'!B149), IF('01_Raw_Data'!B149="", DATE(2024,1,1), '01_Raw_Data'!B149))</f>
        <v/>
      </c>
      <c r="C149" s="8">
        <f>IF(OR('01_Raw_Data'!C149="",'01_Raw_Data'!C149="0"), "CUST-GUEST", TRIM('01_Raw_Data'!C149))</f>
        <v/>
      </c>
      <c r="D149" s="8">
        <f>PROPER(TRIM(CLEAN('01_Raw_Data'!D149)))</f>
        <v/>
      </c>
      <c r="E149" s="8">
        <f>ABS(IF(ISNUMBER(VALUE('01_Raw_Data'!F149)), VALUE('01_Raw_Data'!F149), 1))</f>
        <v/>
      </c>
      <c r="F149" s="9">
        <f>'01_Raw_Data'!G149</f>
        <v/>
      </c>
      <c r="G149" s="11">
        <f>IF(ISNUMBER('01_Raw_Data'!H149), '01_Raw_Data'!H149, IFERROR(VALUE(SUBSTITUTE('01_Raw_Data'!H149, "%", ""))/100, 0))</f>
        <v/>
      </c>
      <c r="H149" s="8">
        <f>PROPER(TRIM('01_Raw_Data'!J149))</f>
        <v/>
      </c>
      <c r="I149" s="8">
        <f>IF('01_Raw_Data'!K149="", "REG-NA", UPPER(TRIM('01_Raw_Data'!K149)))</f>
        <v/>
      </c>
      <c r="J149" s="8">
        <f>IF(OR('01_Raw_Data'!C149="", '01_Raw_Data'!F149&lt;0, ISNUMBER(SEARCH("%", '01_Raw_Data'!H149))), "FIXED ANOMALY", "PASSED")</f>
        <v/>
      </c>
      <c r="K149" s="8">
        <f>IF('01_Raw_Data'!F149&lt;0, "Converted Negative Quantity to ABS", IF('01_Raw_Data'!C149="", "Imputed Missing Customer ID", IF(ISNUMBER(SEARCH("%", '01_Raw_Data'!H149)), "Parsed Text % to Numeric Rate", "Standardized Format")))</f>
        <v/>
      </c>
    </row>
    <row r="150">
      <c r="A150" s="8">
        <f>'01_Raw_Data'!A150</f>
        <v/>
      </c>
      <c r="B150" s="10">
        <f>IFERROR(DATEVALUE('01_Raw_Data'!B150), IF('01_Raw_Data'!B150="", DATE(2024,1,1), '01_Raw_Data'!B150))</f>
        <v/>
      </c>
      <c r="C150" s="8">
        <f>IF(OR('01_Raw_Data'!C150="",'01_Raw_Data'!C150="0"), "CUST-GUEST", TRIM('01_Raw_Data'!C150))</f>
        <v/>
      </c>
      <c r="D150" s="8">
        <f>PROPER(TRIM(CLEAN('01_Raw_Data'!D150)))</f>
        <v/>
      </c>
      <c r="E150" s="8">
        <f>ABS(IF(ISNUMBER(VALUE('01_Raw_Data'!F150)), VALUE('01_Raw_Data'!F150), 1))</f>
        <v/>
      </c>
      <c r="F150" s="9">
        <f>'01_Raw_Data'!G150</f>
        <v/>
      </c>
      <c r="G150" s="11">
        <f>IF(ISNUMBER('01_Raw_Data'!H150), '01_Raw_Data'!H150, IFERROR(VALUE(SUBSTITUTE('01_Raw_Data'!H150, "%", ""))/100, 0))</f>
        <v/>
      </c>
      <c r="H150" s="8">
        <f>PROPER(TRIM('01_Raw_Data'!J150))</f>
        <v/>
      </c>
      <c r="I150" s="8">
        <f>IF('01_Raw_Data'!K150="", "REG-NA", UPPER(TRIM('01_Raw_Data'!K150)))</f>
        <v/>
      </c>
      <c r="J150" s="8">
        <f>IF(OR('01_Raw_Data'!C150="", '01_Raw_Data'!F150&lt;0, ISNUMBER(SEARCH("%", '01_Raw_Data'!H150))), "FIXED ANOMALY", "PASSED")</f>
        <v/>
      </c>
      <c r="K150" s="8">
        <f>IF('01_Raw_Data'!F150&lt;0, "Converted Negative Quantity to ABS", IF('01_Raw_Data'!C150="", "Imputed Missing Customer ID", IF(ISNUMBER(SEARCH("%", '01_Raw_Data'!H150)), "Parsed Text % to Numeric Rate", "Standardized Format")))</f>
        <v/>
      </c>
    </row>
    <row r="151">
      <c r="A151" s="8">
        <f>'01_Raw_Data'!A151</f>
        <v/>
      </c>
      <c r="B151" s="10">
        <f>IFERROR(DATEVALUE('01_Raw_Data'!B151), IF('01_Raw_Data'!B151="", DATE(2024,1,1), '01_Raw_Data'!B151))</f>
        <v/>
      </c>
      <c r="C151" s="8">
        <f>IF(OR('01_Raw_Data'!C151="",'01_Raw_Data'!C151="0"), "CUST-GUEST", TRIM('01_Raw_Data'!C151))</f>
        <v/>
      </c>
      <c r="D151" s="8">
        <f>PROPER(TRIM(CLEAN('01_Raw_Data'!D151)))</f>
        <v/>
      </c>
      <c r="E151" s="8">
        <f>ABS(IF(ISNUMBER(VALUE('01_Raw_Data'!F151)), VALUE('01_Raw_Data'!F151), 1))</f>
        <v/>
      </c>
      <c r="F151" s="9">
        <f>'01_Raw_Data'!G151</f>
        <v/>
      </c>
      <c r="G151" s="11">
        <f>IF(ISNUMBER('01_Raw_Data'!H151), '01_Raw_Data'!H151, IFERROR(VALUE(SUBSTITUTE('01_Raw_Data'!H151, "%", ""))/100, 0))</f>
        <v/>
      </c>
      <c r="H151" s="8">
        <f>PROPER(TRIM('01_Raw_Data'!J151))</f>
        <v/>
      </c>
      <c r="I151" s="8">
        <f>IF('01_Raw_Data'!K151="", "REG-NA", UPPER(TRIM('01_Raw_Data'!K151)))</f>
        <v/>
      </c>
      <c r="J151" s="8">
        <f>IF(OR('01_Raw_Data'!C151="", '01_Raw_Data'!F151&lt;0, ISNUMBER(SEARCH("%", '01_Raw_Data'!H151))), "FIXED ANOMALY", "PASSED")</f>
        <v/>
      </c>
      <c r="K151" s="8">
        <f>IF('01_Raw_Data'!F151&lt;0, "Converted Negative Quantity to ABS", IF('01_Raw_Data'!C151="", "Imputed Missing Customer ID", IF(ISNUMBER(SEARCH("%", '01_Raw_Data'!H151)), "Parsed Text % to Numeric Rate", "Standardized Format")))</f>
        <v/>
      </c>
    </row>
    <row r="152">
      <c r="A152" s="8">
        <f>'01_Raw_Data'!A152</f>
        <v/>
      </c>
      <c r="B152" s="10">
        <f>IFERROR(DATEVALUE('01_Raw_Data'!B152), IF('01_Raw_Data'!B152="", DATE(2024,1,1), '01_Raw_Data'!B152))</f>
        <v/>
      </c>
      <c r="C152" s="8">
        <f>IF(OR('01_Raw_Data'!C152="",'01_Raw_Data'!C152="0"), "CUST-GUEST", TRIM('01_Raw_Data'!C152))</f>
        <v/>
      </c>
      <c r="D152" s="8">
        <f>PROPER(TRIM(CLEAN('01_Raw_Data'!D152)))</f>
        <v/>
      </c>
      <c r="E152" s="8">
        <f>ABS(IF(ISNUMBER(VALUE('01_Raw_Data'!F152)), VALUE('01_Raw_Data'!F152), 1))</f>
        <v/>
      </c>
      <c r="F152" s="9">
        <f>'01_Raw_Data'!G152</f>
        <v/>
      </c>
      <c r="G152" s="11">
        <f>IF(ISNUMBER('01_Raw_Data'!H152), '01_Raw_Data'!H152, IFERROR(VALUE(SUBSTITUTE('01_Raw_Data'!H152, "%", ""))/100, 0))</f>
        <v/>
      </c>
      <c r="H152" s="8">
        <f>PROPER(TRIM('01_Raw_Data'!J152))</f>
        <v/>
      </c>
      <c r="I152" s="8">
        <f>IF('01_Raw_Data'!K152="", "REG-NA", UPPER(TRIM('01_Raw_Data'!K152)))</f>
        <v/>
      </c>
      <c r="J152" s="8">
        <f>IF(OR('01_Raw_Data'!C152="", '01_Raw_Data'!F152&lt;0, ISNUMBER(SEARCH("%", '01_Raw_Data'!H152))), "FIXED ANOMALY", "PASSED")</f>
        <v/>
      </c>
      <c r="K152" s="8">
        <f>IF('01_Raw_Data'!F152&lt;0, "Converted Negative Quantity to ABS", IF('01_Raw_Data'!C152="", "Imputed Missing Customer ID", IF(ISNUMBER(SEARCH("%", '01_Raw_Data'!H152)), "Parsed Text % to Numeric Rate", "Standardized Format")))</f>
        <v/>
      </c>
    </row>
    <row r="153">
      <c r="A153" s="8">
        <f>'01_Raw_Data'!A153</f>
        <v/>
      </c>
      <c r="B153" s="10">
        <f>IFERROR(DATEVALUE('01_Raw_Data'!B153), IF('01_Raw_Data'!B153="", DATE(2024,1,1), '01_Raw_Data'!B153))</f>
        <v/>
      </c>
      <c r="C153" s="8">
        <f>IF(OR('01_Raw_Data'!C153="",'01_Raw_Data'!C153="0"), "CUST-GUEST", TRIM('01_Raw_Data'!C153))</f>
        <v/>
      </c>
      <c r="D153" s="8">
        <f>PROPER(TRIM(CLEAN('01_Raw_Data'!D153)))</f>
        <v/>
      </c>
      <c r="E153" s="8">
        <f>ABS(IF(ISNUMBER(VALUE('01_Raw_Data'!F153)), VALUE('01_Raw_Data'!F153), 1))</f>
        <v/>
      </c>
      <c r="F153" s="9">
        <f>'01_Raw_Data'!G153</f>
        <v/>
      </c>
      <c r="G153" s="11">
        <f>IF(ISNUMBER('01_Raw_Data'!H153), '01_Raw_Data'!H153, IFERROR(VALUE(SUBSTITUTE('01_Raw_Data'!H153, "%", ""))/100, 0))</f>
        <v/>
      </c>
      <c r="H153" s="8">
        <f>PROPER(TRIM('01_Raw_Data'!J153))</f>
        <v/>
      </c>
      <c r="I153" s="8">
        <f>IF('01_Raw_Data'!K153="", "REG-NA", UPPER(TRIM('01_Raw_Data'!K153)))</f>
        <v/>
      </c>
      <c r="J153" s="8">
        <f>IF(OR('01_Raw_Data'!C153="", '01_Raw_Data'!F153&lt;0, ISNUMBER(SEARCH("%", '01_Raw_Data'!H153))), "FIXED ANOMALY", "PASSED")</f>
        <v/>
      </c>
      <c r="K153" s="8">
        <f>IF('01_Raw_Data'!F153&lt;0, "Converted Negative Quantity to ABS", IF('01_Raw_Data'!C153="", "Imputed Missing Customer ID", IF(ISNUMBER(SEARCH("%", '01_Raw_Data'!H153)), "Parsed Text % to Numeric Rate", "Standardized Format")))</f>
        <v/>
      </c>
    </row>
    <row r="154">
      <c r="A154" s="8">
        <f>'01_Raw_Data'!A154</f>
        <v/>
      </c>
      <c r="B154" s="10">
        <f>IFERROR(DATEVALUE('01_Raw_Data'!B154), IF('01_Raw_Data'!B154="", DATE(2024,1,1), '01_Raw_Data'!B154))</f>
        <v/>
      </c>
      <c r="C154" s="8">
        <f>IF(OR('01_Raw_Data'!C154="",'01_Raw_Data'!C154="0"), "CUST-GUEST", TRIM('01_Raw_Data'!C154))</f>
        <v/>
      </c>
      <c r="D154" s="8">
        <f>PROPER(TRIM(CLEAN('01_Raw_Data'!D154)))</f>
        <v/>
      </c>
      <c r="E154" s="8">
        <f>ABS(IF(ISNUMBER(VALUE('01_Raw_Data'!F154)), VALUE('01_Raw_Data'!F154), 1))</f>
        <v/>
      </c>
      <c r="F154" s="9">
        <f>'01_Raw_Data'!G154</f>
        <v/>
      </c>
      <c r="G154" s="11">
        <f>IF(ISNUMBER('01_Raw_Data'!H154), '01_Raw_Data'!H154, IFERROR(VALUE(SUBSTITUTE('01_Raw_Data'!H154, "%", ""))/100, 0))</f>
        <v/>
      </c>
      <c r="H154" s="8">
        <f>PROPER(TRIM('01_Raw_Data'!J154))</f>
        <v/>
      </c>
      <c r="I154" s="8">
        <f>IF('01_Raw_Data'!K154="", "REG-NA", UPPER(TRIM('01_Raw_Data'!K154)))</f>
        <v/>
      </c>
      <c r="J154" s="8">
        <f>IF(OR('01_Raw_Data'!C154="", '01_Raw_Data'!F154&lt;0, ISNUMBER(SEARCH("%", '01_Raw_Data'!H154))), "FIXED ANOMALY", "PASSED")</f>
        <v/>
      </c>
      <c r="K154" s="8">
        <f>IF('01_Raw_Data'!F154&lt;0, "Converted Negative Quantity to ABS", IF('01_Raw_Data'!C154="", "Imputed Missing Customer ID", IF(ISNUMBER(SEARCH("%", '01_Raw_Data'!H154)), "Parsed Text % to Numeric Rate", "Standardized Format")))</f>
        <v/>
      </c>
    </row>
    <row r="155">
      <c r="A155" s="8">
        <f>'01_Raw_Data'!A155</f>
        <v/>
      </c>
      <c r="B155" s="10">
        <f>IFERROR(DATEVALUE('01_Raw_Data'!B155), IF('01_Raw_Data'!B155="", DATE(2024,1,1), '01_Raw_Data'!B155))</f>
        <v/>
      </c>
      <c r="C155" s="8">
        <f>IF(OR('01_Raw_Data'!C155="",'01_Raw_Data'!C155="0"), "CUST-GUEST", TRIM('01_Raw_Data'!C155))</f>
        <v/>
      </c>
      <c r="D155" s="8">
        <f>PROPER(TRIM(CLEAN('01_Raw_Data'!D155)))</f>
        <v/>
      </c>
      <c r="E155" s="8">
        <f>ABS(IF(ISNUMBER(VALUE('01_Raw_Data'!F155)), VALUE('01_Raw_Data'!F155), 1))</f>
        <v/>
      </c>
      <c r="F155" s="9">
        <f>'01_Raw_Data'!G155</f>
        <v/>
      </c>
      <c r="G155" s="11">
        <f>IF(ISNUMBER('01_Raw_Data'!H155), '01_Raw_Data'!H155, IFERROR(VALUE(SUBSTITUTE('01_Raw_Data'!H155, "%", ""))/100, 0))</f>
        <v/>
      </c>
      <c r="H155" s="8">
        <f>PROPER(TRIM('01_Raw_Data'!J155))</f>
        <v/>
      </c>
      <c r="I155" s="8">
        <f>IF('01_Raw_Data'!K155="", "REG-NA", UPPER(TRIM('01_Raw_Data'!K155)))</f>
        <v/>
      </c>
      <c r="J155" s="8">
        <f>IF(OR('01_Raw_Data'!C155="", '01_Raw_Data'!F155&lt;0, ISNUMBER(SEARCH("%", '01_Raw_Data'!H155))), "FIXED ANOMALY", "PASSED")</f>
        <v/>
      </c>
      <c r="K155" s="8">
        <f>IF('01_Raw_Data'!F155&lt;0, "Converted Negative Quantity to ABS", IF('01_Raw_Data'!C155="", "Imputed Missing Customer ID", IF(ISNUMBER(SEARCH("%", '01_Raw_Data'!H155)), "Parsed Text % to Numeric Rate", "Standardized Format")))</f>
        <v/>
      </c>
    </row>
    <row r="156">
      <c r="A156" s="8">
        <f>'01_Raw_Data'!A156</f>
        <v/>
      </c>
      <c r="B156" s="10">
        <f>IFERROR(DATEVALUE('01_Raw_Data'!B156), IF('01_Raw_Data'!B156="", DATE(2024,1,1), '01_Raw_Data'!B156))</f>
        <v/>
      </c>
      <c r="C156" s="8">
        <f>IF(OR('01_Raw_Data'!C156="",'01_Raw_Data'!C156="0"), "CUST-GUEST", TRIM('01_Raw_Data'!C156))</f>
        <v/>
      </c>
      <c r="D156" s="8">
        <f>PROPER(TRIM(CLEAN('01_Raw_Data'!D156)))</f>
        <v/>
      </c>
      <c r="E156" s="8">
        <f>ABS(IF(ISNUMBER(VALUE('01_Raw_Data'!F156)), VALUE('01_Raw_Data'!F156), 1))</f>
        <v/>
      </c>
      <c r="F156" s="9">
        <f>'01_Raw_Data'!G156</f>
        <v/>
      </c>
      <c r="G156" s="11">
        <f>IF(ISNUMBER('01_Raw_Data'!H156), '01_Raw_Data'!H156, IFERROR(VALUE(SUBSTITUTE('01_Raw_Data'!H156, "%", ""))/100, 0))</f>
        <v/>
      </c>
      <c r="H156" s="8">
        <f>PROPER(TRIM('01_Raw_Data'!J156))</f>
        <v/>
      </c>
      <c r="I156" s="8">
        <f>IF('01_Raw_Data'!K156="", "REG-NA", UPPER(TRIM('01_Raw_Data'!K156)))</f>
        <v/>
      </c>
      <c r="J156" s="8">
        <f>IF(OR('01_Raw_Data'!C156="", '01_Raw_Data'!F156&lt;0, ISNUMBER(SEARCH("%", '01_Raw_Data'!H156))), "FIXED ANOMALY", "PASSED")</f>
        <v/>
      </c>
      <c r="K156" s="8">
        <f>IF('01_Raw_Data'!F156&lt;0, "Converted Negative Quantity to ABS", IF('01_Raw_Data'!C156="", "Imputed Missing Customer ID", IF(ISNUMBER(SEARCH("%", '01_Raw_Data'!H156)), "Parsed Text % to Numeric Rate", "Standardized Format")))</f>
        <v/>
      </c>
    </row>
    <row r="157">
      <c r="A157" s="8">
        <f>'01_Raw_Data'!A157</f>
        <v/>
      </c>
      <c r="B157" s="10">
        <f>IFERROR(DATEVALUE('01_Raw_Data'!B157), IF('01_Raw_Data'!B157="", DATE(2024,1,1), '01_Raw_Data'!B157))</f>
        <v/>
      </c>
      <c r="C157" s="8">
        <f>IF(OR('01_Raw_Data'!C157="",'01_Raw_Data'!C157="0"), "CUST-GUEST", TRIM('01_Raw_Data'!C157))</f>
        <v/>
      </c>
      <c r="D157" s="8">
        <f>PROPER(TRIM(CLEAN('01_Raw_Data'!D157)))</f>
        <v/>
      </c>
      <c r="E157" s="8">
        <f>ABS(IF(ISNUMBER(VALUE('01_Raw_Data'!F157)), VALUE('01_Raw_Data'!F157), 1))</f>
        <v/>
      </c>
      <c r="F157" s="9">
        <f>'01_Raw_Data'!G157</f>
        <v/>
      </c>
      <c r="G157" s="11">
        <f>IF(ISNUMBER('01_Raw_Data'!H157), '01_Raw_Data'!H157, IFERROR(VALUE(SUBSTITUTE('01_Raw_Data'!H157, "%", ""))/100, 0))</f>
        <v/>
      </c>
      <c r="H157" s="8">
        <f>PROPER(TRIM('01_Raw_Data'!J157))</f>
        <v/>
      </c>
      <c r="I157" s="8">
        <f>IF('01_Raw_Data'!K157="", "REG-NA", UPPER(TRIM('01_Raw_Data'!K157)))</f>
        <v/>
      </c>
      <c r="J157" s="8">
        <f>IF(OR('01_Raw_Data'!C157="", '01_Raw_Data'!F157&lt;0, ISNUMBER(SEARCH("%", '01_Raw_Data'!H157))), "FIXED ANOMALY", "PASSED")</f>
        <v/>
      </c>
      <c r="K157" s="8">
        <f>IF('01_Raw_Data'!F157&lt;0, "Converted Negative Quantity to ABS", IF('01_Raw_Data'!C157="", "Imputed Missing Customer ID", IF(ISNUMBER(SEARCH("%", '01_Raw_Data'!H157)), "Parsed Text % to Numeric Rate", "Standardized Format")))</f>
        <v/>
      </c>
    </row>
    <row r="158">
      <c r="A158" s="8">
        <f>'01_Raw_Data'!A158</f>
        <v/>
      </c>
      <c r="B158" s="10">
        <f>IFERROR(DATEVALUE('01_Raw_Data'!B158), IF('01_Raw_Data'!B158="", DATE(2024,1,1), '01_Raw_Data'!B158))</f>
        <v/>
      </c>
      <c r="C158" s="8">
        <f>IF(OR('01_Raw_Data'!C158="",'01_Raw_Data'!C158="0"), "CUST-GUEST", TRIM('01_Raw_Data'!C158))</f>
        <v/>
      </c>
      <c r="D158" s="8">
        <f>PROPER(TRIM(CLEAN('01_Raw_Data'!D158)))</f>
        <v/>
      </c>
      <c r="E158" s="8">
        <f>ABS(IF(ISNUMBER(VALUE('01_Raw_Data'!F158)), VALUE('01_Raw_Data'!F158), 1))</f>
        <v/>
      </c>
      <c r="F158" s="9">
        <f>'01_Raw_Data'!G158</f>
        <v/>
      </c>
      <c r="G158" s="11">
        <f>IF(ISNUMBER('01_Raw_Data'!H158), '01_Raw_Data'!H158, IFERROR(VALUE(SUBSTITUTE('01_Raw_Data'!H158, "%", ""))/100, 0))</f>
        <v/>
      </c>
      <c r="H158" s="8">
        <f>PROPER(TRIM('01_Raw_Data'!J158))</f>
        <v/>
      </c>
      <c r="I158" s="8">
        <f>IF('01_Raw_Data'!K158="", "REG-NA", UPPER(TRIM('01_Raw_Data'!K158)))</f>
        <v/>
      </c>
      <c r="J158" s="8">
        <f>IF(OR('01_Raw_Data'!C158="", '01_Raw_Data'!F158&lt;0, ISNUMBER(SEARCH("%", '01_Raw_Data'!H158))), "FIXED ANOMALY", "PASSED")</f>
        <v/>
      </c>
      <c r="K158" s="8">
        <f>IF('01_Raw_Data'!F158&lt;0, "Converted Negative Quantity to ABS", IF('01_Raw_Data'!C158="", "Imputed Missing Customer ID", IF(ISNUMBER(SEARCH("%", '01_Raw_Data'!H158)), "Parsed Text % to Numeric Rate", "Standardized Format")))</f>
        <v/>
      </c>
    </row>
    <row r="159">
      <c r="A159" s="8">
        <f>'01_Raw_Data'!A159</f>
        <v/>
      </c>
      <c r="B159" s="10">
        <f>IFERROR(DATEVALUE('01_Raw_Data'!B159), IF('01_Raw_Data'!B159="", DATE(2024,1,1), '01_Raw_Data'!B159))</f>
        <v/>
      </c>
      <c r="C159" s="8">
        <f>IF(OR('01_Raw_Data'!C159="",'01_Raw_Data'!C159="0"), "CUST-GUEST", TRIM('01_Raw_Data'!C159))</f>
        <v/>
      </c>
      <c r="D159" s="8">
        <f>PROPER(TRIM(CLEAN('01_Raw_Data'!D159)))</f>
        <v/>
      </c>
      <c r="E159" s="8">
        <f>ABS(IF(ISNUMBER(VALUE('01_Raw_Data'!F159)), VALUE('01_Raw_Data'!F159), 1))</f>
        <v/>
      </c>
      <c r="F159" s="9">
        <f>'01_Raw_Data'!G159</f>
        <v/>
      </c>
      <c r="G159" s="11">
        <f>IF(ISNUMBER('01_Raw_Data'!H159), '01_Raw_Data'!H159, IFERROR(VALUE(SUBSTITUTE('01_Raw_Data'!H159, "%", ""))/100, 0))</f>
        <v/>
      </c>
      <c r="H159" s="8">
        <f>PROPER(TRIM('01_Raw_Data'!J159))</f>
        <v/>
      </c>
      <c r="I159" s="8">
        <f>IF('01_Raw_Data'!K159="", "REG-NA", UPPER(TRIM('01_Raw_Data'!K159)))</f>
        <v/>
      </c>
      <c r="J159" s="8">
        <f>IF(OR('01_Raw_Data'!C159="", '01_Raw_Data'!F159&lt;0, ISNUMBER(SEARCH("%", '01_Raw_Data'!H159))), "FIXED ANOMALY", "PASSED")</f>
        <v/>
      </c>
      <c r="K159" s="8">
        <f>IF('01_Raw_Data'!F159&lt;0, "Converted Negative Quantity to ABS", IF('01_Raw_Data'!C159="", "Imputed Missing Customer ID", IF(ISNUMBER(SEARCH("%", '01_Raw_Data'!H159)), "Parsed Text % to Numeric Rate", "Standardized Format")))</f>
        <v/>
      </c>
    </row>
    <row r="160">
      <c r="A160" s="8">
        <f>'01_Raw_Data'!A160</f>
        <v/>
      </c>
      <c r="B160" s="10">
        <f>IFERROR(DATEVALUE('01_Raw_Data'!B160), IF('01_Raw_Data'!B160="", DATE(2024,1,1), '01_Raw_Data'!B160))</f>
        <v/>
      </c>
      <c r="C160" s="8">
        <f>IF(OR('01_Raw_Data'!C160="",'01_Raw_Data'!C160="0"), "CUST-GUEST", TRIM('01_Raw_Data'!C160))</f>
        <v/>
      </c>
      <c r="D160" s="8">
        <f>PROPER(TRIM(CLEAN('01_Raw_Data'!D160)))</f>
        <v/>
      </c>
      <c r="E160" s="8">
        <f>ABS(IF(ISNUMBER(VALUE('01_Raw_Data'!F160)), VALUE('01_Raw_Data'!F160), 1))</f>
        <v/>
      </c>
      <c r="F160" s="9">
        <f>'01_Raw_Data'!G160</f>
        <v/>
      </c>
      <c r="G160" s="11">
        <f>IF(ISNUMBER('01_Raw_Data'!H160), '01_Raw_Data'!H160, IFERROR(VALUE(SUBSTITUTE('01_Raw_Data'!H160, "%", ""))/100, 0))</f>
        <v/>
      </c>
      <c r="H160" s="8">
        <f>PROPER(TRIM('01_Raw_Data'!J160))</f>
        <v/>
      </c>
      <c r="I160" s="8">
        <f>IF('01_Raw_Data'!K160="", "REG-NA", UPPER(TRIM('01_Raw_Data'!K160)))</f>
        <v/>
      </c>
      <c r="J160" s="8">
        <f>IF(OR('01_Raw_Data'!C160="", '01_Raw_Data'!F160&lt;0, ISNUMBER(SEARCH("%", '01_Raw_Data'!H160))), "FIXED ANOMALY", "PASSED")</f>
        <v/>
      </c>
      <c r="K160" s="8">
        <f>IF('01_Raw_Data'!F160&lt;0, "Converted Negative Quantity to ABS", IF('01_Raw_Data'!C160="", "Imputed Missing Customer ID", IF(ISNUMBER(SEARCH("%", '01_Raw_Data'!H160)), "Parsed Text % to Numeric Rate", "Standardized Format")))</f>
        <v/>
      </c>
    </row>
    <row r="161">
      <c r="A161" s="8">
        <f>'01_Raw_Data'!A161</f>
        <v/>
      </c>
      <c r="B161" s="10">
        <f>IFERROR(DATEVALUE('01_Raw_Data'!B161), IF('01_Raw_Data'!B161="", DATE(2024,1,1), '01_Raw_Data'!B161))</f>
        <v/>
      </c>
      <c r="C161" s="8">
        <f>IF(OR('01_Raw_Data'!C161="",'01_Raw_Data'!C161="0"), "CUST-GUEST", TRIM('01_Raw_Data'!C161))</f>
        <v/>
      </c>
      <c r="D161" s="8">
        <f>PROPER(TRIM(CLEAN('01_Raw_Data'!D161)))</f>
        <v/>
      </c>
      <c r="E161" s="8">
        <f>ABS(IF(ISNUMBER(VALUE('01_Raw_Data'!F161)), VALUE('01_Raw_Data'!F161), 1))</f>
        <v/>
      </c>
      <c r="F161" s="9">
        <f>'01_Raw_Data'!G161</f>
        <v/>
      </c>
      <c r="G161" s="11">
        <f>IF(ISNUMBER('01_Raw_Data'!H161), '01_Raw_Data'!H161, IFERROR(VALUE(SUBSTITUTE('01_Raw_Data'!H161, "%", ""))/100, 0))</f>
        <v/>
      </c>
      <c r="H161" s="8">
        <f>PROPER(TRIM('01_Raw_Data'!J161))</f>
        <v/>
      </c>
      <c r="I161" s="8">
        <f>IF('01_Raw_Data'!K161="", "REG-NA", UPPER(TRIM('01_Raw_Data'!K161)))</f>
        <v/>
      </c>
      <c r="J161" s="8">
        <f>IF(OR('01_Raw_Data'!C161="", '01_Raw_Data'!F161&lt;0, ISNUMBER(SEARCH("%", '01_Raw_Data'!H161))), "FIXED ANOMALY", "PASSED")</f>
        <v/>
      </c>
      <c r="K161" s="8">
        <f>IF('01_Raw_Data'!F161&lt;0, "Converted Negative Quantity to ABS", IF('01_Raw_Data'!C161="", "Imputed Missing Customer ID", IF(ISNUMBER(SEARCH("%", '01_Raw_Data'!H161)), "Parsed Text % to Numeric Rate", "Standardized Format")))</f>
        <v/>
      </c>
    </row>
    <row r="162">
      <c r="A162" s="8">
        <f>'01_Raw_Data'!A162</f>
        <v/>
      </c>
      <c r="B162" s="10">
        <f>IFERROR(DATEVALUE('01_Raw_Data'!B162), IF('01_Raw_Data'!B162="", DATE(2024,1,1), '01_Raw_Data'!B162))</f>
        <v/>
      </c>
      <c r="C162" s="8">
        <f>IF(OR('01_Raw_Data'!C162="",'01_Raw_Data'!C162="0"), "CUST-GUEST", TRIM('01_Raw_Data'!C162))</f>
        <v/>
      </c>
      <c r="D162" s="8">
        <f>PROPER(TRIM(CLEAN('01_Raw_Data'!D162)))</f>
        <v/>
      </c>
      <c r="E162" s="8">
        <f>ABS(IF(ISNUMBER(VALUE('01_Raw_Data'!F162)), VALUE('01_Raw_Data'!F162), 1))</f>
        <v/>
      </c>
      <c r="F162" s="9">
        <f>'01_Raw_Data'!G162</f>
        <v/>
      </c>
      <c r="G162" s="11">
        <f>IF(ISNUMBER('01_Raw_Data'!H162), '01_Raw_Data'!H162, IFERROR(VALUE(SUBSTITUTE('01_Raw_Data'!H162, "%", ""))/100, 0))</f>
        <v/>
      </c>
      <c r="H162" s="8">
        <f>PROPER(TRIM('01_Raw_Data'!J162))</f>
        <v/>
      </c>
      <c r="I162" s="8">
        <f>IF('01_Raw_Data'!K162="", "REG-NA", UPPER(TRIM('01_Raw_Data'!K162)))</f>
        <v/>
      </c>
      <c r="J162" s="8">
        <f>IF(OR('01_Raw_Data'!C162="", '01_Raw_Data'!F162&lt;0, ISNUMBER(SEARCH("%", '01_Raw_Data'!H162))), "FIXED ANOMALY", "PASSED")</f>
        <v/>
      </c>
      <c r="K162" s="8">
        <f>IF('01_Raw_Data'!F162&lt;0, "Converted Negative Quantity to ABS", IF('01_Raw_Data'!C162="", "Imputed Missing Customer ID", IF(ISNUMBER(SEARCH("%", '01_Raw_Data'!H162)), "Parsed Text % to Numeric Rate", "Standardized Format")))</f>
        <v/>
      </c>
    </row>
    <row r="163">
      <c r="A163" s="8">
        <f>'01_Raw_Data'!A163</f>
        <v/>
      </c>
      <c r="B163" s="10">
        <f>IFERROR(DATEVALUE('01_Raw_Data'!B163), IF('01_Raw_Data'!B163="", DATE(2024,1,1), '01_Raw_Data'!B163))</f>
        <v/>
      </c>
      <c r="C163" s="8">
        <f>IF(OR('01_Raw_Data'!C163="",'01_Raw_Data'!C163="0"), "CUST-GUEST", TRIM('01_Raw_Data'!C163))</f>
        <v/>
      </c>
      <c r="D163" s="8">
        <f>PROPER(TRIM(CLEAN('01_Raw_Data'!D163)))</f>
        <v/>
      </c>
      <c r="E163" s="8">
        <f>ABS(IF(ISNUMBER(VALUE('01_Raw_Data'!F163)), VALUE('01_Raw_Data'!F163), 1))</f>
        <v/>
      </c>
      <c r="F163" s="9">
        <f>'01_Raw_Data'!G163</f>
        <v/>
      </c>
      <c r="G163" s="11">
        <f>IF(ISNUMBER('01_Raw_Data'!H163), '01_Raw_Data'!H163, IFERROR(VALUE(SUBSTITUTE('01_Raw_Data'!H163, "%", ""))/100, 0))</f>
        <v/>
      </c>
      <c r="H163" s="8">
        <f>PROPER(TRIM('01_Raw_Data'!J163))</f>
        <v/>
      </c>
      <c r="I163" s="8">
        <f>IF('01_Raw_Data'!K163="", "REG-NA", UPPER(TRIM('01_Raw_Data'!K163)))</f>
        <v/>
      </c>
      <c r="J163" s="8">
        <f>IF(OR('01_Raw_Data'!C163="", '01_Raw_Data'!F163&lt;0, ISNUMBER(SEARCH("%", '01_Raw_Data'!H163))), "FIXED ANOMALY", "PASSED")</f>
        <v/>
      </c>
      <c r="K163" s="8">
        <f>IF('01_Raw_Data'!F163&lt;0, "Converted Negative Quantity to ABS", IF('01_Raw_Data'!C163="", "Imputed Missing Customer ID", IF(ISNUMBER(SEARCH("%", '01_Raw_Data'!H163)), "Parsed Text % to Numeric Rate", "Standardized Format")))</f>
        <v/>
      </c>
    </row>
    <row r="164">
      <c r="A164" s="8">
        <f>'01_Raw_Data'!A164</f>
        <v/>
      </c>
      <c r="B164" s="10">
        <f>IFERROR(DATEVALUE('01_Raw_Data'!B164), IF('01_Raw_Data'!B164="", DATE(2024,1,1), '01_Raw_Data'!B164))</f>
        <v/>
      </c>
      <c r="C164" s="8">
        <f>IF(OR('01_Raw_Data'!C164="",'01_Raw_Data'!C164="0"), "CUST-GUEST", TRIM('01_Raw_Data'!C164))</f>
        <v/>
      </c>
      <c r="D164" s="8">
        <f>PROPER(TRIM(CLEAN('01_Raw_Data'!D164)))</f>
        <v/>
      </c>
      <c r="E164" s="8">
        <f>ABS(IF(ISNUMBER(VALUE('01_Raw_Data'!F164)), VALUE('01_Raw_Data'!F164), 1))</f>
        <v/>
      </c>
      <c r="F164" s="9">
        <f>'01_Raw_Data'!G164</f>
        <v/>
      </c>
      <c r="G164" s="11">
        <f>IF(ISNUMBER('01_Raw_Data'!H164), '01_Raw_Data'!H164, IFERROR(VALUE(SUBSTITUTE('01_Raw_Data'!H164, "%", ""))/100, 0))</f>
        <v/>
      </c>
      <c r="H164" s="8">
        <f>PROPER(TRIM('01_Raw_Data'!J164))</f>
        <v/>
      </c>
      <c r="I164" s="8">
        <f>IF('01_Raw_Data'!K164="", "REG-NA", UPPER(TRIM('01_Raw_Data'!K164)))</f>
        <v/>
      </c>
      <c r="J164" s="8">
        <f>IF(OR('01_Raw_Data'!C164="", '01_Raw_Data'!F164&lt;0, ISNUMBER(SEARCH("%", '01_Raw_Data'!H164))), "FIXED ANOMALY", "PASSED")</f>
        <v/>
      </c>
      <c r="K164" s="8">
        <f>IF('01_Raw_Data'!F164&lt;0, "Converted Negative Quantity to ABS", IF('01_Raw_Data'!C164="", "Imputed Missing Customer ID", IF(ISNUMBER(SEARCH("%", '01_Raw_Data'!H164)), "Parsed Text % to Numeric Rate", "Standardized Format")))</f>
        <v/>
      </c>
    </row>
    <row r="165">
      <c r="A165" s="8">
        <f>'01_Raw_Data'!A165</f>
        <v/>
      </c>
      <c r="B165" s="10">
        <f>IFERROR(DATEVALUE('01_Raw_Data'!B165), IF('01_Raw_Data'!B165="", DATE(2024,1,1), '01_Raw_Data'!B165))</f>
        <v/>
      </c>
      <c r="C165" s="8">
        <f>IF(OR('01_Raw_Data'!C165="",'01_Raw_Data'!C165="0"), "CUST-GUEST", TRIM('01_Raw_Data'!C165))</f>
        <v/>
      </c>
      <c r="D165" s="8">
        <f>PROPER(TRIM(CLEAN('01_Raw_Data'!D165)))</f>
        <v/>
      </c>
      <c r="E165" s="8">
        <f>ABS(IF(ISNUMBER(VALUE('01_Raw_Data'!F165)), VALUE('01_Raw_Data'!F165), 1))</f>
        <v/>
      </c>
      <c r="F165" s="9">
        <f>'01_Raw_Data'!G165</f>
        <v/>
      </c>
      <c r="G165" s="11">
        <f>IF(ISNUMBER('01_Raw_Data'!H165), '01_Raw_Data'!H165, IFERROR(VALUE(SUBSTITUTE('01_Raw_Data'!H165, "%", ""))/100, 0))</f>
        <v/>
      </c>
      <c r="H165" s="8">
        <f>PROPER(TRIM('01_Raw_Data'!J165))</f>
        <v/>
      </c>
      <c r="I165" s="8">
        <f>IF('01_Raw_Data'!K165="", "REG-NA", UPPER(TRIM('01_Raw_Data'!K165)))</f>
        <v/>
      </c>
      <c r="J165" s="8">
        <f>IF(OR('01_Raw_Data'!C165="", '01_Raw_Data'!F165&lt;0, ISNUMBER(SEARCH("%", '01_Raw_Data'!H165))), "FIXED ANOMALY", "PASSED")</f>
        <v/>
      </c>
      <c r="K165" s="8">
        <f>IF('01_Raw_Data'!F165&lt;0, "Converted Negative Quantity to ABS", IF('01_Raw_Data'!C165="", "Imputed Missing Customer ID", IF(ISNUMBER(SEARCH("%", '01_Raw_Data'!H165)), "Parsed Text % to Numeric Rate", "Standardized Format")))</f>
        <v/>
      </c>
    </row>
    <row r="166">
      <c r="A166" s="8">
        <f>'01_Raw_Data'!A166</f>
        <v/>
      </c>
      <c r="B166" s="10">
        <f>IFERROR(DATEVALUE('01_Raw_Data'!B166), IF('01_Raw_Data'!B166="", DATE(2024,1,1), '01_Raw_Data'!B166))</f>
        <v/>
      </c>
      <c r="C166" s="8">
        <f>IF(OR('01_Raw_Data'!C166="",'01_Raw_Data'!C166="0"), "CUST-GUEST", TRIM('01_Raw_Data'!C166))</f>
        <v/>
      </c>
      <c r="D166" s="8">
        <f>PROPER(TRIM(CLEAN('01_Raw_Data'!D166)))</f>
        <v/>
      </c>
      <c r="E166" s="8">
        <f>ABS(IF(ISNUMBER(VALUE('01_Raw_Data'!F166)), VALUE('01_Raw_Data'!F166), 1))</f>
        <v/>
      </c>
      <c r="F166" s="9">
        <f>'01_Raw_Data'!G166</f>
        <v/>
      </c>
      <c r="G166" s="11">
        <f>IF(ISNUMBER('01_Raw_Data'!H166), '01_Raw_Data'!H166, IFERROR(VALUE(SUBSTITUTE('01_Raw_Data'!H166, "%", ""))/100, 0))</f>
        <v/>
      </c>
      <c r="H166" s="8">
        <f>PROPER(TRIM('01_Raw_Data'!J166))</f>
        <v/>
      </c>
      <c r="I166" s="8">
        <f>IF('01_Raw_Data'!K166="", "REG-NA", UPPER(TRIM('01_Raw_Data'!K166)))</f>
        <v/>
      </c>
      <c r="J166" s="8">
        <f>IF(OR('01_Raw_Data'!C166="", '01_Raw_Data'!F166&lt;0, ISNUMBER(SEARCH("%", '01_Raw_Data'!H166))), "FIXED ANOMALY", "PASSED")</f>
        <v/>
      </c>
      <c r="K166" s="8">
        <f>IF('01_Raw_Data'!F166&lt;0, "Converted Negative Quantity to ABS", IF('01_Raw_Data'!C166="", "Imputed Missing Customer ID", IF(ISNUMBER(SEARCH("%", '01_Raw_Data'!H166)), "Parsed Text % to Numeric Rate", "Standardized Format")))</f>
        <v/>
      </c>
    </row>
    <row r="167">
      <c r="A167" s="8">
        <f>'01_Raw_Data'!A167</f>
        <v/>
      </c>
      <c r="B167" s="10">
        <f>IFERROR(DATEVALUE('01_Raw_Data'!B167), IF('01_Raw_Data'!B167="", DATE(2024,1,1), '01_Raw_Data'!B167))</f>
        <v/>
      </c>
      <c r="C167" s="8">
        <f>IF(OR('01_Raw_Data'!C167="",'01_Raw_Data'!C167="0"), "CUST-GUEST", TRIM('01_Raw_Data'!C167))</f>
        <v/>
      </c>
      <c r="D167" s="8">
        <f>PROPER(TRIM(CLEAN('01_Raw_Data'!D167)))</f>
        <v/>
      </c>
      <c r="E167" s="8">
        <f>ABS(IF(ISNUMBER(VALUE('01_Raw_Data'!F167)), VALUE('01_Raw_Data'!F167), 1))</f>
        <v/>
      </c>
      <c r="F167" s="9">
        <f>'01_Raw_Data'!G167</f>
        <v/>
      </c>
      <c r="G167" s="11">
        <f>IF(ISNUMBER('01_Raw_Data'!H167), '01_Raw_Data'!H167, IFERROR(VALUE(SUBSTITUTE('01_Raw_Data'!H167, "%", ""))/100, 0))</f>
        <v/>
      </c>
      <c r="H167" s="8">
        <f>PROPER(TRIM('01_Raw_Data'!J167))</f>
        <v/>
      </c>
      <c r="I167" s="8">
        <f>IF('01_Raw_Data'!K167="", "REG-NA", UPPER(TRIM('01_Raw_Data'!K167)))</f>
        <v/>
      </c>
      <c r="J167" s="8">
        <f>IF(OR('01_Raw_Data'!C167="", '01_Raw_Data'!F167&lt;0, ISNUMBER(SEARCH("%", '01_Raw_Data'!H167))), "FIXED ANOMALY", "PASSED")</f>
        <v/>
      </c>
      <c r="K167" s="8">
        <f>IF('01_Raw_Data'!F167&lt;0, "Converted Negative Quantity to ABS", IF('01_Raw_Data'!C167="", "Imputed Missing Customer ID", IF(ISNUMBER(SEARCH("%", '01_Raw_Data'!H167)), "Parsed Text % to Numeric Rate", "Standardized Format")))</f>
        <v/>
      </c>
    </row>
    <row r="168">
      <c r="A168" s="8">
        <f>'01_Raw_Data'!A168</f>
        <v/>
      </c>
      <c r="B168" s="10">
        <f>IFERROR(DATEVALUE('01_Raw_Data'!B168), IF('01_Raw_Data'!B168="", DATE(2024,1,1), '01_Raw_Data'!B168))</f>
        <v/>
      </c>
      <c r="C168" s="8">
        <f>IF(OR('01_Raw_Data'!C168="",'01_Raw_Data'!C168="0"), "CUST-GUEST", TRIM('01_Raw_Data'!C168))</f>
        <v/>
      </c>
      <c r="D168" s="8">
        <f>PROPER(TRIM(CLEAN('01_Raw_Data'!D168)))</f>
        <v/>
      </c>
      <c r="E168" s="8">
        <f>ABS(IF(ISNUMBER(VALUE('01_Raw_Data'!F168)), VALUE('01_Raw_Data'!F168), 1))</f>
        <v/>
      </c>
      <c r="F168" s="9">
        <f>'01_Raw_Data'!G168</f>
        <v/>
      </c>
      <c r="G168" s="11">
        <f>IF(ISNUMBER('01_Raw_Data'!H168), '01_Raw_Data'!H168, IFERROR(VALUE(SUBSTITUTE('01_Raw_Data'!H168, "%", ""))/100, 0))</f>
        <v/>
      </c>
      <c r="H168" s="8">
        <f>PROPER(TRIM('01_Raw_Data'!J168))</f>
        <v/>
      </c>
      <c r="I168" s="8">
        <f>IF('01_Raw_Data'!K168="", "REG-NA", UPPER(TRIM('01_Raw_Data'!K168)))</f>
        <v/>
      </c>
      <c r="J168" s="8">
        <f>IF(OR('01_Raw_Data'!C168="", '01_Raw_Data'!F168&lt;0, ISNUMBER(SEARCH("%", '01_Raw_Data'!H168))), "FIXED ANOMALY", "PASSED")</f>
        <v/>
      </c>
      <c r="K168" s="8">
        <f>IF('01_Raw_Data'!F168&lt;0, "Converted Negative Quantity to ABS", IF('01_Raw_Data'!C168="", "Imputed Missing Customer ID", IF(ISNUMBER(SEARCH("%", '01_Raw_Data'!H168)), "Parsed Text % to Numeric Rate", "Standardized Format")))</f>
        <v/>
      </c>
    </row>
    <row r="169">
      <c r="A169" s="8">
        <f>'01_Raw_Data'!A169</f>
        <v/>
      </c>
      <c r="B169" s="10">
        <f>IFERROR(DATEVALUE('01_Raw_Data'!B169), IF('01_Raw_Data'!B169="", DATE(2024,1,1), '01_Raw_Data'!B169))</f>
        <v/>
      </c>
      <c r="C169" s="8">
        <f>IF(OR('01_Raw_Data'!C169="",'01_Raw_Data'!C169="0"), "CUST-GUEST", TRIM('01_Raw_Data'!C169))</f>
        <v/>
      </c>
      <c r="D169" s="8">
        <f>PROPER(TRIM(CLEAN('01_Raw_Data'!D169)))</f>
        <v/>
      </c>
      <c r="E169" s="8">
        <f>ABS(IF(ISNUMBER(VALUE('01_Raw_Data'!F169)), VALUE('01_Raw_Data'!F169), 1))</f>
        <v/>
      </c>
      <c r="F169" s="9">
        <f>'01_Raw_Data'!G169</f>
        <v/>
      </c>
      <c r="G169" s="11">
        <f>IF(ISNUMBER('01_Raw_Data'!H169), '01_Raw_Data'!H169, IFERROR(VALUE(SUBSTITUTE('01_Raw_Data'!H169, "%", ""))/100, 0))</f>
        <v/>
      </c>
      <c r="H169" s="8">
        <f>PROPER(TRIM('01_Raw_Data'!J169))</f>
        <v/>
      </c>
      <c r="I169" s="8">
        <f>IF('01_Raw_Data'!K169="", "REG-NA", UPPER(TRIM('01_Raw_Data'!K169)))</f>
        <v/>
      </c>
      <c r="J169" s="8">
        <f>IF(OR('01_Raw_Data'!C169="", '01_Raw_Data'!F169&lt;0, ISNUMBER(SEARCH("%", '01_Raw_Data'!H169))), "FIXED ANOMALY", "PASSED")</f>
        <v/>
      </c>
      <c r="K169" s="8">
        <f>IF('01_Raw_Data'!F169&lt;0, "Converted Negative Quantity to ABS", IF('01_Raw_Data'!C169="", "Imputed Missing Customer ID", IF(ISNUMBER(SEARCH("%", '01_Raw_Data'!H169)), "Parsed Text % to Numeric Rate", "Standardized Format")))</f>
        <v/>
      </c>
    </row>
    <row r="170">
      <c r="A170" s="8">
        <f>'01_Raw_Data'!A170</f>
        <v/>
      </c>
      <c r="B170" s="10">
        <f>IFERROR(DATEVALUE('01_Raw_Data'!B170), IF('01_Raw_Data'!B170="", DATE(2024,1,1), '01_Raw_Data'!B170))</f>
        <v/>
      </c>
      <c r="C170" s="8">
        <f>IF(OR('01_Raw_Data'!C170="",'01_Raw_Data'!C170="0"), "CUST-GUEST", TRIM('01_Raw_Data'!C170))</f>
        <v/>
      </c>
      <c r="D170" s="8">
        <f>PROPER(TRIM(CLEAN('01_Raw_Data'!D170)))</f>
        <v/>
      </c>
      <c r="E170" s="8">
        <f>ABS(IF(ISNUMBER(VALUE('01_Raw_Data'!F170)), VALUE('01_Raw_Data'!F170), 1))</f>
        <v/>
      </c>
      <c r="F170" s="9">
        <f>'01_Raw_Data'!G170</f>
        <v/>
      </c>
      <c r="G170" s="11">
        <f>IF(ISNUMBER('01_Raw_Data'!H170), '01_Raw_Data'!H170, IFERROR(VALUE(SUBSTITUTE('01_Raw_Data'!H170, "%", ""))/100, 0))</f>
        <v/>
      </c>
      <c r="H170" s="8">
        <f>PROPER(TRIM('01_Raw_Data'!J170))</f>
        <v/>
      </c>
      <c r="I170" s="8">
        <f>IF('01_Raw_Data'!K170="", "REG-NA", UPPER(TRIM('01_Raw_Data'!K170)))</f>
        <v/>
      </c>
      <c r="J170" s="8">
        <f>IF(OR('01_Raw_Data'!C170="", '01_Raw_Data'!F170&lt;0, ISNUMBER(SEARCH("%", '01_Raw_Data'!H170))), "FIXED ANOMALY", "PASSED")</f>
        <v/>
      </c>
      <c r="K170" s="8">
        <f>IF('01_Raw_Data'!F170&lt;0, "Converted Negative Quantity to ABS", IF('01_Raw_Data'!C170="", "Imputed Missing Customer ID", IF(ISNUMBER(SEARCH("%", '01_Raw_Data'!H170)), "Parsed Text % to Numeric Rate", "Standardized Format")))</f>
        <v/>
      </c>
    </row>
    <row r="171">
      <c r="A171" s="8">
        <f>'01_Raw_Data'!A171</f>
        <v/>
      </c>
      <c r="B171" s="10">
        <f>IFERROR(DATEVALUE('01_Raw_Data'!B171), IF('01_Raw_Data'!B171="", DATE(2024,1,1), '01_Raw_Data'!B171))</f>
        <v/>
      </c>
      <c r="C171" s="8">
        <f>IF(OR('01_Raw_Data'!C171="",'01_Raw_Data'!C171="0"), "CUST-GUEST", TRIM('01_Raw_Data'!C171))</f>
        <v/>
      </c>
      <c r="D171" s="8">
        <f>PROPER(TRIM(CLEAN('01_Raw_Data'!D171)))</f>
        <v/>
      </c>
      <c r="E171" s="8">
        <f>ABS(IF(ISNUMBER(VALUE('01_Raw_Data'!F171)), VALUE('01_Raw_Data'!F171), 1))</f>
        <v/>
      </c>
      <c r="F171" s="9">
        <f>'01_Raw_Data'!G171</f>
        <v/>
      </c>
      <c r="G171" s="11">
        <f>IF(ISNUMBER('01_Raw_Data'!H171), '01_Raw_Data'!H171, IFERROR(VALUE(SUBSTITUTE('01_Raw_Data'!H171, "%", ""))/100, 0))</f>
        <v/>
      </c>
      <c r="H171" s="8">
        <f>PROPER(TRIM('01_Raw_Data'!J171))</f>
        <v/>
      </c>
      <c r="I171" s="8">
        <f>IF('01_Raw_Data'!K171="", "REG-NA", UPPER(TRIM('01_Raw_Data'!K171)))</f>
        <v/>
      </c>
      <c r="J171" s="8">
        <f>IF(OR('01_Raw_Data'!C171="", '01_Raw_Data'!F171&lt;0, ISNUMBER(SEARCH("%", '01_Raw_Data'!H171))), "FIXED ANOMALY", "PASSED")</f>
        <v/>
      </c>
      <c r="K171" s="8">
        <f>IF('01_Raw_Data'!F171&lt;0, "Converted Negative Quantity to ABS", IF('01_Raw_Data'!C171="", "Imputed Missing Customer ID", IF(ISNUMBER(SEARCH("%", '01_Raw_Data'!H171)), "Parsed Text % to Numeric Rate", "Standardized Format")))</f>
        <v/>
      </c>
    </row>
    <row r="172">
      <c r="A172" s="8">
        <f>'01_Raw_Data'!A172</f>
        <v/>
      </c>
      <c r="B172" s="10">
        <f>IFERROR(DATEVALUE('01_Raw_Data'!B172), IF('01_Raw_Data'!B172="", DATE(2024,1,1), '01_Raw_Data'!B172))</f>
        <v/>
      </c>
      <c r="C172" s="8">
        <f>IF(OR('01_Raw_Data'!C172="",'01_Raw_Data'!C172="0"), "CUST-GUEST", TRIM('01_Raw_Data'!C172))</f>
        <v/>
      </c>
      <c r="D172" s="8">
        <f>PROPER(TRIM(CLEAN('01_Raw_Data'!D172)))</f>
        <v/>
      </c>
      <c r="E172" s="8">
        <f>ABS(IF(ISNUMBER(VALUE('01_Raw_Data'!F172)), VALUE('01_Raw_Data'!F172), 1))</f>
        <v/>
      </c>
      <c r="F172" s="9">
        <f>'01_Raw_Data'!G172</f>
        <v/>
      </c>
      <c r="G172" s="11">
        <f>IF(ISNUMBER('01_Raw_Data'!H172), '01_Raw_Data'!H172, IFERROR(VALUE(SUBSTITUTE('01_Raw_Data'!H172, "%", ""))/100, 0))</f>
        <v/>
      </c>
      <c r="H172" s="8">
        <f>PROPER(TRIM('01_Raw_Data'!J172))</f>
        <v/>
      </c>
      <c r="I172" s="8">
        <f>IF('01_Raw_Data'!K172="", "REG-NA", UPPER(TRIM('01_Raw_Data'!K172)))</f>
        <v/>
      </c>
      <c r="J172" s="8">
        <f>IF(OR('01_Raw_Data'!C172="", '01_Raw_Data'!F172&lt;0, ISNUMBER(SEARCH("%", '01_Raw_Data'!H172))), "FIXED ANOMALY", "PASSED")</f>
        <v/>
      </c>
      <c r="K172" s="8">
        <f>IF('01_Raw_Data'!F172&lt;0, "Converted Negative Quantity to ABS", IF('01_Raw_Data'!C172="", "Imputed Missing Customer ID", IF(ISNUMBER(SEARCH("%", '01_Raw_Data'!H172)), "Parsed Text % to Numeric Rate", "Standardized Format")))</f>
        <v/>
      </c>
    </row>
    <row r="173">
      <c r="A173" s="8">
        <f>'01_Raw_Data'!A173</f>
        <v/>
      </c>
      <c r="B173" s="10">
        <f>IFERROR(DATEVALUE('01_Raw_Data'!B173), IF('01_Raw_Data'!B173="", DATE(2024,1,1), '01_Raw_Data'!B173))</f>
        <v/>
      </c>
      <c r="C173" s="8">
        <f>IF(OR('01_Raw_Data'!C173="",'01_Raw_Data'!C173="0"), "CUST-GUEST", TRIM('01_Raw_Data'!C173))</f>
        <v/>
      </c>
      <c r="D173" s="8">
        <f>PROPER(TRIM(CLEAN('01_Raw_Data'!D173)))</f>
        <v/>
      </c>
      <c r="E173" s="8">
        <f>ABS(IF(ISNUMBER(VALUE('01_Raw_Data'!F173)), VALUE('01_Raw_Data'!F173), 1))</f>
        <v/>
      </c>
      <c r="F173" s="9">
        <f>'01_Raw_Data'!G173</f>
        <v/>
      </c>
      <c r="G173" s="11">
        <f>IF(ISNUMBER('01_Raw_Data'!H173), '01_Raw_Data'!H173, IFERROR(VALUE(SUBSTITUTE('01_Raw_Data'!H173, "%", ""))/100, 0))</f>
        <v/>
      </c>
      <c r="H173" s="8">
        <f>PROPER(TRIM('01_Raw_Data'!J173))</f>
        <v/>
      </c>
      <c r="I173" s="8">
        <f>IF('01_Raw_Data'!K173="", "REG-NA", UPPER(TRIM('01_Raw_Data'!K173)))</f>
        <v/>
      </c>
      <c r="J173" s="8">
        <f>IF(OR('01_Raw_Data'!C173="", '01_Raw_Data'!F173&lt;0, ISNUMBER(SEARCH("%", '01_Raw_Data'!H173))), "FIXED ANOMALY", "PASSED")</f>
        <v/>
      </c>
      <c r="K173" s="8">
        <f>IF('01_Raw_Data'!F173&lt;0, "Converted Negative Quantity to ABS", IF('01_Raw_Data'!C173="", "Imputed Missing Customer ID", IF(ISNUMBER(SEARCH("%", '01_Raw_Data'!H173)), "Parsed Text % to Numeric Rate", "Standardized Format")))</f>
        <v/>
      </c>
    </row>
    <row r="174">
      <c r="A174" s="8">
        <f>'01_Raw_Data'!A174</f>
        <v/>
      </c>
      <c r="B174" s="10">
        <f>IFERROR(DATEVALUE('01_Raw_Data'!B174), IF('01_Raw_Data'!B174="", DATE(2024,1,1), '01_Raw_Data'!B174))</f>
        <v/>
      </c>
      <c r="C174" s="8">
        <f>IF(OR('01_Raw_Data'!C174="",'01_Raw_Data'!C174="0"), "CUST-GUEST", TRIM('01_Raw_Data'!C174))</f>
        <v/>
      </c>
      <c r="D174" s="8">
        <f>PROPER(TRIM(CLEAN('01_Raw_Data'!D174)))</f>
        <v/>
      </c>
      <c r="E174" s="8">
        <f>ABS(IF(ISNUMBER(VALUE('01_Raw_Data'!F174)), VALUE('01_Raw_Data'!F174), 1))</f>
        <v/>
      </c>
      <c r="F174" s="9">
        <f>'01_Raw_Data'!G174</f>
        <v/>
      </c>
      <c r="G174" s="11">
        <f>IF(ISNUMBER('01_Raw_Data'!H174), '01_Raw_Data'!H174, IFERROR(VALUE(SUBSTITUTE('01_Raw_Data'!H174, "%", ""))/100, 0))</f>
        <v/>
      </c>
      <c r="H174" s="8">
        <f>PROPER(TRIM('01_Raw_Data'!J174))</f>
        <v/>
      </c>
      <c r="I174" s="8">
        <f>IF('01_Raw_Data'!K174="", "REG-NA", UPPER(TRIM('01_Raw_Data'!K174)))</f>
        <v/>
      </c>
      <c r="J174" s="8">
        <f>IF(OR('01_Raw_Data'!C174="", '01_Raw_Data'!F174&lt;0, ISNUMBER(SEARCH("%", '01_Raw_Data'!H174))), "FIXED ANOMALY", "PASSED")</f>
        <v/>
      </c>
      <c r="K174" s="8">
        <f>IF('01_Raw_Data'!F174&lt;0, "Converted Negative Quantity to ABS", IF('01_Raw_Data'!C174="", "Imputed Missing Customer ID", IF(ISNUMBER(SEARCH("%", '01_Raw_Data'!H174)), "Parsed Text % to Numeric Rate", "Standardized Format")))</f>
        <v/>
      </c>
    </row>
    <row r="175">
      <c r="A175" s="8">
        <f>'01_Raw_Data'!A175</f>
        <v/>
      </c>
      <c r="B175" s="10">
        <f>IFERROR(DATEVALUE('01_Raw_Data'!B175), IF('01_Raw_Data'!B175="", DATE(2024,1,1), '01_Raw_Data'!B175))</f>
        <v/>
      </c>
      <c r="C175" s="8">
        <f>IF(OR('01_Raw_Data'!C175="",'01_Raw_Data'!C175="0"), "CUST-GUEST", TRIM('01_Raw_Data'!C175))</f>
        <v/>
      </c>
      <c r="D175" s="8">
        <f>PROPER(TRIM(CLEAN('01_Raw_Data'!D175)))</f>
        <v/>
      </c>
      <c r="E175" s="8">
        <f>ABS(IF(ISNUMBER(VALUE('01_Raw_Data'!F175)), VALUE('01_Raw_Data'!F175), 1))</f>
        <v/>
      </c>
      <c r="F175" s="9">
        <f>'01_Raw_Data'!G175</f>
        <v/>
      </c>
      <c r="G175" s="11">
        <f>IF(ISNUMBER('01_Raw_Data'!H175), '01_Raw_Data'!H175, IFERROR(VALUE(SUBSTITUTE('01_Raw_Data'!H175, "%", ""))/100, 0))</f>
        <v/>
      </c>
      <c r="H175" s="8">
        <f>PROPER(TRIM('01_Raw_Data'!J175))</f>
        <v/>
      </c>
      <c r="I175" s="8">
        <f>IF('01_Raw_Data'!K175="", "REG-NA", UPPER(TRIM('01_Raw_Data'!K175)))</f>
        <v/>
      </c>
      <c r="J175" s="8">
        <f>IF(OR('01_Raw_Data'!C175="", '01_Raw_Data'!F175&lt;0, ISNUMBER(SEARCH("%", '01_Raw_Data'!H175))), "FIXED ANOMALY", "PASSED")</f>
        <v/>
      </c>
      <c r="K175" s="8">
        <f>IF('01_Raw_Data'!F175&lt;0, "Converted Negative Quantity to ABS", IF('01_Raw_Data'!C175="", "Imputed Missing Customer ID", IF(ISNUMBER(SEARCH("%", '01_Raw_Data'!H175)), "Parsed Text % to Numeric Rate", "Standardized Format")))</f>
        <v/>
      </c>
    </row>
    <row r="176">
      <c r="A176" s="8">
        <f>'01_Raw_Data'!A176</f>
        <v/>
      </c>
      <c r="B176" s="10">
        <f>IFERROR(DATEVALUE('01_Raw_Data'!B176), IF('01_Raw_Data'!B176="", DATE(2024,1,1), '01_Raw_Data'!B176))</f>
        <v/>
      </c>
      <c r="C176" s="8">
        <f>IF(OR('01_Raw_Data'!C176="",'01_Raw_Data'!C176="0"), "CUST-GUEST", TRIM('01_Raw_Data'!C176))</f>
        <v/>
      </c>
      <c r="D176" s="8">
        <f>PROPER(TRIM(CLEAN('01_Raw_Data'!D176)))</f>
        <v/>
      </c>
      <c r="E176" s="8">
        <f>ABS(IF(ISNUMBER(VALUE('01_Raw_Data'!F176)), VALUE('01_Raw_Data'!F176), 1))</f>
        <v/>
      </c>
      <c r="F176" s="9">
        <f>'01_Raw_Data'!G176</f>
        <v/>
      </c>
      <c r="G176" s="11">
        <f>IF(ISNUMBER('01_Raw_Data'!H176), '01_Raw_Data'!H176, IFERROR(VALUE(SUBSTITUTE('01_Raw_Data'!H176, "%", ""))/100, 0))</f>
        <v/>
      </c>
      <c r="H176" s="8">
        <f>PROPER(TRIM('01_Raw_Data'!J176))</f>
        <v/>
      </c>
      <c r="I176" s="8">
        <f>IF('01_Raw_Data'!K176="", "REG-NA", UPPER(TRIM('01_Raw_Data'!K176)))</f>
        <v/>
      </c>
      <c r="J176" s="8">
        <f>IF(OR('01_Raw_Data'!C176="", '01_Raw_Data'!F176&lt;0, ISNUMBER(SEARCH("%", '01_Raw_Data'!H176))), "FIXED ANOMALY", "PASSED")</f>
        <v/>
      </c>
      <c r="K176" s="8">
        <f>IF('01_Raw_Data'!F176&lt;0, "Converted Negative Quantity to ABS", IF('01_Raw_Data'!C176="", "Imputed Missing Customer ID", IF(ISNUMBER(SEARCH("%", '01_Raw_Data'!H176)), "Parsed Text % to Numeric Rate", "Standardized Format")))</f>
        <v/>
      </c>
    </row>
    <row r="177">
      <c r="A177" s="8">
        <f>'01_Raw_Data'!A177</f>
        <v/>
      </c>
      <c r="B177" s="10">
        <f>IFERROR(DATEVALUE('01_Raw_Data'!B177), IF('01_Raw_Data'!B177="", DATE(2024,1,1), '01_Raw_Data'!B177))</f>
        <v/>
      </c>
      <c r="C177" s="8">
        <f>IF(OR('01_Raw_Data'!C177="",'01_Raw_Data'!C177="0"), "CUST-GUEST", TRIM('01_Raw_Data'!C177))</f>
        <v/>
      </c>
      <c r="D177" s="8">
        <f>PROPER(TRIM(CLEAN('01_Raw_Data'!D177)))</f>
        <v/>
      </c>
      <c r="E177" s="8">
        <f>ABS(IF(ISNUMBER(VALUE('01_Raw_Data'!F177)), VALUE('01_Raw_Data'!F177), 1))</f>
        <v/>
      </c>
      <c r="F177" s="9">
        <f>'01_Raw_Data'!G177</f>
        <v/>
      </c>
      <c r="G177" s="11">
        <f>IF(ISNUMBER('01_Raw_Data'!H177), '01_Raw_Data'!H177, IFERROR(VALUE(SUBSTITUTE('01_Raw_Data'!H177, "%", ""))/100, 0))</f>
        <v/>
      </c>
      <c r="H177" s="8">
        <f>PROPER(TRIM('01_Raw_Data'!J177))</f>
        <v/>
      </c>
      <c r="I177" s="8">
        <f>IF('01_Raw_Data'!K177="", "REG-NA", UPPER(TRIM('01_Raw_Data'!K177)))</f>
        <v/>
      </c>
      <c r="J177" s="8">
        <f>IF(OR('01_Raw_Data'!C177="", '01_Raw_Data'!F177&lt;0, ISNUMBER(SEARCH("%", '01_Raw_Data'!H177))), "FIXED ANOMALY", "PASSED")</f>
        <v/>
      </c>
      <c r="K177" s="8">
        <f>IF('01_Raw_Data'!F177&lt;0, "Converted Negative Quantity to ABS", IF('01_Raw_Data'!C177="", "Imputed Missing Customer ID", IF(ISNUMBER(SEARCH("%", '01_Raw_Data'!H177)), "Parsed Text % to Numeric Rate", "Standardized Format")))</f>
        <v/>
      </c>
    </row>
    <row r="178">
      <c r="A178" s="8">
        <f>'01_Raw_Data'!A178</f>
        <v/>
      </c>
      <c r="B178" s="10">
        <f>IFERROR(DATEVALUE('01_Raw_Data'!B178), IF('01_Raw_Data'!B178="", DATE(2024,1,1), '01_Raw_Data'!B178))</f>
        <v/>
      </c>
      <c r="C178" s="8">
        <f>IF(OR('01_Raw_Data'!C178="",'01_Raw_Data'!C178="0"), "CUST-GUEST", TRIM('01_Raw_Data'!C178))</f>
        <v/>
      </c>
      <c r="D178" s="8">
        <f>PROPER(TRIM(CLEAN('01_Raw_Data'!D178)))</f>
        <v/>
      </c>
      <c r="E178" s="8">
        <f>ABS(IF(ISNUMBER(VALUE('01_Raw_Data'!F178)), VALUE('01_Raw_Data'!F178), 1))</f>
        <v/>
      </c>
      <c r="F178" s="9">
        <f>'01_Raw_Data'!G178</f>
        <v/>
      </c>
      <c r="G178" s="11">
        <f>IF(ISNUMBER('01_Raw_Data'!H178), '01_Raw_Data'!H178, IFERROR(VALUE(SUBSTITUTE('01_Raw_Data'!H178, "%", ""))/100, 0))</f>
        <v/>
      </c>
      <c r="H178" s="8">
        <f>PROPER(TRIM('01_Raw_Data'!J178))</f>
        <v/>
      </c>
      <c r="I178" s="8">
        <f>IF('01_Raw_Data'!K178="", "REG-NA", UPPER(TRIM('01_Raw_Data'!K178)))</f>
        <v/>
      </c>
      <c r="J178" s="8">
        <f>IF(OR('01_Raw_Data'!C178="", '01_Raw_Data'!F178&lt;0, ISNUMBER(SEARCH("%", '01_Raw_Data'!H178))), "FIXED ANOMALY", "PASSED")</f>
        <v/>
      </c>
      <c r="K178" s="8">
        <f>IF('01_Raw_Data'!F178&lt;0, "Converted Negative Quantity to ABS", IF('01_Raw_Data'!C178="", "Imputed Missing Customer ID", IF(ISNUMBER(SEARCH("%", '01_Raw_Data'!H178)), "Parsed Text % to Numeric Rate", "Standardized Format")))</f>
        <v/>
      </c>
    </row>
    <row r="179">
      <c r="A179" s="8">
        <f>'01_Raw_Data'!A179</f>
        <v/>
      </c>
      <c r="B179" s="10">
        <f>IFERROR(DATEVALUE('01_Raw_Data'!B179), IF('01_Raw_Data'!B179="", DATE(2024,1,1), '01_Raw_Data'!B179))</f>
        <v/>
      </c>
      <c r="C179" s="8">
        <f>IF(OR('01_Raw_Data'!C179="",'01_Raw_Data'!C179="0"), "CUST-GUEST", TRIM('01_Raw_Data'!C179))</f>
        <v/>
      </c>
      <c r="D179" s="8">
        <f>PROPER(TRIM(CLEAN('01_Raw_Data'!D179)))</f>
        <v/>
      </c>
      <c r="E179" s="8">
        <f>ABS(IF(ISNUMBER(VALUE('01_Raw_Data'!F179)), VALUE('01_Raw_Data'!F179), 1))</f>
        <v/>
      </c>
      <c r="F179" s="9">
        <f>'01_Raw_Data'!G179</f>
        <v/>
      </c>
      <c r="G179" s="11">
        <f>IF(ISNUMBER('01_Raw_Data'!H179), '01_Raw_Data'!H179, IFERROR(VALUE(SUBSTITUTE('01_Raw_Data'!H179, "%", ""))/100, 0))</f>
        <v/>
      </c>
      <c r="H179" s="8">
        <f>PROPER(TRIM('01_Raw_Data'!J179))</f>
        <v/>
      </c>
      <c r="I179" s="8">
        <f>IF('01_Raw_Data'!K179="", "REG-NA", UPPER(TRIM('01_Raw_Data'!K179)))</f>
        <v/>
      </c>
      <c r="J179" s="8">
        <f>IF(OR('01_Raw_Data'!C179="", '01_Raw_Data'!F179&lt;0, ISNUMBER(SEARCH("%", '01_Raw_Data'!H179))), "FIXED ANOMALY", "PASSED")</f>
        <v/>
      </c>
      <c r="K179" s="8">
        <f>IF('01_Raw_Data'!F179&lt;0, "Converted Negative Quantity to ABS", IF('01_Raw_Data'!C179="", "Imputed Missing Customer ID", IF(ISNUMBER(SEARCH("%", '01_Raw_Data'!H179)), "Parsed Text % to Numeric Rate", "Standardized Format")))</f>
        <v/>
      </c>
    </row>
    <row r="180">
      <c r="A180" s="8">
        <f>'01_Raw_Data'!A180</f>
        <v/>
      </c>
      <c r="B180" s="10">
        <f>IFERROR(DATEVALUE('01_Raw_Data'!B180), IF('01_Raw_Data'!B180="", DATE(2024,1,1), '01_Raw_Data'!B180))</f>
        <v/>
      </c>
      <c r="C180" s="8">
        <f>IF(OR('01_Raw_Data'!C180="",'01_Raw_Data'!C180="0"), "CUST-GUEST", TRIM('01_Raw_Data'!C180))</f>
        <v/>
      </c>
      <c r="D180" s="8">
        <f>PROPER(TRIM(CLEAN('01_Raw_Data'!D180)))</f>
        <v/>
      </c>
      <c r="E180" s="8">
        <f>ABS(IF(ISNUMBER(VALUE('01_Raw_Data'!F180)), VALUE('01_Raw_Data'!F180), 1))</f>
        <v/>
      </c>
      <c r="F180" s="9">
        <f>'01_Raw_Data'!G180</f>
        <v/>
      </c>
      <c r="G180" s="11">
        <f>IF(ISNUMBER('01_Raw_Data'!H180), '01_Raw_Data'!H180, IFERROR(VALUE(SUBSTITUTE('01_Raw_Data'!H180, "%", ""))/100, 0))</f>
        <v/>
      </c>
      <c r="H180" s="8">
        <f>PROPER(TRIM('01_Raw_Data'!J180))</f>
        <v/>
      </c>
      <c r="I180" s="8">
        <f>IF('01_Raw_Data'!K180="", "REG-NA", UPPER(TRIM('01_Raw_Data'!K180)))</f>
        <v/>
      </c>
      <c r="J180" s="8">
        <f>IF(OR('01_Raw_Data'!C180="", '01_Raw_Data'!F180&lt;0, ISNUMBER(SEARCH("%", '01_Raw_Data'!H180))), "FIXED ANOMALY", "PASSED")</f>
        <v/>
      </c>
      <c r="K180" s="8">
        <f>IF('01_Raw_Data'!F180&lt;0, "Converted Negative Quantity to ABS", IF('01_Raw_Data'!C180="", "Imputed Missing Customer ID", IF(ISNUMBER(SEARCH("%", '01_Raw_Data'!H180)), "Parsed Text % to Numeric Rate", "Standardized Format")))</f>
        <v/>
      </c>
    </row>
    <row r="181">
      <c r="A181" s="8">
        <f>'01_Raw_Data'!A181</f>
        <v/>
      </c>
      <c r="B181" s="10">
        <f>IFERROR(DATEVALUE('01_Raw_Data'!B181), IF('01_Raw_Data'!B181="", DATE(2024,1,1), '01_Raw_Data'!B181))</f>
        <v/>
      </c>
      <c r="C181" s="8">
        <f>IF(OR('01_Raw_Data'!C181="",'01_Raw_Data'!C181="0"), "CUST-GUEST", TRIM('01_Raw_Data'!C181))</f>
        <v/>
      </c>
      <c r="D181" s="8">
        <f>PROPER(TRIM(CLEAN('01_Raw_Data'!D181)))</f>
        <v/>
      </c>
      <c r="E181" s="8">
        <f>ABS(IF(ISNUMBER(VALUE('01_Raw_Data'!F181)), VALUE('01_Raw_Data'!F181), 1))</f>
        <v/>
      </c>
      <c r="F181" s="9">
        <f>'01_Raw_Data'!G181</f>
        <v/>
      </c>
      <c r="G181" s="11">
        <f>IF(ISNUMBER('01_Raw_Data'!H181), '01_Raw_Data'!H181, IFERROR(VALUE(SUBSTITUTE('01_Raw_Data'!H181, "%", ""))/100, 0))</f>
        <v/>
      </c>
      <c r="H181" s="8">
        <f>PROPER(TRIM('01_Raw_Data'!J181))</f>
        <v/>
      </c>
      <c r="I181" s="8">
        <f>IF('01_Raw_Data'!K181="", "REG-NA", UPPER(TRIM('01_Raw_Data'!K181)))</f>
        <v/>
      </c>
      <c r="J181" s="8">
        <f>IF(OR('01_Raw_Data'!C181="", '01_Raw_Data'!F181&lt;0, ISNUMBER(SEARCH("%", '01_Raw_Data'!H181))), "FIXED ANOMALY", "PASSED")</f>
        <v/>
      </c>
      <c r="K181" s="8">
        <f>IF('01_Raw_Data'!F181&lt;0, "Converted Negative Quantity to ABS", IF('01_Raw_Data'!C181="", "Imputed Missing Customer ID", IF(ISNUMBER(SEARCH("%", '01_Raw_Data'!H181)), "Parsed Text % to Numeric Rate", "Standardized Format")))</f>
        <v/>
      </c>
    </row>
    <row r="182">
      <c r="A182" s="8">
        <f>'01_Raw_Data'!A182</f>
        <v/>
      </c>
      <c r="B182" s="10">
        <f>IFERROR(DATEVALUE('01_Raw_Data'!B182), IF('01_Raw_Data'!B182="", DATE(2024,1,1), '01_Raw_Data'!B182))</f>
        <v/>
      </c>
      <c r="C182" s="8">
        <f>IF(OR('01_Raw_Data'!C182="",'01_Raw_Data'!C182="0"), "CUST-GUEST", TRIM('01_Raw_Data'!C182))</f>
        <v/>
      </c>
      <c r="D182" s="8">
        <f>PROPER(TRIM(CLEAN('01_Raw_Data'!D182)))</f>
        <v/>
      </c>
      <c r="E182" s="8">
        <f>ABS(IF(ISNUMBER(VALUE('01_Raw_Data'!F182)), VALUE('01_Raw_Data'!F182), 1))</f>
        <v/>
      </c>
      <c r="F182" s="9">
        <f>'01_Raw_Data'!G182</f>
        <v/>
      </c>
      <c r="G182" s="11">
        <f>IF(ISNUMBER('01_Raw_Data'!H182), '01_Raw_Data'!H182, IFERROR(VALUE(SUBSTITUTE('01_Raw_Data'!H182, "%", ""))/100, 0))</f>
        <v/>
      </c>
      <c r="H182" s="8">
        <f>PROPER(TRIM('01_Raw_Data'!J182))</f>
        <v/>
      </c>
      <c r="I182" s="8">
        <f>IF('01_Raw_Data'!K182="", "REG-NA", UPPER(TRIM('01_Raw_Data'!K182)))</f>
        <v/>
      </c>
      <c r="J182" s="8">
        <f>IF(OR('01_Raw_Data'!C182="", '01_Raw_Data'!F182&lt;0, ISNUMBER(SEARCH("%", '01_Raw_Data'!H182))), "FIXED ANOMALY", "PASSED")</f>
        <v/>
      </c>
      <c r="K182" s="8">
        <f>IF('01_Raw_Data'!F182&lt;0, "Converted Negative Quantity to ABS", IF('01_Raw_Data'!C182="", "Imputed Missing Customer ID", IF(ISNUMBER(SEARCH("%", '01_Raw_Data'!H182)), "Parsed Text % to Numeric Rate", "Standardized Format")))</f>
        <v/>
      </c>
    </row>
    <row r="183">
      <c r="A183" s="8">
        <f>'01_Raw_Data'!A183</f>
        <v/>
      </c>
      <c r="B183" s="10">
        <f>IFERROR(DATEVALUE('01_Raw_Data'!B183), IF('01_Raw_Data'!B183="", DATE(2024,1,1), '01_Raw_Data'!B183))</f>
        <v/>
      </c>
      <c r="C183" s="8">
        <f>IF(OR('01_Raw_Data'!C183="",'01_Raw_Data'!C183="0"), "CUST-GUEST", TRIM('01_Raw_Data'!C183))</f>
        <v/>
      </c>
      <c r="D183" s="8">
        <f>PROPER(TRIM(CLEAN('01_Raw_Data'!D183)))</f>
        <v/>
      </c>
      <c r="E183" s="8">
        <f>ABS(IF(ISNUMBER(VALUE('01_Raw_Data'!F183)), VALUE('01_Raw_Data'!F183), 1))</f>
        <v/>
      </c>
      <c r="F183" s="9">
        <f>'01_Raw_Data'!G183</f>
        <v/>
      </c>
      <c r="G183" s="11">
        <f>IF(ISNUMBER('01_Raw_Data'!H183), '01_Raw_Data'!H183, IFERROR(VALUE(SUBSTITUTE('01_Raw_Data'!H183, "%", ""))/100, 0))</f>
        <v/>
      </c>
      <c r="H183" s="8">
        <f>PROPER(TRIM('01_Raw_Data'!J183))</f>
        <v/>
      </c>
      <c r="I183" s="8">
        <f>IF('01_Raw_Data'!K183="", "REG-NA", UPPER(TRIM('01_Raw_Data'!K183)))</f>
        <v/>
      </c>
      <c r="J183" s="8">
        <f>IF(OR('01_Raw_Data'!C183="", '01_Raw_Data'!F183&lt;0, ISNUMBER(SEARCH("%", '01_Raw_Data'!H183))), "FIXED ANOMALY", "PASSED")</f>
        <v/>
      </c>
      <c r="K183" s="8">
        <f>IF('01_Raw_Data'!F183&lt;0, "Converted Negative Quantity to ABS", IF('01_Raw_Data'!C183="", "Imputed Missing Customer ID", IF(ISNUMBER(SEARCH("%", '01_Raw_Data'!H183)), "Parsed Text % to Numeric Rate", "Standardized Format")))</f>
        <v/>
      </c>
    </row>
    <row r="184">
      <c r="A184" s="8">
        <f>'01_Raw_Data'!A184</f>
        <v/>
      </c>
      <c r="B184" s="10">
        <f>IFERROR(DATEVALUE('01_Raw_Data'!B184), IF('01_Raw_Data'!B184="", DATE(2024,1,1), '01_Raw_Data'!B184))</f>
        <v/>
      </c>
      <c r="C184" s="8">
        <f>IF(OR('01_Raw_Data'!C184="",'01_Raw_Data'!C184="0"), "CUST-GUEST", TRIM('01_Raw_Data'!C184))</f>
        <v/>
      </c>
      <c r="D184" s="8">
        <f>PROPER(TRIM(CLEAN('01_Raw_Data'!D184)))</f>
        <v/>
      </c>
      <c r="E184" s="8">
        <f>ABS(IF(ISNUMBER(VALUE('01_Raw_Data'!F184)), VALUE('01_Raw_Data'!F184), 1))</f>
        <v/>
      </c>
      <c r="F184" s="9">
        <f>'01_Raw_Data'!G184</f>
        <v/>
      </c>
      <c r="G184" s="11">
        <f>IF(ISNUMBER('01_Raw_Data'!H184), '01_Raw_Data'!H184, IFERROR(VALUE(SUBSTITUTE('01_Raw_Data'!H184, "%", ""))/100, 0))</f>
        <v/>
      </c>
      <c r="H184" s="8">
        <f>PROPER(TRIM('01_Raw_Data'!J184))</f>
        <v/>
      </c>
      <c r="I184" s="8">
        <f>IF('01_Raw_Data'!K184="", "REG-NA", UPPER(TRIM('01_Raw_Data'!K184)))</f>
        <v/>
      </c>
      <c r="J184" s="8">
        <f>IF(OR('01_Raw_Data'!C184="", '01_Raw_Data'!F184&lt;0, ISNUMBER(SEARCH("%", '01_Raw_Data'!H184))), "FIXED ANOMALY", "PASSED")</f>
        <v/>
      </c>
      <c r="K184" s="8">
        <f>IF('01_Raw_Data'!F184&lt;0, "Converted Negative Quantity to ABS", IF('01_Raw_Data'!C184="", "Imputed Missing Customer ID", IF(ISNUMBER(SEARCH("%", '01_Raw_Data'!H184)), "Parsed Text % to Numeric Rate", "Standardized Format")))</f>
        <v/>
      </c>
    </row>
    <row r="185">
      <c r="A185" s="8">
        <f>'01_Raw_Data'!A185</f>
        <v/>
      </c>
      <c r="B185" s="10">
        <f>IFERROR(DATEVALUE('01_Raw_Data'!B185), IF('01_Raw_Data'!B185="", DATE(2024,1,1), '01_Raw_Data'!B185))</f>
        <v/>
      </c>
      <c r="C185" s="8">
        <f>IF(OR('01_Raw_Data'!C185="",'01_Raw_Data'!C185="0"), "CUST-GUEST", TRIM('01_Raw_Data'!C185))</f>
        <v/>
      </c>
      <c r="D185" s="8">
        <f>PROPER(TRIM(CLEAN('01_Raw_Data'!D185)))</f>
        <v/>
      </c>
      <c r="E185" s="8">
        <f>ABS(IF(ISNUMBER(VALUE('01_Raw_Data'!F185)), VALUE('01_Raw_Data'!F185), 1))</f>
        <v/>
      </c>
      <c r="F185" s="9">
        <f>'01_Raw_Data'!G185</f>
        <v/>
      </c>
      <c r="G185" s="11">
        <f>IF(ISNUMBER('01_Raw_Data'!H185), '01_Raw_Data'!H185, IFERROR(VALUE(SUBSTITUTE('01_Raw_Data'!H185, "%", ""))/100, 0))</f>
        <v/>
      </c>
      <c r="H185" s="8">
        <f>PROPER(TRIM('01_Raw_Data'!J185))</f>
        <v/>
      </c>
      <c r="I185" s="8">
        <f>IF('01_Raw_Data'!K185="", "REG-NA", UPPER(TRIM('01_Raw_Data'!K185)))</f>
        <v/>
      </c>
      <c r="J185" s="8">
        <f>IF(OR('01_Raw_Data'!C185="", '01_Raw_Data'!F185&lt;0, ISNUMBER(SEARCH("%", '01_Raw_Data'!H185))), "FIXED ANOMALY", "PASSED")</f>
        <v/>
      </c>
      <c r="K185" s="8">
        <f>IF('01_Raw_Data'!F185&lt;0, "Converted Negative Quantity to ABS", IF('01_Raw_Data'!C185="", "Imputed Missing Customer ID", IF(ISNUMBER(SEARCH("%", '01_Raw_Data'!H185)), "Parsed Text % to Numeric Rate", "Standardized Format")))</f>
        <v/>
      </c>
    </row>
    <row r="186">
      <c r="A186" s="8">
        <f>'01_Raw_Data'!A186</f>
        <v/>
      </c>
      <c r="B186" s="10">
        <f>IFERROR(DATEVALUE('01_Raw_Data'!B186), IF('01_Raw_Data'!B186="", DATE(2024,1,1), '01_Raw_Data'!B186))</f>
        <v/>
      </c>
      <c r="C186" s="8">
        <f>IF(OR('01_Raw_Data'!C186="",'01_Raw_Data'!C186="0"), "CUST-GUEST", TRIM('01_Raw_Data'!C186))</f>
        <v/>
      </c>
      <c r="D186" s="8">
        <f>PROPER(TRIM(CLEAN('01_Raw_Data'!D186)))</f>
        <v/>
      </c>
      <c r="E186" s="8">
        <f>ABS(IF(ISNUMBER(VALUE('01_Raw_Data'!F186)), VALUE('01_Raw_Data'!F186), 1))</f>
        <v/>
      </c>
      <c r="F186" s="9">
        <f>'01_Raw_Data'!G186</f>
        <v/>
      </c>
      <c r="G186" s="11">
        <f>IF(ISNUMBER('01_Raw_Data'!H186), '01_Raw_Data'!H186, IFERROR(VALUE(SUBSTITUTE('01_Raw_Data'!H186, "%", ""))/100, 0))</f>
        <v/>
      </c>
      <c r="H186" s="8">
        <f>PROPER(TRIM('01_Raw_Data'!J186))</f>
        <v/>
      </c>
      <c r="I186" s="8">
        <f>IF('01_Raw_Data'!K186="", "REG-NA", UPPER(TRIM('01_Raw_Data'!K186)))</f>
        <v/>
      </c>
      <c r="J186" s="8">
        <f>IF(OR('01_Raw_Data'!C186="", '01_Raw_Data'!F186&lt;0, ISNUMBER(SEARCH("%", '01_Raw_Data'!H186))), "FIXED ANOMALY", "PASSED")</f>
        <v/>
      </c>
      <c r="K186" s="8">
        <f>IF('01_Raw_Data'!F186&lt;0, "Converted Negative Quantity to ABS", IF('01_Raw_Data'!C186="", "Imputed Missing Customer ID", IF(ISNUMBER(SEARCH("%", '01_Raw_Data'!H186)), "Parsed Text % to Numeric Rate", "Standardized Format")))</f>
        <v/>
      </c>
    </row>
    <row r="187">
      <c r="A187" s="8">
        <f>'01_Raw_Data'!A187</f>
        <v/>
      </c>
      <c r="B187" s="10">
        <f>IFERROR(DATEVALUE('01_Raw_Data'!B187), IF('01_Raw_Data'!B187="", DATE(2024,1,1), '01_Raw_Data'!B187))</f>
        <v/>
      </c>
      <c r="C187" s="8">
        <f>IF(OR('01_Raw_Data'!C187="",'01_Raw_Data'!C187="0"), "CUST-GUEST", TRIM('01_Raw_Data'!C187))</f>
        <v/>
      </c>
      <c r="D187" s="8">
        <f>PROPER(TRIM(CLEAN('01_Raw_Data'!D187)))</f>
        <v/>
      </c>
      <c r="E187" s="8">
        <f>ABS(IF(ISNUMBER(VALUE('01_Raw_Data'!F187)), VALUE('01_Raw_Data'!F187), 1))</f>
        <v/>
      </c>
      <c r="F187" s="9">
        <f>'01_Raw_Data'!G187</f>
        <v/>
      </c>
      <c r="G187" s="11">
        <f>IF(ISNUMBER('01_Raw_Data'!H187), '01_Raw_Data'!H187, IFERROR(VALUE(SUBSTITUTE('01_Raw_Data'!H187, "%", ""))/100, 0))</f>
        <v/>
      </c>
      <c r="H187" s="8">
        <f>PROPER(TRIM('01_Raw_Data'!J187))</f>
        <v/>
      </c>
      <c r="I187" s="8">
        <f>IF('01_Raw_Data'!K187="", "REG-NA", UPPER(TRIM('01_Raw_Data'!K187)))</f>
        <v/>
      </c>
      <c r="J187" s="8">
        <f>IF(OR('01_Raw_Data'!C187="", '01_Raw_Data'!F187&lt;0, ISNUMBER(SEARCH("%", '01_Raw_Data'!H187))), "FIXED ANOMALY", "PASSED")</f>
        <v/>
      </c>
      <c r="K187" s="8">
        <f>IF('01_Raw_Data'!F187&lt;0, "Converted Negative Quantity to ABS", IF('01_Raw_Data'!C187="", "Imputed Missing Customer ID", IF(ISNUMBER(SEARCH("%", '01_Raw_Data'!H187)), "Parsed Text % to Numeric Rate", "Standardized Format")))</f>
        <v/>
      </c>
    </row>
    <row r="188">
      <c r="A188" s="8">
        <f>'01_Raw_Data'!A188</f>
        <v/>
      </c>
      <c r="B188" s="10">
        <f>IFERROR(DATEVALUE('01_Raw_Data'!B188), IF('01_Raw_Data'!B188="", DATE(2024,1,1), '01_Raw_Data'!B188))</f>
        <v/>
      </c>
      <c r="C188" s="8">
        <f>IF(OR('01_Raw_Data'!C188="",'01_Raw_Data'!C188="0"), "CUST-GUEST", TRIM('01_Raw_Data'!C188))</f>
        <v/>
      </c>
      <c r="D188" s="8">
        <f>PROPER(TRIM(CLEAN('01_Raw_Data'!D188)))</f>
        <v/>
      </c>
      <c r="E188" s="8">
        <f>ABS(IF(ISNUMBER(VALUE('01_Raw_Data'!F188)), VALUE('01_Raw_Data'!F188), 1))</f>
        <v/>
      </c>
      <c r="F188" s="9">
        <f>'01_Raw_Data'!G188</f>
        <v/>
      </c>
      <c r="G188" s="11">
        <f>IF(ISNUMBER('01_Raw_Data'!H188), '01_Raw_Data'!H188, IFERROR(VALUE(SUBSTITUTE('01_Raw_Data'!H188, "%", ""))/100, 0))</f>
        <v/>
      </c>
      <c r="H188" s="8">
        <f>PROPER(TRIM('01_Raw_Data'!J188))</f>
        <v/>
      </c>
      <c r="I188" s="8">
        <f>IF('01_Raw_Data'!K188="", "REG-NA", UPPER(TRIM('01_Raw_Data'!K188)))</f>
        <v/>
      </c>
      <c r="J188" s="8">
        <f>IF(OR('01_Raw_Data'!C188="", '01_Raw_Data'!F188&lt;0, ISNUMBER(SEARCH("%", '01_Raw_Data'!H188))), "FIXED ANOMALY", "PASSED")</f>
        <v/>
      </c>
      <c r="K188" s="8">
        <f>IF('01_Raw_Data'!F188&lt;0, "Converted Negative Quantity to ABS", IF('01_Raw_Data'!C188="", "Imputed Missing Customer ID", IF(ISNUMBER(SEARCH("%", '01_Raw_Data'!H188)), "Parsed Text % to Numeric Rate", "Standardized Format")))</f>
        <v/>
      </c>
    </row>
    <row r="189">
      <c r="A189" s="8">
        <f>'01_Raw_Data'!A189</f>
        <v/>
      </c>
      <c r="B189" s="10">
        <f>IFERROR(DATEVALUE('01_Raw_Data'!B189), IF('01_Raw_Data'!B189="", DATE(2024,1,1), '01_Raw_Data'!B189))</f>
        <v/>
      </c>
      <c r="C189" s="8">
        <f>IF(OR('01_Raw_Data'!C189="",'01_Raw_Data'!C189="0"), "CUST-GUEST", TRIM('01_Raw_Data'!C189))</f>
        <v/>
      </c>
      <c r="D189" s="8">
        <f>PROPER(TRIM(CLEAN('01_Raw_Data'!D189)))</f>
        <v/>
      </c>
      <c r="E189" s="8">
        <f>ABS(IF(ISNUMBER(VALUE('01_Raw_Data'!F189)), VALUE('01_Raw_Data'!F189), 1))</f>
        <v/>
      </c>
      <c r="F189" s="9">
        <f>'01_Raw_Data'!G189</f>
        <v/>
      </c>
      <c r="G189" s="11">
        <f>IF(ISNUMBER('01_Raw_Data'!H189), '01_Raw_Data'!H189, IFERROR(VALUE(SUBSTITUTE('01_Raw_Data'!H189, "%", ""))/100, 0))</f>
        <v/>
      </c>
      <c r="H189" s="8">
        <f>PROPER(TRIM('01_Raw_Data'!J189))</f>
        <v/>
      </c>
      <c r="I189" s="8">
        <f>IF('01_Raw_Data'!K189="", "REG-NA", UPPER(TRIM('01_Raw_Data'!K189)))</f>
        <v/>
      </c>
      <c r="J189" s="8">
        <f>IF(OR('01_Raw_Data'!C189="", '01_Raw_Data'!F189&lt;0, ISNUMBER(SEARCH("%", '01_Raw_Data'!H189))), "FIXED ANOMALY", "PASSED")</f>
        <v/>
      </c>
      <c r="K189" s="8">
        <f>IF('01_Raw_Data'!F189&lt;0, "Converted Negative Quantity to ABS", IF('01_Raw_Data'!C189="", "Imputed Missing Customer ID", IF(ISNUMBER(SEARCH("%", '01_Raw_Data'!H189)), "Parsed Text % to Numeric Rate", "Standardized Format")))</f>
        <v/>
      </c>
    </row>
    <row r="190">
      <c r="A190" s="8">
        <f>'01_Raw_Data'!A190</f>
        <v/>
      </c>
      <c r="B190" s="10">
        <f>IFERROR(DATEVALUE('01_Raw_Data'!B190), IF('01_Raw_Data'!B190="", DATE(2024,1,1), '01_Raw_Data'!B190))</f>
        <v/>
      </c>
      <c r="C190" s="8">
        <f>IF(OR('01_Raw_Data'!C190="",'01_Raw_Data'!C190="0"), "CUST-GUEST", TRIM('01_Raw_Data'!C190))</f>
        <v/>
      </c>
      <c r="D190" s="8">
        <f>PROPER(TRIM(CLEAN('01_Raw_Data'!D190)))</f>
        <v/>
      </c>
      <c r="E190" s="8">
        <f>ABS(IF(ISNUMBER(VALUE('01_Raw_Data'!F190)), VALUE('01_Raw_Data'!F190), 1))</f>
        <v/>
      </c>
      <c r="F190" s="9">
        <f>'01_Raw_Data'!G190</f>
        <v/>
      </c>
      <c r="G190" s="11">
        <f>IF(ISNUMBER('01_Raw_Data'!H190), '01_Raw_Data'!H190, IFERROR(VALUE(SUBSTITUTE('01_Raw_Data'!H190, "%", ""))/100, 0))</f>
        <v/>
      </c>
      <c r="H190" s="8">
        <f>PROPER(TRIM('01_Raw_Data'!J190))</f>
        <v/>
      </c>
      <c r="I190" s="8">
        <f>IF('01_Raw_Data'!K190="", "REG-NA", UPPER(TRIM('01_Raw_Data'!K190)))</f>
        <v/>
      </c>
      <c r="J190" s="8">
        <f>IF(OR('01_Raw_Data'!C190="", '01_Raw_Data'!F190&lt;0, ISNUMBER(SEARCH("%", '01_Raw_Data'!H190))), "FIXED ANOMALY", "PASSED")</f>
        <v/>
      </c>
      <c r="K190" s="8">
        <f>IF('01_Raw_Data'!F190&lt;0, "Converted Negative Quantity to ABS", IF('01_Raw_Data'!C190="", "Imputed Missing Customer ID", IF(ISNUMBER(SEARCH("%", '01_Raw_Data'!H190)), "Parsed Text % to Numeric Rate", "Standardized Format")))</f>
        <v/>
      </c>
    </row>
    <row r="191">
      <c r="A191" s="8">
        <f>'01_Raw_Data'!A191</f>
        <v/>
      </c>
      <c r="B191" s="10">
        <f>IFERROR(DATEVALUE('01_Raw_Data'!B191), IF('01_Raw_Data'!B191="", DATE(2024,1,1), '01_Raw_Data'!B191))</f>
        <v/>
      </c>
      <c r="C191" s="8">
        <f>IF(OR('01_Raw_Data'!C191="",'01_Raw_Data'!C191="0"), "CUST-GUEST", TRIM('01_Raw_Data'!C191))</f>
        <v/>
      </c>
      <c r="D191" s="8">
        <f>PROPER(TRIM(CLEAN('01_Raw_Data'!D191)))</f>
        <v/>
      </c>
      <c r="E191" s="8">
        <f>ABS(IF(ISNUMBER(VALUE('01_Raw_Data'!F191)), VALUE('01_Raw_Data'!F191), 1))</f>
        <v/>
      </c>
      <c r="F191" s="9">
        <f>'01_Raw_Data'!G191</f>
        <v/>
      </c>
      <c r="G191" s="11">
        <f>IF(ISNUMBER('01_Raw_Data'!H191), '01_Raw_Data'!H191, IFERROR(VALUE(SUBSTITUTE('01_Raw_Data'!H191, "%", ""))/100, 0))</f>
        <v/>
      </c>
      <c r="H191" s="8">
        <f>PROPER(TRIM('01_Raw_Data'!J191))</f>
        <v/>
      </c>
      <c r="I191" s="8">
        <f>IF('01_Raw_Data'!K191="", "REG-NA", UPPER(TRIM('01_Raw_Data'!K191)))</f>
        <v/>
      </c>
      <c r="J191" s="8">
        <f>IF(OR('01_Raw_Data'!C191="", '01_Raw_Data'!F191&lt;0, ISNUMBER(SEARCH("%", '01_Raw_Data'!H191))), "FIXED ANOMALY", "PASSED")</f>
        <v/>
      </c>
      <c r="K191" s="8">
        <f>IF('01_Raw_Data'!F191&lt;0, "Converted Negative Quantity to ABS", IF('01_Raw_Data'!C191="", "Imputed Missing Customer ID", IF(ISNUMBER(SEARCH("%", '01_Raw_Data'!H191)), "Parsed Text % to Numeric Rate", "Standardized Format")))</f>
        <v/>
      </c>
    </row>
    <row r="192">
      <c r="A192" s="8">
        <f>'01_Raw_Data'!A192</f>
        <v/>
      </c>
      <c r="B192" s="10">
        <f>IFERROR(DATEVALUE('01_Raw_Data'!B192), IF('01_Raw_Data'!B192="", DATE(2024,1,1), '01_Raw_Data'!B192))</f>
        <v/>
      </c>
      <c r="C192" s="8">
        <f>IF(OR('01_Raw_Data'!C192="",'01_Raw_Data'!C192="0"), "CUST-GUEST", TRIM('01_Raw_Data'!C192))</f>
        <v/>
      </c>
      <c r="D192" s="8">
        <f>PROPER(TRIM(CLEAN('01_Raw_Data'!D192)))</f>
        <v/>
      </c>
      <c r="E192" s="8">
        <f>ABS(IF(ISNUMBER(VALUE('01_Raw_Data'!F192)), VALUE('01_Raw_Data'!F192), 1))</f>
        <v/>
      </c>
      <c r="F192" s="9">
        <f>'01_Raw_Data'!G192</f>
        <v/>
      </c>
      <c r="G192" s="11">
        <f>IF(ISNUMBER('01_Raw_Data'!H192), '01_Raw_Data'!H192, IFERROR(VALUE(SUBSTITUTE('01_Raw_Data'!H192, "%", ""))/100, 0))</f>
        <v/>
      </c>
      <c r="H192" s="8">
        <f>PROPER(TRIM('01_Raw_Data'!J192))</f>
        <v/>
      </c>
      <c r="I192" s="8">
        <f>IF('01_Raw_Data'!K192="", "REG-NA", UPPER(TRIM('01_Raw_Data'!K192)))</f>
        <v/>
      </c>
      <c r="J192" s="8">
        <f>IF(OR('01_Raw_Data'!C192="", '01_Raw_Data'!F192&lt;0, ISNUMBER(SEARCH("%", '01_Raw_Data'!H192))), "FIXED ANOMALY", "PASSED")</f>
        <v/>
      </c>
      <c r="K192" s="8">
        <f>IF('01_Raw_Data'!F192&lt;0, "Converted Negative Quantity to ABS", IF('01_Raw_Data'!C192="", "Imputed Missing Customer ID", IF(ISNUMBER(SEARCH("%", '01_Raw_Data'!H192)), "Parsed Text % to Numeric Rate", "Standardized Format")))</f>
        <v/>
      </c>
    </row>
    <row r="193">
      <c r="A193" s="8">
        <f>'01_Raw_Data'!A193</f>
        <v/>
      </c>
      <c r="B193" s="10">
        <f>IFERROR(DATEVALUE('01_Raw_Data'!B193), IF('01_Raw_Data'!B193="", DATE(2024,1,1), '01_Raw_Data'!B193))</f>
        <v/>
      </c>
      <c r="C193" s="8">
        <f>IF(OR('01_Raw_Data'!C193="",'01_Raw_Data'!C193="0"), "CUST-GUEST", TRIM('01_Raw_Data'!C193))</f>
        <v/>
      </c>
      <c r="D193" s="8">
        <f>PROPER(TRIM(CLEAN('01_Raw_Data'!D193)))</f>
        <v/>
      </c>
      <c r="E193" s="8">
        <f>ABS(IF(ISNUMBER(VALUE('01_Raw_Data'!F193)), VALUE('01_Raw_Data'!F193), 1))</f>
        <v/>
      </c>
      <c r="F193" s="9">
        <f>'01_Raw_Data'!G193</f>
        <v/>
      </c>
      <c r="G193" s="11">
        <f>IF(ISNUMBER('01_Raw_Data'!H193), '01_Raw_Data'!H193, IFERROR(VALUE(SUBSTITUTE('01_Raw_Data'!H193, "%", ""))/100, 0))</f>
        <v/>
      </c>
      <c r="H193" s="8">
        <f>PROPER(TRIM('01_Raw_Data'!J193))</f>
        <v/>
      </c>
      <c r="I193" s="8">
        <f>IF('01_Raw_Data'!K193="", "REG-NA", UPPER(TRIM('01_Raw_Data'!K193)))</f>
        <v/>
      </c>
      <c r="J193" s="8">
        <f>IF(OR('01_Raw_Data'!C193="", '01_Raw_Data'!F193&lt;0, ISNUMBER(SEARCH("%", '01_Raw_Data'!H193))), "FIXED ANOMALY", "PASSED")</f>
        <v/>
      </c>
      <c r="K193" s="8">
        <f>IF('01_Raw_Data'!F193&lt;0, "Converted Negative Quantity to ABS", IF('01_Raw_Data'!C193="", "Imputed Missing Customer ID", IF(ISNUMBER(SEARCH("%", '01_Raw_Data'!H193)), "Parsed Text % to Numeric Rate", "Standardized Format")))</f>
        <v/>
      </c>
    </row>
    <row r="194">
      <c r="A194" s="8">
        <f>'01_Raw_Data'!A194</f>
        <v/>
      </c>
      <c r="B194" s="10">
        <f>IFERROR(DATEVALUE('01_Raw_Data'!B194), IF('01_Raw_Data'!B194="", DATE(2024,1,1), '01_Raw_Data'!B194))</f>
        <v/>
      </c>
      <c r="C194" s="8">
        <f>IF(OR('01_Raw_Data'!C194="",'01_Raw_Data'!C194="0"), "CUST-GUEST", TRIM('01_Raw_Data'!C194))</f>
        <v/>
      </c>
      <c r="D194" s="8">
        <f>PROPER(TRIM(CLEAN('01_Raw_Data'!D194)))</f>
        <v/>
      </c>
      <c r="E194" s="8">
        <f>ABS(IF(ISNUMBER(VALUE('01_Raw_Data'!F194)), VALUE('01_Raw_Data'!F194), 1))</f>
        <v/>
      </c>
      <c r="F194" s="9">
        <f>'01_Raw_Data'!G194</f>
        <v/>
      </c>
      <c r="G194" s="11">
        <f>IF(ISNUMBER('01_Raw_Data'!H194), '01_Raw_Data'!H194, IFERROR(VALUE(SUBSTITUTE('01_Raw_Data'!H194, "%", ""))/100, 0))</f>
        <v/>
      </c>
      <c r="H194" s="8">
        <f>PROPER(TRIM('01_Raw_Data'!J194))</f>
        <v/>
      </c>
      <c r="I194" s="8">
        <f>IF('01_Raw_Data'!K194="", "REG-NA", UPPER(TRIM('01_Raw_Data'!K194)))</f>
        <v/>
      </c>
      <c r="J194" s="8">
        <f>IF(OR('01_Raw_Data'!C194="", '01_Raw_Data'!F194&lt;0, ISNUMBER(SEARCH("%", '01_Raw_Data'!H194))), "FIXED ANOMALY", "PASSED")</f>
        <v/>
      </c>
      <c r="K194" s="8">
        <f>IF('01_Raw_Data'!F194&lt;0, "Converted Negative Quantity to ABS", IF('01_Raw_Data'!C194="", "Imputed Missing Customer ID", IF(ISNUMBER(SEARCH("%", '01_Raw_Data'!H194)), "Parsed Text % to Numeric Rate", "Standardized Format")))</f>
        <v/>
      </c>
    </row>
    <row r="195">
      <c r="A195" s="8">
        <f>'01_Raw_Data'!A195</f>
        <v/>
      </c>
      <c r="B195" s="10">
        <f>IFERROR(DATEVALUE('01_Raw_Data'!B195), IF('01_Raw_Data'!B195="", DATE(2024,1,1), '01_Raw_Data'!B195))</f>
        <v/>
      </c>
      <c r="C195" s="8">
        <f>IF(OR('01_Raw_Data'!C195="",'01_Raw_Data'!C195="0"), "CUST-GUEST", TRIM('01_Raw_Data'!C195))</f>
        <v/>
      </c>
      <c r="D195" s="8">
        <f>PROPER(TRIM(CLEAN('01_Raw_Data'!D195)))</f>
        <v/>
      </c>
      <c r="E195" s="8">
        <f>ABS(IF(ISNUMBER(VALUE('01_Raw_Data'!F195)), VALUE('01_Raw_Data'!F195), 1))</f>
        <v/>
      </c>
      <c r="F195" s="9">
        <f>'01_Raw_Data'!G195</f>
        <v/>
      </c>
      <c r="G195" s="11">
        <f>IF(ISNUMBER('01_Raw_Data'!H195), '01_Raw_Data'!H195, IFERROR(VALUE(SUBSTITUTE('01_Raw_Data'!H195, "%", ""))/100, 0))</f>
        <v/>
      </c>
      <c r="H195" s="8">
        <f>PROPER(TRIM('01_Raw_Data'!J195))</f>
        <v/>
      </c>
      <c r="I195" s="8">
        <f>IF('01_Raw_Data'!K195="", "REG-NA", UPPER(TRIM('01_Raw_Data'!K195)))</f>
        <v/>
      </c>
      <c r="J195" s="8">
        <f>IF(OR('01_Raw_Data'!C195="", '01_Raw_Data'!F195&lt;0, ISNUMBER(SEARCH("%", '01_Raw_Data'!H195))), "FIXED ANOMALY", "PASSED")</f>
        <v/>
      </c>
      <c r="K195" s="8">
        <f>IF('01_Raw_Data'!F195&lt;0, "Converted Negative Quantity to ABS", IF('01_Raw_Data'!C195="", "Imputed Missing Customer ID", IF(ISNUMBER(SEARCH("%", '01_Raw_Data'!H195)), "Parsed Text % to Numeric Rate", "Standardized Format")))</f>
        <v/>
      </c>
    </row>
    <row r="196">
      <c r="A196" s="8">
        <f>'01_Raw_Data'!A196</f>
        <v/>
      </c>
      <c r="B196" s="10">
        <f>IFERROR(DATEVALUE('01_Raw_Data'!B196), IF('01_Raw_Data'!B196="", DATE(2024,1,1), '01_Raw_Data'!B196))</f>
        <v/>
      </c>
      <c r="C196" s="8">
        <f>IF(OR('01_Raw_Data'!C196="",'01_Raw_Data'!C196="0"), "CUST-GUEST", TRIM('01_Raw_Data'!C196))</f>
        <v/>
      </c>
      <c r="D196" s="8">
        <f>PROPER(TRIM(CLEAN('01_Raw_Data'!D196)))</f>
        <v/>
      </c>
      <c r="E196" s="8">
        <f>ABS(IF(ISNUMBER(VALUE('01_Raw_Data'!F196)), VALUE('01_Raw_Data'!F196), 1))</f>
        <v/>
      </c>
      <c r="F196" s="9">
        <f>'01_Raw_Data'!G196</f>
        <v/>
      </c>
      <c r="G196" s="11">
        <f>IF(ISNUMBER('01_Raw_Data'!H196), '01_Raw_Data'!H196, IFERROR(VALUE(SUBSTITUTE('01_Raw_Data'!H196, "%", ""))/100, 0))</f>
        <v/>
      </c>
      <c r="H196" s="8">
        <f>PROPER(TRIM('01_Raw_Data'!J196))</f>
        <v/>
      </c>
      <c r="I196" s="8">
        <f>IF('01_Raw_Data'!K196="", "REG-NA", UPPER(TRIM('01_Raw_Data'!K196)))</f>
        <v/>
      </c>
      <c r="J196" s="8">
        <f>IF(OR('01_Raw_Data'!C196="", '01_Raw_Data'!F196&lt;0, ISNUMBER(SEARCH("%", '01_Raw_Data'!H196))), "FIXED ANOMALY", "PASSED")</f>
        <v/>
      </c>
      <c r="K196" s="8">
        <f>IF('01_Raw_Data'!F196&lt;0, "Converted Negative Quantity to ABS", IF('01_Raw_Data'!C196="", "Imputed Missing Customer ID", IF(ISNUMBER(SEARCH("%", '01_Raw_Data'!H196)), "Parsed Text % to Numeric Rate", "Standardized Format")))</f>
        <v/>
      </c>
    </row>
    <row r="197">
      <c r="A197" s="8">
        <f>'01_Raw_Data'!A197</f>
        <v/>
      </c>
      <c r="B197" s="10">
        <f>IFERROR(DATEVALUE('01_Raw_Data'!B197), IF('01_Raw_Data'!B197="", DATE(2024,1,1), '01_Raw_Data'!B197))</f>
        <v/>
      </c>
      <c r="C197" s="8">
        <f>IF(OR('01_Raw_Data'!C197="",'01_Raw_Data'!C197="0"), "CUST-GUEST", TRIM('01_Raw_Data'!C197))</f>
        <v/>
      </c>
      <c r="D197" s="8">
        <f>PROPER(TRIM(CLEAN('01_Raw_Data'!D197)))</f>
        <v/>
      </c>
      <c r="E197" s="8">
        <f>ABS(IF(ISNUMBER(VALUE('01_Raw_Data'!F197)), VALUE('01_Raw_Data'!F197), 1))</f>
        <v/>
      </c>
      <c r="F197" s="9">
        <f>'01_Raw_Data'!G197</f>
        <v/>
      </c>
      <c r="G197" s="11">
        <f>IF(ISNUMBER('01_Raw_Data'!H197), '01_Raw_Data'!H197, IFERROR(VALUE(SUBSTITUTE('01_Raw_Data'!H197, "%", ""))/100, 0))</f>
        <v/>
      </c>
      <c r="H197" s="8">
        <f>PROPER(TRIM('01_Raw_Data'!J197))</f>
        <v/>
      </c>
      <c r="I197" s="8">
        <f>IF('01_Raw_Data'!K197="", "REG-NA", UPPER(TRIM('01_Raw_Data'!K197)))</f>
        <v/>
      </c>
      <c r="J197" s="8">
        <f>IF(OR('01_Raw_Data'!C197="", '01_Raw_Data'!F197&lt;0, ISNUMBER(SEARCH("%", '01_Raw_Data'!H197))), "FIXED ANOMALY", "PASSED")</f>
        <v/>
      </c>
      <c r="K197" s="8">
        <f>IF('01_Raw_Data'!F197&lt;0, "Converted Negative Quantity to ABS", IF('01_Raw_Data'!C197="", "Imputed Missing Customer ID", IF(ISNUMBER(SEARCH("%", '01_Raw_Data'!H197)), "Parsed Text % to Numeric Rate", "Standardized Format")))</f>
        <v/>
      </c>
    </row>
    <row r="198">
      <c r="A198" s="8">
        <f>'01_Raw_Data'!A198</f>
        <v/>
      </c>
      <c r="B198" s="10">
        <f>IFERROR(DATEVALUE('01_Raw_Data'!B198), IF('01_Raw_Data'!B198="", DATE(2024,1,1), '01_Raw_Data'!B198))</f>
        <v/>
      </c>
      <c r="C198" s="8">
        <f>IF(OR('01_Raw_Data'!C198="",'01_Raw_Data'!C198="0"), "CUST-GUEST", TRIM('01_Raw_Data'!C198))</f>
        <v/>
      </c>
      <c r="D198" s="8">
        <f>PROPER(TRIM(CLEAN('01_Raw_Data'!D198)))</f>
        <v/>
      </c>
      <c r="E198" s="8">
        <f>ABS(IF(ISNUMBER(VALUE('01_Raw_Data'!F198)), VALUE('01_Raw_Data'!F198), 1))</f>
        <v/>
      </c>
      <c r="F198" s="9">
        <f>'01_Raw_Data'!G198</f>
        <v/>
      </c>
      <c r="G198" s="11">
        <f>IF(ISNUMBER('01_Raw_Data'!H198), '01_Raw_Data'!H198, IFERROR(VALUE(SUBSTITUTE('01_Raw_Data'!H198, "%", ""))/100, 0))</f>
        <v/>
      </c>
      <c r="H198" s="8">
        <f>PROPER(TRIM('01_Raw_Data'!J198))</f>
        <v/>
      </c>
      <c r="I198" s="8">
        <f>IF('01_Raw_Data'!K198="", "REG-NA", UPPER(TRIM('01_Raw_Data'!K198)))</f>
        <v/>
      </c>
      <c r="J198" s="8">
        <f>IF(OR('01_Raw_Data'!C198="", '01_Raw_Data'!F198&lt;0, ISNUMBER(SEARCH("%", '01_Raw_Data'!H198))), "FIXED ANOMALY", "PASSED")</f>
        <v/>
      </c>
      <c r="K198" s="8">
        <f>IF('01_Raw_Data'!F198&lt;0, "Converted Negative Quantity to ABS", IF('01_Raw_Data'!C198="", "Imputed Missing Customer ID", IF(ISNUMBER(SEARCH("%", '01_Raw_Data'!H198)), "Parsed Text % to Numeric Rate", "Standardized Format")))</f>
        <v/>
      </c>
    </row>
    <row r="199">
      <c r="A199" s="8">
        <f>'01_Raw_Data'!A199</f>
        <v/>
      </c>
      <c r="B199" s="10">
        <f>IFERROR(DATEVALUE('01_Raw_Data'!B199), IF('01_Raw_Data'!B199="", DATE(2024,1,1), '01_Raw_Data'!B199))</f>
        <v/>
      </c>
      <c r="C199" s="8">
        <f>IF(OR('01_Raw_Data'!C199="",'01_Raw_Data'!C199="0"), "CUST-GUEST", TRIM('01_Raw_Data'!C199))</f>
        <v/>
      </c>
      <c r="D199" s="8">
        <f>PROPER(TRIM(CLEAN('01_Raw_Data'!D199)))</f>
        <v/>
      </c>
      <c r="E199" s="8">
        <f>ABS(IF(ISNUMBER(VALUE('01_Raw_Data'!F199)), VALUE('01_Raw_Data'!F199), 1))</f>
        <v/>
      </c>
      <c r="F199" s="9">
        <f>'01_Raw_Data'!G199</f>
        <v/>
      </c>
      <c r="G199" s="11">
        <f>IF(ISNUMBER('01_Raw_Data'!H199), '01_Raw_Data'!H199, IFERROR(VALUE(SUBSTITUTE('01_Raw_Data'!H199, "%", ""))/100, 0))</f>
        <v/>
      </c>
      <c r="H199" s="8">
        <f>PROPER(TRIM('01_Raw_Data'!J199))</f>
        <v/>
      </c>
      <c r="I199" s="8">
        <f>IF('01_Raw_Data'!K199="", "REG-NA", UPPER(TRIM('01_Raw_Data'!K199)))</f>
        <v/>
      </c>
      <c r="J199" s="8">
        <f>IF(OR('01_Raw_Data'!C199="", '01_Raw_Data'!F199&lt;0, ISNUMBER(SEARCH("%", '01_Raw_Data'!H199))), "FIXED ANOMALY", "PASSED")</f>
        <v/>
      </c>
      <c r="K199" s="8">
        <f>IF('01_Raw_Data'!F199&lt;0, "Converted Negative Quantity to ABS", IF('01_Raw_Data'!C199="", "Imputed Missing Customer ID", IF(ISNUMBER(SEARCH("%", '01_Raw_Data'!H199)), "Parsed Text % to Numeric Rate", "Standardized Format")))</f>
        <v/>
      </c>
    </row>
    <row r="200">
      <c r="A200" s="8">
        <f>'01_Raw_Data'!A200</f>
        <v/>
      </c>
      <c r="B200" s="10">
        <f>IFERROR(DATEVALUE('01_Raw_Data'!B200), IF('01_Raw_Data'!B200="", DATE(2024,1,1), '01_Raw_Data'!B200))</f>
        <v/>
      </c>
      <c r="C200" s="8">
        <f>IF(OR('01_Raw_Data'!C200="",'01_Raw_Data'!C200="0"), "CUST-GUEST", TRIM('01_Raw_Data'!C200))</f>
        <v/>
      </c>
      <c r="D200" s="8">
        <f>PROPER(TRIM(CLEAN('01_Raw_Data'!D200)))</f>
        <v/>
      </c>
      <c r="E200" s="8">
        <f>ABS(IF(ISNUMBER(VALUE('01_Raw_Data'!F200)), VALUE('01_Raw_Data'!F200), 1))</f>
        <v/>
      </c>
      <c r="F200" s="9">
        <f>'01_Raw_Data'!G200</f>
        <v/>
      </c>
      <c r="G200" s="11">
        <f>IF(ISNUMBER('01_Raw_Data'!H200), '01_Raw_Data'!H200, IFERROR(VALUE(SUBSTITUTE('01_Raw_Data'!H200, "%", ""))/100, 0))</f>
        <v/>
      </c>
      <c r="H200" s="8">
        <f>PROPER(TRIM('01_Raw_Data'!J200))</f>
        <v/>
      </c>
      <c r="I200" s="8">
        <f>IF('01_Raw_Data'!K200="", "REG-NA", UPPER(TRIM('01_Raw_Data'!K200)))</f>
        <v/>
      </c>
      <c r="J200" s="8">
        <f>IF(OR('01_Raw_Data'!C200="", '01_Raw_Data'!F200&lt;0, ISNUMBER(SEARCH("%", '01_Raw_Data'!H200))), "FIXED ANOMALY", "PASSED")</f>
        <v/>
      </c>
      <c r="K200" s="8">
        <f>IF('01_Raw_Data'!F200&lt;0, "Converted Negative Quantity to ABS", IF('01_Raw_Data'!C200="", "Imputed Missing Customer ID", IF(ISNUMBER(SEARCH("%", '01_Raw_Data'!H200)), "Parsed Text % to Numeric Rate", "Standardized Format")))</f>
        <v/>
      </c>
    </row>
    <row r="201">
      <c r="A201" s="8">
        <f>'01_Raw_Data'!A201</f>
        <v/>
      </c>
      <c r="B201" s="10">
        <f>IFERROR(DATEVALUE('01_Raw_Data'!B201), IF('01_Raw_Data'!B201="", DATE(2024,1,1), '01_Raw_Data'!B201))</f>
        <v/>
      </c>
      <c r="C201" s="8">
        <f>IF(OR('01_Raw_Data'!C201="",'01_Raw_Data'!C201="0"), "CUST-GUEST", TRIM('01_Raw_Data'!C201))</f>
        <v/>
      </c>
      <c r="D201" s="8">
        <f>PROPER(TRIM(CLEAN('01_Raw_Data'!D201)))</f>
        <v/>
      </c>
      <c r="E201" s="8">
        <f>ABS(IF(ISNUMBER(VALUE('01_Raw_Data'!F201)), VALUE('01_Raw_Data'!F201), 1))</f>
        <v/>
      </c>
      <c r="F201" s="9">
        <f>'01_Raw_Data'!G201</f>
        <v/>
      </c>
      <c r="G201" s="11">
        <f>IF(ISNUMBER('01_Raw_Data'!H201), '01_Raw_Data'!H201, IFERROR(VALUE(SUBSTITUTE('01_Raw_Data'!H201, "%", ""))/100, 0))</f>
        <v/>
      </c>
      <c r="H201" s="8">
        <f>PROPER(TRIM('01_Raw_Data'!J201))</f>
        <v/>
      </c>
      <c r="I201" s="8">
        <f>IF('01_Raw_Data'!K201="", "REG-NA", UPPER(TRIM('01_Raw_Data'!K201)))</f>
        <v/>
      </c>
      <c r="J201" s="8">
        <f>IF(OR('01_Raw_Data'!C201="", '01_Raw_Data'!F201&lt;0, ISNUMBER(SEARCH("%", '01_Raw_Data'!H201))), "FIXED ANOMALY", "PASSED")</f>
        <v/>
      </c>
      <c r="K201" s="8">
        <f>IF('01_Raw_Data'!F201&lt;0, "Converted Negative Quantity to ABS", IF('01_Raw_Data'!C201="", "Imputed Missing Customer ID", IF(ISNUMBER(SEARCH("%", '01_Raw_Data'!H201)), "Parsed Text % to Numeric Rate", "Standardized Format")))</f>
        <v/>
      </c>
    </row>
    <row r="202">
      <c r="A202" s="8">
        <f>'01_Raw_Data'!A202</f>
        <v/>
      </c>
      <c r="B202" s="10">
        <f>IFERROR(DATEVALUE('01_Raw_Data'!B202), IF('01_Raw_Data'!B202="", DATE(2024,1,1), '01_Raw_Data'!B202))</f>
        <v/>
      </c>
      <c r="C202" s="8">
        <f>IF(OR('01_Raw_Data'!C202="",'01_Raw_Data'!C202="0"), "CUST-GUEST", TRIM('01_Raw_Data'!C202))</f>
        <v/>
      </c>
      <c r="D202" s="8">
        <f>PROPER(TRIM(CLEAN('01_Raw_Data'!D202)))</f>
        <v/>
      </c>
      <c r="E202" s="8">
        <f>ABS(IF(ISNUMBER(VALUE('01_Raw_Data'!F202)), VALUE('01_Raw_Data'!F202), 1))</f>
        <v/>
      </c>
      <c r="F202" s="9">
        <f>'01_Raw_Data'!G202</f>
        <v/>
      </c>
      <c r="G202" s="11">
        <f>IF(ISNUMBER('01_Raw_Data'!H202), '01_Raw_Data'!H202, IFERROR(VALUE(SUBSTITUTE('01_Raw_Data'!H202, "%", ""))/100, 0))</f>
        <v/>
      </c>
      <c r="H202" s="8">
        <f>PROPER(TRIM('01_Raw_Data'!J202))</f>
        <v/>
      </c>
      <c r="I202" s="8">
        <f>IF('01_Raw_Data'!K202="", "REG-NA", UPPER(TRIM('01_Raw_Data'!K202)))</f>
        <v/>
      </c>
      <c r="J202" s="8">
        <f>IF(OR('01_Raw_Data'!C202="", '01_Raw_Data'!F202&lt;0, ISNUMBER(SEARCH("%", '01_Raw_Data'!H202))), "FIXED ANOMALY", "PASSED")</f>
        <v/>
      </c>
      <c r="K202" s="8">
        <f>IF('01_Raw_Data'!F202&lt;0, "Converted Negative Quantity to ABS", IF('01_Raw_Data'!C202="", "Imputed Missing Customer ID", IF(ISNUMBER(SEARCH("%", '01_Raw_Data'!H202)), "Parsed Text % to Numeric Rate", "Standardized Format")))</f>
        <v/>
      </c>
    </row>
    <row r="203">
      <c r="A203" s="8">
        <f>'01_Raw_Data'!A203</f>
        <v/>
      </c>
      <c r="B203" s="10">
        <f>IFERROR(DATEVALUE('01_Raw_Data'!B203), IF('01_Raw_Data'!B203="", DATE(2024,1,1), '01_Raw_Data'!B203))</f>
        <v/>
      </c>
      <c r="C203" s="8">
        <f>IF(OR('01_Raw_Data'!C203="",'01_Raw_Data'!C203="0"), "CUST-GUEST", TRIM('01_Raw_Data'!C203))</f>
        <v/>
      </c>
      <c r="D203" s="8">
        <f>PROPER(TRIM(CLEAN('01_Raw_Data'!D203)))</f>
        <v/>
      </c>
      <c r="E203" s="8">
        <f>ABS(IF(ISNUMBER(VALUE('01_Raw_Data'!F203)), VALUE('01_Raw_Data'!F203), 1))</f>
        <v/>
      </c>
      <c r="F203" s="9">
        <f>'01_Raw_Data'!G203</f>
        <v/>
      </c>
      <c r="G203" s="11">
        <f>IF(ISNUMBER('01_Raw_Data'!H203), '01_Raw_Data'!H203, IFERROR(VALUE(SUBSTITUTE('01_Raw_Data'!H203, "%", ""))/100, 0))</f>
        <v/>
      </c>
      <c r="H203" s="8">
        <f>PROPER(TRIM('01_Raw_Data'!J203))</f>
        <v/>
      </c>
      <c r="I203" s="8">
        <f>IF('01_Raw_Data'!K203="", "REG-NA", UPPER(TRIM('01_Raw_Data'!K203)))</f>
        <v/>
      </c>
      <c r="J203" s="8">
        <f>IF(OR('01_Raw_Data'!C203="", '01_Raw_Data'!F203&lt;0, ISNUMBER(SEARCH("%", '01_Raw_Data'!H203))), "FIXED ANOMALY", "PASSED")</f>
        <v/>
      </c>
      <c r="K203" s="8">
        <f>IF('01_Raw_Data'!F203&lt;0, "Converted Negative Quantity to ABS", IF('01_Raw_Data'!C203="", "Imputed Missing Customer ID", IF(ISNUMBER(SEARCH("%", '01_Raw_Data'!H203)), "Parsed Text % to Numeric Rate", "Standardized Format")))</f>
        <v/>
      </c>
    </row>
    <row r="204">
      <c r="A204" s="8">
        <f>'01_Raw_Data'!A204</f>
        <v/>
      </c>
      <c r="B204" s="10">
        <f>IFERROR(DATEVALUE('01_Raw_Data'!B204), IF('01_Raw_Data'!B204="", DATE(2024,1,1), '01_Raw_Data'!B204))</f>
        <v/>
      </c>
      <c r="C204" s="8">
        <f>IF(OR('01_Raw_Data'!C204="",'01_Raw_Data'!C204="0"), "CUST-GUEST", TRIM('01_Raw_Data'!C204))</f>
        <v/>
      </c>
      <c r="D204" s="8">
        <f>PROPER(TRIM(CLEAN('01_Raw_Data'!D204)))</f>
        <v/>
      </c>
      <c r="E204" s="8">
        <f>ABS(IF(ISNUMBER(VALUE('01_Raw_Data'!F204)), VALUE('01_Raw_Data'!F204), 1))</f>
        <v/>
      </c>
      <c r="F204" s="9">
        <f>'01_Raw_Data'!G204</f>
        <v/>
      </c>
      <c r="G204" s="11">
        <f>IF(ISNUMBER('01_Raw_Data'!H204), '01_Raw_Data'!H204, IFERROR(VALUE(SUBSTITUTE('01_Raw_Data'!H204, "%", ""))/100, 0))</f>
        <v/>
      </c>
      <c r="H204" s="8">
        <f>PROPER(TRIM('01_Raw_Data'!J204))</f>
        <v/>
      </c>
      <c r="I204" s="8">
        <f>IF('01_Raw_Data'!K204="", "REG-NA", UPPER(TRIM('01_Raw_Data'!K204)))</f>
        <v/>
      </c>
      <c r="J204" s="8">
        <f>IF(OR('01_Raw_Data'!C204="", '01_Raw_Data'!F204&lt;0, ISNUMBER(SEARCH("%", '01_Raw_Data'!H204))), "FIXED ANOMALY", "PASSED")</f>
        <v/>
      </c>
      <c r="K204" s="8">
        <f>IF('01_Raw_Data'!F204&lt;0, "Converted Negative Quantity to ABS", IF('01_Raw_Data'!C204="", "Imputed Missing Customer ID", IF(ISNUMBER(SEARCH("%", '01_Raw_Data'!H204)), "Parsed Text % to Numeric Rate", "Standardized Format")))</f>
        <v/>
      </c>
    </row>
    <row r="205">
      <c r="A205" s="8">
        <f>'01_Raw_Data'!A205</f>
        <v/>
      </c>
      <c r="B205" s="10">
        <f>IFERROR(DATEVALUE('01_Raw_Data'!B205), IF('01_Raw_Data'!B205="", DATE(2024,1,1), '01_Raw_Data'!B205))</f>
        <v/>
      </c>
      <c r="C205" s="8">
        <f>IF(OR('01_Raw_Data'!C205="",'01_Raw_Data'!C205="0"), "CUST-GUEST", TRIM('01_Raw_Data'!C205))</f>
        <v/>
      </c>
      <c r="D205" s="8">
        <f>PROPER(TRIM(CLEAN('01_Raw_Data'!D205)))</f>
        <v/>
      </c>
      <c r="E205" s="8">
        <f>ABS(IF(ISNUMBER(VALUE('01_Raw_Data'!F205)), VALUE('01_Raw_Data'!F205), 1))</f>
        <v/>
      </c>
      <c r="F205" s="9">
        <f>'01_Raw_Data'!G205</f>
        <v/>
      </c>
      <c r="G205" s="11">
        <f>IF(ISNUMBER('01_Raw_Data'!H205), '01_Raw_Data'!H205, IFERROR(VALUE(SUBSTITUTE('01_Raw_Data'!H205, "%", ""))/100, 0))</f>
        <v/>
      </c>
      <c r="H205" s="8">
        <f>PROPER(TRIM('01_Raw_Data'!J205))</f>
        <v/>
      </c>
      <c r="I205" s="8">
        <f>IF('01_Raw_Data'!K205="", "REG-NA", UPPER(TRIM('01_Raw_Data'!K205)))</f>
        <v/>
      </c>
      <c r="J205" s="8">
        <f>IF(OR('01_Raw_Data'!C205="", '01_Raw_Data'!F205&lt;0, ISNUMBER(SEARCH("%", '01_Raw_Data'!H205))), "FIXED ANOMALY", "PASSED")</f>
        <v/>
      </c>
      <c r="K205" s="8">
        <f>IF('01_Raw_Data'!F205&lt;0, "Converted Negative Quantity to ABS", IF('01_Raw_Data'!C205="", "Imputed Missing Customer ID", IF(ISNUMBER(SEARCH("%", '01_Raw_Data'!H205)), "Parsed Text % to Numeric Rate", "Standardized Format")))</f>
        <v/>
      </c>
    </row>
    <row r="206">
      <c r="A206" s="8">
        <f>'01_Raw_Data'!A206</f>
        <v/>
      </c>
      <c r="B206" s="10">
        <f>IFERROR(DATEVALUE('01_Raw_Data'!B206), IF('01_Raw_Data'!B206="", DATE(2024,1,1), '01_Raw_Data'!B206))</f>
        <v/>
      </c>
      <c r="C206" s="8">
        <f>IF(OR('01_Raw_Data'!C206="",'01_Raw_Data'!C206="0"), "CUST-GUEST", TRIM('01_Raw_Data'!C206))</f>
        <v/>
      </c>
      <c r="D206" s="8">
        <f>PROPER(TRIM(CLEAN('01_Raw_Data'!D206)))</f>
        <v/>
      </c>
      <c r="E206" s="8">
        <f>ABS(IF(ISNUMBER(VALUE('01_Raw_Data'!F206)), VALUE('01_Raw_Data'!F206), 1))</f>
        <v/>
      </c>
      <c r="F206" s="9">
        <f>'01_Raw_Data'!G206</f>
        <v/>
      </c>
      <c r="G206" s="11">
        <f>IF(ISNUMBER('01_Raw_Data'!H206), '01_Raw_Data'!H206, IFERROR(VALUE(SUBSTITUTE('01_Raw_Data'!H206, "%", ""))/100, 0))</f>
        <v/>
      </c>
      <c r="H206" s="8">
        <f>PROPER(TRIM('01_Raw_Data'!J206))</f>
        <v/>
      </c>
      <c r="I206" s="8">
        <f>IF('01_Raw_Data'!K206="", "REG-NA", UPPER(TRIM('01_Raw_Data'!K206)))</f>
        <v/>
      </c>
      <c r="J206" s="8">
        <f>IF(OR('01_Raw_Data'!C206="", '01_Raw_Data'!F206&lt;0, ISNUMBER(SEARCH("%", '01_Raw_Data'!H206))), "FIXED ANOMALY", "PASSED")</f>
        <v/>
      </c>
      <c r="K206" s="8">
        <f>IF('01_Raw_Data'!F206&lt;0, "Converted Negative Quantity to ABS", IF('01_Raw_Data'!C206="", "Imputed Missing Customer ID", IF(ISNUMBER(SEARCH("%", '01_Raw_Data'!H206)), "Parsed Text % to Numeric Rate", "Standardized Format")))</f>
        <v/>
      </c>
    </row>
    <row r="207">
      <c r="A207" s="8">
        <f>'01_Raw_Data'!A207</f>
        <v/>
      </c>
      <c r="B207" s="10">
        <f>IFERROR(DATEVALUE('01_Raw_Data'!B207), IF('01_Raw_Data'!B207="", DATE(2024,1,1), '01_Raw_Data'!B207))</f>
        <v/>
      </c>
      <c r="C207" s="8">
        <f>IF(OR('01_Raw_Data'!C207="",'01_Raw_Data'!C207="0"), "CUST-GUEST", TRIM('01_Raw_Data'!C207))</f>
        <v/>
      </c>
      <c r="D207" s="8">
        <f>PROPER(TRIM(CLEAN('01_Raw_Data'!D207)))</f>
        <v/>
      </c>
      <c r="E207" s="8">
        <f>ABS(IF(ISNUMBER(VALUE('01_Raw_Data'!F207)), VALUE('01_Raw_Data'!F207), 1))</f>
        <v/>
      </c>
      <c r="F207" s="9">
        <f>'01_Raw_Data'!G207</f>
        <v/>
      </c>
      <c r="G207" s="11">
        <f>IF(ISNUMBER('01_Raw_Data'!H207), '01_Raw_Data'!H207, IFERROR(VALUE(SUBSTITUTE('01_Raw_Data'!H207, "%", ""))/100, 0))</f>
        <v/>
      </c>
      <c r="H207" s="8">
        <f>PROPER(TRIM('01_Raw_Data'!J207))</f>
        <v/>
      </c>
      <c r="I207" s="8">
        <f>IF('01_Raw_Data'!K207="", "REG-NA", UPPER(TRIM('01_Raw_Data'!K207)))</f>
        <v/>
      </c>
      <c r="J207" s="8">
        <f>IF(OR('01_Raw_Data'!C207="", '01_Raw_Data'!F207&lt;0, ISNUMBER(SEARCH("%", '01_Raw_Data'!H207))), "FIXED ANOMALY", "PASSED")</f>
        <v/>
      </c>
      <c r="K207" s="8">
        <f>IF('01_Raw_Data'!F207&lt;0, "Converted Negative Quantity to ABS", IF('01_Raw_Data'!C207="", "Imputed Missing Customer ID", IF(ISNUMBER(SEARCH("%", '01_Raw_Data'!H207)), "Parsed Text % to Numeric Rate", "Standardized Format")))</f>
        <v/>
      </c>
    </row>
    <row r="208">
      <c r="A208" s="8">
        <f>'01_Raw_Data'!A208</f>
        <v/>
      </c>
      <c r="B208" s="10">
        <f>IFERROR(DATEVALUE('01_Raw_Data'!B208), IF('01_Raw_Data'!B208="", DATE(2024,1,1), '01_Raw_Data'!B208))</f>
        <v/>
      </c>
      <c r="C208" s="8">
        <f>IF(OR('01_Raw_Data'!C208="",'01_Raw_Data'!C208="0"), "CUST-GUEST", TRIM('01_Raw_Data'!C208))</f>
        <v/>
      </c>
      <c r="D208" s="8">
        <f>PROPER(TRIM(CLEAN('01_Raw_Data'!D208)))</f>
        <v/>
      </c>
      <c r="E208" s="8">
        <f>ABS(IF(ISNUMBER(VALUE('01_Raw_Data'!F208)), VALUE('01_Raw_Data'!F208), 1))</f>
        <v/>
      </c>
      <c r="F208" s="9">
        <f>'01_Raw_Data'!G208</f>
        <v/>
      </c>
      <c r="G208" s="11">
        <f>IF(ISNUMBER('01_Raw_Data'!H208), '01_Raw_Data'!H208, IFERROR(VALUE(SUBSTITUTE('01_Raw_Data'!H208, "%", ""))/100, 0))</f>
        <v/>
      </c>
      <c r="H208" s="8">
        <f>PROPER(TRIM('01_Raw_Data'!J208))</f>
        <v/>
      </c>
      <c r="I208" s="8">
        <f>IF('01_Raw_Data'!K208="", "REG-NA", UPPER(TRIM('01_Raw_Data'!K208)))</f>
        <v/>
      </c>
      <c r="J208" s="8">
        <f>IF(OR('01_Raw_Data'!C208="", '01_Raw_Data'!F208&lt;0, ISNUMBER(SEARCH("%", '01_Raw_Data'!H208))), "FIXED ANOMALY", "PASSED")</f>
        <v/>
      </c>
      <c r="K208" s="8">
        <f>IF('01_Raw_Data'!F208&lt;0, "Converted Negative Quantity to ABS", IF('01_Raw_Data'!C208="", "Imputed Missing Customer ID", IF(ISNUMBER(SEARCH("%", '01_Raw_Data'!H208)), "Parsed Text % to Numeric Rate", "Standardized Format")))</f>
        <v/>
      </c>
    </row>
    <row r="209">
      <c r="A209" s="8">
        <f>'01_Raw_Data'!A209</f>
        <v/>
      </c>
      <c r="B209" s="10">
        <f>IFERROR(DATEVALUE('01_Raw_Data'!B209), IF('01_Raw_Data'!B209="", DATE(2024,1,1), '01_Raw_Data'!B209))</f>
        <v/>
      </c>
      <c r="C209" s="8">
        <f>IF(OR('01_Raw_Data'!C209="",'01_Raw_Data'!C209="0"), "CUST-GUEST", TRIM('01_Raw_Data'!C209))</f>
        <v/>
      </c>
      <c r="D209" s="8">
        <f>PROPER(TRIM(CLEAN('01_Raw_Data'!D209)))</f>
        <v/>
      </c>
      <c r="E209" s="8">
        <f>ABS(IF(ISNUMBER(VALUE('01_Raw_Data'!F209)), VALUE('01_Raw_Data'!F209), 1))</f>
        <v/>
      </c>
      <c r="F209" s="9">
        <f>'01_Raw_Data'!G209</f>
        <v/>
      </c>
      <c r="G209" s="11">
        <f>IF(ISNUMBER('01_Raw_Data'!H209), '01_Raw_Data'!H209, IFERROR(VALUE(SUBSTITUTE('01_Raw_Data'!H209, "%", ""))/100, 0))</f>
        <v/>
      </c>
      <c r="H209" s="8">
        <f>PROPER(TRIM('01_Raw_Data'!J209))</f>
        <v/>
      </c>
      <c r="I209" s="8">
        <f>IF('01_Raw_Data'!K209="", "REG-NA", UPPER(TRIM('01_Raw_Data'!K209)))</f>
        <v/>
      </c>
      <c r="J209" s="8">
        <f>IF(OR('01_Raw_Data'!C209="", '01_Raw_Data'!F209&lt;0, ISNUMBER(SEARCH("%", '01_Raw_Data'!H209))), "FIXED ANOMALY", "PASSED")</f>
        <v/>
      </c>
      <c r="K209" s="8">
        <f>IF('01_Raw_Data'!F209&lt;0, "Converted Negative Quantity to ABS", IF('01_Raw_Data'!C209="", "Imputed Missing Customer ID", IF(ISNUMBER(SEARCH("%", '01_Raw_Data'!H209)), "Parsed Text % to Numeric Rate", "Standardized Format")))</f>
        <v/>
      </c>
    </row>
    <row r="210">
      <c r="A210" s="8">
        <f>'01_Raw_Data'!A210</f>
        <v/>
      </c>
      <c r="B210" s="10">
        <f>IFERROR(DATEVALUE('01_Raw_Data'!B210), IF('01_Raw_Data'!B210="", DATE(2024,1,1), '01_Raw_Data'!B210))</f>
        <v/>
      </c>
      <c r="C210" s="8">
        <f>IF(OR('01_Raw_Data'!C210="",'01_Raw_Data'!C210="0"), "CUST-GUEST", TRIM('01_Raw_Data'!C210))</f>
        <v/>
      </c>
      <c r="D210" s="8">
        <f>PROPER(TRIM(CLEAN('01_Raw_Data'!D210)))</f>
        <v/>
      </c>
      <c r="E210" s="8">
        <f>ABS(IF(ISNUMBER(VALUE('01_Raw_Data'!F210)), VALUE('01_Raw_Data'!F210), 1))</f>
        <v/>
      </c>
      <c r="F210" s="9">
        <f>'01_Raw_Data'!G210</f>
        <v/>
      </c>
      <c r="G210" s="11">
        <f>IF(ISNUMBER('01_Raw_Data'!H210), '01_Raw_Data'!H210, IFERROR(VALUE(SUBSTITUTE('01_Raw_Data'!H210, "%", ""))/100, 0))</f>
        <v/>
      </c>
      <c r="H210" s="8">
        <f>PROPER(TRIM('01_Raw_Data'!J210))</f>
        <v/>
      </c>
      <c r="I210" s="8">
        <f>IF('01_Raw_Data'!K210="", "REG-NA", UPPER(TRIM('01_Raw_Data'!K210)))</f>
        <v/>
      </c>
      <c r="J210" s="8">
        <f>IF(OR('01_Raw_Data'!C210="", '01_Raw_Data'!F210&lt;0, ISNUMBER(SEARCH("%", '01_Raw_Data'!H210))), "FIXED ANOMALY", "PASSED")</f>
        <v/>
      </c>
      <c r="K210" s="8">
        <f>IF('01_Raw_Data'!F210&lt;0, "Converted Negative Quantity to ABS", IF('01_Raw_Data'!C210="", "Imputed Missing Customer ID", IF(ISNUMBER(SEARCH("%", '01_Raw_Data'!H210)), "Parsed Text % to Numeric Rate", "Standardized Format")))</f>
        <v/>
      </c>
    </row>
    <row r="211">
      <c r="A211" s="8">
        <f>'01_Raw_Data'!A211</f>
        <v/>
      </c>
      <c r="B211" s="10">
        <f>IFERROR(DATEVALUE('01_Raw_Data'!B211), IF('01_Raw_Data'!B211="", DATE(2024,1,1), '01_Raw_Data'!B211))</f>
        <v/>
      </c>
      <c r="C211" s="8">
        <f>IF(OR('01_Raw_Data'!C211="",'01_Raw_Data'!C211="0"), "CUST-GUEST", TRIM('01_Raw_Data'!C211))</f>
        <v/>
      </c>
      <c r="D211" s="8">
        <f>PROPER(TRIM(CLEAN('01_Raw_Data'!D211)))</f>
        <v/>
      </c>
      <c r="E211" s="8">
        <f>ABS(IF(ISNUMBER(VALUE('01_Raw_Data'!F211)), VALUE('01_Raw_Data'!F211), 1))</f>
        <v/>
      </c>
      <c r="F211" s="9">
        <f>'01_Raw_Data'!G211</f>
        <v/>
      </c>
      <c r="G211" s="11">
        <f>IF(ISNUMBER('01_Raw_Data'!H211), '01_Raw_Data'!H211, IFERROR(VALUE(SUBSTITUTE('01_Raw_Data'!H211, "%", ""))/100, 0))</f>
        <v/>
      </c>
      <c r="H211" s="8">
        <f>PROPER(TRIM('01_Raw_Data'!J211))</f>
        <v/>
      </c>
      <c r="I211" s="8">
        <f>IF('01_Raw_Data'!K211="", "REG-NA", UPPER(TRIM('01_Raw_Data'!K211)))</f>
        <v/>
      </c>
      <c r="J211" s="8">
        <f>IF(OR('01_Raw_Data'!C211="", '01_Raw_Data'!F211&lt;0, ISNUMBER(SEARCH("%", '01_Raw_Data'!H211))), "FIXED ANOMALY", "PASSED")</f>
        <v/>
      </c>
      <c r="K211" s="8">
        <f>IF('01_Raw_Data'!F211&lt;0, "Converted Negative Quantity to ABS", IF('01_Raw_Data'!C211="", "Imputed Missing Customer ID", IF(ISNUMBER(SEARCH("%", '01_Raw_Data'!H211)), "Parsed Text % to Numeric Rate", "Standardized Format")))</f>
        <v/>
      </c>
    </row>
    <row r="212">
      <c r="A212" s="8">
        <f>'01_Raw_Data'!A212</f>
        <v/>
      </c>
      <c r="B212" s="10">
        <f>IFERROR(DATEVALUE('01_Raw_Data'!B212), IF('01_Raw_Data'!B212="", DATE(2024,1,1), '01_Raw_Data'!B212))</f>
        <v/>
      </c>
      <c r="C212" s="8">
        <f>IF(OR('01_Raw_Data'!C212="",'01_Raw_Data'!C212="0"), "CUST-GUEST", TRIM('01_Raw_Data'!C212))</f>
        <v/>
      </c>
      <c r="D212" s="8">
        <f>PROPER(TRIM(CLEAN('01_Raw_Data'!D212)))</f>
        <v/>
      </c>
      <c r="E212" s="8">
        <f>ABS(IF(ISNUMBER(VALUE('01_Raw_Data'!F212)), VALUE('01_Raw_Data'!F212), 1))</f>
        <v/>
      </c>
      <c r="F212" s="9">
        <f>'01_Raw_Data'!G212</f>
        <v/>
      </c>
      <c r="G212" s="11">
        <f>IF(ISNUMBER('01_Raw_Data'!H212), '01_Raw_Data'!H212, IFERROR(VALUE(SUBSTITUTE('01_Raw_Data'!H212, "%", ""))/100, 0))</f>
        <v/>
      </c>
      <c r="H212" s="8">
        <f>PROPER(TRIM('01_Raw_Data'!J212))</f>
        <v/>
      </c>
      <c r="I212" s="8">
        <f>IF('01_Raw_Data'!K212="", "REG-NA", UPPER(TRIM('01_Raw_Data'!K212)))</f>
        <v/>
      </c>
      <c r="J212" s="8">
        <f>IF(OR('01_Raw_Data'!C212="", '01_Raw_Data'!F212&lt;0, ISNUMBER(SEARCH("%", '01_Raw_Data'!H212))), "FIXED ANOMALY", "PASSED")</f>
        <v/>
      </c>
      <c r="K212" s="8">
        <f>IF('01_Raw_Data'!F212&lt;0, "Converted Negative Quantity to ABS", IF('01_Raw_Data'!C212="", "Imputed Missing Customer ID", IF(ISNUMBER(SEARCH("%", '01_Raw_Data'!H212)), "Parsed Text % to Numeric Rate", "Standardized Format")))</f>
        <v/>
      </c>
    </row>
    <row r="213">
      <c r="A213" s="8">
        <f>'01_Raw_Data'!A213</f>
        <v/>
      </c>
      <c r="B213" s="10">
        <f>IFERROR(DATEVALUE('01_Raw_Data'!B213), IF('01_Raw_Data'!B213="", DATE(2024,1,1), '01_Raw_Data'!B213))</f>
        <v/>
      </c>
      <c r="C213" s="8">
        <f>IF(OR('01_Raw_Data'!C213="",'01_Raw_Data'!C213="0"), "CUST-GUEST", TRIM('01_Raw_Data'!C213))</f>
        <v/>
      </c>
      <c r="D213" s="8">
        <f>PROPER(TRIM(CLEAN('01_Raw_Data'!D213)))</f>
        <v/>
      </c>
      <c r="E213" s="8">
        <f>ABS(IF(ISNUMBER(VALUE('01_Raw_Data'!F213)), VALUE('01_Raw_Data'!F213), 1))</f>
        <v/>
      </c>
      <c r="F213" s="9">
        <f>'01_Raw_Data'!G213</f>
        <v/>
      </c>
      <c r="G213" s="11">
        <f>IF(ISNUMBER('01_Raw_Data'!H213), '01_Raw_Data'!H213, IFERROR(VALUE(SUBSTITUTE('01_Raw_Data'!H213, "%", ""))/100, 0))</f>
        <v/>
      </c>
      <c r="H213" s="8">
        <f>PROPER(TRIM('01_Raw_Data'!J213))</f>
        <v/>
      </c>
      <c r="I213" s="8">
        <f>IF('01_Raw_Data'!K213="", "REG-NA", UPPER(TRIM('01_Raw_Data'!K213)))</f>
        <v/>
      </c>
      <c r="J213" s="8">
        <f>IF(OR('01_Raw_Data'!C213="", '01_Raw_Data'!F213&lt;0, ISNUMBER(SEARCH("%", '01_Raw_Data'!H213))), "FIXED ANOMALY", "PASSED")</f>
        <v/>
      </c>
      <c r="K213" s="8">
        <f>IF('01_Raw_Data'!F213&lt;0, "Converted Negative Quantity to ABS", IF('01_Raw_Data'!C213="", "Imputed Missing Customer ID", IF(ISNUMBER(SEARCH("%", '01_Raw_Data'!H213)), "Parsed Text % to Numeric Rate", "Standardized Format")))</f>
        <v/>
      </c>
    </row>
    <row r="214">
      <c r="A214" s="8">
        <f>'01_Raw_Data'!A214</f>
        <v/>
      </c>
      <c r="B214" s="10">
        <f>IFERROR(DATEVALUE('01_Raw_Data'!B214), IF('01_Raw_Data'!B214="", DATE(2024,1,1), '01_Raw_Data'!B214))</f>
        <v/>
      </c>
      <c r="C214" s="8">
        <f>IF(OR('01_Raw_Data'!C214="",'01_Raw_Data'!C214="0"), "CUST-GUEST", TRIM('01_Raw_Data'!C214))</f>
        <v/>
      </c>
      <c r="D214" s="8">
        <f>PROPER(TRIM(CLEAN('01_Raw_Data'!D214)))</f>
        <v/>
      </c>
      <c r="E214" s="8">
        <f>ABS(IF(ISNUMBER(VALUE('01_Raw_Data'!F214)), VALUE('01_Raw_Data'!F214), 1))</f>
        <v/>
      </c>
      <c r="F214" s="9">
        <f>'01_Raw_Data'!G214</f>
        <v/>
      </c>
      <c r="G214" s="11">
        <f>IF(ISNUMBER('01_Raw_Data'!H214), '01_Raw_Data'!H214, IFERROR(VALUE(SUBSTITUTE('01_Raw_Data'!H214, "%", ""))/100, 0))</f>
        <v/>
      </c>
      <c r="H214" s="8">
        <f>PROPER(TRIM('01_Raw_Data'!J214))</f>
        <v/>
      </c>
      <c r="I214" s="8">
        <f>IF('01_Raw_Data'!K214="", "REG-NA", UPPER(TRIM('01_Raw_Data'!K214)))</f>
        <v/>
      </c>
      <c r="J214" s="8">
        <f>IF(OR('01_Raw_Data'!C214="", '01_Raw_Data'!F214&lt;0, ISNUMBER(SEARCH("%", '01_Raw_Data'!H214))), "FIXED ANOMALY", "PASSED")</f>
        <v/>
      </c>
      <c r="K214" s="8">
        <f>IF('01_Raw_Data'!F214&lt;0, "Converted Negative Quantity to ABS", IF('01_Raw_Data'!C214="", "Imputed Missing Customer ID", IF(ISNUMBER(SEARCH("%", '01_Raw_Data'!H214)), "Parsed Text % to Numeric Rate", "Standardized Format")))</f>
        <v/>
      </c>
    </row>
    <row r="215">
      <c r="A215" s="8">
        <f>'01_Raw_Data'!A215</f>
        <v/>
      </c>
      <c r="B215" s="10">
        <f>IFERROR(DATEVALUE('01_Raw_Data'!B215), IF('01_Raw_Data'!B215="", DATE(2024,1,1), '01_Raw_Data'!B215))</f>
        <v/>
      </c>
      <c r="C215" s="8">
        <f>IF(OR('01_Raw_Data'!C215="",'01_Raw_Data'!C215="0"), "CUST-GUEST", TRIM('01_Raw_Data'!C215))</f>
        <v/>
      </c>
      <c r="D215" s="8">
        <f>PROPER(TRIM(CLEAN('01_Raw_Data'!D215)))</f>
        <v/>
      </c>
      <c r="E215" s="8">
        <f>ABS(IF(ISNUMBER(VALUE('01_Raw_Data'!F215)), VALUE('01_Raw_Data'!F215), 1))</f>
        <v/>
      </c>
      <c r="F215" s="9">
        <f>'01_Raw_Data'!G215</f>
        <v/>
      </c>
      <c r="G215" s="11">
        <f>IF(ISNUMBER('01_Raw_Data'!H215), '01_Raw_Data'!H215, IFERROR(VALUE(SUBSTITUTE('01_Raw_Data'!H215, "%", ""))/100, 0))</f>
        <v/>
      </c>
      <c r="H215" s="8">
        <f>PROPER(TRIM('01_Raw_Data'!J215))</f>
        <v/>
      </c>
      <c r="I215" s="8">
        <f>IF('01_Raw_Data'!K215="", "REG-NA", UPPER(TRIM('01_Raw_Data'!K215)))</f>
        <v/>
      </c>
      <c r="J215" s="8">
        <f>IF(OR('01_Raw_Data'!C215="", '01_Raw_Data'!F215&lt;0, ISNUMBER(SEARCH("%", '01_Raw_Data'!H215))), "FIXED ANOMALY", "PASSED")</f>
        <v/>
      </c>
      <c r="K215" s="8">
        <f>IF('01_Raw_Data'!F215&lt;0, "Converted Negative Quantity to ABS", IF('01_Raw_Data'!C215="", "Imputed Missing Customer ID", IF(ISNUMBER(SEARCH("%", '01_Raw_Data'!H215)), "Parsed Text % to Numeric Rate", "Standardized Format")))</f>
        <v/>
      </c>
    </row>
    <row r="216">
      <c r="A216" s="8">
        <f>'01_Raw_Data'!A216</f>
        <v/>
      </c>
      <c r="B216" s="10">
        <f>IFERROR(DATEVALUE('01_Raw_Data'!B216), IF('01_Raw_Data'!B216="", DATE(2024,1,1), '01_Raw_Data'!B216))</f>
        <v/>
      </c>
      <c r="C216" s="8">
        <f>IF(OR('01_Raw_Data'!C216="",'01_Raw_Data'!C216="0"), "CUST-GUEST", TRIM('01_Raw_Data'!C216))</f>
        <v/>
      </c>
      <c r="D216" s="8">
        <f>PROPER(TRIM(CLEAN('01_Raw_Data'!D216)))</f>
        <v/>
      </c>
      <c r="E216" s="8">
        <f>ABS(IF(ISNUMBER(VALUE('01_Raw_Data'!F216)), VALUE('01_Raw_Data'!F216), 1))</f>
        <v/>
      </c>
      <c r="F216" s="9">
        <f>'01_Raw_Data'!G216</f>
        <v/>
      </c>
      <c r="G216" s="11">
        <f>IF(ISNUMBER('01_Raw_Data'!H216), '01_Raw_Data'!H216, IFERROR(VALUE(SUBSTITUTE('01_Raw_Data'!H216, "%", ""))/100, 0))</f>
        <v/>
      </c>
      <c r="H216" s="8">
        <f>PROPER(TRIM('01_Raw_Data'!J216))</f>
        <v/>
      </c>
      <c r="I216" s="8">
        <f>IF('01_Raw_Data'!K216="", "REG-NA", UPPER(TRIM('01_Raw_Data'!K216)))</f>
        <v/>
      </c>
      <c r="J216" s="8">
        <f>IF(OR('01_Raw_Data'!C216="", '01_Raw_Data'!F216&lt;0, ISNUMBER(SEARCH("%", '01_Raw_Data'!H216))), "FIXED ANOMALY", "PASSED")</f>
        <v/>
      </c>
      <c r="K216" s="8">
        <f>IF('01_Raw_Data'!F216&lt;0, "Converted Negative Quantity to ABS", IF('01_Raw_Data'!C216="", "Imputed Missing Customer ID", IF(ISNUMBER(SEARCH("%", '01_Raw_Data'!H216)), "Parsed Text % to Numeric Rate", "Standardized Format")))</f>
        <v/>
      </c>
    </row>
    <row r="217">
      <c r="A217" s="8">
        <f>'01_Raw_Data'!A217</f>
        <v/>
      </c>
      <c r="B217" s="10">
        <f>IFERROR(DATEVALUE('01_Raw_Data'!B217), IF('01_Raw_Data'!B217="", DATE(2024,1,1), '01_Raw_Data'!B217))</f>
        <v/>
      </c>
      <c r="C217" s="8">
        <f>IF(OR('01_Raw_Data'!C217="",'01_Raw_Data'!C217="0"), "CUST-GUEST", TRIM('01_Raw_Data'!C217))</f>
        <v/>
      </c>
      <c r="D217" s="8">
        <f>PROPER(TRIM(CLEAN('01_Raw_Data'!D217)))</f>
        <v/>
      </c>
      <c r="E217" s="8">
        <f>ABS(IF(ISNUMBER(VALUE('01_Raw_Data'!F217)), VALUE('01_Raw_Data'!F217), 1))</f>
        <v/>
      </c>
      <c r="F217" s="9">
        <f>'01_Raw_Data'!G217</f>
        <v/>
      </c>
      <c r="G217" s="11">
        <f>IF(ISNUMBER('01_Raw_Data'!H217), '01_Raw_Data'!H217, IFERROR(VALUE(SUBSTITUTE('01_Raw_Data'!H217, "%", ""))/100, 0))</f>
        <v/>
      </c>
      <c r="H217" s="8">
        <f>PROPER(TRIM('01_Raw_Data'!J217))</f>
        <v/>
      </c>
      <c r="I217" s="8">
        <f>IF('01_Raw_Data'!K217="", "REG-NA", UPPER(TRIM('01_Raw_Data'!K217)))</f>
        <v/>
      </c>
      <c r="J217" s="8">
        <f>IF(OR('01_Raw_Data'!C217="", '01_Raw_Data'!F217&lt;0, ISNUMBER(SEARCH("%", '01_Raw_Data'!H217))), "FIXED ANOMALY", "PASSED")</f>
        <v/>
      </c>
      <c r="K217" s="8">
        <f>IF('01_Raw_Data'!F217&lt;0, "Converted Negative Quantity to ABS", IF('01_Raw_Data'!C217="", "Imputed Missing Customer ID", IF(ISNUMBER(SEARCH("%", '01_Raw_Data'!H217)), "Parsed Text % to Numeric Rate", "Standardized Format")))</f>
        <v/>
      </c>
    </row>
    <row r="218">
      <c r="A218" s="8">
        <f>'01_Raw_Data'!A218</f>
        <v/>
      </c>
      <c r="B218" s="10">
        <f>IFERROR(DATEVALUE('01_Raw_Data'!B218), IF('01_Raw_Data'!B218="", DATE(2024,1,1), '01_Raw_Data'!B218))</f>
        <v/>
      </c>
      <c r="C218" s="8">
        <f>IF(OR('01_Raw_Data'!C218="",'01_Raw_Data'!C218="0"), "CUST-GUEST", TRIM('01_Raw_Data'!C218))</f>
        <v/>
      </c>
      <c r="D218" s="8">
        <f>PROPER(TRIM(CLEAN('01_Raw_Data'!D218)))</f>
        <v/>
      </c>
      <c r="E218" s="8">
        <f>ABS(IF(ISNUMBER(VALUE('01_Raw_Data'!F218)), VALUE('01_Raw_Data'!F218), 1))</f>
        <v/>
      </c>
      <c r="F218" s="9">
        <f>'01_Raw_Data'!G218</f>
        <v/>
      </c>
      <c r="G218" s="11">
        <f>IF(ISNUMBER('01_Raw_Data'!H218), '01_Raw_Data'!H218, IFERROR(VALUE(SUBSTITUTE('01_Raw_Data'!H218, "%", ""))/100, 0))</f>
        <v/>
      </c>
      <c r="H218" s="8">
        <f>PROPER(TRIM('01_Raw_Data'!J218))</f>
        <v/>
      </c>
      <c r="I218" s="8">
        <f>IF('01_Raw_Data'!K218="", "REG-NA", UPPER(TRIM('01_Raw_Data'!K218)))</f>
        <v/>
      </c>
      <c r="J218" s="8">
        <f>IF(OR('01_Raw_Data'!C218="", '01_Raw_Data'!F218&lt;0, ISNUMBER(SEARCH("%", '01_Raw_Data'!H218))), "FIXED ANOMALY", "PASSED")</f>
        <v/>
      </c>
      <c r="K218" s="8">
        <f>IF('01_Raw_Data'!F218&lt;0, "Converted Negative Quantity to ABS", IF('01_Raw_Data'!C218="", "Imputed Missing Customer ID", IF(ISNUMBER(SEARCH("%", '01_Raw_Data'!H218)), "Parsed Text % to Numeric Rate", "Standardized Format")))</f>
        <v/>
      </c>
    </row>
    <row r="219">
      <c r="A219" s="8">
        <f>'01_Raw_Data'!A219</f>
        <v/>
      </c>
      <c r="B219" s="10">
        <f>IFERROR(DATEVALUE('01_Raw_Data'!B219), IF('01_Raw_Data'!B219="", DATE(2024,1,1), '01_Raw_Data'!B219))</f>
        <v/>
      </c>
      <c r="C219" s="8">
        <f>IF(OR('01_Raw_Data'!C219="",'01_Raw_Data'!C219="0"), "CUST-GUEST", TRIM('01_Raw_Data'!C219))</f>
        <v/>
      </c>
      <c r="D219" s="8">
        <f>PROPER(TRIM(CLEAN('01_Raw_Data'!D219)))</f>
        <v/>
      </c>
      <c r="E219" s="8">
        <f>ABS(IF(ISNUMBER(VALUE('01_Raw_Data'!F219)), VALUE('01_Raw_Data'!F219), 1))</f>
        <v/>
      </c>
      <c r="F219" s="9">
        <f>'01_Raw_Data'!G219</f>
        <v/>
      </c>
      <c r="G219" s="11">
        <f>IF(ISNUMBER('01_Raw_Data'!H219), '01_Raw_Data'!H219, IFERROR(VALUE(SUBSTITUTE('01_Raw_Data'!H219, "%", ""))/100, 0))</f>
        <v/>
      </c>
      <c r="H219" s="8">
        <f>PROPER(TRIM('01_Raw_Data'!J219))</f>
        <v/>
      </c>
      <c r="I219" s="8">
        <f>IF('01_Raw_Data'!K219="", "REG-NA", UPPER(TRIM('01_Raw_Data'!K219)))</f>
        <v/>
      </c>
      <c r="J219" s="8">
        <f>IF(OR('01_Raw_Data'!C219="", '01_Raw_Data'!F219&lt;0, ISNUMBER(SEARCH("%", '01_Raw_Data'!H219))), "FIXED ANOMALY", "PASSED")</f>
        <v/>
      </c>
      <c r="K219" s="8">
        <f>IF('01_Raw_Data'!F219&lt;0, "Converted Negative Quantity to ABS", IF('01_Raw_Data'!C219="", "Imputed Missing Customer ID", IF(ISNUMBER(SEARCH("%", '01_Raw_Data'!H219)), "Parsed Text % to Numeric Rate", "Standardized Format")))</f>
        <v/>
      </c>
    </row>
    <row r="220">
      <c r="A220" s="8">
        <f>'01_Raw_Data'!A220</f>
        <v/>
      </c>
      <c r="B220" s="10">
        <f>IFERROR(DATEVALUE('01_Raw_Data'!B220), IF('01_Raw_Data'!B220="", DATE(2024,1,1), '01_Raw_Data'!B220))</f>
        <v/>
      </c>
      <c r="C220" s="8">
        <f>IF(OR('01_Raw_Data'!C220="",'01_Raw_Data'!C220="0"), "CUST-GUEST", TRIM('01_Raw_Data'!C220))</f>
        <v/>
      </c>
      <c r="D220" s="8">
        <f>PROPER(TRIM(CLEAN('01_Raw_Data'!D220)))</f>
        <v/>
      </c>
      <c r="E220" s="8">
        <f>ABS(IF(ISNUMBER(VALUE('01_Raw_Data'!F220)), VALUE('01_Raw_Data'!F220), 1))</f>
        <v/>
      </c>
      <c r="F220" s="9">
        <f>'01_Raw_Data'!G220</f>
        <v/>
      </c>
      <c r="G220" s="11">
        <f>IF(ISNUMBER('01_Raw_Data'!H220), '01_Raw_Data'!H220, IFERROR(VALUE(SUBSTITUTE('01_Raw_Data'!H220, "%", ""))/100, 0))</f>
        <v/>
      </c>
      <c r="H220" s="8">
        <f>PROPER(TRIM('01_Raw_Data'!J220))</f>
        <v/>
      </c>
      <c r="I220" s="8">
        <f>IF('01_Raw_Data'!K220="", "REG-NA", UPPER(TRIM('01_Raw_Data'!K220)))</f>
        <v/>
      </c>
      <c r="J220" s="8">
        <f>IF(OR('01_Raw_Data'!C220="", '01_Raw_Data'!F220&lt;0, ISNUMBER(SEARCH("%", '01_Raw_Data'!H220))), "FIXED ANOMALY", "PASSED")</f>
        <v/>
      </c>
      <c r="K220" s="8">
        <f>IF('01_Raw_Data'!F220&lt;0, "Converted Negative Quantity to ABS", IF('01_Raw_Data'!C220="", "Imputed Missing Customer ID", IF(ISNUMBER(SEARCH("%", '01_Raw_Data'!H220)), "Parsed Text % to Numeric Rate", "Standardized Format")))</f>
        <v/>
      </c>
    </row>
    <row r="221">
      <c r="A221" s="8">
        <f>'01_Raw_Data'!A221</f>
        <v/>
      </c>
      <c r="B221" s="10">
        <f>IFERROR(DATEVALUE('01_Raw_Data'!B221), IF('01_Raw_Data'!B221="", DATE(2024,1,1), '01_Raw_Data'!B221))</f>
        <v/>
      </c>
      <c r="C221" s="8">
        <f>IF(OR('01_Raw_Data'!C221="",'01_Raw_Data'!C221="0"), "CUST-GUEST", TRIM('01_Raw_Data'!C221))</f>
        <v/>
      </c>
      <c r="D221" s="8">
        <f>PROPER(TRIM(CLEAN('01_Raw_Data'!D221)))</f>
        <v/>
      </c>
      <c r="E221" s="8">
        <f>ABS(IF(ISNUMBER(VALUE('01_Raw_Data'!F221)), VALUE('01_Raw_Data'!F221), 1))</f>
        <v/>
      </c>
      <c r="F221" s="9">
        <f>'01_Raw_Data'!G221</f>
        <v/>
      </c>
      <c r="G221" s="11">
        <f>IF(ISNUMBER('01_Raw_Data'!H221), '01_Raw_Data'!H221, IFERROR(VALUE(SUBSTITUTE('01_Raw_Data'!H221, "%", ""))/100, 0))</f>
        <v/>
      </c>
      <c r="H221" s="8">
        <f>PROPER(TRIM('01_Raw_Data'!J221))</f>
        <v/>
      </c>
      <c r="I221" s="8">
        <f>IF('01_Raw_Data'!K221="", "REG-NA", UPPER(TRIM('01_Raw_Data'!K221)))</f>
        <v/>
      </c>
      <c r="J221" s="8">
        <f>IF(OR('01_Raw_Data'!C221="", '01_Raw_Data'!F221&lt;0, ISNUMBER(SEARCH("%", '01_Raw_Data'!H221))), "FIXED ANOMALY", "PASSED")</f>
        <v/>
      </c>
      <c r="K221" s="8">
        <f>IF('01_Raw_Data'!F221&lt;0, "Converted Negative Quantity to ABS", IF('01_Raw_Data'!C221="", "Imputed Missing Customer ID", IF(ISNUMBER(SEARCH("%", '01_Raw_Data'!H221)), "Parsed Text % to Numeric Rate", "Standardized Format")))</f>
        <v/>
      </c>
    </row>
    <row r="222">
      <c r="A222" s="8">
        <f>'01_Raw_Data'!A222</f>
        <v/>
      </c>
      <c r="B222" s="10">
        <f>IFERROR(DATEVALUE('01_Raw_Data'!B222), IF('01_Raw_Data'!B222="", DATE(2024,1,1), '01_Raw_Data'!B222))</f>
        <v/>
      </c>
      <c r="C222" s="8">
        <f>IF(OR('01_Raw_Data'!C222="",'01_Raw_Data'!C222="0"), "CUST-GUEST", TRIM('01_Raw_Data'!C222))</f>
        <v/>
      </c>
      <c r="D222" s="8">
        <f>PROPER(TRIM(CLEAN('01_Raw_Data'!D222)))</f>
        <v/>
      </c>
      <c r="E222" s="8">
        <f>ABS(IF(ISNUMBER(VALUE('01_Raw_Data'!F222)), VALUE('01_Raw_Data'!F222), 1))</f>
        <v/>
      </c>
      <c r="F222" s="9">
        <f>'01_Raw_Data'!G222</f>
        <v/>
      </c>
      <c r="G222" s="11">
        <f>IF(ISNUMBER('01_Raw_Data'!H222), '01_Raw_Data'!H222, IFERROR(VALUE(SUBSTITUTE('01_Raw_Data'!H222, "%", ""))/100, 0))</f>
        <v/>
      </c>
      <c r="H222" s="8">
        <f>PROPER(TRIM('01_Raw_Data'!J222))</f>
        <v/>
      </c>
      <c r="I222" s="8">
        <f>IF('01_Raw_Data'!K222="", "REG-NA", UPPER(TRIM('01_Raw_Data'!K222)))</f>
        <v/>
      </c>
      <c r="J222" s="8">
        <f>IF(OR('01_Raw_Data'!C222="", '01_Raw_Data'!F222&lt;0, ISNUMBER(SEARCH("%", '01_Raw_Data'!H222))), "FIXED ANOMALY", "PASSED")</f>
        <v/>
      </c>
      <c r="K222" s="8">
        <f>IF('01_Raw_Data'!F222&lt;0, "Converted Negative Quantity to ABS", IF('01_Raw_Data'!C222="", "Imputed Missing Customer ID", IF(ISNUMBER(SEARCH("%", '01_Raw_Data'!H222)), "Parsed Text % to Numeric Rate", "Standardized Format")))</f>
        <v/>
      </c>
    </row>
    <row r="223">
      <c r="A223" s="8">
        <f>'01_Raw_Data'!A223</f>
        <v/>
      </c>
      <c r="B223" s="10">
        <f>IFERROR(DATEVALUE('01_Raw_Data'!B223), IF('01_Raw_Data'!B223="", DATE(2024,1,1), '01_Raw_Data'!B223))</f>
        <v/>
      </c>
      <c r="C223" s="8">
        <f>IF(OR('01_Raw_Data'!C223="",'01_Raw_Data'!C223="0"), "CUST-GUEST", TRIM('01_Raw_Data'!C223))</f>
        <v/>
      </c>
      <c r="D223" s="8">
        <f>PROPER(TRIM(CLEAN('01_Raw_Data'!D223)))</f>
        <v/>
      </c>
      <c r="E223" s="8">
        <f>ABS(IF(ISNUMBER(VALUE('01_Raw_Data'!F223)), VALUE('01_Raw_Data'!F223), 1))</f>
        <v/>
      </c>
      <c r="F223" s="9">
        <f>'01_Raw_Data'!G223</f>
        <v/>
      </c>
      <c r="G223" s="11">
        <f>IF(ISNUMBER('01_Raw_Data'!H223), '01_Raw_Data'!H223, IFERROR(VALUE(SUBSTITUTE('01_Raw_Data'!H223, "%", ""))/100, 0))</f>
        <v/>
      </c>
      <c r="H223" s="8">
        <f>PROPER(TRIM('01_Raw_Data'!J223))</f>
        <v/>
      </c>
      <c r="I223" s="8">
        <f>IF('01_Raw_Data'!K223="", "REG-NA", UPPER(TRIM('01_Raw_Data'!K223)))</f>
        <v/>
      </c>
      <c r="J223" s="8">
        <f>IF(OR('01_Raw_Data'!C223="", '01_Raw_Data'!F223&lt;0, ISNUMBER(SEARCH("%", '01_Raw_Data'!H223))), "FIXED ANOMALY", "PASSED")</f>
        <v/>
      </c>
      <c r="K223" s="8">
        <f>IF('01_Raw_Data'!F223&lt;0, "Converted Negative Quantity to ABS", IF('01_Raw_Data'!C223="", "Imputed Missing Customer ID", IF(ISNUMBER(SEARCH("%", '01_Raw_Data'!H223)), "Parsed Text % to Numeric Rate", "Standardized Format")))</f>
        <v/>
      </c>
    </row>
    <row r="224">
      <c r="A224" s="8">
        <f>'01_Raw_Data'!A224</f>
        <v/>
      </c>
      <c r="B224" s="10">
        <f>IFERROR(DATEVALUE('01_Raw_Data'!B224), IF('01_Raw_Data'!B224="", DATE(2024,1,1), '01_Raw_Data'!B224))</f>
        <v/>
      </c>
      <c r="C224" s="8">
        <f>IF(OR('01_Raw_Data'!C224="",'01_Raw_Data'!C224="0"), "CUST-GUEST", TRIM('01_Raw_Data'!C224))</f>
        <v/>
      </c>
      <c r="D224" s="8">
        <f>PROPER(TRIM(CLEAN('01_Raw_Data'!D224)))</f>
        <v/>
      </c>
      <c r="E224" s="8">
        <f>ABS(IF(ISNUMBER(VALUE('01_Raw_Data'!F224)), VALUE('01_Raw_Data'!F224), 1))</f>
        <v/>
      </c>
      <c r="F224" s="9">
        <f>'01_Raw_Data'!G224</f>
        <v/>
      </c>
      <c r="G224" s="11">
        <f>IF(ISNUMBER('01_Raw_Data'!H224), '01_Raw_Data'!H224, IFERROR(VALUE(SUBSTITUTE('01_Raw_Data'!H224, "%", ""))/100, 0))</f>
        <v/>
      </c>
      <c r="H224" s="8">
        <f>PROPER(TRIM('01_Raw_Data'!J224))</f>
        <v/>
      </c>
      <c r="I224" s="8">
        <f>IF('01_Raw_Data'!K224="", "REG-NA", UPPER(TRIM('01_Raw_Data'!K224)))</f>
        <v/>
      </c>
      <c r="J224" s="8">
        <f>IF(OR('01_Raw_Data'!C224="", '01_Raw_Data'!F224&lt;0, ISNUMBER(SEARCH("%", '01_Raw_Data'!H224))), "FIXED ANOMALY", "PASSED")</f>
        <v/>
      </c>
      <c r="K224" s="8">
        <f>IF('01_Raw_Data'!F224&lt;0, "Converted Negative Quantity to ABS", IF('01_Raw_Data'!C224="", "Imputed Missing Customer ID", IF(ISNUMBER(SEARCH("%", '01_Raw_Data'!H224)), "Parsed Text % to Numeric Rate", "Standardized Format")))</f>
        <v/>
      </c>
    </row>
    <row r="225">
      <c r="A225" s="8">
        <f>'01_Raw_Data'!A225</f>
        <v/>
      </c>
      <c r="B225" s="10">
        <f>IFERROR(DATEVALUE('01_Raw_Data'!B225), IF('01_Raw_Data'!B225="", DATE(2024,1,1), '01_Raw_Data'!B225))</f>
        <v/>
      </c>
      <c r="C225" s="8">
        <f>IF(OR('01_Raw_Data'!C225="",'01_Raw_Data'!C225="0"), "CUST-GUEST", TRIM('01_Raw_Data'!C225))</f>
        <v/>
      </c>
      <c r="D225" s="8">
        <f>PROPER(TRIM(CLEAN('01_Raw_Data'!D225)))</f>
        <v/>
      </c>
      <c r="E225" s="8">
        <f>ABS(IF(ISNUMBER(VALUE('01_Raw_Data'!F225)), VALUE('01_Raw_Data'!F225), 1))</f>
        <v/>
      </c>
      <c r="F225" s="9">
        <f>'01_Raw_Data'!G225</f>
        <v/>
      </c>
      <c r="G225" s="11">
        <f>IF(ISNUMBER('01_Raw_Data'!H225), '01_Raw_Data'!H225, IFERROR(VALUE(SUBSTITUTE('01_Raw_Data'!H225, "%", ""))/100, 0))</f>
        <v/>
      </c>
      <c r="H225" s="8">
        <f>PROPER(TRIM('01_Raw_Data'!J225))</f>
        <v/>
      </c>
      <c r="I225" s="8">
        <f>IF('01_Raw_Data'!K225="", "REG-NA", UPPER(TRIM('01_Raw_Data'!K225)))</f>
        <v/>
      </c>
      <c r="J225" s="8">
        <f>IF(OR('01_Raw_Data'!C225="", '01_Raw_Data'!F225&lt;0, ISNUMBER(SEARCH("%", '01_Raw_Data'!H225))), "FIXED ANOMALY", "PASSED")</f>
        <v/>
      </c>
      <c r="K225" s="8">
        <f>IF('01_Raw_Data'!F225&lt;0, "Converted Negative Quantity to ABS", IF('01_Raw_Data'!C225="", "Imputed Missing Customer ID", IF(ISNUMBER(SEARCH("%", '01_Raw_Data'!H225)), "Parsed Text % to Numeric Rate", "Standardized Format")))</f>
        <v/>
      </c>
    </row>
    <row r="226">
      <c r="A226" s="8">
        <f>'01_Raw_Data'!A226</f>
        <v/>
      </c>
      <c r="B226" s="10">
        <f>IFERROR(DATEVALUE('01_Raw_Data'!B226), IF('01_Raw_Data'!B226="", DATE(2024,1,1), '01_Raw_Data'!B226))</f>
        <v/>
      </c>
      <c r="C226" s="8">
        <f>IF(OR('01_Raw_Data'!C226="",'01_Raw_Data'!C226="0"), "CUST-GUEST", TRIM('01_Raw_Data'!C226))</f>
        <v/>
      </c>
      <c r="D226" s="8">
        <f>PROPER(TRIM(CLEAN('01_Raw_Data'!D226)))</f>
        <v/>
      </c>
      <c r="E226" s="8">
        <f>ABS(IF(ISNUMBER(VALUE('01_Raw_Data'!F226)), VALUE('01_Raw_Data'!F226), 1))</f>
        <v/>
      </c>
      <c r="F226" s="9">
        <f>'01_Raw_Data'!G226</f>
        <v/>
      </c>
      <c r="G226" s="11">
        <f>IF(ISNUMBER('01_Raw_Data'!H226), '01_Raw_Data'!H226, IFERROR(VALUE(SUBSTITUTE('01_Raw_Data'!H226, "%", ""))/100, 0))</f>
        <v/>
      </c>
      <c r="H226" s="8">
        <f>PROPER(TRIM('01_Raw_Data'!J226))</f>
        <v/>
      </c>
      <c r="I226" s="8">
        <f>IF('01_Raw_Data'!K226="", "REG-NA", UPPER(TRIM('01_Raw_Data'!K226)))</f>
        <v/>
      </c>
      <c r="J226" s="8">
        <f>IF(OR('01_Raw_Data'!C226="", '01_Raw_Data'!F226&lt;0, ISNUMBER(SEARCH("%", '01_Raw_Data'!H226))), "FIXED ANOMALY", "PASSED")</f>
        <v/>
      </c>
      <c r="K226" s="8">
        <f>IF('01_Raw_Data'!F226&lt;0, "Converted Negative Quantity to ABS", IF('01_Raw_Data'!C226="", "Imputed Missing Customer ID", IF(ISNUMBER(SEARCH("%", '01_Raw_Data'!H226)), "Parsed Text % to Numeric Rate", "Standardized Format")))</f>
        <v/>
      </c>
    </row>
    <row r="227">
      <c r="A227" s="8">
        <f>'01_Raw_Data'!A227</f>
        <v/>
      </c>
      <c r="B227" s="10">
        <f>IFERROR(DATEVALUE('01_Raw_Data'!B227), IF('01_Raw_Data'!B227="", DATE(2024,1,1), '01_Raw_Data'!B227))</f>
        <v/>
      </c>
      <c r="C227" s="8">
        <f>IF(OR('01_Raw_Data'!C227="",'01_Raw_Data'!C227="0"), "CUST-GUEST", TRIM('01_Raw_Data'!C227))</f>
        <v/>
      </c>
      <c r="D227" s="8">
        <f>PROPER(TRIM(CLEAN('01_Raw_Data'!D227)))</f>
        <v/>
      </c>
      <c r="E227" s="8">
        <f>ABS(IF(ISNUMBER(VALUE('01_Raw_Data'!F227)), VALUE('01_Raw_Data'!F227), 1))</f>
        <v/>
      </c>
      <c r="F227" s="9">
        <f>'01_Raw_Data'!G227</f>
        <v/>
      </c>
      <c r="G227" s="11">
        <f>IF(ISNUMBER('01_Raw_Data'!H227), '01_Raw_Data'!H227, IFERROR(VALUE(SUBSTITUTE('01_Raw_Data'!H227, "%", ""))/100, 0))</f>
        <v/>
      </c>
      <c r="H227" s="8">
        <f>PROPER(TRIM('01_Raw_Data'!J227))</f>
        <v/>
      </c>
      <c r="I227" s="8">
        <f>IF('01_Raw_Data'!K227="", "REG-NA", UPPER(TRIM('01_Raw_Data'!K227)))</f>
        <v/>
      </c>
      <c r="J227" s="8">
        <f>IF(OR('01_Raw_Data'!C227="", '01_Raw_Data'!F227&lt;0, ISNUMBER(SEARCH("%", '01_Raw_Data'!H227))), "FIXED ANOMALY", "PASSED")</f>
        <v/>
      </c>
      <c r="K227" s="8">
        <f>IF('01_Raw_Data'!F227&lt;0, "Converted Negative Quantity to ABS", IF('01_Raw_Data'!C227="", "Imputed Missing Customer ID", IF(ISNUMBER(SEARCH("%", '01_Raw_Data'!H227)), "Parsed Text % to Numeric Rate", "Standardized Format")))</f>
        <v/>
      </c>
    </row>
    <row r="228">
      <c r="A228" s="8">
        <f>'01_Raw_Data'!A228</f>
        <v/>
      </c>
      <c r="B228" s="10">
        <f>IFERROR(DATEVALUE('01_Raw_Data'!B228), IF('01_Raw_Data'!B228="", DATE(2024,1,1), '01_Raw_Data'!B228))</f>
        <v/>
      </c>
      <c r="C228" s="8">
        <f>IF(OR('01_Raw_Data'!C228="",'01_Raw_Data'!C228="0"), "CUST-GUEST", TRIM('01_Raw_Data'!C228))</f>
        <v/>
      </c>
      <c r="D228" s="8">
        <f>PROPER(TRIM(CLEAN('01_Raw_Data'!D228)))</f>
        <v/>
      </c>
      <c r="E228" s="8">
        <f>ABS(IF(ISNUMBER(VALUE('01_Raw_Data'!F228)), VALUE('01_Raw_Data'!F228), 1))</f>
        <v/>
      </c>
      <c r="F228" s="9">
        <f>'01_Raw_Data'!G228</f>
        <v/>
      </c>
      <c r="G228" s="11">
        <f>IF(ISNUMBER('01_Raw_Data'!H228), '01_Raw_Data'!H228, IFERROR(VALUE(SUBSTITUTE('01_Raw_Data'!H228, "%", ""))/100, 0))</f>
        <v/>
      </c>
      <c r="H228" s="8">
        <f>PROPER(TRIM('01_Raw_Data'!J228))</f>
        <v/>
      </c>
      <c r="I228" s="8">
        <f>IF('01_Raw_Data'!K228="", "REG-NA", UPPER(TRIM('01_Raw_Data'!K228)))</f>
        <v/>
      </c>
      <c r="J228" s="8">
        <f>IF(OR('01_Raw_Data'!C228="", '01_Raw_Data'!F228&lt;0, ISNUMBER(SEARCH("%", '01_Raw_Data'!H228))), "FIXED ANOMALY", "PASSED")</f>
        <v/>
      </c>
      <c r="K228" s="8">
        <f>IF('01_Raw_Data'!F228&lt;0, "Converted Negative Quantity to ABS", IF('01_Raw_Data'!C228="", "Imputed Missing Customer ID", IF(ISNUMBER(SEARCH("%", '01_Raw_Data'!H228)), "Parsed Text % to Numeric Rate", "Standardized Format")))</f>
        <v/>
      </c>
    </row>
    <row r="229">
      <c r="A229" s="8">
        <f>'01_Raw_Data'!A229</f>
        <v/>
      </c>
      <c r="B229" s="10">
        <f>IFERROR(DATEVALUE('01_Raw_Data'!B229), IF('01_Raw_Data'!B229="", DATE(2024,1,1), '01_Raw_Data'!B229))</f>
        <v/>
      </c>
      <c r="C229" s="8">
        <f>IF(OR('01_Raw_Data'!C229="",'01_Raw_Data'!C229="0"), "CUST-GUEST", TRIM('01_Raw_Data'!C229))</f>
        <v/>
      </c>
      <c r="D229" s="8">
        <f>PROPER(TRIM(CLEAN('01_Raw_Data'!D229)))</f>
        <v/>
      </c>
      <c r="E229" s="8">
        <f>ABS(IF(ISNUMBER(VALUE('01_Raw_Data'!F229)), VALUE('01_Raw_Data'!F229), 1))</f>
        <v/>
      </c>
      <c r="F229" s="9">
        <f>'01_Raw_Data'!G229</f>
        <v/>
      </c>
      <c r="G229" s="11">
        <f>IF(ISNUMBER('01_Raw_Data'!H229), '01_Raw_Data'!H229, IFERROR(VALUE(SUBSTITUTE('01_Raw_Data'!H229, "%", ""))/100, 0))</f>
        <v/>
      </c>
      <c r="H229" s="8">
        <f>PROPER(TRIM('01_Raw_Data'!J229))</f>
        <v/>
      </c>
      <c r="I229" s="8">
        <f>IF('01_Raw_Data'!K229="", "REG-NA", UPPER(TRIM('01_Raw_Data'!K229)))</f>
        <v/>
      </c>
      <c r="J229" s="8">
        <f>IF(OR('01_Raw_Data'!C229="", '01_Raw_Data'!F229&lt;0, ISNUMBER(SEARCH("%", '01_Raw_Data'!H229))), "FIXED ANOMALY", "PASSED")</f>
        <v/>
      </c>
      <c r="K229" s="8">
        <f>IF('01_Raw_Data'!F229&lt;0, "Converted Negative Quantity to ABS", IF('01_Raw_Data'!C229="", "Imputed Missing Customer ID", IF(ISNUMBER(SEARCH("%", '01_Raw_Data'!H229)), "Parsed Text % to Numeric Rate", "Standardized Format")))</f>
        <v/>
      </c>
    </row>
    <row r="230">
      <c r="A230" s="8">
        <f>'01_Raw_Data'!A230</f>
        <v/>
      </c>
      <c r="B230" s="10">
        <f>IFERROR(DATEVALUE('01_Raw_Data'!B230), IF('01_Raw_Data'!B230="", DATE(2024,1,1), '01_Raw_Data'!B230))</f>
        <v/>
      </c>
      <c r="C230" s="8">
        <f>IF(OR('01_Raw_Data'!C230="",'01_Raw_Data'!C230="0"), "CUST-GUEST", TRIM('01_Raw_Data'!C230))</f>
        <v/>
      </c>
      <c r="D230" s="8">
        <f>PROPER(TRIM(CLEAN('01_Raw_Data'!D230)))</f>
        <v/>
      </c>
      <c r="E230" s="8">
        <f>ABS(IF(ISNUMBER(VALUE('01_Raw_Data'!F230)), VALUE('01_Raw_Data'!F230), 1))</f>
        <v/>
      </c>
      <c r="F230" s="9">
        <f>'01_Raw_Data'!G230</f>
        <v/>
      </c>
      <c r="G230" s="11">
        <f>IF(ISNUMBER('01_Raw_Data'!H230), '01_Raw_Data'!H230, IFERROR(VALUE(SUBSTITUTE('01_Raw_Data'!H230, "%", ""))/100, 0))</f>
        <v/>
      </c>
      <c r="H230" s="8">
        <f>PROPER(TRIM('01_Raw_Data'!J230))</f>
        <v/>
      </c>
      <c r="I230" s="8">
        <f>IF('01_Raw_Data'!K230="", "REG-NA", UPPER(TRIM('01_Raw_Data'!K230)))</f>
        <v/>
      </c>
      <c r="J230" s="8">
        <f>IF(OR('01_Raw_Data'!C230="", '01_Raw_Data'!F230&lt;0, ISNUMBER(SEARCH("%", '01_Raw_Data'!H230))), "FIXED ANOMALY", "PASSED")</f>
        <v/>
      </c>
      <c r="K230" s="8">
        <f>IF('01_Raw_Data'!F230&lt;0, "Converted Negative Quantity to ABS", IF('01_Raw_Data'!C230="", "Imputed Missing Customer ID", IF(ISNUMBER(SEARCH("%", '01_Raw_Data'!H230)), "Parsed Text % to Numeric Rate", "Standardized Format")))</f>
        <v/>
      </c>
    </row>
    <row r="231">
      <c r="A231" s="8">
        <f>'01_Raw_Data'!A231</f>
        <v/>
      </c>
      <c r="B231" s="10">
        <f>IFERROR(DATEVALUE('01_Raw_Data'!B231), IF('01_Raw_Data'!B231="", DATE(2024,1,1), '01_Raw_Data'!B231))</f>
        <v/>
      </c>
      <c r="C231" s="8">
        <f>IF(OR('01_Raw_Data'!C231="",'01_Raw_Data'!C231="0"), "CUST-GUEST", TRIM('01_Raw_Data'!C231))</f>
        <v/>
      </c>
      <c r="D231" s="8">
        <f>PROPER(TRIM(CLEAN('01_Raw_Data'!D231)))</f>
        <v/>
      </c>
      <c r="E231" s="8">
        <f>ABS(IF(ISNUMBER(VALUE('01_Raw_Data'!F231)), VALUE('01_Raw_Data'!F231), 1))</f>
        <v/>
      </c>
      <c r="F231" s="9">
        <f>'01_Raw_Data'!G231</f>
        <v/>
      </c>
      <c r="G231" s="11">
        <f>IF(ISNUMBER('01_Raw_Data'!H231), '01_Raw_Data'!H231, IFERROR(VALUE(SUBSTITUTE('01_Raw_Data'!H231, "%", ""))/100, 0))</f>
        <v/>
      </c>
      <c r="H231" s="8">
        <f>PROPER(TRIM('01_Raw_Data'!J231))</f>
        <v/>
      </c>
      <c r="I231" s="8">
        <f>IF('01_Raw_Data'!K231="", "REG-NA", UPPER(TRIM('01_Raw_Data'!K231)))</f>
        <v/>
      </c>
      <c r="J231" s="8">
        <f>IF(OR('01_Raw_Data'!C231="", '01_Raw_Data'!F231&lt;0, ISNUMBER(SEARCH("%", '01_Raw_Data'!H231))), "FIXED ANOMALY", "PASSED")</f>
        <v/>
      </c>
      <c r="K231" s="8">
        <f>IF('01_Raw_Data'!F231&lt;0, "Converted Negative Quantity to ABS", IF('01_Raw_Data'!C231="", "Imputed Missing Customer ID", IF(ISNUMBER(SEARCH("%", '01_Raw_Data'!H231)), "Parsed Text % to Numeric Rate", "Standardized Format")))</f>
        <v/>
      </c>
    </row>
    <row r="232">
      <c r="A232" s="8">
        <f>'01_Raw_Data'!A232</f>
        <v/>
      </c>
      <c r="B232" s="10">
        <f>IFERROR(DATEVALUE('01_Raw_Data'!B232), IF('01_Raw_Data'!B232="", DATE(2024,1,1), '01_Raw_Data'!B232))</f>
        <v/>
      </c>
      <c r="C232" s="8">
        <f>IF(OR('01_Raw_Data'!C232="",'01_Raw_Data'!C232="0"), "CUST-GUEST", TRIM('01_Raw_Data'!C232))</f>
        <v/>
      </c>
      <c r="D232" s="8">
        <f>PROPER(TRIM(CLEAN('01_Raw_Data'!D232)))</f>
        <v/>
      </c>
      <c r="E232" s="8">
        <f>ABS(IF(ISNUMBER(VALUE('01_Raw_Data'!F232)), VALUE('01_Raw_Data'!F232), 1))</f>
        <v/>
      </c>
      <c r="F232" s="9">
        <f>'01_Raw_Data'!G232</f>
        <v/>
      </c>
      <c r="G232" s="11">
        <f>IF(ISNUMBER('01_Raw_Data'!H232), '01_Raw_Data'!H232, IFERROR(VALUE(SUBSTITUTE('01_Raw_Data'!H232, "%", ""))/100, 0))</f>
        <v/>
      </c>
      <c r="H232" s="8">
        <f>PROPER(TRIM('01_Raw_Data'!J232))</f>
        <v/>
      </c>
      <c r="I232" s="8">
        <f>IF('01_Raw_Data'!K232="", "REG-NA", UPPER(TRIM('01_Raw_Data'!K232)))</f>
        <v/>
      </c>
      <c r="J232" s="8">
        <f>IF(OR('01_Raw_Data'!C232="", '01_Raw_Data'!F232&lt;0, ISNUMBER(SEARCH("%", '01_Raw_Data'!H232))), "FIXED ANOMALY", "PASSED")</f>
        <v/>
      </c>
      <c r="K232" s="8">
        <f>IF('01_Raw_Data'!F232&lt;0, "Converted Negative Quantity to ABS", IF('01_Raw_Data'!C232="", "Imputed Missing Customer ID", IF(ISNUMBER(SEARCH("%", '01_Raw_Data'!H232)), "Parsed Text % to Numeric Rate", "Standardized Format")))</f>
        <v/>
      </c>
    </row>
    <row r="233">
      <c r="A233" s="8">
        <f>'01_Raw_Data'!A233</f>
        <v/>
      </c>
      <c r="B233" s="10">
        <f>IFERROR(DATEVALUE('01_Raw_Data'!B233), IF('01_Raw_Data'!B233="", DATE(2024,1,1), '01_Raw_Data'!B233))</f>
        <v/>
      </c>
      <c r="C233" s="8">
        <f>IF(OR('01_Raw_Data'!C233="",'01_Raw_Data'!C233="0"), "CUST-GUEST", TRIM('01_Raw_Data'!C233))</f>
        <v/>
      </c>
      <c r="D233" s="8">
        <f>PROPER(TRIM(CLEAN('01_Raw_Data'!D233)))</f>
        <v/>
      </c>
      <c r="E233" s="8">
        <f>ABS(IF(ISNUMBER(VALUE('01_Raw_Data'!F233)), VALUE('01_Raw_Data'!F233), 1))</f>
        <v/>
      </c>
      <c r="F233" s="9">
        <f>'01_Raw_Data'!G233</f>
        <v/>
      </c>
      <c r="G233" s="11">
        <f>IF(ISNUMBER('01_Raw_Data'!H233), '01_Raw_Data'!H233, IFERROR(VALUE(SUBSTITUTE('01_Raw_Data'!H233, "%", ""))/100, 0))</f>
        <v/>
      </c>
      <c r="H233" s="8">
        <f>PROPER(TRIM('01_Raw_Data'!J233))</f>
        <v/>
      </c>
      <c r="I233" s="8">
        <f>IF('01_Raw_Data'!K233="", "REG-NA", UPPER(TRIM('01_Raw_Data'!K233)))</f>
        <v/>
      </c>
      <c r="J233" s="8">
        <f>IF(OR('01_Raw_Data'!C233="", '01_Raw_Data'!F233&lt;0, ISNUMBER(SEARCH("%", '01_Raw_Data'!H233))), "FIXED ANOMALY", "PASSED")</f>
        <v/>
      </c>
      <c r="K233" s="8">
        <f>IF('01_Raw_Data'!F233&lt;0, "Converted Negative Quantity to ABS", IF('01_Raw_Data'!C233="", "Imputed Missing Customer ID", IF(ISNUMBER(SEARCH("%", '01_Raw_Data'!H233)), "Parsed Text % to Numeric Rate", "Standardized Format")))</f>
        <v/>
      </c>
    </row>
    <row r="234">
      <c r="A234" s="8">
        <f>'01_Raw_Data'!A234</f>
        <v/>
      </c>
      <c r="B234" s="10">
        <f>IFERROR(DATEVALUE('01_Raw_Data'!B234), IF('01_Raw_Data'!B234="", DATE(2024,1,1), '01_Raw_Data'!B234))</f>
        <v/>
      </c>
      <c r="C234" s="8">
        <f>IF(OR('01_Raw_Data'!C234="",'01_Raw_Data'!C234="0"), "CUST-GUEST", TRIM('01_Raw_Data'!C234))</f>
        <v/>
      </c>
      <c r="D234" s="8">
        <f>PROPER(TRIM(CLEAN('01_Raw_Data'!D234)))</f>
        <v/>
      </c>
      <c r="E234" s="8">
        <f>ABS(IF(ISNUMBER(VALUE('01_Raw_Data'!F234)), VALUE('01_Raw_Data'!F234), 1))</f>
        <v/>
      </c>
      <c r="F234" s="9">
        <f>'01_Raw_Data'!G234</f>
        <v/>
      </c>
      <c r="G234" s="11">
        <f>IF(ISNUMBER('01_Raw_Data'!H234), '01_Raw_Data'!H234, IFERROR(VALUE(SUBSTITUTE('01_Raw_Data'!H234, "%", ""))/100, 0))</f>
        <v/>
      </c>
      <c r="H234" s="8">
        <f>PROPER(TRIM('01_Raw_Data'!J234))</f>
        <v/>
      </c>
      <c r="I234" s="8">
        <f>IF('01_Raw_Data'!K234="", "REG-NA", UPPER(TRIM('01_Raw_Data'!K234)))</f>
        <v/>
      </c>
      <c r="J234" s="8">
        <f>IF(OR('01_Raw_Data'!C234="", '01_Raw_Data'!F234&lt;0, ISNUMBER(SEARCH("%", '01_Raw_Data'!H234))), "FIXED ANOMALY", "PASSED")</f>
        <v/>
      </c>
      <c r="K234" s="8">
        <f>IF('01_Raw_Data'!F234&lt;0, "Converted Negative Quantity to ABS", IF('01_Raw_Data'!C234="", "Imputed Missing Customer ID", IF(ISNUMBER(SEARCH("%", '01_Raw_Data'!H234)), "Parsed Text % to Numeric Rate", "Standardized Format")))</f>
        <v/>
      </c>
    </row>
    <row r="235">
      <c r="A235" s="8">
        <f>'01_Raw_Data'!A235</f>
        <v/>
      </c>
      <c r="B235" s="10">
        <f>IFERROR(DATEVALUE('01_Raw_Data'!B235), IF('01_Raw_Data'!B235="", DATE(2024,1,1), '01_Raw_Data'!B235))</f>
        <v/>
      </c>
      <c r="C235" s="8">
        <f>IF(OR('01_Raw_Data'!C235="",'01_Raw_Data'!C235="0"), "CUST-GUEST", TRIM('01_Raw_Data'!C235))</f>
        <v/>
      </c>
      <c r="D235" s="8">
        <f>PROPER(TRIM(CLEAN('01_Raw_Data'!D235)))</f>
        <v/>
      </c>
      <c r="E235" s="8">
        <f>ABS(IF(ISNUMBER(VALUE('01_Raw_Data'!F235)), VALUE('01_Raw_Data'!F235), 1))</f>
        <v/>
      </c>
      <c r="F235" s="9">
        <f>'01_Raw_Data'!G235</f>
        <v/>
      </c>
      <c r="G235" s="11">
        <f>IF(ISNUMBER('01_Raw_Data'!H235), '01_Raw_Data'!H235, IFERROR(VALUE(SUBSTITUTE('01_Raw_Data'!H235, "%", ""))/100, 0))</f>
        <v/>
      </c>
      <c r="H235" s="8">
        <f>PROPER(TRIM('01_Raw_Data'!J235))</f>
        <v/>
      </c>
      <c r="I235" s="8">
        <f>IF('01_Raw_Data'!K235="", "REG-NA", UPPER(TRIM('01_Raw_Data'!K235)))</f>
        <v/>
      </c>
      <c r="J235" s="8">
        <f>IF(OR('01_Raw_Data'!C235="", '01_Raw_Data'!F235&lt;0, ISNUMBER(SEARCH("%", '01_Raw_Data'!H235))), "FIXED ANOMALY", "PASSED")</f>
        <v/>
      </c>
      <c r="K235" s="8">
        <f>IF('01_Raw_Data'!F235&lt;0, "Converted Negative Quantity to ABS", IF('01_Raw_Data'!C235="", "Imputed Missing Customer ID", IF(ISNUMBER(SEARCH("%", '01_Raw_Data'!H235)), "Parsed Text % to Numeric Rate", "Standardized Format")))</f>
        <v/>
      </c>
    </row>
    <row r="236">
      <c r="A236" s="8">
        <f>'01_Raw_Data'!A236</f>
        <v/>
      </c>
      <c r="B236" s="10">
        <f>IFERROR(DATEVALUE('01_Raw_Data'!B236), IF('01_Raw_Data'!B236="", DATE(2024,1,1), '01_Raw_Data'!B236))</f>
        <v/>
      </c>
      <c r="C236" s="8">
        <f>IF(OR('01_Raw_Data'!C236="",'01_Raw_Data'!C236="0"), "CUST-GUEST", TRIM('01_Raw_Data'!C236))</f>
        <v/>
      </c>
      <c r="D236" s="8">
        <f>PROPER(TRIM(CLEAN('01_Raw_Data'!D236)))</f>
        <v/>
      </c>
      <c r="E236" s="8">
        <f>ABS(IF(ISNUMBER(VALUE('01_Raw_Data'!F236)), VALUE('01_Raw_Data'!F236), 1))</f>
        <v/>
      </c>
      <c r="F236" s="9">
        <f>'01_Raw_Data'!G236</f>
        <v/>
      </c>
      <c r="G236" s="11">
        <f>IF(ISNUMBER('01_Raw_Data'!H236), '01_Raw_Data'!H236, IFERROR(VALUE(SUBSTITUTE('01_Raw_Data'!H236, "%", ""))/100, 0))</f>
        <v/>
      </c>
      <c r="H236" s="8">
        <f>PROPER(TRIM('01_Raw_Data'!J236))</f>
        <v/>
      </c>
      <c r="I236" s="8">
        <f>IF('01_Raw_Data'!K236="", "REG-NA", UPPER(TRIM('01_Raw_Data'!K236)))</f>
        <v/>
      </c>
      <c r="J236" s="8">
        <f>IF(OR('01_Raw_Data'!C236="", '01_Raw_Data'!F236&lt;0, ISNUMBER(SEARCH("%", '01_Raw_Data'!H236))), "FIXED ANOMALY", "PASSED")</f>
        <v/>
      </c>
      <c r="K236" s="8">
        <f>IF('01_Raw_Data'!F236&lt;0, "Converted Negative Quantity to ABS", IF('01_Raw_Data'!C236="", "Imputed Missing Customer ID", IF(ISNUMBER(SEARCH("%", '01_Raw_Data'!H236)), "Parsed Text % to Numeric Rate", "Standardized Format")))</f>
        <v/>
      </c>
    </row>
    <row r="237">
      <c r="A237" s="8">
        <f>'01_Raw_Data'!A237</f>
        <v/>
      </c>
      <c r="B237" s="10">
        <f>IFERROR(DATEVALUE('01_Raw_Data'!B237), IF('01_Raw_Data'!B237="", DATE(2024,1,1), '01_Raw_Data'!B237))</f>
        <v/>
      </c>
      <c r="C237" s="8">
        <f>IF(OR('01_Raw_Data'!C237="",'01_Raw_Data'!C237="0"), "CUST-GUEST", TRIM('01_Raw_Data'!C237))</f>
        <v/>
      </c>
      <c r="D237" s="8">
        <f>PROPER(TRIM(CLEAN('01_Raw_Data'!D237)))</f>
        <v/>
      </c>
      <c r="E237" s="8">
        <f>ABS(IF(ISNUMBER(VALUE('01_Raw_Data'!F237)), VALUE('01_Raw_Data'!F237), 1))</f>
        <v/>
      </c>
      <c r="F237" s="9">
        <f>'01_Raw_Data'!G237</f>
        <v/>
      </c>
      <c r="G237" s="11">
        <f>IF(ISNUMBER('01_Raw_Data'!H237), '01_Raw_Data'!H237, IFERROR(VALUE(SUBSTITUTE('01_Raw_Data'!H237, "%", ""))/100, 0))</f>
        <v/>
      </c>
      <c r="H237" s="8">
        <f>PROPER(TRIM('01_Raw_Data'!J237))</f>
        <v/>
      </c>
      <c r="I237" s="8">
        <f>IF('01_Raw_Data'!K237="", "REG-NA", UPPER(TRIM('01_Raw_Data'!K237)))</f>
        <v/>
      </c>
      <c r="J237" s="8">
        <f>IF(OR('01_Raw_Data'!C237="", '01_Raw_Data'!F237&lt;0, ISNUMBER(SEARCH("%", '01_Raw_Data'!H237))), "FIXED ANOMALY", "PASSED")</f>
        <v/>
      </c>
      <c r="K237" s="8">
        <f>IF('01_Raw_Data'!F237&lt;0, "Converted Negative Quantity to ABS", IF('01_Raw_Data'!C237="", "Imputed Missing Customer ID", IF(ISNUMBER(SEARCH("%", '01_Raw_Data'!H237)), "Parsed Text % to Numeric Rate", "Standardized Format")))</f>
        <v/>
      </c>
    </row>
    <row r="238">
      <c r="A238" s="8">
        <f>'01_Raw_Data'!A238</f>
        <v/>
      </c>
      <c r="B238" s="10">
        <f>IFERROR(DATEVALUE('01_Raw_Data'!B238), IF('01_Raw_Data'!B238="", DATE(2024,1,1), '01_Raw_Data'!B238))</f>
        <v/>
      </c>
      <c r="C238" s="8">
        <f>IF(OR('01_Raw_Data'!C238="",'01_Raw_Data'!C238="0"), "CUST-GUEST", TRIM('01_Raw_Data'!C238))</f>
        <v/>
      </c>
      <c r="D238" s="8">
        <f>PROPER(TRIM(CLEAN('01_Raw_Data'!D238)))</f>
        <v/>
      </c>
      <c r="E238" s="8">
        <f>ABS(IF(ISNUMBER(VALUE('01_Raw_Data'!F238)), VALUE('01_Raw_Data'!F238), 1))</f>
        <v/>
      </c>
      <c r="F238" s="9">
        <f>'01_Raw_Data'!G238</f>
        <v/>
      </c>
      <c r="G238" s="11">
        <f>IF(ISNUMBER('01_Raw_Data'!H238), '01_Raw_Data'!H238, IFERROR(VALUE(SUBSTITUTE('01_Raw_Data'!H238, "%", ""))/100, 0))</f>
        <v/>
      </c>
      <c r="H238" s="8">
        <f>PROPER(TRIM('01_Raw_Data'!J238))</f>
        <v/>
      </c>
      <c r="I238" s="8">
        <f>IF('01_Raw_Data'!K238="", "REG-NA", UPPER(TRIM('01_Raw_Data'!K238)))</f>
        <v/>
      </c>
      <c r="J238" s="8">
        <f>IF(OR('01_Raw_Data'!C238="", '01_Raw_Data'!F238&lt;0, ISNUMBER(SEARCH("%", '01_Raw_Data'!H238))), "FIXED ANOMALY", "PASSED")</f>
        <v/>
      </c>
      <c r="K238" s="8">
        <f>IF('01_Raw_Data'!F238&lt;0, "Converted Negative Quantity to ABS", IF('01_Raw_Data'!C238="", "Imputed Missing Customer ID", IF(ISNUMBER(SEARCH("%", '01_Raw_Data'!H238)), "Parsed Text % to Numeric Rate", "Standardized Format")))</f>
        <v/>
      </c>
    </row>
    <row r="239">
      <c r="A239" s="8">
        <f>'01_Raw_Data'!A239</f>
        <v/>
      </c>
      <c r="B239" s="10">
        <f>IFERROR(DATEVALUE('01_Raw_Data'!B239), IF('01_Raw_Data'!B239="", DATE(2024,1,1), '01_Raw_Data'!B239))</f>
        <v/>
      </c>
      <c r="C239" s="8">
        <f>IF(OR('01_Raw_Data'!C239="",'01_Raw_Data'!C239="0"), "CUST-GUEST", TRIM('01_Raw_Data'!C239))</f>
        <v/>
      </c>
      <c r="D239" s="8">
        <f>PROPER(TRIM(CLEAN('01_Raw_Data'!D239)))</f>
        <v/>
      </c>
      <c r="E239" s="8">
        <f>ABS(IF(ISNUMBER(VALUE('01_Raw_Data'!F239)), VALUE('01_Raw_Data'!F239), 1))</f>
        <v/>
      </c>
      <c r="F239" s="9">
        <f>'01_Raw_Data'!G239</f>
        <v/>
      </c>
      <c r="G239" s="11">
        <f>IF(ISNUMBER('01_Raw_Data'!H239), '01_Raw_Data'!H239, IFERROR(VALUE(SUBSTITUTE('01_Raw_Data'!H239, "%", ""))/100, 0))</f>
        <v/>
      </c>
      <c r="H239" s="8">
        <f>PROPER(TRIM('01_Raw_Data'!J239))</f>
        <v/>
      </c>
      <c r="I239" s="8">
        <f>IF('01_Raw_Data'!K239="", "REG-NA", UPPER(TRIM('01_Raw_Data'!K239)))</f>
        <v/>
      </c>
      <c r="J239" s="8">
        <f>IF(OR('01_Raw_Data'!C239="", '01_Raw_Data'!F239&lt;0, ISNUMBER(SEARCH("%", '01_Raw_Data'!H239))), "FIXED ANOMALY", "PASSED")</f>
        <v/>
      </c>
      <c r="K239" s="8">
        <f>IF('01_Raw_Data'!F239&lt;0, "Converted Negative Quantity to ABS", IF('01_Raw_Data'!C239="", "Imputed Missing Customer ID", IF(ISNUMBER(SEARCH("%", '01_Raw_Data'!H239)), "Parsed Text % to Numeric Rate", "Standardized Format")))</f>
        <v/>
      </c>
    </row>
    <row r="240">
      <c r="A240" s="8">
        <f>'01_Raw_Data'!A240</f>
        <v/>
      </c>
      <c r="B240" s="10">
        <f>IFERROR(DATEVALUE('01_Raw_Data'!B240), IF('01_Raw_Data'!B240="", DATE(2024,1,1), '01_Raw_Data'!B240))</f>
        <v/>
      </c>
      <c r="C240" s="8">
        <f>IF(OR('01_Raw_Data'!C240="",'01_Raw_Data'!C240="0"), "CUST-GUEST", TRIM('01_Raw_Data'!C240))</f>
        <v/>
      </c>
      <c r="D240" s="8">
        <f>PROPER(TRIM(CLEAN('01_Raw_Data'!D240)))</f>
        <v/>
      </c>
      <c r="E240" s="8">
        <f>ABS(IF(ISNUMBER(VALUE('01_Raw_Data'!F240)), VALUE('01_Raw_Data'!F240), 1))</f>
        <v/>
      </c>
      <c r="F240" s="9">
        <f>'01_Raw_Data'!G240</f>
        <v/>
      </c>
      <c r="G240" s="11">
        <f>IF(ISNUMBER('01_Raw_Data'!H240), '01_Raw_Data'!H240, IFERROR(VALUE(SUBSTITUTE('01_Raw_Data'!H240, "%", ""))/100, 0))</f>
        <v/>
      </c>
      <c r="H240" s="8">
        <f>PROPER(TRIM('01_Raw_Data'!J240))</f>
        <v/>
      </c>
      <c r="I240" s="8">
        <f>IF('01_Raw_Data'!K240="", "REG-NA", UPPER(TRIM('01_Raw_Data'!K240)))</f>
        <v/>
      </c>
      <c r="J240" s="8">
        <f>IF(OR('01_Raw_Data'!C240="", '01_Raw_Data'!F240&lt;0, ISNUMBER(SEARCH("%", '01_Raw_Data'!H240))), "FIXED ANOMALY", "PASSED")</f>
        <v/>
      </c>
      <c r="K240" s="8">
        <f>IF('01_Raw_Data'!F240&lt;0, "Converted Negative Quantity to ABS", IF('01_Raw_Data'!C240="", "Imputed Missing Customer ID", IF(ISNUMBER(SEARCH("%", '01_Raw_Data'!H240)), "Parsed Text % to Numeric Rate", "Standardized Format")))</f>
        <v/>
      </c>
    </row>
    <row r="241">
      <c r="A241" s="8">
        <f>'01_Raw_Data'!A241</f>
        <v/>
      </c>
      <c r="B241" s="10">
        <f>IFERROR(DATEVALUE('01_Raw_Data'!B241), IF('01_Raw_Data'!B241="", DATE(2024,1,1), '01_Raw_Data'!B241))</f>
        <v/>
      </c>
      <c r="C241" s="8">
        <f>IF(OR('01_Raw_Data'!C241="",'01_Raw_Data'!C241="0"), "CUST-GUEST", TRIM('01_Raw_Data'!C241))</f>
        <v/>
      </c>
      <c r="D241" s="8">
        <f>PROPER(TRIM(CLEAN('01_Raw_Data'!D241)))</f>
        <v/>
      </c>
      <c r="E241" s="8">
        <f>ABS(IF(ISNUMBER(VALUE('01_Raw_Data'!F241)), VALUE('01_Raw_Data'!F241), 1))</f>
        <v/>
      </c>
      <c r="F241" s="9">
        <f>'01_Raw_Data'!G241</f>
        <v/>
      </c>
      <c r="G241" s="11">
        <f>IF(ISNUMBER('01_Raw_Data'!H241), '01_Raw_Data'!H241, IFERROR(VALUE(SUBSTITUTE('01_Raw_Data'!H241, "%", ""))/100, 0))</f>
        <v/>
      </c>
      <c r="H241" s="8">
        <f>PROPER(TRIM('01_Raw_Data'!J241))</f>
        <v/>
      </c>
      <c r="I241" s="8">
        <f>IF('01_Raw_Data'!K241="", "REG-NA", UPPER(TRIM('01_Raw_Data'!K241)))</f>
        <v/>
      </c>
      <c r="J241" s="8">
        <f>IF(OR('01_Raw_Data'!C241="", '01_Raw_Data'!F241&lt;0, ISNUMBER(SEARCH("%", '01_Raw_Data'!H241))), "FIXED ANOMALY", "PASSED")</f>
        <v/>
      </c>
      <c r="K241" s="8">
        <f>IF('01_Raw_Data'!F241&lt;0, "Converted Negative Quantity to ABS", IF('01_Raw_Data'!C241="", "Imputed Missing Customer ID", IF(ISNUMBER(SEARCH("%", '01_Raw_Data'!H241)), "Parsed Text % to Numeric Rate", "Standardized Format")))</f>
        <v/>
      </c>
    </row>
    <row r="242">
      <c r="A242" s="8">
        <f>'01_Raw_Data'!A242</f>
        <v/>
      </c>
      <c r="B242" s="10">
        <f>IFERROR(DATEVALUE('01_Raw_Data'!B242), IF('01_Raw_Data'!B242="", DATE(2024,1,1), '01_Raw_Data'!B242))</f>
        <v/>
      </c>
      <c r="C242" s="8">
        <f>IF(OR('01_Raw_Data'!C242="",'01_Raw_Data'!C242="0"), "CUST-GUEST", TRIM('01_Raw_Data'!C242))</f>
        <v/>
      </c>
      <c r="D242" s="8">
        <f>PROPER(TRIM(CLEAN('01_Raw_Data'!D242)))</f>
        <v/>
      </c>
      <c r="E242" s="8">
        <f>ABS(IF(ISNUMBER(VALUE('01_Raw_Data'!F242)), VALUE('01_Raw_Data'!F242), 1))</f>
        <v/>
      </c>
      <c r="F242" s="9">
        <f>'01_Raw_Data'!G242</f>
        <v/>
      </c>
      <c r="G242" s="11">
        <f>IF(ISNUMBER('01_Raw_Data'!H242), '01_Raw_Data'!H242, IFERROR(VALUE(SUBSTITUTE('01_Raw_Data'!H242, "%", ""))/100, 0))</f>
        <v/>
      </c>
      <c r="H242" s="8">
        <f>PROPER(TRIM('01_Raw_Data'!J242))</f>
        <v/>
      </c>
      <c r="I242" s="8">
        <f>IF('01_Raw_Data'!K242="", "REG-NA", UPPER(TRIM('01_Raw_Data'!K242)))</f>
        <v/>
      </c>
      <c r="J242" s="8">
        <f>IF(OR('01_Raw_Data'!C242="", '01_Raw_Data'!F242&lt;0, ISNUMBER(SEARCH("%", '01_Raw_Data'!H242))), "FIXED ANOMALY", "PASSED")</f>
        <v/>
      </c>
      <c r="K242" s="8">
        <f>IF('01_Raw_Data'!F242&lt;0, "Converted Negative Quantity to ABS", IF('01_Raw_Data'!C242="", "Imputed Missing Customer ID", IF(ISNUMBER(SEARCH("%", '01_Raw_Data'!H242)), "Parsed Text % to Numeric Rate", "Standardized Format")))</f>
        <v/>
      </c>
    </row>
    <row r="243">
      <c r="A243" s="8">
        <f>'01_Raw_Data'!A243</f>
        <v/>
      </c>
      <c r="B243" s="10">
        <f>IFERROR(DATEVALUE('01_Raw_Data'!B243), IF('01_Raw_Data'!B243="", DATE(2024,1,1), '01_Raw_Data'!B243))</f>
        <v/>
      </c>
      <c r="C243" s="8">
        <f>IF(OR('01_Raw_Data'!C243="",'01_Raw_Data'!C243="0"), "CUST-GUEST", TRIM('01_Raw_Data'!C243))</f>
        <v/>
      </c>
      <c r="D243" s="8">
        <f>PROPER(TRIM(CLEAN('01_Raw_Data'!D243)))</f>
        <v/>
      </c>
      <c r="E243" s="8">
        <f>ABS(IF(ISNUMBER(VALUE('01_Raw_Data'!F243)), VALUE('01_Raw_Data'!F243), 1))</f>
        <v/>
      </c>
      <c r="F243" s="9">
        <f>'01_Raw_Data'!G243</f>
        <v/>
      </c>
      <c r="G243" s="11">
        <f>IF(ISNUMBER('01_Raw_Data'!H243), '01_Raw_Data'!H243, IFERROR(VALUE(SUBSTITUTE('01_Raw_Data'!H243, "%", ""))/100, 0))</f>
        <v/>
      </c>
      <c r="H243" s="8">
        <f>PROPER(TRIM('01_Raw_Data'!J243))</f>
        <v/>
      </c>
      <c r="I243" s="8">
        <f>IF('01_Raw_Data'!K243="", "REG-NA", UPPER(TRIM('01_Raw_Data'!K243)))</f>
        <v/>
      </c>
      <c r="J243" s="8">
        <f>IF(OR('01_Raw_Data'!C243="", '01_Raw_Data'!F243&lt;0, ISNUMBER(SEARCH("%", '01_Raw_Data'!H243))), "FIXED ANOMALY", "PASSED")</f>
        <v/>
      </c>
      <c r="K243" s="8">
        <f>IF('01_Raw_Data'!F243&lt;0, "Converted Negative Quantity to ABS", IF('01_Raw_Data'!C243="", "Imputed Missing Customer ID", IF(ISNUMBER(SEARCH("%", '01_Raw_Data'!H243)), "Parsed Text % to Numeric Rate", "Standardized Format")))</f>
        <v/>
      </c>
    </row>
    <row r="244">
      <c r="A244" s="8">
        <f>'01_Raw_Data'!A244</f>
        <v/>
      </c>
      <c r="B244" s="10">
        <f>IFERROR(DATEVALUE('01_Raw_Data'!B244), IF('01_Raw_Data'!B244="", DATE(2024,1,1), '01_Raw_Data'!B244))</f>
        <v/>
      </c>
      <c r="C244" s="8">
        <f>IF(OR('01_Raw_Data'!C244="",'01_Raw_Data'!C244="0"), "CUST-GUEST", TRIM('01_Raw_Data'!C244))</f>
        <v/>
      </c>
      <c r="D244" s="8">
        <f>PROPER(TRIM(CLEAN('01_Raw_Data'!D244)))</f>
        <v/>
      </c>
      <c r="E244" s="8">
        <f>ABS(IF(ISNUMBER(VALUE('01_Raw_Data'!F244)), VALUE('01_Raw_Data'!F244), 1))</f>
        <v/>
      </c>
      <c r="F244" s="9">
        <f>'01_Raw_Data'!G244</f>
        <v/>
      </c>
      <c r="G244" s="11">
        <f>IF(ISNUMBER('01_Raw_Data'!H244), '01_Raw_Data'!H244, IFERROR(VALUE(SUBSTITUTE('01_Raw_Data'!H244, "%", ""))/100, 0))</f>
        <v/>
      </c>
      <c r="H244" s="8">
        <f>PROPER(TRIM('01_Raw_Data'!J244))</f>
        <v/>
      </c>
      <c r="I244" s="8">
        <f>IF('01_Raw_Data'!K244="", "REG-NA", UPPER(TRIM('01_Raw_Data'!K244)))</f>
        <v/>
      </c>
      <c r="J244" s="8">
        <f>IF(OR('01_Raw_Data'!C244="", '01_Raw_Data'!F244&lt;0, ISNUMBER(SEARCH("%", '01_Raw_Data'!H244))), "FIXED ANOMALY", "PASSED")</f>
        <v/>
      </c>
      <c r="K244" s="8">
        <f>IF('01_Raw_Data'!F244&lt;0, "Converted Negative Quantity to ABS", IF('01_Raw_Data'!C244="", "Imputed Missing Customer ID", IF(ISNUMBER(SEARCH("%", '01_Raw_Data'!H244)), "Parsed Text % to Numeric Rate", "Standardized Format")))</f>
        <v/>
      </c>
    </row>
    <row r="245">
      <c r="A245" s="8">
        <f>'01_Raw_Data'!A245</f>
        <v/>
      </c>
      <c r="B245" s="10">
        <f>IFERROR(DATEVALUE('01_Raw_Data'!B245), IF('01_Raw_Data'!B245="", DATE(2024,1,1), '01_Raw_Data'!B245))</f>
        <v/>
      </c>
      <c r="C245" s="8">
        <f>IF(OR('01_Raw_Data'!C245="",'01_Raw_Data'!C245="0"), "CUST-GUEST", TRIM('01_Raw_Data'!C245))</f>
        <v/>
      </c>
      <c r="D245" s="8">
        <f>PROPER(TRIM(CLEAN('01_Raw_Data'!D245)))</f>
        <v/>
      </c>
      <c r="E245" s="8">
        <f>ABS(IF(ISNUMBER(VALUE('01_Raw_Data'!F245)), VALUE('01_Raw_Data'!F245), 1))</f>
        <v/>
      </c>
      <c r="F245" s="9">
        <f>'01_Raw_Data'!G245</f>
        <v/>
      </c>
      <c r="G245" s="11">
        <f>IF(ISNUMBER('01_Raw_Data'!H245), '01_Raw_Data'!H245, IFERROR(VALUE(SUBSTITUTE('01_Raw_Data'!H245, "%", ""))/100, 0))</f>
        <v/>
      </c>
      <c r="H245" s="8">
        <f>PROPER(TRIM('01_Raw_Data'!J245))</f>
        <v/>
      </c>
      <c r="I245" s="8">
        <f>IF('01_Raw_Data'!K245="", "REG-NA", UPPER(TRIM('01_Raw_Data'!K245)))</f>
        <v/>
      </c>
      <c r="J245" s="8">
        <f>IF(OR('01_Raw_Data'!C245="", '01_Raw_Data'!F245&lt;0, ISNUMBER(SEARCH("%", '01_Raw_Data'!H245))), "FIXED ANOMALY", "PASSED")</f>
        <v/>
      </c>
      <c r="K245" s="8">
        <f>IF('01_Raw_Data'!F245&lt;0, "Converted Negative Quantity to ABS", IF('01_Raw_Data'!C245="", "Imputed Missing Customer ID", IF(ISNUMBER(SEARCH("%", '01_Raw_Data'!H245)), "Parsed Text % to Numeric Rate", "Standardized Format")))</f>
        <v/>
      </c>
    </row>
    <row r="246">
      <c r="A246" s="8">
        <f>'01_Raw_Data'!A246</f>
        <v/>
      </c>
      <c r="B246" s="10">
        <f>IFERROR(DATEVALUE('01_Raw_Data'!B246), IF('01_Raw_Data'!B246="", DATE(2024,1,1), '01_Raw_Data'!B246))</f>
        <v/>
      </c>
      <c r="C246" s="8">
        <f>IF(OR('01_Raw_Data'!C246="",'01_Raw_Data'!C246="0"), "CUST-GUEST", TRIM('01_Raw_Data'!C246))</f>
        <v/>
      </c>
      <c r="D246" s="8">
        <f>PROPER(TRIM(CLEAN('01_Raw_Data'!D246)))</f>
        <v/>
      </c>
      <c r="E246" s="8">
        <f>ABS(IF(ISNUMBER(VALUE('01_Raw_Data'!F246)), VALUE('01_Raw_Data'!F246), 1))</f>
        <v/>
      </c>
      <c r="F246" s="9">
        <f>'01_Raw_Data'!G246</f>
        <v/>
      </c>
      <c r="G246" s="11">
        <f>IF(ISNUMBER('01_Raw_Data'!H246), '01_Raw_Data'!H246, IFERROR(VALUE(SUBSTITUTE('01_Raw_Data'!H246, "%", ""))/100, 0))</f>
        <v/>
      </c>
      <c r="H246" s="8">
        <f>PROPER(TRIM('01_Raw_Data'!J246))</f>
        <v/>
      </c>
      <c r="I246" s="8">
        <f>IF('01_Raw_Data'!K246="", "REG-NA", UPPER(TRIM('01_Raw_Data'!K246)))</f>
        <v/>
      </c>
      <c r="J246" s="8">
        <f>IF(OR('01_Raw_Data'!C246="", '01_Raw_Data'!F246&lt;0, ISNUMBER(SEARCH("%", '01_Raw_Data'!H246))), "FIXED ANOMALY", "PASSED")</f>
        <v/>
      </c>
      <c r="K246" s="8">
        <f>IF('01_Raw_Data'!F246&lt;0, "Converted Negative Quantity to ABS", IF('01_Raw_Data'!C246="", "Imputed Missing Customer ID", IF(ISNUMBER(SEARCH("%", '01_Raw_Data'!H246)), "Parsed Text % to Numeric Rate", "Standardized Format")))</f>
        <v/>
      </c>
    </row>
    <row r="247">
      <c r="A247" s="8">
        <f>'01_Raw_Data'!A247</f>
        <v/>
      </c>
      <c r="B247" s="10">
        <f>IFERROR(DATEVALUE('01_Raw_Data'!B247), IF('01_Raw_Data'!B247="", DATE(2024,1,1), '01_Raw_Data'!B247))</f>
        <v/>
      </c>
      <c r="C247" s="8">
        <f>IF(OR('01_Raw_Data'!C247="",'01_Raw_Data'!C247="0"), "CUST-GUEST", TRIM('01_Raw_Data'!C247))</f>
        <v/>
      </c>
      <c r="D247" s="8">
        <f>PROPER(TRIM(CLEAN('01_Raw_Data'!D247)))</f>
        <v/>
      </c>
      <c r="E247" s="8">
        <f>ABS(IF(ISNUMBER(VALUE('01_Raw_Data'!F247)), VALUE('01_Raw_Data'!F247), 1))</f>
        <v/>
      </c>
      <c r="F247" s="9">
        <f>'01_Raw_Data'!G247</f>
        <v/>
      </c>
      <c r="G247" s="11">
        <f>IF(ISNUMBER('01_Raw_Data'!H247), '01_Raw_Data'!H247, IFERROR(VALUE(SUBSTITUTE('01_Raw_Data'!H247, "%", ""))/100, 0))</f>
        <v/>
      </c>
      <c r="H247" s="8">
        <f>PROPER(TRIM('01_Raw_Data'!J247))</f>
        <v/>
      </c>
      <c r="I247" s="8">
        <f>IF('01_Raw_Data'!K247="", "REG-NA", UPPER(TRIM('01_Raw_Data'!K247)))</f>
        <v/>
      </c>
      <c r="J247" s="8">
        <f>IF(OR('01_Raw_Data'!C247="", '01_Raw_Data'!F247&lt;0, ISNUMBER(SEARCH("%", '01_Raw_Data'!H247))), "FIXED ANOMALY", "PASSED")</f>
        <v/>
      </c>
      <c r="K247" s="8">
        <f>IF('01_Raw_Data'!F247&lt;0, "Converted Negative Quantity to ABS", IF('01_Raw_Data'!C247="", "Imputed Missing Customer ID", IF(ISNUMBER(SEARCH("%", '01_Raw_Data'!H247)), "Parsed Text % to Numeric Rate", "Standardized Format")))</f>
        <v/>
      </c>
    </row>
    <row r="248">
      <c r="A248" s="8">
        <f>'01_Raw_Data'!A248</f>
        <v/>
      </c>
      <c r="B248" s="10">
        <f>IFERROR(DATEVALUE('01_Raw_Data'!B248), IF('01_Raw_Data'!B248="", DATE(2024,1,1), '01_Raw_Data'!B248))</f>
        <v/>
      </c>
      <c r="C248" s="8">
        <f>IF(OR('01_Raw_Data'!C248="",'01_Raw_Data'!C248="0"), "CUST-GUEST", TRIM('01_Raw_Data'!C248))</f>
        <v/>
      </c>
      <c r="D248" s="8">
        <f>PROPER(TRIM(CLEAN('01_Raw_Data'!D248)))</f>
        <v/>
      </c>
      <c r="E248" s="8">
        <f>ABS(IF(ISNUMBER(VALUE('01_Raw_Data'!F248)), VALUE('01_Raw_Data'!F248), 1))</f>
        <v/>
      </c>
      <c r="F248" s="9">
        <f>'01_Raw_Data'!G248</f>
        <v/>
      </c>
      <c r="G248" s="11">
        <f>IF(ISNUMBER('01_Raw_Data'!H248), '01_Raw_Data'!H248, IFERROR(VALUE(SUBSTITUTE('01_Raw_Data'!H248, "%", ""))/100, 0))</f>
        <v/>
      </c>
      <c r="H248" s="8">
        <f>PROPER(TRIM('01_Raw_Data'!J248))</f>
        <v/>
      </c>
      <c r="I248" s="8">
        <f>IF('01_Raw_Data'!K248="", "REG-NA", UPPER(TRIM('01_Raw_Data'!K248)))</f>
        <v/>
      </c>
      <c r="J248" s="8">
        <f>IF(OR('01_Raw_Data'!C248="", '01_Raw_Data'!F248&lt;0, ISNUMBER(SEARCH("%", '01_Raw_Data'!H248))), "FIXED ANOMALY", "PASSED")</f>
        <v/>
      </c>
      <c r="K248" s="8">
        <f>IF('01_Raw_Data'!F248&lt;0, "Converted Negative Quantity to ABS", IF('01_Raw_Data'!C248="", "Imputed Missing Customer ID", IF(ISNUMBER(SEARCH("%", '01_Raw_Data'!H248)), "Parsed Text % to Numeric Rate", "Standardized Format")))</f>
        <v/>
      </c>
    </row>
    <row r="249">
      <c r="A249" s="8">
        <f>'01_Raw_Data'!A249</f>
        <v/>
      </c>
      <c r="B249" s="10">
        <f>IFERROR(DATEVALUE('01_Raw_Data'!B249), IF('01_Raw_Data'!B249="", DATE(2024,1,1), '01_Raw_Data'!B249))</f>
        <v/>
      </c>
      <c r="C249" s="8">
        <f>IF(OR('01_Raw_Data'!C249="",'01_Raw_Data'!C249="0"), "CUST-GUEST", TRIM('01_Raw_Data'!C249))</f>
        <v/>
      </c>
      <c r="D249" s="8">
        <f>PROPER(TRIM(CLEAN('01_Raw_Data'!D249)))</f>
        <v/>
      </c>
      <c r="E249" s="8">
        <f>ABS(IF(ISNUMBER(VALUE('01_Raw_Data'!F249)), VALUE('01_Raw_Data'!F249), 1))</f>
        <v/>
      </c>
      <c r="F249" s="9">
        <f>'01_Raw_Data'!G249</f>
        <v/>
      </c>
      <c r="G249" s="11">
        <f>IF(ISNUMBER('01_Raw_Data'!H249), '01_Raw_Data'!H249, IFERROR(VALUE(SUBSTITUTE('01_Raw_Data'!H249, "%", ""))/100, 0))</f>
        <v/>
      </c>
      <c r="H249" s="8">
        <f>PROPER(TRIM('01_Raw_Data'!J249))</f>
        <v/>
      </c>
      <c r="I249" s="8">
        <f>IF('01_Raw_Data'!K249="", "REG-NA", UPPER(TRIM('01_Raw_Data'!K249)))</f>
        <v/>
      </c>
      <c r="J249" s="8">
        <f>IF(OR('01_Raw_Data'!C249="", '01_Raw_Data'!F249&lt;0, ISNUMBER(SEARCH("%", '01_Raw_Data'!H249))), "FIXED ANOMALY", "PASSED")</f>
        <v/>
      </c>
      <c r="K249" s="8">
        <f>IF('01_Raw_Data'!F249&lt;0, "Converted Negative Quantity to ABS", IF('01_Raw_Data'!C249="", "Imputed Missing Customer ID", IF(ISNUMBER(SEARCH("%", '01_Raw_Data'!H249)), "Parsed Text % to Numeric Rate", "Standardized Format")))</f>
        <v/>
      </c>
    </row>
    <row r="250">
      <c r="A250" s="8">
        <f>'01_Raw_Data'!A250</f>
        <v/>
      </c>
      <c r="B250" s="10">
        <f>IFERROR(DATEVALUE('01_Raw_Data'!B250), IF('01_Raw_Data'!B250="", DATE(2024,1,1), '01_Raw_Data'!B250))</f>
        <v/>
      </c>
      <c r="C250" s="8">
        <f>IF(OR('01_Raw_Data'!C250="",'01_Raw_Data'!C250="0"), "CUST-GUEST", TRIM('01_Raw_Data'!C250))</f>
        <v/>
      </c>
      <c r="D250" s="8">
        <f>PROPER(TRIM(CLEAN('01_Raw_Data'!D250)))</f>
        <v/>
      </c>
      <c r="E250" s="8">
        <f>ABS(IF(ISNUMBER(VALUE('01_Raw_Data'!F250)), VALUE('01_Raw_Data'!F250), 1))</f>
        <v/>
      </c>
      <c r="F250" s="9">
        <f>'01_Raw_Data'!G250</f>
        <v/>
      </c>
      <c r="G250" s="11">
        <f>IF(ISNUMBER('01_Raw_Data'!H250), '01_Raw_Data'!H250, IFERROR(VALUE(SUBSTITUTE('01_Raw_Data'!H250, "%", ""))/100, 0))</f>
        <v/>
      </c>
      <c r="H250" s="8">
        <f>PROPER(TRIM('01_Raw_Data'!J250))</f>
        <v/>
      </c>
      <c r="I250" s="8">
        <f>IF('01_Raw_Data'!K250="", "REG-NA", UPPER(TRIM('01_Raw_Data'!K250)))</f>
        <v/>
      </c>
      <c r="J250" s="8">
        <f>IF(OR('01_Raw_Data'!C250="", '01_Raw_Data'!F250&lt;0, ISNUMBER(SEARCH("%", '01_Raw_Data'!H250))), "FIXED ANOMALY", "PASSED")</f>
        <v/>
      </c>
      <c r="K250" s="8">
        <f>IF('01_Raw_Data'!F250&lt;0, "Converted Negative Quantity to ABS", IF('01_Raw_Data'!C250="", "Imputed Missing Customer ID", IF(ISNUMBER(SEARCH("%", '01_Raw_Data'!H250)), "Parsed Text % to Numeric Rate", "Standardized Format")))</f>
        <v/>
      </c>
    </row>
    <row r="251">
      <c r="A251" s="8">
        <f>'01_Raw_Data'!A251</f>
        <v/>
      </c>
      <c r="B251" s="10">
        <f>IFERROR(DATEVALUE('01_Raw_Data'!B251), IF('01_Raw_Data'!B251="", DATE(2024,1,1), '01_Raw_Data'!B251))</f>
        <v/>
      </c>
      <c r="C251" s="8">
        <f>IF(OR('01_Raw_Data'!C251="",'01_Raw_Data'!C251="0"), "CUST-GUEST", TRIM('01_Raw_Data'!C251))</f>
        <v/>
      </c>
      <c r="D251" s="8">
        <f>PROPER(TRIM(CLEAN('01_Raw_Data'!D251)))</f>
        <v/>
      </c>
      <c r="E251" s="8">
        <f>ABS(IF(ISNUMBER(VALUE('01_Raw_Data'!F251)), VALUE('01_Raw_Data'!F251), 1))</f>
        <v/>
      </c>
      <c r="F251" s="9">
        <f>'01_Raw_Data'!G251</f>
        <v/>
      </c>
      <c r="G251" s="11">
        <f>IF(ISNUMBER('01_Raw_Data'!H251), '01_Raw_Data'!H251, IFERROR(VALUE(SUBSTITUTE('01_Raw_Data'!H251, "%", ""))/100, 0))</f>
        <v/>
      </c>
      <c r="H251" s="8">
        <f>PROPER(TRIM('01_Raw_Data'!J251))</f>
        <v/>
      </c>
      <c r="I251" s="8">
        <f>IF('01_Raw_Data'!K251="", "REG-NA", UPPER(TRIM('01_Raw_Data'!K251)))</f>
        <v/>
      </c>
      <c r="J251" s="8">
        <f>IF(OR('01_Raw_Data'!C251="", '01_Raw_Data'!F251&lt;0, ISNUMBER(SEARCH("%", '01_Raw_Data'!H251))), "FIXED ANOMALY", "PASSED")</f>
        <v/>
      </c>
      <c r="K251" s="8">
        <f>IF('01_Raw_Data'!F251&lt;0, "Converted Negative Quantity to ABS", IF('01_Raw_Data'!C251="", "Imputed Missing Customer ID", IF(ISNUMBER(SEARCH("%", '01_Raw_Data'!H251)), "Parsed Text % to Numeric Rate", "Standardized Format")))</f>
        <v/>
      </c>
    </row>
    <row r="252">
      <c r="A252" s="8">
        <f>'01_Raw_Data'!A252</f>
        <v/>
      </c>
      <c r="B252" s="10">
        <f>IFERROR(DATEVALUE('01_Raw_Data'!B252), IF('01_Raw_Data'!B252="", DATE(2024,1,1), '01_Raw_Data'!B252))</f>
        <v/>
      </c>
      <c r="C252" s="8">
        <f>IF(OR('01_Raw_Data'!C252="",'01_Raw_Data'!C252="0"), "CUST-GUEST", TRIM('01_Raw_Data'!C252))</f>
        <v/>
      </c>
      <c r="D252" s="8">
        <f>PROPER(TRIM(CLEAN('01_Raw_Data'!D252)))</f>
        <v/>
      </c>
      <c r="E252" s="8">
        <f>ABS(IF(ISNUMBER(VALUE('01_Raw_Data'!F252)), VALUE('01_Raw_Data'!F252), 1))</f>
        <v/>
      </c>
      <c r="F252" s="9">
        <f>'01_Raw_Data'!G252</f>
        <v/>
      </c>
      <c r="G252" s="11">
        <f>IF(ISNUMBER('01_Raw_Data'!H252), '01_Raw_Data'!H252, IFERROR(VALUE(SUBSTITUTE('01_Raw_Data'!H252, "%", ""))/100, 0))</f>
        <v/>
      </c>
      <c r="H252" s="8">
        <f>PROPER(TRIM('01_Raw_Data'!J252))</f>
        <v/>
      </c>
      <c r="I252" s="8">
        <f>IF('01_Raw_Data'!K252="", "REG-NA", UPPER(TRIM('01_Raw_Data'!K252)))</f>
        <v/>
      </c>
      <c r="J252" s="8">
        <f>IF(OR('01_Raw_Data'!C252="", '01_Raw_Data'!F252&lt;0, ISNUMBER(SEARCH("%", '01_Raw_Data'!H252))), "FIXED ANOMALY", "PASSED")</f>
        <v/>
      </c>
      <c r="K252" s="8">
        <f>IF('01_Raw_Data'!F252&lt;0, "Converted Negative Quantity to ABS", IF('01_Raw_Data'!C252="", "Imputed Missing Customer ID", IF(ISNUMBER(SEARCH("%", '01_Raw_Data'!H252)), "Parsed Text % to Numeric Rate", "Standardized Format")))</f>
        <v/>
      </c>
    </row>
    <row r="253">
      <c r="A253" s="8">
        <f>'01_Raw_Data'!A253</f>
        <v/>
      </c>
      <c r="B253" s="10">
        <f>IFERROR(DATEVALUE('01_Raw_Data'!B253), IF('01_Raw_Data'!B253="", DATE(2024,1,1), '01_Raw_Data'!B253))</f>
        <v/>
      </c>
      <c r="C253" s="8">
        <f>IF(OR('01_Raw_Data'!C253="",'01_Raw_Data'!C253="0"), "CUST-GUEST", TRIM('01_Raw_Data'!C253))</f>
        <v/>
      </c>
      <c r="D253" s="8">
        <f>PROPER(TRIM(CLEAN('01_Raw_Data'!D253)))</f>
        <v/>
      </c>
      <c r="E253" s="8">
        <f>ABS(IF(ISNUMBER(VALUE('01_Raw_Data'!F253)), VALUE('01_Raw_Data'!F253), 1))</f>
        <v/>
      </c>
      <c r="F253" s="9">
        <f>'01_Raw_Data'!G253</f>
        <v/>
      </c>
      <c r="G253" s="11">
        <f>IF(ISNUMBER('01_Raw_Data'!H253), '01_Raw_Data'!H253, IFERROR(VALUE(SUBSTITUTE('01_Raw_Data'!H253, "%", ""))/100, 0))</f>
        <v/>
      </c>
      <c r="H253" s="8">
        <f>PROPER(TRIM('01_Raw_Data'!J253))</f>
        <v/>
      </c>
      <c r="I253" s="8">
        <f>IF('01_Raw_Data'!K253="", "REG-NA", UPPER(TRIM('01_Raw_Data'!K253)))</f>
        <v/>
      </c>
      <c r="J253" s="8">
        <f>IF(OR('01_Raw_Data'!C253="", '01_Raw_Data'!F253&lt;0, ISNUMBER(SEARCH("%", '01_Raw_Data'!H253))), "FIXED ANOMALY", "PASSED")</f>
        <v/>
      </c>
      <c r="K253" s="8">
        <f>IF('01_Raw_Data'!F253&lt;0, "Converted Negative Quantity to ABS", IF('01_Raw_Data'!C253="", "Imputed Missing Customer ID", IF(ISNUMBER(SEARCH("%", '01_Raw_Data'!H253)), "Parsed Text % to Numeric Rate", "Standardized Format")))</f>
        <v/>
      </c>
    </row>
    <row r="254">
      <c r="A254" s="8">
        <f>'01_Raw_Data'!A254</f>
        <v/>
      </c>
      <c r="B254" s="10">
        <f>IFERROR(DATEVALUE('01_Raw_Data'!B254), IF('01_Raw_Data'!B254="", DATE(2024,1,1), '01_Raw_Data'!B254))</f>
        <v/>
      </c>
      <c r="C254" s="8">
        <f>IF(OR('01_Raw_Data'!C254="",'01_Raw_Data'!C254="0"), "CUST-GUEST", TRIM('01_Raw_Data'!C254))</f>
        <v/>
      </c>
      <c r="D254" s="8">
        <f>PROPER(TRIM(CLEAN('01_Raw_Data'!D254)))</f>
        <v/>
      </c>
      <c r="E254" s="8">
        <f>ABS(IF(ISNUMBER(VALUE('01_Raw_Data'!F254)), VALUE('01_Raw_Data'!F254), 1))</f>
        <v/>
      </c>
      <c r="F254" s="9">
        <f>'01_Raw_Data'!G254</f>
        <v/>
      </c>
      <c r="G254" s="11">
        <f>IF(ISNUMBER('01_Raw_Data'!H254), '01_Raw_Data'!H254, IFERROR(VALUE(SUBSTITUTE('01_Raw_Data'!H254, "%", ""))/100, 0))</f>
        <v/>
      </c>
      <c r="H254" s="8">
        <f>PROPER(TRIM('01_Raw_Data'!J254))</f>
        <v/>
      </c>
      <c r="I254" s="8">
        <f>IF('01_Raw_Data'!K254="", "REG-NA", UPPER(TRIM('01_Raw_Data'!K254)))</f>
        <v/>
      </c>
      <c r="J254" s="8">
        <f>IF(OR('01_Raw_Data'!C254="", '01_Raw_Data'!F254&lt;0, ISNUMBER(SEARCH("%", '01_Raw_Data'!H254))), "FIXED ANOMALY", "PASSED")</f>
        <v/>
      </c>
      <c r="K254" s="8">
        <f>IF('01_Raw_Data'!F254&lt;0, "Converted Negative Quantity to ABS", IF('01_Raw_Data'!C254="", "Imputed Missing Customer ID", IF(ISNUMBER(SEARCH("%", '01_Raw_Data'!H254)), "Parsed Text % to Numeric Rate", "Standardized Format")))</f>
        <v/>
      </c>
    </row>
    <row r="255">
      <c r="A255" s="8">
        <f>'01_Raw_Data'!A255</f>
        <v/>
      </c>
      <c r="B255" s="10">
        <f>IFERROR(DATEVALUE('01_Raw_Data'!B255), IF('01_Raw_Data'!B255="", DATE(2024,1,1), '01_Raw_Data'!B255))</f>
        <v/>
      </c>
      <c r="C255" s="8">
        <f>IF(OR('01_Raw_Data'!C255="",'01_Raw_Data'!C255="0"), "CUST-GUEST", TRIM('01_Raw_Data'!C255))</f>
        <v/>
      </c>
      <c r="D255" s="8">
        <f>PROPER(TRIM(CLEAN('01_Raw_Data'!D255)))</f>
        <v/>
      </c>
      <c r="E255" s="8">
        <f>ABS(IF(ISNUMBER(VALUE('01_Raw_Data'!F255)), VALUE('01_Raw_Data'!F255), 1))</f>
        <v/>
      </c>
      <c r="F255" s="9">
        <f>'01_Raw_Data'!G255</f>
        <v/>
      </c>
      <c r="G255" s="11">
        <f>IF(ISNUMBER('01_Raw_Data'!H255), '01_Raw_Data'!H255, IFERROR(VALUE(SUBSTITUTE('01_Raw_Data'!H255, "%", ""))/100, 0))</f>
        <v/>
      </c>
      <c r="H255" s="8">
        <f>PROPER(TRIM('01_Raw_Data'!J255))</f>
        <v/>
      </c>
      <c r="I255" s="8">
        <f>IF('01_Raw_Data'!K255="", "REG-NA", UPPER(TRIM('01_Raw_Data'!K255)))</f>
        <v/>
      </c>
      <c r="J255" s="8">
        <f>IF(OR('01_Raw_Data'!C255="", '01_Raw_Data'!F255&lt;0, ISNUMBER(SEARCH("%", '01_Raw_Data'!H255))), "FIXED ANOMALY", "PASSED")</f>
        <v/>
      </c>
      <c r="K255" s="8">
        <f>IF('01_Raw_Data'!F255&lt;0, "Converted Negative Quantity to ABS", IF('01_Raw_Data'!C255="", "Imputed Missing Customer ID", IF(ISNUMBER(SEARCH("%", '01_Raw_Data'!H255)), "Parsed Text % to Numeric Rate", "Standardized Format")))</f>
        <v/>
      </c>
    </row>
    <row r="256">
      <c r="A256" s="8">
        <f>'01_Raw_Data'!A256</f>
        <v/>
      </c>
      <c r="B256" s="10">
        <f>IFERROR(DATEVALUE('01_Raw_Data'!B256), IF('01_Raw_Data'!B256="", DATE(2024,1,1), '01_Raw_Data'!B256))</f>
        <v/>
      </c>
      <c r="C256" s="8">
        <f>IF(OR('01_Raw_Data'!C256="",'01_Raw_Data'!C256="0"), "CUST-GUEST", TRIM('01_Raw_Data'!C256))</f>
        <v/>
      </c>
      <c r="D256" s="8">
        <f>PROPER(TRIM(CLEAN('01_Raw_Data'!D256)))</f>
        <v/>
      </c>
      <c r="E256" s="8">
        <f>ABS(IF(ISNUMBER(VALUE('01_Raw_Data'!F256)), VALUE('01_Raw_Data'!F256), 1))</f>
        <v/>
      </c>
      <c r="F256" s="9">
        <f>'01_Raw_Data'!G256</f>
        <v/>
      </c>
      <c r="G256" s="11">
        <f>IF(ISNUMBER('01_Raw_Data'!H256), '01_Raw_Data'!H256, IFERROR(VALUE(SUBSTITUTE('01_Raw_Data'!H256, "%", ""))/100, 0))</f>
        <v/>
      </c>
      <c r="H256" s="8">
        <f>PROPER(TRIM('01_Raw_Data'!J256))</f>
        <v/>
      </c>
      <c r="I256" s="8">
        <f>IF('01_Raw_Data'!K256="", "REG-NA", UPPER(TRIM('01_Raw_Data'!K256)))</f>
        <v/>
      </c>
      <c r="J256" s="8">
        <f>IF(OR('01_Raw_Data'!C256="", '01_Raw_Data'!F256&lt;0, ISNUMBER(SEARCH("%", '01_Raw_Data'!H256))), "FIXED ANOMALY", "PASSED")</f>
        <v/>
      </c>
      <c r="K256" s="8">
        <f>IF('01_Raw_Data'!F256&lt;0, "Converted Negative Quantity to ABS", IF('01_Raw_Data'!C256="", "Imputed Missing Customer ID", IF(ISNUMBER(SEARCH("%", '01_Raw_Data'!H256)), "Parsed Text % to Numeric Rate", "Standardized Format")))</f>
        <v/>
      </c>
    </row>
    <row r="257">
      <c r="A257" s="8">
        <f>'01_Raw_Data'!A257</f>
        <v/>
      </c>
      <c r="B257" s="10">
        <f>IFERROR(DATEVALUE('01_Raw_Data'!B257), IF('01_Raw_Data'!B257="", DATE(2024,1,1), '01_Raw_Data'!B257))</f>
        <v/>
      </c>
      <c r="C257" s="8">
        <f>IF(OR('01_Raw_Data'!C257="",'01_Raw_Data'!C257="0"), "CUST-GUEST", TRIM('01_Raw_Data'!C257))</f>
        <v/>
      </c>
      <c r="D257" s="8">
        <f>PROPER(TRIM(CLEAN('01_Raw_Data'!D257)))</f>
        <v/>
      </c>
      <c r="E257" s="8">
        <f>ABS(IF(ISNUMBER(VALUE('01_Raw_Data'!F257)), VALUE('01_Raw_Data'!F257), 1))</f>
        <v/>
      </c>
      <c r="F257" s="9">
        <f>'01_Raw_Data'!G257</f>
        <v/>
      </c>
      <c r="G257" s="11">
        <f>IF(ISNUMBER('01_Raw_Data'!H257), '01_Raw_Data'!H257, IFERROR(VALUE(SUBSTITUTE('01_Raw_Data'!H257, "%", ""))/100, 0))</f>
        <v/>
      </c>
      <c r="H257" s="8">
        <f>PROPER(TRIM('01_Raw_Data'!J257))</f>
        <v/>
      </c>
      <c r="I257" s="8">
        <f>IF('01_Raw_Data'!K257="", "REG-NA", UPPER(TRIM('01_Raw_Data'!K257)))</f>
        <v/>
      </c>
      <c r="J257" s="8">
        <f>IF(OR('01_Raw_Data'!C257="", '01_Raw_Data'!F257&lt;0, ISNUMBER(SEARCH("%", '01_Raw_Data'!H257))), "FIXED ANOMALY", "PASSED")</f>
        <v/>
      </c>
      <c r="K257" s="8">
        <f>IF('01_Raw_Data'!F257&lt;0, "Converted Negative Quantity to ABS", IF('01_Raw_Data'!C257="", "Imputed Missing Customer ID", IF(ISNUMBER(SEARCH("%", '01_Raw_Data'!H257)), "Parsed Text % to Numeric Rate", "Standardized Format")))</f>
        <v/>
      </c>
    </row>
    <row r="258">
      <c r="A258" s="8">
        <f>'01_Raw_Data'!A258</f>
        <v/>
      </c>
      <c r="B258" s="10">
        <f>IFERROR(DATEVALUE('01_Raw_Data'!B258), IF('01_Raw_Data'!B258="", DATE(2024,1,1), '01_Raw_Data'!B258))</f>
        <v/>
      </c>
      <c r="C258" s="8">
        <f>IF(OR('01_Raw_Data'!C258="",'01_Raw_Data'!C258="0"), "CUST-GUEST", TRIM('01_Raw_Data'!C258))</f>
        <v/>
      </c>
      <c r="D258" s="8">
        <f>PROPER(TRIM(CLEAN('01_Raw_Data'!D258)))</f>
        <v/>
      </c>
      <c r="E258" s="8">
        <f>ABS(IF(ISNUMBER(VALUE('01_Raw_Data'!F258)), VALUE('01_Raw_Data'!F258), 1))</f>
        <v/>
      </c>
      <c r="F258" s="9">
        <f>'01_Raw_Data'!G258</f>
        <v/>
      </c>
      <c r="G258" s="11">
        <f>IF(ISNUMBER('01_Raw_Data'!H258), '01_Raw_Data'!H258, IFERROR(VALUE(SUBSTITUTE('01_Raw_Data'!H258, "%", ""))/100, 0))</f>
        <v/>
      </c>
      <c r="H258" s="8">
        <f>PROPER(TRIM('01_Raw_Data'!J258))</f>
        <v/>
      </c>
      <c r="I258" s="8">
        <f>IF('01_Raw_Data'!K258="", "REG-NA", UPPER(TRIM('01_Raw_Data'!K258)))</f>
        <v/>
      </c>
      <c r="J258" s="8">
        <f>IF(OR('01_Raw_Data'!C258="", '01_Raw_Data'!F258&lt;0, ISNUMBER(SEARCH("%", '01_Raw_Data'!H258))), "FIXED ANOMALY", "PASSED")</f>
        <v/>
      </c>
      <c r="K258" s="8">
        <f>IF('01_Raw_Data'!F258&lt;0, "Converted Negative Quantity to ABS", IF('01_Raw_Data'!C258="", "Imputed Missing Customer ID", IF(ISNUMBER(SEARCH("%", '01_Raw_Data'!H258)), "Parsed Text % to Numeric Rate", "Standardized Format")))</f>
        <v/>
      </c>
    </row>
    <row r="259">
      <c r="A259" s="8">
        <f>'01_Raw_Data'!A259</f>
        <v/>
      </c>
      <c r="B259" s="10">
        <f>IFERROR(DATEVALUE('01_Raw_Data'!B259), IF('01_Raw_Data'!B259="", DATE(2024,1,1), '01_Raw_Data'!B259))</f>
        <v/>
      </c>
      <c r="C259" s="8">
        <f>IF(OR('01_Raw_Data'!C259="",'01_Raw_Data'!C259="0"), "CUST-GUEST", TRIM('01_Raw_Data'!C259))</f>
        <v/>
      </c>
      <c r="D259" s="8">
        <f>PROPER(TRIM(CLEAN('01_Raw_Data'!D259)))</f>
        <v/>
      </c>
      <c r="E259" s="8">
        <f>ABS(IF(ISNUMBER(VALUE('01_Raw_Data'!F259)), VALUE('01_Raw_Data'!F259), 1))</f>
        <v/>
      </c>
      <c r="F259" s="9">
        <f>'01_Raw_Data'!G259</f>
        <v/>
      </c>
      <c r="G259" s="11">
        <f>IF(ISNUMBER('01_Raw_Data'!H259), '01_Raw_Data'!H259, IFERROR(VALUE(SUBSTITUTE('01_Raw_Data'!H259, "%", ""))/100, 0))</f>
        <v/>
      </c>
      <c r="H259" s="8">
        <f>PROPER(TRIM('01_Raw_Data'!J259))</f>
        <v/>
      </c>
      <c r="I259" s="8">
        <f>IF('01_Raw_Data'!K259="", "REG-NA", UPPER(TRIM('01_Raw_Data'!K259)))</f>
        <v/>
      </c>
      <c r="J259" s="8">
        <f>IF(OR('01_Raw_Data'!C259="", '01_Raw_Data'!F259&lt;0, ISNUMBER(SEARCH("%", '01_Raw_Data'!H259))), "FIXED ANOMALY", "PASSED")</f>
        <v/>
      </c>
      <c r="K259" s="8">
        <f>IF('01_Raw_Data'!F259&lt;0, "Converted Negative Quantity to ABS", IF('01_Raw_Data'!C259="", "Imputed Missing Customer ID", IF(ISNUMBER(SEARCH("%", '01_Raw_Data'!H259)), "Parsed Text % to Numeric Rate", "Standardized Format")))</f>
        <v/>
      </c>
    </row>
    <row r="260">
      <c r="A260" s="8">
        <f>'01_Raw_Data'!A260</f>
        <v/>
      </c>
      <c r="B260" s="10">
        <f>IFERROR(DATEVALUE('01_Raw_Data'!B260), IF('01_Raw_Data'!B260="", DATE(2024,1,1), '01_Raw_Data'!B260))</f>
        <v/>
      </c>
      <c r="C260" s="8">
        <f>IF(OR('01_Raw_Data'!C260="",'01_Raw_Data'!C260="0"), "CUST-GUEST", TRIM('01_Raw_Data'!C260))</f>
        <v/>
      </c>
      <c r="D260" s="8">
        <f>PROPER(TRIM(CLEAN('01_Raw_Data'!D260)))</f>
        <v/>
      </c>
      <c r="E260" s="8">
        <f>ABS(IF(ISNUMBER(VALUE('01_Raw_Data'!F260)), VALUE('01_Raw_Data'!F260), 1))</f>
        <v/>
      </c>
      <c r="F260" s="9">
        <f>'01_Raw_Data'!G260</f>
        <v/>
      </c>
      <c r="G260" s="11">
        <f>IF(ISNUMBER('01_Raw_Data'!H260), '01_Raw_Data'!H260, IFERROR(VALUE(SUBSTITUTE('01_Raw_Data'!H260, "%", ""))/100, 0))</f>
        <v/>
      </c>
      <c r="H260" s="8">
        <f>PROPER(TRIM('01_Raw_Data'!J260))</f>
        <v/>
      </c>
      <c r="I260" s="8">
        <f>IF('01_Raw_Data'!K260="", "REG-NA", UPPER(TRIM('01_Raw_Data'!K260)))</f>
        <v/>
      </c>
      <c r="J260" s="8">
        <f>IF(OR('01_Raw_Data'!C260="", '01_Raw_Data'!F260&lt;0, ISNUMBER(SEARCH("%", '01_Raw_Data'!H260))), "FIXED ANOMALY", "PASSED")</f>
        <v/>
      </c>
      <c r="K260" s="8">
        <f>IF('01_Raw_Data'!F260&lt;0, "Converted Negative Quantity to ABS", IF('01_Raw_Data'!C260="", "Imputed Missing Customer ID", IF(ISNUMBER(SEARCH("%", '01_Raw_Data'!H260)), "Parsed Text % to Numeric Rate", "Standardized Format")))</f>
        <v/>
      </c>
    </row>
    <row r="261">
      <c r="A261" s="8">
        <f>'01_Raw_Data'!A261</f>
        <v/>
      </c>
      <c r="B261" s="10">
        <f>IFERROR(DATEVALUE('01_Raw_Data'!B261), IF('01_Raw_Data'!B261="", DATE(2024,1,1), '01_Raw_Data'!B261))</f>
        <v/>
      </c>
      <c r="C261" s="8">
        <f>IF(OR('01_Raw_Data'!C261="",'01_Raw_Data'!C261="0"), "CUST-GUEST", TRIM('01_Raw_Data'!C261))</f>
        <v/>
      </c>
      <c r="D261" s="8">
        <f>PROPER(TRIM(CLEAN('01_Raw_Data'!D261)))</f>
        <v/>
      </c>
      <c r="E261" s="8">
        <f>ABS(IF(ISNUMBER(VALUE('01_Raw_Data'!F261)), VALUE('01_Raw_Data'!F261), 1))</f>
        <v/>
      </c>
      <c r="F261" s="9">
        <f>'01_Raw_Data'!G261</f>
        <v/>
      </c>
      <c r="G261" s="11">
        <f>IF(ISNUMBER('01_Raw_Data'!H261), '01_Raw_Data'!H261, IFERROR(VALUE(SUBSTITUTE('01_Raw_Data'!H261, "%", ""))/100, 0))</f>
        <v/>
      </c>
      <c r="H261" s="8">
        <f>PROPER(TRIM('01_Raw_Data'!J261))</f>
        <v/>
      </c>
      <c r="I261" s="8">
        <f>IF('01_Raw_Data'!K261="", "REG-NA", UPPER(TRIM('01_Raw_Data'!K261)))</f>
        <v/>
      </c>
      <c r="J261" s="8">
        <f>IF(OR('01_Raw_Data'!C261="", '01_Raw_Data'!F261&lt;0, ISNUMBER(SEARCH("%", '01_Raw_Data'!H261))), "FIXED ANOMALY", "PASSED")</f>
        <v/>
      </c>
      <c r="K261" s="8">
        <f>IF('01_Raw_Data'!F261&lt;0, "Converted Negative Quantity to ABS", IF('01_Raw_Data'!C261="", "Imputed Missing Customer ID", IF(ISNUMBER(SEARCH("%", '01_Raw_Data'!H261)), "Parsed Text % to Numeric Rate", "Standardized Format")))</f>
        <v/>
      </c>
    </row>
    <row r="262">
      <c r="A262" s="8">
        <f>'01_Raw_Data'!A262</f>
        <v/>
      </c>
      <c r="B262" s="10">
        <f>IFERROR(DATEVALUE('01_Raw_Data'!B262), IF('01_Raw_Data'!B262="", DATE(2024,1,1), '01_Raw_Data'!B262))</f>
        <v/>
      </c>
      <c r="C262" s="8">
        <f>IF(OR('01_Raw_Data'!C262="",'01_Raw_Data'!C262="0"), "CUST-GUEST", TRIM('01_Raw_Data'!C262))</f>
        <v/>
      </c>
      <c r="D262" s="8">
        <f>PROPER(TRIM(CLEAN('01_Raw_Data'!D262)))</f>
        <v/>
      </c>
      <c r="E262" s="8">
        <f>ABS(IF(ISNUMBER(VALUE('01_Raw_Data'!F262)), VALUE('01_Raw_Data'!F262), 1))</f>
        <v/>
      </c>
      <c r="F262" s="9">
        <f>'01_Raw_Data'!G262</f>
        <v/>
      </c>
      <c r="G262" s="11">
        <f>IF(ISNUMBER('01_Raw_Data'!H262), '01_Raw_Data'!H262, IFERROR(VALUE(SUBSTITUTE('01_Raw_Data'!H262, "%", ""))/100, 0))</f>
        <v/>
      </c>
      <c r="H262" s="8">
        <f>PROPER(TRIM('01_Raw_Data'!J262))</f>
        <v/>
      </c>
      <c r="I262" s="8">
        <f>IF('01_Raw_Data'!K262="", "REG-NA", UPPER(TRIM('01_Raw_Data'!K262)))</f>
        <v/>
      </c>
      <c r="J262" s="8">
        <f>IF(OR('01_Raw_Data'!C262="", '01_Raw_Data'!F262&lt;0, ISNUMBER(SEARCH("%", '01_Raw_Data'!H262))), "FIXED ANOMALY", "PASSED")</f>
        <v/>
      </c>
      <c r="K262" s="8">
        <f>IF('01_Raw_Data'!F262&lt;0, "Converted Negative Quantity to ABS", IF('01_Raw_Data'!C262="", "Imputed Missing Customer ID", IF(ISNUMBER(SEARCH("%", '01_Raw_Data'!H262)), "Parsed Text % to Numeric Rate", "Standardized Format")))</f>
        <v/>
      </c>
    </row>
    <row r="263">
      <c r="A263" s="8">
        <f>'01_Raw_Data'!A263</f>
        <v/>
      </c>
      <c r="B263" s="10">
        <f>IFERROR(DATEVALUE('01_Raw_Data'!B263), IF('01_Raw_Data'!B263="", DATE(2024,1,1), '01_Raw_Data'!B263))</f>
        <v/>
      </c>
      <c r="C263" s="8">
        <f>IF(OR('01_Raw_Data'!C263="",'01_Raw_Data'!C263="0"), "CUST-GUEST", TRIM('01_Raw_Data'!C263))</f>
        <v/>
      </c>
      <c r="D263" s="8">
        <f>PROPER(TRIM(CLEAN('01_Raw_Data'!D263)))</f>
        <v/>
      </c>
      <c r="E263" s="8">
        <f>ABS(IF(ISNUMBER(VALUE('01_Raw_Data'!F263)), VALUE('01_Raw_Data'!F263), 1))</f>
        <v/>
      </c>
      <c r="F263" s="9">
        <f>'01_Raw_Data'!G263</f>
        <v/>
      </c>
      <c r="G263" s="11">
        <f>IF(ISNUMBER('01_Raw_Data'!H263), '01_Raw_Data'!H263, IFERROR(VALUE(SUBSTITUTE('01_Raw_Data'!H263, "%", ""))/100, 0))</f>
        <v/>
      </c>
      <c r="H263" s="8">
        <f>PROPER(TRIM('01_Raw_Data'!J263))</f>
        <v/>
      </c>
      <c r="I263" s="8">
        <f>IF('01_Raw_Data'!K263="", "REG-NA", UPPER(TRIM('01_Raw_Data'!K263)))</f>
        <v/>
      </c>
      <c r="J263" s="8">
        <f>IF(OR('01_Raw_Data'!C263="", '01_Raw_Data'!F263&lt;0, ISNUMBER(SEARCH("%", '01_Raw_Data'!H263))), "FIXED ANOMALY", "PASSED")</f>
        <v/>
      </c>
      <c r="K263" s="8">
        <f>IF('01_Raw_Data'!F263&lt;0, "Converted Negative Quantity to ABS", IF('01_Raw_Data'!C263="", "Imputed Missing Customer ID", IF(ISNUMBER(SEARCH("%", '01_Raw_Data'!H263)), "Parsed Text % to Numeric Rate", "Standardized Format")))</f>
        <v/>
      </c>
    </row>
    <row r="264">
      <c r="A264" s="8">
        <f>'01_Raw_Data'!A264</f>
        <v/>
      </c>
      <c r="B264" s="10">
        <f>IFERROR(DATEVALUE('01_Raw_Data'!B264), IF('01_Raw_Data'!B264="", DATE(2024,1,1), '01_Raw_Data'!B264))</f>
        <v/>
      </c>
      <c r="C264" s="8">
        <f>IF(OR('01_Raw_Data'!C264="",'01_Raw_Data'!C264="0"), "CUST-GUEST", TRIM('01_Raw_Data'!C264))</f>
        <v/>
      </c>
      <c r="D264" s="8">
        <f>PROPER(TRIM(CLEAN('01_Raw_Data'!D264)))</f>
        <v/>
      </c>
      <c r="E264" s="8">
        <f>ABS(IF(ISNUMBER(VALUE('01_Raw_Data'!F264)), VALUE('01_Raw_Data'!F264), 1))</f>
        <v/>
      </c>
      <c r="F264" s="9">
        <f>'01_Raw_Data'!G264</f>
        <v/>
      </c>
      <c r="G264" s="11">
        <f>IF(ISNUMBER('01_Raw_Data'!H264), '01_Raw_Data'!H264, IFERROR(VALUE(SUBSTITUTE('01_Raw_Data'!H264, "%", ""))/100, 0))</f>
        <v/>
      </c>
      <c r="H264" s="8">
        <f>PROPER(TRIM('01_Raw_Data'!J264))</f>
        <v/>
      </c>
      <c r="I264" s="8">
        <f>IF('01_Raw_Data'!K264="", "REG-NA", UPPER(TRIM('01_Raw_Data'!K264)))</f>
        <v/>
      </c>
      <c r="J264" s="8">
        <f>IF(OR('01_Raw_Data'!C264="", '01_Raw_Data'!F264&lt;0, ISNUMBER(SEARCH("%", '01_Raw_Data'!H264))), "FIXED ANOMALY", "PASSED")</f>
        <v/>
      </c>
      <c r="K264" s="8">
        <f>IF('01_Raw_Data'!F264&lt;0, "Converted Negative Quantity to ABS", IF('01_Raw_Data'!C264="", "Imputed Missing Customer ID", IF(ISNUMBER(SEARCH("%", '01_Raw_Data'!H264)), "Parsed Text % to Numeric Rate", "Standardized Format")))</f>
        <v/>
      </c>
    </row>
    <row r="265">
      <c r="A265" s="8">
        <f>'01_Raw_Data'!A265</f>
        <v/>
      </c>
      <c r="B265" s="10">
        <f>IFERROR(DATEVALUE('01_Raw_Data'!B265), IF('01_Raw_Data'!B265="", DATE(2024,1,1), '01_Raw_Data'!B265))</f>
        <v/>
      </c>
      <c r="C265" s="8">
        <f>IF(OR('01_Raw_Data'!C265="",'01_Raw_Data'!C265="0"), "CUST-GUEST", TRIM('01_Raw_Data'!C265))</f>
        <v/>
      </c>
      <c r="D265" s="8">
        <f>PROPER(TRIM(CLEAN('01_Raw_Data'!D265)))</f>
        <v/>
      </c>
      <c r="E265" s="8">
        <f>ABS(IF(ISNUMBER(VALUE('01_Raw_Data'!F265)), VALUE('01_Raw_Data'!F265), 1))</f>
        <v/>
      </c>
      <c r="F265" s="9">
        <f>'01_Raw_Data'!G265</f>
        <v/>
      </c>
      <c r="G265" s="11">
        <f>IF(ISNUMBER('01_Raw_Data'!H265), '01_Raw_Data'!H265, IFERROR(VALUE(SUBSTITUTE('01_Raw_Data'!H265, "%", ""))/100, 0))</f>
        <v/>
      </c>
      <c r="H265" s="8">
        <f>PROPER(TRIM('01_Raw_Data'!J265))</f>
        <v/>
      </c>
      <c r="I265" s="8">
        <f>IF('01_Raw_Data'!K265="", "REG-NA", UPPER(TRIM('01_Raw_Data'!K265)))</f>
        <v/>
      </c>
      <c r="J265" s="8">
        <f>IF(OR('01_Raw_Data'!C265="", '01_Raw_Data'!F265&lt;0, ISNUMBER(SEARCH("%", '01_Raw_Data'!H265))), "FIXED ANOMALY", "PASSED")</f>
        <v/>
      </c>
      <c r="K265" s="8">
        <f>IF('01_Raw_Data'!F265&lt;0, "Converted Negative Quantity to ABS", IF('01_Raw_Data'!C265="", "Imputed Missing Customer ID", IF(ISNUMBER(SEARCH("%", '01_Raw_Data'!H265)), "Parsed Text % to Numeric Rate", "Standardized Format")))</f>
        <v/>
      </c>
    </row>
    <row r="266">
      <c r="A266" s="8">
        <f>'01_Raw_Data'!A266</f>
        <v/>
      </c>
      <c r="B266" s="10">
        <f>IFERROR(DATEVALUE('01_Raw_Data'!B266), IF('01_Raw_Data'!B266="", DATE(2024,1,1), '01_Raw_Data'!B266))</f>
        <v/>
      </c>
      <c r="C266" s="8">
        <f>IF(OR('01_Raw_Data'!C266="",'01_Raw_Data'!C266="0"), "CUST-GUEST", TRIM('01_Raw_Data'!C266))</f>
        <v/>
      </c>
      <c r="D266" s="8">
        <f>PROPER(TRIM(CLEAN('01_Raw_Data'!D266)))</f>
        <v/>
      </c>
      <c r="E266" s="8">
        <f>ABS(IF(ISNUMBER(VALUE('01_Raw_Data'!F266)), VALUE('01_Raw_Data'!F266), 1))</f>
        <v/>
      </c>
      <c r="F266" s="9">
        <f>'01_Raw_Data'!G266</f>
        <v/>
      </c>
      <c r="G266" s="11">
        <f>IF(ISNUMBER('01_Raw_Data'!H266), '01_Raw_Data'!H266, IFERROR(VALUE(SUBSTITUTE('01_Raw_Data'!H266, "%", ""))/100, 0))</f>
        <v/>
      </c>
      <c r="H266" s="8">
        <f>PROPER(TRIM('01_Raw_Data'!J266))</f>
        <v/>
      </c>
      <c r="I266" s="8">
        <f>IF('01_Raw_Data'!K266="", "REG-NA", UPPER(TRIM('01_Raw_Data'!K266)))</f>
        <v/>
      </c>
      <c r="J266" s="8">
        <f>IF(OR('01_Raw_Data'!C266="", '01_Raw_Data'!F266&lt;0, ISNUMBER(SEARCH("%", '01_Raw_Data'!H266))), "FIXED ANOMALY", "PASSED")</f>
        <v/>
      </c>
      <c r="K266" s="8">
        <f>IF('01_Raw_Data'!F266&lt;0, "Converted Negative Quantity to ABS", IF('01_Raw_Data'!C266="", "Imputed Missing Customer ID", IF(ISNUMBER(SEARCH("%", '01_Raw_Data'!H266)), "Parsed Text % to Numeric Rate", "Standardized Format")))</f>
        <v/>
      </c>
    </row>
    <row r="267">
      <c r="A267" s="8">
        <f>'01_Raw_Data'!A267</f>
        <v/>
      </c>
      <c r="B267" s="10">
        <f>IFERROR(DATEVALUE('01_Raw_Data'!B267), IF('01_Raw_Data'!B267="", DATE(2024,1,1), '01_Raw_Data'!B267))</f>
        <v/>
      </c>
      <c r="C267" s="8">
        <f>IF(OR('01_Raw_Data'!C267="",'01_Raw_Data'!C267="0"), "CUST-GUEST", TRIM('01_Raw_Data'!C267))</f>
        <v/>
      </c>
      <c r="D267" s="8">
        <f>PROPER(TRIM(CLEAN('01_Raw_Data'!D267)))</f>
        <v/>
      </c>
      <c r="E267" s="8">
        <f>ABS(IF(ISNUMBER(VALUE('01_Raw_Data'!F267)), VALUE('01_Raw_Data'!F267), 1))</f>
        <v/>
      </c>
      <c r="F267" s="9">
        <f>'01_Raw_Data'!G267</f>
        <v/>
      </c>
      <c r="G267" s="11">
        <f>IF(ISNUMBER('01_Raw_Data'!H267), '01_Raw_Data'!H267, IFERROR(VALUE(SUBSTITUTE('01_Raw_Data'!H267, "%", ""))/100, 0))</f>
        <v/>
      </c>
      <c r="H267" s="8">
        <f>PROPER(TRIM('01_Raw_Data'!J267))</f>
        <v/>
      </c>
      <c r="I267" s="8">
        <f>IF('01_Raw_Data'!K267="", "REG-NA", UPPER(TRIM('01_Raw_Data'!K267)))</f>
        <v/>
      </c>
      <c r="J267" s="8">
        <f>IF(OR('01_Raw_Data'!C267="", '01_Raw_Data'!F267&lt;0, ISNUMBER(SEARCH("%", '01_Raw_Data'!H267))), "FIXED ANOMALY", "PASSED")</f>
        <v/>
      </c>
      <c r="K267" s="8">
        <f>IF('01_Raw_Data'!F267&lt;0, "Converted Negative Quantity to ABS", IF('01_Raw_Data'!C267="", "Imputed Missing Customer ID", IF(ISNUMBER(SEARCH("%", '01_Raw_Data'!H267)), "Parsed Text % to Numeric Rate", "Standardized Format")))</f>
        <v/>
      </c>
    </row>
    <row r="268">
      <c r="A268" s="8">
        <f>'01_Raw_Data'!A268</f>
        <v/>
      </c>
      <c r="B268" s="10">
        <f>IFERROR(DATEVALUE('01_Raw_Data'!B268), IF('01_Raw_Data'!B268="", DATE(2024,1,1), '01_Raw_Data'!B268))</f>
        <v/>
      </c>
      <c r="C268" s="8">
        <f>IF(OR('01_Raw_Data'!C268="",'01_Raw_Data'!C268="0"), "CUST-GUEST", TRIM('01_Raw_Data'!C268))</f>
        <v/>
      </c>
      <c r="D268" s="8">
        <f>PROPER(TRIM(CLEAN('01_Raw_Data'!D268)))</f>
        <v/>
      </c>
      <c r="E268" s="8">
        <f>ABS(IF(ISNUMBER(VALUE('01_Raw_Data'!F268)), VALUE('01_Raw_Data'!F268), 1))</f>
        <v/>
      </c>
      <c r="F268" s="9">
        <f>'01_Raw_Data'!G268</f>
        <v/>
      </c>
      <c r="G268" s="11">
        <f>IF(ISNUMBER('01_Raw_Data'!H268), '01_Raw_Data'!H268, IFERROR(VALUE(SUBSTITUTE('01_Raw_Data'!H268, "%", ""))/100, 0))</f>
        <v/>
      </c>
      <c r="H268" s="8">
        <f>PROPER(TRIM('01_Raw_Data'!J268))</f>
        <v/>
      </c>
      <c r="I268" s="8">
        <f>IF('01_Raw_Data'!K268="", "REG-NA", UPPER(TRIM('01_Raw_Data'!K268)))</f>
        <v/>
      </c>
      <c r="J268" s="8">
        <f>IF(OR('01_Raw_Data'!C268="", '01_Raw_Data'!F268&lt;0, ISNUMBER(SEARCH("%", '01_Raw_Data'!H268))), "FIXED ANOMALY", "PASSED")</f>
        <v/>
      </c>
      <c r="K268" s="8">
        <f>IF('01_Raw_Data'!F268&lt;0, "Converted Negative Quantity to ABS", IF('01_Raw_Data'!C268="", "Imputed Missing Customer ID", IF(ISNUMBER(SEARCH("%", '01_Raw_Data'!H268)), "Parsed Text % to Numeric Rate", "Standardized Format")))</f>
        <v/>
      </c>
    </row>
    <row r="269">
      <c r="A269" s="8">
        <f>'01_Raw_Data'!A269</f>
        <v/>
      </c>
      <c r="B269" s="10">
        <f>IFERROR(DATEVALUE('01_Raw_Data'!B269), IF('01_Raw_Data'!B269="", DATE(2024,1,1), '01_Raw_Data'!B269))</f>
        <v/>
      </c>
      <c r="C269" s="8">
        <f>IF(OR('01_Raw_Data'!C269="",'01_Raw_Data'!C269="0"), "CUST-GUEST", TRIM('01_Raw_Data'!C269))</f>
        <v/>
      </c>
      <c r="D269" s="8">
        <f>PROPER(TRIM(CLEAN('01_Raw_Data'!D269)))</f>
        <v/>
      </c>
      <c r="E269" s="8">
        <f>ABS(IF(ISNUMBER(VALUE('01_Raw_Data'!F269)), VALUE('01_Raw_Data'!F269), 1))</f>
        <v/>
      </c>
      <c r="F269" s="9">
        <f>'01_Raw_Data'!G269</f>
        <v/>
      </c>
      <c r="G269" s="11">
        <f>IF(ISNUMBER('01_Raw_Data'!H269), '01_Raw_Data'!H269, IFERROR(VALUE(SUBSTITUTE('01_Raw_Data'!H269, "%", ""))/100, 0))</f>
        <v/>
      </c>
      <c r="H269" s="8">
        <f>PROPER(TRIM('01_Raw_Data'!J269))</f>
        <v/>
      </c>
      <c r="I269" s="8">
        <f>IF('01_Raw_Data'!K269="", "REG-NA", UPPER(TRIM('01_Raw_Data'!K269)))</f>
        <v/>
      </c>
      <c r="J269" s="8">
        <f>IF(OR('01_Raw_Data'!C269="", '01_Raw_Data'!F269&lt;0, ISNUMBER(SEARCH("%", '01_Raw_Data'!H269))), "FIXED ANOMALY", "PASSED")</f>
        <v/>
      </c>
      <c r="K269" s="8">
        <f>IF('01_Raw_Data'!F269&lt;0, "Converted Negative Quantity to ABS", IF('01_Raw_Data'!C269="", "Imputed Missing Customer ID", IF(ISNUMBER(SEARCH("%", '01_Raw_Data'!H269)), "Parsed Text % to Numeric Rate", "Standardized Format")))</f>
        <v/>
      </c>
    </row>
    <row r="270">
      <c r="A270" s="8">
        <f>'01_Raw_Data'!A270</f>
        <v/>
      </c>
      <c r="B270" s="10">
        <f>IFERROR(DATEVALUE('01_Raw_Data'!B270), IF('01_Raw_Data'!B270="", DATE(2024,1,1), '01_Raw_Data'!B270))</f>
        <v/>
      </c>
      <c r="C270" s="8">
        <f>IF(OR('01_Raw_Data'!C270="",'01_Raw_Data'!C270="0"), "CUST-GUEST", TRIM('01_Raw_Data'!C270))</f>
        <v/>
      </c>
      <c r="D270" s="8">
        <f>PROPER(TRIM(CLEAN('01_Raw_Data'!D270)))</f>
        <v/>
      </c>
      <c r="E270" s="8">
        <f>ABS(IF(ISNUMBER(VALUE('01_Raw_Data'!F270)), VALUE('01_Raw_Data'!F270), 1))</f>
        <v/>
      </c>
      <c r="F270" s="9">
        <f>'01_Raw_Data'!G270</f>
        <v/>
      </c>
      <c r="G270" s="11">
        <f>IF(ISNUMBER('01_Raw_Data'!H270), '01_Raw_Data'!H270, IFERROR(VALUE(SUBSTITUTE('01_Raw_Data'!H270, "%", ""))/100, 0))</f>
        <v/>
      </c>
      <c r="H270" s="8">
        <f>PROPER(TRIM('01_Raw_Data'!J270))</f>
        <v/>
      </c>
      <c r="I270" s="8">
        <f>IF('01_Raw_Data'!K270="", "REG-NA", UPPER(TRIM('01_Raw_Data'!K270)))</f>
        <v/>
      </c>
      <c r="J270" s="8">
        <f>IF(OR('01_Raw_Data'!C270="", '01_Raw_Data'!F270&lt;0, ISNUMBER(SEARCH("%", '01_Raw_Data'!H270))), "FIXED ANOMALY", "PASSED")</f>
        <v/>
      </c>
      <c r="K270" s="8">
        <f>IF('01_Raw_Data'!F270&lt;0, "Converted Negative Quantity to ABS", IF('01_Raw_Data'!C270="", "Imputed Missing Customer ID", IF(ISNUMBER(SEARCH("%", '01_Raw_Data'!H270)), "Parsed Text % to Numeric Rate", "Standardized Format")))</f>
        <v/>
      </c>
    </row>
    <row r="271">
      <c r="A271" s="8">
        <f>'01_Raw_Data'!A271</f>
        <v/>
      </c>
      <c r="B271" s="10">
        <f>IFERROR(DATEVALUE('01_Raw_Data'!B271), IF('01_Raw_Data'!B271="", DATE(2024,1,1), '01_Raw_Data'!B271))</f>
        <v/>
      </c>
      <c r="C271" s="8">
        <f>IF(OR('01_Raw_Data'!C271="",'01_Raw_Data'!C271="0"), "CUST-GUEST", TRIM('01_Raw_Data'!C271))</f>
        <v/>
      </c>
      <c r="D271" s="8">
        <f>PROPER(TRIM(CLEAN('01_Raw_Data'!D271)))</f>
        <v/>
      </c>
      <c r="E271" s="8">
        <f>ABS(IF(ISNUMBER(VALUE('01_Raw_Data'!F271)), VALUE('01_Raw_Data'!F271), 1))</f>
        <v/>
      </c>
      <c r="F271" s="9">
        <f>'01_Raw_Data'!G271</f>
        <v/>
      </c>
      <c r="G271" s="11">
        <f>IF(ISNUMBER('01_Raw_Data'!H271), '01_Raw_Data'!H271, IFERROR(VALUE(SUBSTITUTE('01_Raw_Data'!H271, "%", ""))/100, 0))</f>
        <v/>
      </c>
      <c r="H271" s="8">
        <f>PROPER(TRIM('01_Raw_Data'!J271))</f>
        <v/>
      </c>
      <c r="I271" s="8">
        <f>IF('01_Raw_Data'!K271="", "REG-NA", UPPER(TRIM('01_Raw_Data'!K271)))</f>
        <v/>
      </c>
      <c r="J271" s="8">
        <f>IF(OR('01_Raw_Data'!C271="", '01_Raw_Data'!F271&lt;0, ISNUMBER(SEARCH("%", '01_Raw_Data'!H271))), "FIXED ANOMALY", "PASSED")</f>
        <v/>
      </c>
      <c r="K271" s="8">
        <f>IF('01_Raw_Data'!F271&lt;0, "Converted Negative Quantity to ABS", IF('01_Raw_Data'!C271="", "Imputed Missing Customer ID", IF(ISNUMBER(SEARCH("%", '01_Raw_Data'!H271)), "Parsed Text % to Numeric Rate", "Standardized Format")))</f>
        <v/>
      </c>
    </row>
    <row r="272">
      <c r="A272" s="8">
        <f>'01_Raw_Data'!A272</f>
        <v/>
      </c>
      <c r="B272" s="10">
        <f>IFERROR(DATEVALUE('01_Raw_Data'!B272), IF('01_Raw_Data'!B272="", DATE(2024,1,1), '01_Raw_Data'!B272))</f>
        <v/>
      </c>
      <c r="C272" s="8">
        <f>IF(OR('01_Raw_Data'!C272="",'01_Raw_Data'!C272="0"), "CUST-GUEST", TRIM('01_Raw_Data'!C272))</f>
        <v/>
      </c>
      <c r="D272" s="8">
        <f>PROPER(TRIM(CLEAN('01_Raw_Data'!D272)))</f>
        <v/>
      </c>
      <c r="E272" s="8">
        <f>ABS(IF(ISNUMBER(VALUE('01_Raw_Data'!F272)), VALUE('01_Raw_Data'!F272), 1))</f>
        <v/>
      </c>
      <c r="F272" s="9">
        <f>'01_Raw_Data'!G272</f>
        <v/>
      </c>
      <c r="G272" s="11">
        <f>IF(ISNUMBER('01_Raw_Data'!H272), '01_Raw_Data'!H272, IFERROR(VALUE(SUBSTITUTE('01_Raw_Data'!H272, "%", ""))/100, 0))</f>
        <v/>
      </c>
      <c r="H272" s="8">
        <f>PROPER(TRIM('01_Raw_Data'!J272))</f>
        <v/>
      </c>
      <c r="I272" s="8">
        <f>IF('01_Raw_Data'!K272="", "REG-NA", UPPER(TRIM('01_Raw_Data'!K272)))</f>
        <v/>
      </c>
      <c r="J272" s="8">
        <f>IF(OR('01_Raw_Data'!C272="", '01_Raw_Data'!F272&lt;0, ISNUMBER(SEARCH("%", '01_Raw_Data'!H272))), "FIXED ANOMALY", "PASSED")</f>
        <v/>
      </c>
      <c r="K272" s="8">
        <f>IF('01_Raw_Data'!F272&lt;0, "Converted Negative Quantity to ABS", IF('01_Raw_Data'!C272="", "Imputed Missing Customer ID", IF(ISNUMBER(SEARCH("%", '01_Raw_Data'!H272)), "Parsed Text % to Numeric Rate", "Standardized Format")))</f>
        <v/>
      </c>
    </row>
    <row r="273">
      <c r="A273" s="8">
        <f>'01_Raw_Data'!A273</f>
        <v/>
      </c>
      <c r="B273" s="10">
        <f>IFERROR(DATEVALUE('01_Raw_Data'!B273), IF('01_Raw_Data'!B273="", DATE(2024,1,1), '01_Raw_Data'!B273))</f>
        <v/>
      </c>
      <c r="C273" s="8">
        <f>IF(OR('01_Raw_Data'!C273="",'01_Raw_Data'!C273="0"), "CUST-GUEST", TRIM('01_Raw_Data'!C273))</f>
        <v/>
      </c>
      <c r="D273" s="8">
        <f>PROPER(TRIM(CLEAN('01_Raw_Data'!D273)))</f>
        <v/>
      </c>
      <c r="E273" s="8">
        <f>ABS(IF(ISNUMBER(VALUE('01_Raw_Data'!F273)), VALUE('01_Raw_Data'!F273), 1))</f>
        <v/>
      </c>
      <c r="F273" s="9">
        <f>'01_Raw_Data'!G273</f>
        <v/>
      </c>
      <c r="G273" s="11">
        <f>IF(ISNUMBER('01_Raw_Data'!H273), '01_Raw_Data'!H273, IFERROR(VALUE(SUBSTITUTE('01_Raw_Data'!H273, "%", ""))/100, 0))</f>
        <v/>
      </c>
      <c r="H273" s="8">
        <f>PROPER(TRIM('01_Raw_Data'!J273))</f>
        <v/>
      </c>
      <c r="I273" s="8">
        <f>IF('01_Raw_Data'!K273="", "REG-NA", UPPER(TRIM('01_Raw_Data'!K273)))</f>
        <v/>
      </c>
      <c r="J273" s="8">
        <f>IF(OR('01_Raw_Data'!C273="", '01_Raw_Data'!F273&lt;0, ISNUMBER(SEARCH("%", '01_Raw_Data'!H273))), "FIXED ANOMALY", "PASSED")</f>
        <v/>
      </c>
      <c r="K273" s="8">
        <f>IF('01_Raw_Data'!F273&lt;0, "Converted Negative Quantity to ABS", IF('01_Raw_Data'!C273="", "Imputed Missing Customer ID", IF(ISNUMBER(SEARCH("%", '01_Raw_Data'!H273)), "Parsed Text % to Numeric Rate", "Standardized Format")))</f>
        <v/>
      </c>
    </row>
    <row r="274">
      <c r="A274" s="8">
        <f>'01_Raw_Data'!A274</f>
        <v/>
      </c>
      <c r="B274" s="10">
        <f>IFERROR(DATEVALUE('01_Raw_Data'!B274), IF('01_Raw_Data'!B274="", DATE(2024,1,1), '01_Raw_Data'!B274))</f>
        <v/>
      </c>
      <c r="C274" s="8">
        <f>IF(OR('01_Raw_Data'!C274="",'01_Raw_Data'!C274="0"), "CUST-GUEST", TRIM('01_Raw_Data'!C274))</f>
        <v/>
      </c>
      <c r="D274" s="8">
        <f>PROPER(TRIM(CLEAN('01_Raw_Data'!D274)))</f>
        <v/>
      </c>
      <c r="E274" s="8">
        <f>ABS(IF(ISNUMBER(VALUE('01_Raw_Data'!F274)), VALUE('01_Raw_Data'!F274), 1))</f>
        <v/>
      </c>
      <c r="F274" s="9">
        <f>'01_Raw_Data'!G274</f>
        <v/>
      </c>
      <c r="G274" s="11">
        <f>IF(ISNUMBER('01_Raw_Data'!H274), '01_Raw_Data'!H274, IFERROR(VALUE(SUBSTITUTE('01_Raw_Data'!H274, "%", ""))/100, 0))</f>
        <v/>
      </c>
      <c r="H274" s="8">
        <f>PROPER(TRIM('01_Raw_Data'!J274))</f>
        <v/>
      </c>
      <c r="I274" s="8">
        <f>IF('01_Raw_Data'!K274="", "REG-NA", UPPER(TRIM('01_Raw_Data'!K274)))</f>
        <v/>
      </c>
      <c r="J274" s="8">
        <f>IF(OR('01_Raw_Data'!C274="", '01_Raw_Data'!F274&lt;0, ISNUMBER(SEARCH("%", '01_Raw_Data'!H274))), "FIXED ANOMALY", "PASSED")</f>
        <v/>
      </c>
      <c r="K274" s="8">
        <f>IF('01_Raw_Data'!F274&lt;0, "Converted Negative Quantity to ABS", IF('01_Raw_Data'!C274="", "Imputed Missing Customer ID", IF(ISNUMBER(SEARCH("%", '01_Raw_Data'!H274)), "Parsed Text % to Numeric Rate", "Standardized Format")))</f>
        <v/>
      </c>
    </row>
    <row r="275">
      <c r="A275" s="8">
        <f>'01_Raw_Data'!A275</f>
        <v/>
      </c>
      <c r="B275" s="10">
        <f>IFERROR(DATEVALUE('01_Raw_Data'!B275), IF('01_Raw_Data'!B275="", DATE(2024,1,1), '01_Raw_Data'!B275))</f>
        <v/>
      </c>
      <c r="C275" s="8">
        <f>IF(OR('01_Raw_Data'!C275="",'01_Raw_Data'!C275="0"), "CUST-GUEST", TRIM('01_Raw_Data'!C275))</f>
        <v/>
      </c>
      <c r="D275" s="8">
        <f>PROPER(TRIM(CLEAN('01_Raw_Data'!D275)))</f>
        <v/>
      </c>
      <c r="E275" s="8">
        <f>ABS(IF(ISNUMBER(VALUE('01_Raw_Data'!F275)), VALUE('01_Raw_Data'!F275), 1))</f>
        <v/>
      </c>
      <c r="F275" s="9">
        <f>'01_Raw_Data'!G275</f>
        <v/>
      </c>
      <c r="G275" s="11">
        <f>IF(ISNUMBER('01_Raw_Data'!H275), '01_Raw_Data'!H275, IFERROR(VALUE(SUBSTITUTE('01_Raw_Data'!H275, "%", ""))/100, 0))</f>
        <v/>
      </c>
      <c r="H275" s="8">
        <f>PROPER(TRIM('01_Raw_Data'!J275))</f>
        <v/>
      </c>
      <c r="I275" s="8">
        <f>IF('01_Raw_Data'!K275="", "REG-NA", UPPER(TRIM('01_Raw_Data'!K275)))</f>
        <v/>
      </c>
      <c r="J275" s="8">
        <f>IF(OR('01_Raw_Data'!C275="", '01_Raw_Data'!F275&lt;0, ISNUMBER(SEARCH("%", '01_Raw_Data'!H275))), "FIXED ANOMALY", "PASSED")</f>
        <v/>
      </c>
      <c r="K275" s="8">
        <f>IF('01_Raw_Data'!F275&lt;0, "Converted Negative Quantity to ABS", IF('01_Raw_Data'!C275="", "Imputed Missing Customer ID", IF(ISNUMBER(SEARCH("%", '01_Raw_Data'!H275)), "Parsed Text % to Numeric Rate", "Standardized Format")))</f>
        <v/>
      </c>
    </row>
    <row r="276">
      <c r="A276" s="8">
        <f>'01_Raw_Data'!A276</f>
        <v/>
      </c>
      <c r="B276" s="10">
        <f>IFERROR(DATEVALUE('01_Raw_Data'!B276), IF('01_Raw_Data'!B276="", DATE(2024,1,1), '01_Raw_Data'!B276))</f>
        <v/>
      </c>
      <c r="C276" s="8">
        <f>IF(OR('01_Raw_Data'!C276="",'01_Raw_Data'!C276="0"), "CUST-GUEST", TRIM('01_Raw_Data'!C276))</f>
        <v/>
      </c>
      <c r="D276" s="8">
        <f>PROPER(TRIM(CLEAN('01_Raw_Data'!D276)))</f>
        <v/>
      </c>
      <c r="E276" s="8">
        <f>ABS(IF(ISNUMBER(VALUE('01_Raw_Data'!F276)), VALUE('01_Raw_Data'!F276), 1))</f>
        <v/>
      </c>
      <c r="F276" s="9">
        <f>'01_Raw_Data'!G276</f>
        <v/>
      </c>
      <c r="G276" s="11">
        <f>IF(ISNUMBER('01_Raw_Data'!H276), '01_Raw_Data'!H276, IFERROR(VALUE(SUBSTITUTE('01_Raw_Data'!H276, "%", ""))/100, 0))</f>
        <v/>
      </c>
      <c r="H276" s="8">
        <f>PROPER(TRIM('01_Raw_Data'!J276))</f>
        <v/>
      </c>
      <c r="I276" s="8">
        <f>IF('01_Raw_Data'!K276="", "REG-NA", UPPER(TRIM('01_Raw_Data'!K276)))</f>
        <v/>
      </c>
      <c r="J276" s="8">
        <f>IF(OR('01_Raw_Data'!C276="", '01_Raw_Data'!F276&lt;0, ISNUMBER(SEARCH("%", '01_Raw_Data'!H276))), "FIXED ANOMALY", "PASSED")</f>
        <v/>
      </c>
      <c r="K276" s="8">
        <f>IF('01_Raw_Data'!F276&lt;0, "Converted Negative Quantity to ABS", IF('01_Raw_Data'!C276="", "Imputed Missing Customer ID", IF(ISNUMBER(SEARCH("%", '01_Raw_Data'!H276)), "Parsed Text % to Numeric Rate", "Standardized Format")))</f>
        <v/>
      </c>
    </row>
    <row r="277">
      <c r="A277" s="8">
        <f>'01_Raw_Data'!A277</f>
        <v/>
      </c>
      <c r="B277" s="10">
        <f>IFERROR(DATEVALUE('01_Raw_Data'!B277), IF('01_Raw_Data'!B277="", DATE(2024,1,1), '01_Raw_Data'!B277))</f>
        <v/>
      </c>
      <c r="C277" s="8">
        <f>IF(OR('01_Raw_Data'!C277="",'01_Raw_Data'!C277="0"), "CUST-GUEST", TRIM('01_Raw_Data'!C277))</f>
        <v/>
      </c>
      <c r="D277" s="8">
        <f>PROPER(TRIM(CLEAN('01_Raw_Data'!D277)))</f>
        <v/>
      </c>
      <c r="E277" s="8">
        <f>ABS(IF(ISNUMBER(VALUE('01_Raw_Data'!F277)), VALUE('01_Raw_Data'!F277), 1))</f>
        <v/>
      </c>
      <c r="F277" s="9">
        <f>'01_Raw_Data'!G277</f>
        <v/>
      </c>
      <c r="G277" s="11">
        <f>IF(ISNUMBER('01_Raw_Data'!H277), '01_Raw_Data'!H277, IFERROR(VALUE(SUBSTITUTE('01_Raw_Data'!H277, "%", ""))/100, 0))</f>
        <v/>
      </c>
      <c r="H277" s="8">
        <f>PROPER(TRIM('01_Raw_Data'!J277))</f>
        <v/>
      </c>
      <c r="I277" s="8">
        <f>IF('01_Raw_Data'!K277="", "REG-NA", UPPER(TRIM('01_Raw_Data'!K277)))</f>
        <v/>
      </c>
      <c r="J277" s="8">
        <f>IF(OR('01_Raw_Data'!C277="", '01_Raw_Data'!F277&lt;0, ISNUMBER(SEARCH("%", '01_Raw_Data'!H277))), "FIXED ANOMALY", "PASSED")</f>
        <v/>
      </c>
      <c r="K277" s="8">
        <f>IF('01_Raw_Data'!F277&lt;0, "Converted Negative Quantity to ABS", IF('01_Raw_Data'!C277="", "Imputed Missing Customer ID", IF(ISNUMBER(SEARCH("%", '01_Raw_Data'!H277)), "Parsed Text % to Numeric Rate", "Standardized Format")))</f>
        <v/>
      </c>
    </row>
    <row r="278">
      <c r="A278" s="8">
        <f>'01_Raw_Data'!A278</f>
        <v/>
      </c>
      <c r="B278" s="10">
        <f>IFERROR(DATEVALUE('01_Raw_Data'!B278), IF('01_Raw_Data'!B278="", DATE(2024,1,1), '01_Raw_Data'!B278))</f>
        <v/>
      </c>
      <c r="C278" s="8">
        <f>IF(OR('01_Raw_Data'!C278="",'01_Raw_Data'!C278="0"), "CUST-GUEST", TRIM('01_Raw_Data'!C278))</f>
        <v/>
      </c>
      <c r="D278" s="8">
        <f>PROPER(TRIM(CLEAN('01_Raw_Data'!D278)))</f>
        <v/>
      </c>
      <c r="E278" s="8">
        <f>ABS(IF(ISNUMBER(VALUE('01_Raw_Data'!F278)), VALUE('01_Raw_Data'!F278), 1))</f>
        <v/>
      </c>
      <c r="F278" s="9">
        <f>'01_Raw_Data'!G278</f>
        <v/>
      </c>
      <c r="G278" s="11">
        <f>IF(ISNUMBER('01_Raw_Data'!H278), '01_Raw_Data'!H278, IFERROR(VALUE(SUBSTITUTE('01_Raw_Data'!H278, "%", ""))/100, 0))</f>
        <v/>
      </c>
      <c r="H278" s="8">
        <f>PROPER(TRIM('01_Raw_Data'!J278))</f>
        <v/>
      </c>
      <c r="I278" s="8">
        <f>IF('01_Raw_Data'!K278="", "REG-NA", UPPER(TRIM('01_Raw_Data'!K278)))</f>
        <v/>
      </c>
      <c r="J278" s="8">
        <f>IF(OR('01_Raw_Data'!C278="", '01_Raw_Data'!F278&lt;0, ISNUMBER(SEARCH("%", '01_Raw_Data'!H278))), "FIXED ANOMALY", "PASSED")</f>
        <v/>
      </c>
      <c r="K278" s="8">
        <f>IF('01_Raw_Data'!F278&lt;0, "Converted Negative Quantity to ABS", IF('01_Raw_Data'!C278="", "Imputed Missing Customer ID", IF(ISNUMBER(SEARCH("%", '01_Raw_Data'!H278)), "Parsed Text % to Numeric Rate", "Standardized Format")))</f>
        <v/>
      </c>
    </row>
    <row r="279">
      <c r="A279" s="8">
        <f>'01_Raw_Data'!A279</f>
        <v/>
      </c>
      <c r="B279" s="10">
        <f>IFERROR(DATEVALUE('01_Raw_Data'!B279), IF('01_Raw_Data'!B279="", DATE(2024,1,1), '01_Raw_Data'!B279))</f>
        <v/>
      </c>
      <c r="C279" s="8">
        <f>IF(OR('01_Raw_Data'!C279="",'01_Raw_Data'!C279="0"), "CUST-GUEST", TRIM('01_Raw_Data'!C279))</f>
        <v/>
      </c>
      <c r="D279" s="8">
        <f>PROPER(TRIM(CLEAN('01_Raw_Data'!D279)))</f>
        <v/>
      </c>
      <c r="E279" s="8">
        <f>ABS(IF(ISNUMBER(VALUE('01_Raw_Data'!F279)), VALUE('01_Raw_Data'!F279), 1))</f>
        <v/>
      </c>
      <c r="F279" s="9">
        <f>'01_Raw_Data'!G279</f>
        <v/>
      </c>
      <c r="G279" s="11">
        <f>IF(ISNUMBER('01_Raw_Data'!H279), '01_Raw_Data'!H279, IFERROR(VALUE(SUBSTITUTE('01_Raw_Data'!H279, "%", ""))/100, 0))</f>
        <v/>
      </c>
      <c r="H279" s="8">
        <f>PROPER(TRIM('01_Raw_Data'!J279))</f>
        <v/>
      </c>
      <c r="I279" s="8">
        <f>IF('01_Raw_Data'!K279="", "REG-NA", UPPER(TRIM('01_Raw_Data'!K279)))</f>
        <v/>
      </c>
      <c r="J279" s="8">
        <f>IF(OR('01_Raw_Data'!C279="", '01_Raw_Data'!F279&lt;0, ISNUMBER(SEARCH("%", '01_Raw_Data'!H279))), "FIXED ANOMALY", "PASSED")</f>
        <v/>
      </c>
      <c r="K279" s="8">
        <f>IF('01_Raw_Data'!F279&lt;0, "Converted Negative Quantity to ABS", IF('01_Raw_Data'!C279="", "Imputed Missing Customer ID", IF(ISNUMBER(SEARCH("%", '01_Raw_Data'!H279)), "Parsed Text % to Numeric Rate", "Standardized Format")))</f>
        <v/>
      </c>
    </row>
    <row r="280">
      <c r="A280" s="8">
        <f>'01_Raw_Data'!A280</f>
        <v/>
      </c>
      <c r="B280" s="10">
        <f>IFERROR(DATEVALUE('01_Raw_Data'!B280), IF('01_Raw_Data'!B280="", DATE(2024,1,1), '01_Raw_Data'!B280))</f>
        <v/>
      </c>
      <c r="C280" s="8">
        <f>IF(OR('01_Raw_Data'!C280="",'01_Raw_Data'!C280="0"), "CUST-GUEST", TRIM('01_Raw_Data'!C280))</f>
        <v/>
      </c>
      <c r="D280" s="8">
        <f>PROPER(TRIM(CLEAN('01_Raw_Data'!D280)))</f>
        <v/>
      </c>
      <c r="E280" s="8">
        <f>ABS(IF(ISNUMBER(VALUE('01_Raw_Data'!F280)), VALUE('01_Raw_Data'!F280), 1))</f>
        <v/>
      </c>
      <c r="F280" s="9">
        <f>'01_Raw_Data'!G280</f>
        <v/>
      </c>
      <c r="G280" s="11">
        <f>IF(ISNUMBER('01_Raw_Data'!H280), '01_Raw_Data'!H280, IFERROR(VALUE(SUBSTITUTE('01_Raw_Data'!H280, "%", ""))/100, 0))</f>
        <v/>
      </c>
      <c r="H280" s="8">
        <f>PROPER(TRIM('01_Raw_Data'!J280))</f>
        <v/>
      </c>
      <c r="I280" s="8">
        <f>IF('01_Raw_Data'!K280="", "REG-NA", UPPER(TRIM('01_Raw_Data'!K280)))</f>
        <v/>
      </c>
      <c r="J280" s="8">
        <f>IF(OR('01_Raw_Data'!C280="", '01_Raw_Data'!F280&lt;0, ISNUMBER(SEARCH("%", '01_Raw_Data'!H280))), "FIXED ANOMALY", "PASSED")</f>
        <v/>
      </c>
      <c r="K280" s="8">
        <f>IF('01_Raw_Data'!F280&lt;0, "Converted Negative Quantity to ABS", IF('01_Raw_Data'!C280="", "Imputed Missing Customer ID", IF(ISNUMBER(SEARCH("%", '01_Raw_Data'!H280)), "Parsed Text % to Numeric Rate", "Standardized Format")))</f>
        <v/>
      </c>
    </row>
    <row r="281">
      <c r="A281" s="8">
        <f>'01_Raw_Data'!A281</f>
        <v/>
      </c>
      <c r="B281" s="10">
        <f>IFERROR(DATEVALUE('01_Raw_Data'!B281), IF('01_Raw_Data'!B281="", DATE(2024,1,1), '01_Raw_Data'!B281))</f>
        <v/>
      </c>
      <c r="C281" s="8">
        <f>IF(OR('01_Raw_Data'!C281="",'01_Raw_Data'!C281="0"), "CUST-GUEST", TRIM('01_Raw_Data'!C281))</f>
        <v/>
      </c>
      <c r="D281" s="8">
        <f>PROPER(TRIM(CLEAN('01_Raw_Data'!D281)))</f>
        <v/>
      </c>
      <c r="E281" s="8">
        <f>ABS(IF(ISNUMBER(VALUE('01_Raw_Data'!F281)), VALUE('01_Raw_Data'!F281), 1))</f>
        <v/>
      </c>
      <c r="F281" s="9">
        <f>'01_Raw_Data'!G281</f>
        <v/>
      </c>
      <c r="G281" s="11">
        <f>IF(ISNUMBER('01_Raw_Data'!H281), '01_Raw_Data'!H281, IFERROR(VALUE(SUBSTITUTE('01_Raw_Data'!H281, "%", ""))/100, 0))</f>
        <v/>
      </c>
      <c r="H281" s="8">
        <f>PROPER(TRIM('01_Raw_Data'!J281))</f>
        <v/>
      </c>
      <c r="I281" s="8">
        <f>IF('01_Raw_Data'!K281="", "REG-NA", UPPER(TRIM('01_Raw_Data'!K281)))</f>
        <v/>
      </c>
      <c r="J281" s="8">
        <f>IF(OR('01_Raw_Data'!C281="", '01_Raw_Data'!F281&lt;0, ISNUMBER(SEARCH("%", '01_Raw_Data'!H281))), "FIXED ANOMALY", "PASSED")</f>
        <v/>
      </c>
      <c r="K281" s="8">
        <f>IF('01_Raw_Data'!F281&lt;0, "Converted Negative Quantity to ABS", IF('01_Raw_Data'!C281="", "Imputed Missing Customer ID", IF(ISNUMBER(SEARCH("%", '01_Raw_Data'!H281)), "Parsed Text % to Numeric Rate", "Standardized Format")))</f>
        <v/>
      </c>
    </row>
    <row r="282">
      <c r="A282" s="8">
        <f>'01_Raw_Data'!A282</f>
        <v/>
      </c>
      <c r="B282" s="10">
        <f>IFERROR(DATEVALUE('01_Raw_Data'!B282), IF('01_Raw_Data'!B282="", DATE(2024,1,1), '01_Raw_Data'!B282))</f>
        <v/>
      </c>
      <c r="C282" s="8">
        <f>IF(OR('01_Raw_Data'!C282="",'01_Raw_Data'!C282="0"), "CUST-GUEST", TRIM('01_Raw_Data'!C282))</f>
        <v/>
      </c>
      <c r="D282" s="8">
        <f>PROPER(TRIM(CLEAN('01_Raw_Data'!D282)))</f>
        <v/>
      </c>
      <c r="E282" s="8">
        <f>ABS(IF(ISNUMBER(VALUE('01_Raw_Data'!F282)), VALUE('01_Raw_Data'!F282), 1))</f>
        <v/>
      </c>
      <c r="F282" s="9">
        <f>'01_Raw_Data'!G282</f>
        <v/>
      </c>
      <c r="G282" s="11">
        <f>IF(ISNUMBER('01_Raw_Data'!H282), '01_Raw_Data'!H282, IFERROR(VALUE(SUBSTITUTE('01_Raw_Data'!H282, "%", ""))/100, 0))</f>
        <v/>
      </c>
      <c r="H282" s="8">
        <f>PROPER(TRIM('01_Raw_Data'!J282))</f>
        <v/>
      </c>
      <c r="I282" s="8">
        <f>IF('01_Raw_Data'!K282="", "REG-NA", UPPER(TRIM('01_Raw_Data'!K282)))</f>
        <v/>
      </c>
      <c r="J282" s="8">
        <f>IF(OR('01_Raw_Data'!C282="", '01_Raw_Data'!F282&lt;0, ISNUMBER(SEARCH("%", '01_Raw_Data'!H282))), "FIXED ANOMALY", "PASSED")</f>
        <v/>
      </c>
      <c r="K282" s="8">
        <f>IF('01_Raw_Data'!F282&lt;0, "Converted Negative Quantity to ABS", IF('01_Raw_Data'!C282="", "Imputed Missing Customer ID", IF(ISNUMBER(SEARCH("%", '01_Raw_Data'!H282)), "Parsed Text % to Numeric Rate", "Standardized Format")))</f>
        <v/>
      </c>
    </row>
    <row r="283">
      <c r="A283" s="8">
        <f>'01_Raw_Data'!A283</f>
        <v/>
      </c>
      <c r="B283" s="10">
        <f>IFERROR(DATEVALUE('01_Raw_Data'!B283), IF('01_Raw_Data'!B283="", DATE(2024,1,1), '01_Raw_Data'!B283))</f>
        <v/>
      </c>
      <c r="C283" s="8">
        <f>IF(OR('01_Raw_Data'!C283="",'01_Raw_Data'!C283="0"), "CUST-GUEST", TRIM('01_Raw_Data'!C283))</f>
        <v/>
      </c>
      <c r="D283" s="8">
        <f>PROPER(TRIM(CLEAN('01_Raw_Data'!D283)))</f>
        <v/>
      </c>
      <c r="E283" s="8">
        <f>ABS(IF(ISNUMBER(VALUE('01_Raw_Data'!F283)), VALUE('01_Raw_Data'!F283), 1))</f>
        <v/>
      </c>
      <c r="F283" s="9">
        <f>'01_Raw_Data'!G283</f>
        <v/>
      </c>
      <c r="G283" s="11">
        <f>IF(ISNUMBER('01_Raw_Data'!H283), '01_Raw_Data'!H283, IFERROR(VALUE(SUBSTITUTE('01_Raw_Data'!H283, "%", ""))/100, 0))</f>
        <v/>
      </c>
      <c r="H283" s="8">
        <f>PROPER(TRIM('01_Raw_Data'!J283))</f>
        <v/>
      </c>
      <c r="I283" s="8">
        <f>IF('01_Raw_Data'!K283="", "REG-NA", UPPER(TRIM('01_Raw_Data'!K283)))</f>
        <v/>
      </c>
      <c r="J283" s="8">
        <f>IF(OR('01_Raw_Data'!C283="", '01_Raw_Data'!F283&lt;0, ISNUMBER(SEARCH("%", '01_Raw_Data'!H283))), "FIXED ANOMALY", "PASSED")</f>
        <v/>
      </c>
      <c r="K283" s="8">
        <f>IF('01_Raw_Data'!F283&lt;0, "Converted Negative Quantity to ABS", IF('01_Raw_Data'!C283="", "Imputed Missing Customer ID", IF(ISNUMBER(SEARCH("%", '01_Raw_Data'!H283)), "Parsed Text % to Numeric Rate", "Standardized Format")))</f>
        <v/>
      </c>
    </row>
    <row r="284">
      <c r="A284" s="8">
        <f>'01_Raw_Data'!A284</f>
        <v/>
      </c>
      <c r="B284" s="10">
        <f>IFERROR(DATEVALUE('01_Raw_Data'!B284), IF('01_Raw_Data'!B284="", DATE(2024,1,1), '01_Raw_Data'!B284))</f>
        <v/>
      </c>
      <c r="C284" s="8">
        <f>IF(OR('01_Raw_Data'!C284="",'01_Raw_Data'!C284="0"), "CUST-GUEST", TRIM('01_Raw_Data'!C284))</f>
        <v/>
      </c>
      <c r="D284" s="8">
        <f>PROPER(TRIM(CLEAN('01_Raw_Data'!D284)))</f>
        <v/>
      </c>
      <c r="E284" s="8">
        <f>ABS(IF(ISNUMBER(VALUE('01_Raw_Data'!F284)), VALUE('01_Raw_Data'!F284), 1))</f>
        <v/>
      </c>
      <c r="F284" s="9">
        <f>'01_Raw_Data'!G284</f>
        <v/>
      </c>
      <c r="G284" s="11">
        <f>IF(ISNUMBER('01_Raw_Data'!H284), '01_Raw_Data'!H284, IFERROR(VALUE(SUBSTITUTE('01_Raw_Data'!H284, "%", ""))/100, 0))</f>
        <v/>
      </c>
      <c r="H284" s="8">
        <f>PROPER(TRIM('01_Raw_Data'!J284))</f>
        <v/>
      </c>
      <c r="I284" s="8">
        <f>IF('01_Raw_Data'!K284="", "REG-NA", UPPER(TRIM('01_Raw_Data'!K284)))</f>
        <v/>
      </c>
      <c r="J284" s="8">
        <f>IF(OR('01_Raw_Data'!C284="", '01_Raw_Data'!F284&lt;0, ISNUMBER(SEARCH("%", '01_Raw_Data'!H284))), "FIXED ANOMALY", "PASSED")</f>
        <v/>
      </c>
      <c r="K284" s="8">
        <f>IF('01_Raw_Data'!F284&lt;0, "Converted Negative Quantity to ABS", IF('01_Raw_Data'!C284="", "Imputed Missing Customer ID", IF(ISNUMBER(SEARCH("%", '01_Raw_Data'!H284)), "Parsed Text % to Numeric Rate", "Standardized Format")))</f>
        <v/>
      </c>
    </row>
    <row r="285">
      <c r="A285" s="8">
        <f>'01_Raw_Data'!A285</f>
        <v/>
      </c>
      <c r="B285" s="10">
        <f>IFERROR(DATEVALUE('01_Raw_Data'!B285), IF('01_Raw_Data'!B285="", DATE(2024,1,1), '01_Raw_Data'!B285))</f>
        <v/>
      </c>
      <c r="C285" s="8">
        <f>IF(OR('01_Raw_Data'!C285="",'01_Raw_Data'!C285="0"), "CUST-GUEST", TRIM('01_Raw_Data'!C285))</f>
        <v/>
      </c>
      <c r="D285" s="8">
        <f>PROPER(TRIM(CLEAN('01_Raw_Data'!D285)))</f>
        <v/>
      </c>
      <c r="E285" s="8">
        <f>ABS(IF(ISNUMBER(VALUE('01_Raw_Data'!F285)), VALUE('01_Raw_Data'!F285), 1))</f>
        <v/>
      </c>
      <c r="F285" s="9">
        <f>'01_Raw_Data'!G285</f>
        <v/>
      </c>
      <c r="G285" s="11">
        <f>IF(ISNUMBER('01_Raw_Data'!H285), '01_Raw_Data'!H285, IFERROR(VALUE(SUBSTITUTE('01_Raw_Data'!H285, "%", ""))/100, 0))</f>
        <v/>
      </c>
      <c r="H285" s="8">
        <f>PROPER(TRIM('01_Raw_Data'!J285))</f>
        <v/>
      </c>
      <c r="I285" s="8">
        <f>IF('01_Raw_Data'!K285="", "REG-NA", UPPER(TRIM('01_Raw_Data'!K285)))</f>
        <v/>
      </c>
      <c r="J285" s="8">
        <f>IF(OR('01_Raw_Data'!C285="", '01_Raw_Data'!F285&lt;0, ISNUMBER(SEARCH("%", '01_Raw_Data'!H285))), "FIXED ANOMALY", "PASSED")</f>
        <v/>
      </c>
      <c r="K285" s="8">
        <f>IF('01_Raw_Data'!F285&lt;0, "Converted Negative Quantity to ABS", IF('01_Raw_Data'!C285="", "Imputed Missing Customer ID", IF(ISNUMBER(SEARCH("%", '01_Raw_Data'!H285)), "Parsed Text % to Numeric Rate", "Standardized Format")))</f>
        <v/>
      </c>
    </row>
    <row r="286">
      <c r="A286" s="8">
        <f>'01_Raw_Data'!A286</f>
        <v/>
      </c>
      <c r="B286" s="10">
        <f>IFERROR(DATEVALUE('01_Raw_Data'!B286), IF('01_Raw_Data'!B286="", DATE(2024,1,1), '01_Raw_Data'!B286))</f>
        <v/>
      </c>
      <c r="C286" s="8">
        <f>IF(OR('01_Raw_Data'!C286="",'01_Raw_Data'!C286="0"), "CUST-GUEST", TRIM('01_Raw_Data'!C286))</f>
        <v/>
      </c>
      <c r="D286" s="8">
        <f>PROPER(TRIM(CLEAN('01_Raw_Data'!D286)))</f>
        <v/>
      </c>
      <c r="E286" s="8">
        <f>ABS(IF(ISNUMBER(VALUE('01_Raw_Data'!F286)), VALUE('01_Raw_Data'!F286), 1))</f>
        <v/>
      </c>
      <c r="F286" s="9">
        <f>'01_Raw_Data'!G286</f>
        <v/>
      </c>
      <c r="G286" s="11">
        <f>IF(ISNUMBER('01_Raw_Data'!H286), '01_Raw_Data'!H286, IFERROR(VALUE(SUBSTITUTE('01_Raw_Data'!H286, "%", ""))/100, 0))</f>
        <v/>
      </c>
      <c r="H286" s="8">
        <f>PROPER(TRIM('01_Raw_Data'!J286))</f>
        <v/>
      </c>
      <c r="I286" s="8">
        <f>IF('01_Raw_Data'!K286="", "REG-NA", UPPER(TRIM('01_Raw_Data'!K286)))</f>
        <v/>
      </c>
      <c r="J286" s="8">
        <f>IF(OR('01_Raw_Data'!C286="", '01_Raw_Data'!F286&lt;0, ISNUMBER(SEARCH("%", '01_Raw_Data'!H286))), "FIXED ANOMALY", "PASSED")</f>
        <v/>
      </c>
      <c r="K286" s="8">
        <f>IF('01_Raw_Data'!F286&lt;0, "Converted Negative Quantity to ABS", IF('01_Raw_Data'!C286="", "Imputed Missing Customer ID", IF(ISNUMBER(SEARCH("%", '01_Raw_Data'!H286)), "Parsed Text % to Numeric Rate", "Standardized Format")))</f>
        <v/>
      </c>
    </row>
    <row r="287">
      <c r="A287" s="8">
        <f>'01_Raw_Data'!A287</f>
        <v/>
      </c>
      <c r="B287" s="10">
        <f>IFERROR(DATEVALUE('01_Raw_Data'!B287), IF('01_Raw_Data'!B287="", DATE(2024,1,1), '01_Raw_Data'!B287))</f>
        <v/>
      </c>
      <c r="C287" s="8">
        <f>IF(OR('01_Raw_Data'!C287="",'01_Raw_Data'!C287="0"), "CUST-GUEST", TRIM('01_Raw_Data'!C287))</f>
        <v/>
      </c>
      <c r="D287" s="8">
        <f>PROPER(TRIM(CLEAN('01_Raw_Data'!D287)))</f>
        <v/>
      </c>
      <c r="E287" s="8">
        <f>ABS(IF(ISNUMBER(VALUE('01_Raw_Data'!F287)), VALUE('01_Raw_Data'!F287), 1))</f>
        <v/>
      </c>
      <c r="F287" s="9">
        <f>'01_Raw_Data'!G287</f>
        <v/>
      </c>
      <c r="G287" s="11">
        <f>IF(ISNUMBER('01_Raw_Data'!H287), '01_Raw_Data'!H287, IFERROR(VALUE(SUBSTITUTE('01_Raw_Data'!H287, "%", ""))/100, 0))</f>
        <v/>
      </c>
      <c r="H287" s="8">
        <f>PROPER(TRIM('01_Raw_Data'!J287))</f>
        <v/>
      </c>
      <c r="I287" s="8">
        <f>IF('01_Raw_Data'!K287="", "REG-NA", UPPER(TRIM('01_Raw_Data'!K287)))</f>
        <v/>
      </c>
      <c r="J287" s="8">
        <f>IF(OR('01_Raw_Data'!C287="", '01_Raw_Data'!F287&lt;0, ISNUMBER(SEARCH("%", '01_Raw_Data'!H287))), "FIXED ANOMALY", "PASSED")</f>
        <v/>
      </c>
      <c r="K287" s="8">
        <f>IF('01_Raw_Data'!F287&lt;0, "Converted Negative Quantity to ABS", IF('01_Raw_Data'!C287="", "Imputed Missing Customer ID", IF(ISNUMBER(SEARCH("%", '01_Raw_Data'!H287)), "Parsed Text % to Numeric Rate", "Standardized Format")))</f>
        <v/>
      </c>
    </row>
    <row r="288">
      <c r="A288" s="8">
        <f>'01_Raw_Data'!A288</f>
        <v/>
      </c>
      <c r="B288" s="10">
        <f>IFERROR(DATEVALUE('01_Raw_Data'!B288), IF('01_Raw_Data'!B288="", DATE(2024,1,1), '01_Raw_Data'!B288))</f>
        <v/>
      </c>
      <c r="C288" s="8">
        <f>IF(OR('01_Raw_Data'!C288="",'01_Raw_Data'!C288="0"), "CUST-GUEST", TRIM('01_Raw_Data'!C288))</f>
        <v/>
      </c>
      <c r="D288" s="8">
        <f>PROPER(TRIM(CLEAN('01_Raw_Data'!D288)))</f>
        <v/>
      </c>
      <c r="E288" s="8">
        <f>ABS(IF(ISNUMBER(VALUE('01_Raw_Data'!F288)), VALUE('01_Raw_Data'!F288), 1))</f>
        <v/>
      </c>
      <c r="F288" s="9">
        <f>'01_Raw_Data'!G288</f>
        <v/>
      </c>
      <c r="G288" s="11">
        <f>IF(ISNUMBER('01_Raw_Data'!H288), '01_Raw_Data'!H288, IFERROR(VALUE(SUBSTITUTE('01_Raw_Data'!H288, "%", ""))/100, 0))</f>
        <v/>
      </c>
      <c r="H288" s="8">
        <f>PROPER(TRIM('01_Raw_Data'!J288))</f>
        <v/>
      </c>
      <c r="I288" s="8">
        <f>IF('01_Raw_Data'!K288="", "REG-NA", UPPER(TRIM('01_Raw_Data'!K288)))</f>
        <v/>
      </c>
      <c r="J288" s="8">
        <f>IF(OR('01_Raw_Data'!C288="", '01_Raw_Data'!F288&lt;0, ISNUMBER(SEARCH("%", '01_Raw_Data'!H288))), "FIXED ANOMALY", "PASSED")</f>
        <v/>
      </c>
      <c r="K288" s="8">
        <f>IF('01_Raw_Data'!F288&lt;0, "Converted Negative Quantity to ABS", IF('01_Raw_Data'!C288="", "Imputed Missing Customer ID", IF(ISNUMBER(SEARCH("%", '01_Raw_Data'!H288)), "Parsed Text % to Numeric Rate", "Standardized Format")))</f>
        <v/>
      </c>
    </row>
    <row r="289">
      <c r="A289" s="8">
        <f>'01_Raw_Data'!A289</f>
        <v/>
      </c>
      <c r="B289" s="10">
        <f>IFERROR(DATEVALUE('01_Raw_Data'!B289), IF('01_Raw_Data'!B289="", DATE(2024,1,1), '01_Raw_Data'!B289))</f>
        <v/>
      </c>
      <c r="C289" s="8">
        <f>IF(OR('01_Raw_Data'!C289="",'01_Raw_Data'!C289="0"), "CUST-GUEST", TRIM('01_Raw_Data'!C289))</f>
        <v/>
      </c>
      <c r="D289" s="8">
        <f>PROPER(TRIM(CLEAN('01_Raw_Data'!D289)))</f>
        <v/>
      </c>
      <c r="E289" s="8">
        <f>ABS(IF(ISNUMBER(VALUE('01_Raw_Data'!F289)), VALUE('01_Raw_Data'!F289), 1))</f>
        <v/>
      </c>
      <c r="F289" s="9">
        <f>'01_Raw_Data'!G289</f>
        <v/>
      </c>
      <c r="G289" s="11">
        <f>IF(ISNUMBER('01_Raw_Data'!H289), '01_Raw_Data'!H289, IFERROR(VALUE(SUBSTITUTE('01_Raw_Data'!H289, "%", ""))/100, 0))</f>
        <v/>
      </c>
      <c r="H289" s="8">
        <f>PROPER(TRIM('01_Raw_Data'!J289))</f>
        <v/>
      </c>
      <c r="I289" s="8">
        <f>IF('01_Raw_Data'!K289="", "REG-NA", UPPER(TRIM('01_Raw_Data'!K289)))</f>
        <v/>
      </c>
      <c r="J289" s="8">
        <f>IF(OR('01_Raw_Data'!C289="", '01_Raw_Data'!F289&lt;0, ISNUMBER(SEARCH("%", '01_Raw_Data'!H289))), "FIXED ANOMALY", "PASSED")</f>
        <v/>
      </c>
      <c r="K289" s="8">
        <f>IF('01_Raw_Data'!F289&lt;0, "Converted Negative Quantity to ABS", IF('01_Raw_Data'!C289="", "Imputed Missing Customer ID", IF(ISNUMBER(SEARCH("%", '01_Raw_Data'!H289)), "Parsed Text % to Numeric Rate", "Standardized Format")))</f>
        <v/>
      </c>
    </row>
    <row r="290">
      <c r="A290" s="8">
        <f>'01_Raw_Data'!A290</f>
        <v/>
      </c>
      <c r="B290" s="10">
        <f>IFERROR(DATEVALUE('01_Raw_Data'!B290), IF('01_Raw_Data'!B290="", DATE(2024,1,1), '01_Raw_Data'!B290))</f>
        <v/>
      </c>
      <c r="C290" s="8">
        <f>IF(OR('01_Raw_Data'!C290="",'01_Raw_Data'!C290="0"), "CUST-GUEST", TRIM('01_Raw_Data'!C290))</f>
        <v/>
      </c>
      <c r="D290" s="8">
        <f>PROPER(TRIM(CLEAN('01_Raw_Data'!D290)))</f>
        <v/>
      </c>
      <c r="E290" s="8">
        <f>ABS(IF(ISNUMBER(VALUE('01_Raw_Data'!F290)), VALUE('01_Raw_Data'!F290), 1))</f>
        <v/>
      </c>
      <c r="F290" s="9">
        <f>'01_Raw_Data'!G290</f>
        <v/>
      </c>
      <c r="G290" s="11">
        <f>IF(ISNUMBER('01_Raw_Data'!H290), '01_Raw_Data'!H290, IFERROR(VALUE(SUBSTITUTE('01_Raw_Data'!H290, "%", ""))/100, 0))</f>
        <v/>
      </c>
      <c r="H290" s="8">
        <f>PROPER(TRIM('01_Raw_Data'!J290))</f>
        <v/>
      </c>
      <c r="I290" s="8">
        <f>IF('01_Raw_Data'!K290="", "REG-NA", UPPER(TRIM('01_Raw_Data'!K290)))</f>
        <v/>
      </c>
      <c r="J290" s="8">
        <f>IF(OR('01_Raw_Data'!C290="", '01_Raw_Data'!F290&lt;0, ISNUMBER(SEARCH("%", '01_Raw_Data'!H290))), "FIXED ANOMALY", "PASSED")</f>
        <v/>
      </c>
      <c r="K290" s="8">
        <f>IF('01_Raw_Data'!F290&lt;0, "Converted Negative Quantity to ABS", IF('01_Raw_Data'!C290="", "Imputed Missing Customer ID", IF(ISNUMBER(SEARCH("%", '01_Raw_Data'!H290)), "Parsed Text % to Numeric Rate", "Standardized Format")))</f>
        <v/>
      </c>
    </row>
    <row r="291">
      <c r="A291" s="8">
        <f>'01_Raw_Data'!A291</f>
        <v/>
      </c>
      <c r="B291" s="10">
        <f>IFERROR(DATEVALUE('01_Raw_Data'!B291), IF('01_Raw_Data'!B291="", DATE(2024,1,1), '01_Raw_Data'!B291))</f>
        <v/>
      </c>
      <c r="C291" s="8">
        <f>IF(OR('01_Raw_Data'!C291="",'01_Raw_Data'!C291="0"), "CUST-GUEST", TRIM('01_Raw_Data'!C291))</f>
        <v/>
      </c>
      <c r="D291" s="8">
        <f>PROPER(TRIM(CLEAN('01_Raw_Data'!D291)))</f>
        <v/>
      </c>
      <c r="E291" s="8">
        <f>ABS(IF(ISNUMBER(VALUE('01_Raw_Data'!F291)), VALUE('01_Raw_Data'!F291), 1))</f>
        <v/>
      </c>
      <c r="F291" s="9">
        <f>'01_Raw_Data'!G291</f>
        <v/>
      </c>
      <c r="G291" s="11">
        <f>IF(ISNUMBER('01_Raw_Data'!H291), '01_Raw_Data'!H291, IFERROR(VALUE(SUBSTITUTE('01_Raw_Data'!H291, "%", ""))/100, 0))</f>
        <v/>
      </c>
      <c r="H291" s="8">
        <f>PROPER(TRIM('01_Raw_Data'!J291))</f>
        <v/>
      </c>
      <c r="I291" s="8">
        <f>IF('01_Raw_Data'!K291="", "REG-NA", UPPER(TRIM('01_Raw_Data'!K291)))</f>
        <v/>
      </c>
      <c r="J291" s="8">
        <f>IF(OR('01_Raw_Data'!C291="", '01_Raw_Data'!F291&lt;0, ISNUMBER(SEARCH("%", '01_Raw_Data'!H291))), "FIXED ANOMALY", "PASSED")</f>
        <v/>
      </c>
      <c r="K291" s="8">
        <f>IF('01_Raw_Data'!F291&lt;0, "Converted Negative Quantity to ABS", IF('01_Raw_Data'!C291="", "Imputed Missing Customer ID", IF(ISNUMBER(SEARCH("%", '01_Raw_Data'!H291)), "Parsed Text % to Numeric Rate", "Standardized Format")))</f>
        <v/>
      </c>
    </row>
    <row r="292">
      <c r="A292" s="8">
        <f>'01_Raw_Data'!A292</f>
        <v/>
      </c>
      <c r="B292" s="10">
        <f>IFERROR(DATEVALUE('01_Raw_Data'!B292), IF('01_Raw_Data'!B292="", DATE(2024,1,1), '01_Raw_Data'!B292))</f>
        <v/>
      </c>
      <c r="C292" s="8">
        <f>IF(OR('01_Raw_Data'!C292="",'01_Raw_Data'!C292="0"), "CUST-GUEST", TRIM('01_Raw_Data'!C292))</f>
        <v/>
      </c>
      <c r="D292" s="8">
        <f>PROPER(TRIM(CLEAN('01_Raw_Data'!D292)))</f>
        <v/>
      </c>
      <c r="E292" s="8">
        <f>ABS(IF(ISNUMBER(VALUE('01_Raw_Data'!F292)), VALUE('01_Raw_Data'!F292), 1))</f>
        <v/>
      </c>
      <c r="F292" s="9">
        <f>'01_Raw_Data'!G292</f>
        <v/>
      </c>
      <c r="G292" s="11">
        <f>IF(ISNUMBER('01_Raw_Data'!H292), '01_Raw_Data'!H292, IFERROR(VALUE(SUBSTITUTE('01_Raw_Data'!H292, "%", ""))/100, 0))</f>
        <v/>
      </c>
      <c r="H292" s="8">
        <f>PROPER(TRIM('01_Raw_Data'!J292))</f>
        <v/>
      </c>
      <c r="I292" s="8">
        <f>IF('01_Raw_Data'!K292="", "REG-NA", UPPER(TRIM('01_Raw_Data'!K292)))</f>
        <v/>
      </c>
      <c r="J292" s="8">
        <f>IF(OR('01_Raw_Data'!C292="", '01_Raw_Data'!F292&lt;0, ISNUMBER(SEARCH("%", '01_Raw_Data'!H292))), "FIXED ANOMALY", "PASSED")</f>
        <v/>
      </c>
      <c r="K292" s="8">
        <f>IF('01_Raw_Data'!F292&lt;0, "Converted Negative Quantity to ABS", IF('01_Raw_Data'!C292="", "Imputed Missing Customer ID", IF(ISNUMBER(SEARCH("%", '01_Raw_Data'!H292)), "Parsed Text % to Numeric Rate", "Standardized Format")))</f>
        <v/>
      </c>
    </row>
    <row r="293">
      <c r="A293" s="8">
        <f>'01_Raw_Data'!A293</f>
        <v/>
      </c>
      <c r="B293" s="10">
        <f>IFERROR(DATEVALUE('01_Raw_Data'!B293), IF('01_Raw_Data'!B293="", DATE(2024,1,1), '01_Raw_Data'!B293))</f>
        <v/>
      </c>
      <c r="C293" s="8">
        <f>IF(OR('01_Raw_Data'!C293="",'01_Raw_Data'!C293="0"), "CUST-GUEST", TRIM('01_Raw_Data'!C293))</f>
        <v/>
      </c>
      <c r="D293" s="8">
        <f>PROPER(TRIM(CLEAN('01_Raw_Data'!D293)))</f>
        <v/>
      </c>
      <c r="E293" s="8">
        <f>ABS(IF(ISNUMBER(VALUE('01_Raw_Data'!F293)), VALUE('01_Raw_Data'!F293), 1))</f>
        <v/>
      </c>
      <c r="F293" s="9">
        <f>'01_Raw_Data'!G293</f>
        <v/>
      </c>
      <c r="G293" s="11">
        <f>IF(ISNUMBER('01_Raw_Data'!H293), '01_Raw_Data'!H293, IFERROR(VALUE(SUBSTITUTE('01_Raw_Data'!H293, "%", ""))/100, 0))</f>
        <v/>
      </c>
      <c r="H293" s="8">
        <f>PROPER(TRIM('01_Raw_Data'!J293))</f>
        <v/>
      </c>
      <c r="I293" s="8">
        <f>IF('01_Raw_Data'!K293="", "REG-NA", UPPER(TRIM('01_Raw_Data'!K293)))</f>
        <v/>
      </c>
      <c r="J293" s="8">
        <f>IF(OR('01_Raw_Data'!C293="", '01_Raw_Data'!F293&lt;0, ISNUMBER(SEARCH("%", '01_Raw_Data'!H293))), "FIXED ANOMALY", "PASSED")</f>
        <v/>
      </c>
      <c r="K293" s="8">
        <f>IF('01_Raw_Data'!F293&lt;0, "Converted Negative Quantity to ABS", IF('01_Raw_Data'!C293="", "Imputed Missing Customer ID", IF(ISNUMBER(SEARCH("%", '01_Raw_Data'!H293)), "Parsed Text % to Numeric Rate", "Standardized Format")))</f>
        <v/>
      </c>
    </row>
    <row r="294">
      <c r="A294" s="8">
        <f>'01_Raw_Data'!A294</f>
        <v/>
      </c>
      <c r="B294" s="10">
        <f>IFERROR(DATEVALUE('01_Raw_Data'!B294), IF('01_Raw_Data'!B294="", DATE(2024,1,1), '01_Raw_Data'!B294))</f>
        <v/>
      </c>
      <c r="C294" s="8">
        <f>IF(OR('01_Raw_Data'!C294="",'01_Raw_Data'!C294="0"), "CUST-GUEST", TRIM('01_Raw_Data'!C294))</f>
        <v/>
      </c>
      <c r="D294" s="8">
        <f>PROPER(TRIM(CLEAN('01_Raw_Data'!D294)))</f>
        <v/>
      </c>
      <c r="E294" s="8">
        <f>ABS(IF(ISNUMBER(VALUE('01_Raw_Data'!F294)), VALUE('01_Raw_Data'!F294), 1))</f>
        <v/>
      </c>
      <c r="F294" s="9">
        <f>'01_Raw_Data'!G294</f>
        <v/>
      </c>
      <c r="G294" s="11">
        <f>IF(ISNUMBER('01_Raw_Data'!H294), '01_Raw_Data'!H294, IFERROR(VALUE(SUBSTITUTE('01_Raw_Data'!H294, "%", ""))/100, 0))</f>
        <v/>
      </c>
      <c r="H294" s="8">
        <f>PROPER(TRIM('01_Raw_Data'!J294))</f>
        <v/>
      </c>
      <c r="I294" s="8">
        <f>IF('01_Raw_Data'!K294="", "REG-NA", UPPER(TRIM('01_Raw_Data'!K294)))</f>
        <v/>
      </c>
      <c r="J294" s="8">
        <f>IF(OR('01_Raw_Data'!C294="", '01_Raw_Data'!F294&lt;0, ISNUMBER(SEARCH("%", '01_Raw_Data'!H294))), "FIXED ANOMALY", "PASSED")</f>
        <v/>
      </c>
      <c r="K294" s="8">
        <f>IF('01_Raw_Data'!F294&lt;0, "Converted Negative Quantity to ABS", IF('01_Raw_Data'!C294="", "Imputed Missing Customer ID", IF(ISNUMBER(SEARCH("%", '01_Raw_Data'!H294)), "Parsed Text % to Numeric Rate", "Standardized Format")))</f>
        <v/>
      </c>
    </row>
    <row r="295">
      <c r="A295" s="8">
        <f>'01_Raw_Data'!A295</f>
        <v/>
      </c>
      <c r="B295" s="10">
        <f>IFERROR(DATEVALUE('01_Raw_Data'!B295), IF('01_Raw_Data'!B295="", DATE(2024,1,1), '01_Raw_Data'!B295))</f>
        <v/>
      </c>
      <c r="C295" s="8">
        <f>IF(OR('01_Raw_Data'!C295="",'01_Raw_Data'!C295="0"), "CUST-GUEST", TRIM('01_Raw_Data'!C295))</f>
        <v/>
      </c>
      <c r="D295" s="8">
        <f>PROPER(TRIM(CLEAN('01_Raw_Data'!D295)))</f>
        <v/>
      </c>
      <c r="E295" s="8">
        <f>ABS(IF(ISNUMBER(VALUE('01_Raw_Data'!F295)), VALUE('01_Raw_Data'!F295), 1))</f>
        <v/>
      </c>
      <c r="F295" s="9">
        <f>'01_Raw_Data'!G295</f>
        <v/>
      </c>
      <c r="G295" s="11">
        <f>IF(ISNUMBER('01_Raw_Data'!H295), '01_Raw_Data'!H295, IFERROR(VALUE(SUBSTITUTE('01_Raw_Data'!H295, "%", ""))/100, 0))</f>
        <v/>
      </c>
      <c r="H295" s="8">
        <f>PROPER(TRIM('01_Raw_Data'!J295))</f>
        <v/>
      </c>
      <c r="I295" s="8">
        <f>IF('01_Raw_Data'!K295="", "REG-NA", UPPER(TRIM('01_Raw_Data'!K295)))</f>
        <v/>
      </c>
      <c r="J295" s="8">
        <f>IF(OR('01_Raw_Data'!C295="", '01_Raw_Data'!F295&lt;0, ISNUMBER(SEARCH("%", '01_Raw_Data'!H295))), "FIXED ANOMALY", "PASSED")</f>
        <v/>
      </c>
      <c r="K295" s="8">
        <f>IF('01_Raw_Data'!F295&lt;0, "Converted Negative Quantity to ABS", IF('01_Raw_Data'!C295="", "Imputed Missing Customer ID", IF(ISNUMBER(SEARCH("%", '01_Raw_Data'!H295)), "Parsed Text % to Numeric Rate", "Standardized Format")))</f>
        <v/>
      </c>
    </row>
    <row r="296">
      <c r="A296" s="8">
        <f>'01_Raw_Data'!A296</f>
        <v/>
      </c>
      <c r="B296" s="10">
        <f>IFERROR(DATEVALUE('01_Raw_Data'!B296), IF('01_Raw_Data'!B296="", DATE(2024,1,1), '01_Raw_Data'!B296))</f>
        <v/>
      </c>
      <c r="C296" s="8">
        <f>IF(OR('01_Raw_Data'!C296="",'01_Raw_Data'!C296="0"), "CUST-GUEST", TRIM('01_Raw_Data'!C296))</f>
        <v/>
      </c>
      <c r="D296" s="8">
        <f>PROPER(TRIM(CLEAN('01_Raw_Data'!D296)))</f>
        <v/>
      </c>
      <c r="E296" s="8">
        <f>ABS(IF(ISNUMBER(VALUE('01_Raw_Data'!F296)), VALUE('01_Raw_Data'!F296), 1))</f>
        <v/>
      </c>
      <c r="F296" s="9">
        <f>'01_Raw_Data'!G296</f>
        <v/>
      </c>
      <c r="G296" s="11">
        <f>IF(ISNUMBER('01_Raw_Data'!H296), '01_Raw_Data'!H296, IFERROR(VALUE(SUBSTITUTE('01_Raw_Data'!H296, "%", ""))/100, 0))</f>
        <v/>
      </c>
      <c r="H296" s="8">
        <f>PROPER(TRIM('01_Raw_Data'!J296))</f>
        <v/>
      </c>
      <c r="I296" s="8">
        <f>IF('01_Raw_Data'!K296="", "REG-NA", UPPER(TRIM('01_Raw_Data'!K296)))</f>
        <v/>
      </c>
      <c r="J296" s="8">
        <f>IF(OR('01_Raw_Data'!C296="", '01_Raw_Data'!F296&lt;0, ISNUMBER(SEARCH("%", '01_Raw_Data'!H296))), "FIXED ANOMALY", "PASSED")</f>
        <v/>
      </c>
      <c r="K296" s="8">
        <f>IF('01_Raw_Data'!F296&lt;0, "Converted Negative Quantity to ABS", IF('01_Raw_Data'!C296="", "Imputed Missing Customer ID", IF(ISNUMBER(SEARCH("%", '01_Raw_Data'!H296)), "Parsed Text % to Numeric Rate", "Standardized Format")))</f>
        <v/>
      </c>
    </row>
    <row r="297">
      <c r="A297" s="8">
        <f>'01_Raw_Data'!A297</f>
        <v/>
      </c>
      <c r="B297" s="10">
        <f>IFERROR(DATEVALUE('01_Raw_Data'!B297), IF('01_Raw_Data'!B297="", DATE(2024,1,1), '01_Raw_Data'!B297))</f>
        <v/>
      </c>
      <c r="C297" s="8">
        <f>IF(OR('01_Raw_Data'!C297="",'01_Raw_Data'!C297="0"), "CUST-GUEST", TRIM('01_Raw_Data'!C297))</f>
        <v/>
      </c>
      <c r="D297" s="8">
        <f>PROPER(TRIM(CLEAN('01_Raw_Data'!D297)))</f>
        <v/>
      </c>
      <c r="E297" s="8">
        <f>ABS(IF(ISNUMBER(VALUE('01_Raw_Data'!F297)), VALUE('01_Raw_Data'!F297), 1))</f>
        <v/>
      </c>
      <c r="F297" s="9">
        <f>'01_Raw_Data'!G297</f>
        <v/>
      </c>
      <c r="G297" s="11">
        <f>IF(ISNUMBER('01_Raw_Data'!H297), '01_Raw_Data'!H297, IFERROR(VALUE(SUBSTITUTE('01_Raw_Data'!H297, "%", ""))/100, 0))</f>
        <v/>
      </c>
      <c r="H297" s="8">
        <f>PROPER(TRIM('01_Raw_Data'!J297))</f>
        <v/>
      </c>
      <c r="I297" s="8">
        <f>IF('01_Raw_Data'!K297="", "REG-NA", UPPER(TRIM('01_Raw_Data'!K297)))</f>
        <v/>
      </c>
      <c r="J297" s="8">
        <f>IF(OR('01_Raw_Data'!C297="", '01_Raw_Data'!F297&lt;0, ISNUMBER(SEARCH("%", '01_Raw_Data'!H297))), "FIXED ANOMALY", "PASSED")</f>
        <v/>
      </c>
      <c r="K297" s="8">
        <f>IF('01_Raw_Data'!F297&lt;0, "Converted Negative Quantity to ABS", IF('01_Raw_Data'!C297="", "Imputed Missing Customer ID", IF(ISNUMBER(SEARCH("%", '01_Raw_Data'!H297)), "Parsed Text % to Numeric Rate", "Standardized Format")))</f>
        <v/>
      </c>
    </row>
    <row r="298">
      <c r="A298" s="8">
        <f>'01_Raw_Data'!A298</f>
        <v/>
      </c>
      <c r="B298" s="10">
        <f>IFERROR(DATEVALUE('01_Raw_Data'!B298), IF('01_Raw_Data'!B298="", DATE(2024,1,1), '01_Raw_Data'!B298))</f>
        <v/>
      </c>
      <c r="C298" s="8">
        <f>IF(OR('01_Raw_Data'!C298="",'01_Raw_Data'!C298="0"), "CUST-GUEST", TRIM('01_Raw_Data'!C298))</f>
        <v/>
      </c>
      <c r="D298" s="8">
        <f>PROPER(TRIM(CLEAN('01_Raw_Data'!D298)))</f>
        <v/>
      </c>
      <c r="E298" s="8">
        <f>ABS(IF(ISNUMBER(VALUE('01_Raw_Data'!F298)), VALUE('01_Raw_Data'!F298), 1))</f>
        <v/>
      </c>
      <c r="F298" s="9">
        <f>'01_Raw_Data'!G298</f>
        <v/>
      </c>
      <c r="G298" s="11">
        <f>IF(ISNUMBER('01_Raw_Data'!H298), '01_Raw_Data'!H298, IFERROR(VALUE(SUBSTITUTE('01_Raw_Data'!H298, "%", ""))/100, 0))</f>
        <v/>
      </c>
      <c r="H298" s="8">
        <f>PROPER(TRIM('01_Raw_Data'!J298))</f>
        <v/>
      </c>
      <c r="I298" s="8">
        <f>IF('01_Raw_Data'!K298="", "REG-NA", UPPER(TRIM('01_Raw_Data'!K298)))</f>
        <v/>
      </c>
      <c r="J298" s="8">
        <f>IF(OR('01_Raw_Data'!C298="", '01_Raw_Data'!F298&lt;0, ISNUMBER(SEARCH("%", '01_Raw_Data'!H298))), "FIXED ANOMALY", "PASSED")</f>
        <v/>
      </c>
      <c r="K298" s="8">
        <f>IF('01_Raw_Data'!F298&lt;0, "Converted Negative Quantity to ABS", IF('01_Raw_Data'!C298="", "Imputed Missing Customer ID", IF(ISNUMBER(SEARCH("%", '01_Raw_Data'!H298)), "Parsed Text % to Numeric Rate", "Standardized Format")))</f>
        <v/>
      </c>
    </row>
    <row r="299">
      <c r="A299" s="8">
        <f>'01_Raw_Data'!A299</f>
        <v/>
      </c>
      <c r="B299" s="10">
        <f>IFERROR(DATEVALUE('01_Raw_Data'!B299), IF('01_Raw_Data'!B299="", DATE(2024,1,1), '01_Raw_Data'!B299))</f>
        <v/>
      </c>
      <c r="C299" s="8">
        <f>IF(OR('01_Raw_Data'!C299="",'01_Raw_Data'!C299="0"), "CUST-GUEST", TRIM('01_Raw_Data'!C299))</f>
        <v/>
      </c>
      <c r="D299" s="8">
        <f>PROPER(TRIM(CLEAN('01_Raw_Data'!D299)))</f>
        <v/>
      </c>
      <c r="E299" s="8">
        <f>ABS(IF(ISNUMBER(VALUE('01_Raw_Data'!F299)), VALUE('01_Raw_Data'!F299), 1))</f>
        <v/>
      </c>
      <c r="F299" s="9">
        <f>'01_Raw_Data'!G299</f>
        <v/>
      </c>
      <c r="G299" s="11">
        <f>IF(ISNUMBER('01_Raw_Data'!H299), '01_Raw_Data'!H299, IFERROR(VALUE(SUBSTITUTE('01_Raw_Data'!H299, "%", ""))/100, 0))</f>
        <v/>
      </c>
      <c r="H299" s="8">
        <f>PROPER(TRIM('01_Raw_Data'!J299))</f>
        <v/>
      </c>
      <c r="I299" s="8">
        <f>IF('01_Raw_Data'!K299="", "REG-NA", UPPER(TRIM('01_Raw_Data'!K299)))</f>
        <v/>
      </c>
      <c r="J299" s="8">
        <f>IF(OR('01_Raw_Data'!C299="", '01_Raw_Data'!F299&lt;0, ISNUMBER(SEARCH("%", '01_Raw_Data'!H299))), "FIXED ANOMALY", "PASSED")</f>
        <v/>
      </c>
      <c r="K299" s="8">
        <f>IF('01_Raw_Data'!F299&lt;0, "Converted Negative Quantity to ABS", IF('01_Raw_Data'!C299="", "Imputed Missing Customer ID", IF(ISNUMBER(SEARCH("%", '01_Raw_Data'!H299)), "Parsed Text % to Numeric Rate", "Standardized Format")))</f>
        <v/>
      </c>
    </row>
    <row r="300">
      <c r="A300" s="8">
        <f>'01_Raw_Data'!A300</f>
        <v/>
      </c>
      <c r="B300" s="10">
        <f>IFERROR(DATEVALUE('01_Raw_Data'!B300), IF('01_Raw_Data'!B300="", DATE(2024,1,1), '01_Raw_Data'!B300))</f>
        <v/>
      </c>
      <c r="C300" s="8">
        <f>IF(OR('01_Raw_Data'!C300="",'01_Raw_Data'!C300="0"), "CUST-GUEST", TRIM('01_Raw_Data'!C300))</f>
        <v/>
      </c>
      <c r="D300" s="8">
        <f>PROPER(TRIM(CLEAN('01_Raw_Data'!D300)))</f>
        <v/>
      </c>
      <c r="E300" s="8">
        <f>ABS(IF(ISNUMBER(VALUE('01_Raw_Data'!F300)), VALUE('01_Raw_Data'!F300), 1))</f>
        <v/>
      </c>
      <c r="F300" s="9">
        <f>'01_Raw_Data'!G300</f>
        <v/>
      </c>
      <c r="G300" s="11">
        <f>IF(ISNUMBER('01_Raw_Data'!H300), '01_Raw_Data'!H300, IFERROR(VALUE(SUBSTITUTE('01_Raw_Data'!H300, "%", ""))/100, 0))</f>
        <v/>
      </c>
      <c r="H300" s="8">
        <f>PROPER(TRIM('01_Raw_Data'!J300))</f>
        <v/>
      </c>
      <c r="I300" s="8">
        <f>IF('01_Raw_Data'!K300="", "REG-NA", UPPER(TRIM('01_Raw_Data'!K300)))</f>
        <v/>
      </c>
      <c r="J300" s="8">
        <f>IF(OR('01_Raw_Data'!C300="", '01_Raw_Data'!F300&lt;0, ISNUMBER(SEARCH("%", '01_Raw_Data'!H300))), "FIXED ANOMALY", "PASSED")</f>
        <v/>
      </c>
      <c r="K300" s="8">
        <f>IF('01_Raw_Data'!F300&lt;0, "Converted Negative Quantity to ABS", IF('01_Raw_Data'!C300="", "Imputed Missing Customer ID", IF(ISNUMBER(SEARCH("%", '01_Raw_Data'!H300)), "Parsed Text % to Numeric Rate", "Standardized Format")))</f>
        <v/>
      </c>
    </row>
    <row r="301">
      <c r="A301" s="8">
        <f>'01_Raw_Data'!A301</f>
        <v/>
      </c>
      <c r="B301" s="10">
        <f>IFERROR(DATEVALUE('01_Raw_Data'!B301), IF('01_Raw_Data'!B301="", DATE(2024,1,1), '01_Raw_Data'!B301))</f>
        <v/>
      </c>
      <c r="C301" s="8">
        <f>IF(OR('01_Raw_Data'!C301="",'01_Raw_Data'!C301="0"), "CUST-GUEST", TRIM('01_Raw_Data'!C301))</f>
        <v/>
      </c>
      <c r="D301" s="8">
        <f>PROPER(TRIM(CLEAN('01_Raw_Data'!D301)))</f>
        <v/>
      </c>
      <c r="E301" s="8">
        <f>ABS(IF(ISNUMBER(VALUE('01_Raw_Data'!F301)), VALUE('01_Raw_Data'!F301), 1))</f>
        <v/>
      </c>
      <c r="F301" s="9">
        <f>'01_Raw_Data'!G301</f>
        <v/>
      </c>
      <c r="G301" s="11">
        <f>IF(ISNUMBER('01_Raw_Data'!H301), '01_Raw_Data'!H301, IFERROR(VALUE(SUBSTITUTE('01_Raw_Data'!H301, "%", ""))/100, 0))</f>
        <v/>
      </c>
      <c r="H301" s="8">
        <f>PROPER(TRIM('01_Raw_Data'!J301))</f>
        <v/>
      </c>
      <c r="I301" s="8">
        <f>IF('01_Raw_Data'!K301="", "REG-NA", UPPER(TRIM('01_Raw_Data'!K301)))</f>
        <v/>
      </c>
      <c r="J301" s="8">
        <f>IF(OR('01_Raw_Data'!C301="", '01_Raw_Data'!F301&lt;0, ISNUMBER(SEARCH("%", '01_Raw_Data'!H301))), "FIXED ANOMALY", "PASSED")</f>
        <v/>
      </c>
      <c r="K301" s="8">
        <f>IF('01_Raw_Data'!F301&lt;0, "Converted Negative Quantity to ABS", IF('01_Raw_Data'!C301="", "Imputed Missing Customer ID", IF(ISNUMBER(SEARCH("%", '01_Raw_Data'!H301)), "Parsed Text % to Numeric Rate", "Standardized Format")))</f>
        <v/>
      </c>
    </row>
    <row r="302">
      <c r="A302" s="8">
        <f>'01_Raw_Data'!A302</f>
        <v/>
      </c>
      <c r="B302" s="10">
        <f>IFERROR(DATEVALUE('01_Raw_Data'!B302), IF('01_Raw_Data'!B302="", DATE(2024,1,1), '01_Raw_Data'!B302))</f>
        <v/>
      </c>
      <c r="C302" s="8">
        <f>IF(OR('01_Raw_Data'!C302="",'01_Raw_Data'!C302="0"), "CUST-GUEST", TRIM('01_Raw_Data'!C302))</f>
        <v/>
      </c>
      <c r="D302" s="8">
        <f>PROPER(TRIM(CLEAN('01_Raw_Data'!D302)))</f>
        <v/>
      </c>
      <c r="E302" s="8">
        <f>ABS(IF(ISNUMBER(VALUE('01_Raw_Data'!F302)), VALUE('01_Raw_Data'!F302), 1))</f>
        <v/>
      </c>
      <c r="F302" s="9">
        <f>'01_Raw_Data'!G302</f>
        <v/>
      </c>
      <c r="G302" s="11">
        <f>IF(ISNUMBER('01_Raw_Data'!H302), '01_Raw_Data'!H302, IFERROR(VALUE(SUBSTITUTE('01_Raw_Data'!H302, "%", ""))/100, 0))</f>
        <v/>
      </c>
      <c r="H302" s="8">
        <f>PROPER(TRIM('01_Raw_Data'!J302))</f>
        <v/>
      </c>
      <c r="I302" s="8">
        <f>IF('01_Raw_Data'!K302="", "REG-NA", UPPER(TRIM('01_Raw_Data'!K302)))</f>
        <v/>
      </c>
      <c r="J302" s="8">
        <f>IF(OR('01_Raw_Data'!C302="", '01_Raw_Data'!F302&lt;0, ISNUMBER(SEARCH("%", '01_Raw_Data'!H302))), "FIXED ANOMALY", "PASSED")</f>
        <v/>
      </c>
      <c r="K302" s="8">
        <f>IF('01_Raw_Data'!F302&lt;0, "Converted Negative Quantity to ABS", IF('01_Raw_Data'!C302="", "Imputed Missing Customer ID", IF(ISNUMBER(SEARCH("%", '01_Raw_Data'!H302)), "Parsed Text % to Numeric Rate", "Standardized Format")))</f>
        <v/>
      </c>
    </row>
    <row r="303">
      <c r="A303" s="8">
        <f>'01_Raw_Data'!A303</f>
        <v/>
      </c>
      <c r="B303" s="10">
        <f>IFERROR(DATEVALUE('01_Raw_Data'!B303), IF('01_Raw_Data'!B303="", DATE(2024,1,1), '01_Raw_Data'!B303))</f>
        <v/>
      </c>
      <c r="C303" s="8">
        <f>IF(OR('01_Raw_Data'!C303="",'01_Raw_Data'!C303="0"), "CUST-GUEST", TRIM('01_Raw_Data'!C303))</f>
        <v/>
      </c>
      <c r="D303" s="8">
        <f>PROPER(TRIM(CLEAN('01_Raw_Data'!D303)))</f>
        <v/>
      </c>
      <c r="E303" s="8">
        <f>ABS(IF(ISNUMBER(VALUE('01_Raw_Data'!F303)), VALUE('01_Raw_Data'!F303), 1))</f>
        <v/>
      </c>
      <c r="F303" s="9">
        <f>'01_Raw_Data'!G303</f>
        <v/>
      </c>
      <c r="G303" s="11">
        <f>IF(ISNUMBER('01_Raw_Data'!H303), '01_Raw_Data'!H303, IFERROR(VALUE(SUBSTITUTE('01_Raw_Data'!H303, "%", ""))/100, 0))</f>
        <v/>
      </c>
      <c r="H303" s="8">
        <f>PROPER(TRIM('01_Raw_Data'!J303))</f>
        <v/>
      </c>
      <c r="I303" s="8">
        <f>IF('01_Raw_Data'!K303="", "REG-NA", UPPER(TRIM('01_Raw_Data'!K303)))</f>
        <v/>
      </c>
      <c r="J303" s="8">
        <f>IF(OR('01_Raw_Data'!C303="", '01_Raw_Data'!F303&lt;0, ISNUMBER(SEARCH("%", '01_Raw_Data'!H303))), "FIXED ANOMALY", "PASSED")</f>
        <v/>
      </c>
      <c r="K303" s="8">
        <f>IF('01_Raw_Data'!F303&lt;0, "Converted Negative Quantity to ABS", IF('01_Raw_Data'!C303="", "Imputed Missing Customer ID", IF(ISNUMBER(SEARCH("%", '01_Raw_Data'!H303)), "Parsed Text % to Numeric Rate", "Standardized Format")))</f>
        <v/>
      </c>
    </row>
    <row r="304">
      <c r="A304" s="8">
        <f>'01_Raw_Data'!A304</f>
        <v/>
      </c>
      <c r="B304" s="10">
        <f>IFERROR(DATEVALUE('01_Raw_Data'!B304), IF('01_Raw_Data'!B304="", DATE(2024,1,1), '01_Raw_Data'!B304))</f>
        <v/>
      </c>
      <c r="C304" s="8">
        <f>IF(OR('01_Raw_Data'!C304="",'01_Raw_Data'!C304="0"), "CUST-GUEST", TRIM('01_Raw_Data'!C304))</f>
        <v/>
      </c>
      <c r="D304" s="8">
        <f>PROPER(TRIM(CLEAN('01_Raw_Data'!D304)))</f>
        <v/>
      </c>
      <c r="E304" s="8">
        <f>ABS(IF(ISNUMBER(VALUE('01_Raw_Data'!F304)), VALUE('01_Raw_Data'!F304), 1))</f>
        <v/>
      </c>
      <c r="F304" s="9">
        <f>'01_Raw_Data'!G304</f>
        <v/>
      </c>
      <c r="G304" s="11">
        <f>IF(ISNUMBER('01_Raw_Data'!H304), '01_Raw_Data'!H304, IFERROR(VALUE(SUBSTITUTE('01_Raw_Data'!H304, "%", ""))/100, 0))</f>
        <v/>
      </c>
      <c r="H304" s="8">
        <f>PROPER(TRIM('01_Raw_Data'!J304))</f>
        <v/>
      </c>
      <c r="I304" s="8">
        <f>IF('01_Raw_Data'!K304="", "REG-NA", UPPER(TRIM('01_Raw_Data'!K304)))</f>
        <v/>
      </c>
      <c r="J304" s="8">
        <f>IF(OR('01_Raw_Data'!C304="", '01_Raw_Data'!F304&lt;0, ISNUMBER(SEARCH("%", '01_Raw_Data'!H304))), "FIXED ANOMALY", "PASSED")</f>
        <v/>
      </c>
      <c r="K304" s="8">
        <f>IF('01_Raw_Data'!F304&lt;0, "Converted Negative Quantity to ABS", IF('01_Raw_Data'!C304="", "Imputed Missing Customer ID", IF(ISNUMBER(SEARCH("%", '01_Raw_Data'!H304)), "Parsed Text % to Numeric Rate", "Standardized Format")))</f>
        <v/>
      </c>
    </row>
    <row r="305">
      <c r="A305" s="8">
        <f>'01_Raw_Data'!A305</f>
        <v/>
      </c>
      <c r="B305" s="10">
        <f>IFERROR(DATEVALUE('01_Raw_Data'!B305), IF('01_Raw_Data'!B305="", DATE(2024,1,1), '01_Raw_Data'!B305))</f>
        <v/>
      </c>
      <c r="C305" s="8">
        <f>IF(OR('01_Raw_Data'!C305="",'01_Raw_Data'!C305="0"), "CUST-GUEST", TRIM('01_Raw_Data'!C305))</f>
        <v/>
      </c>
      <c r="D305" s="8">
        <f>PROPER(TRIM(CLEAN('01_Raw_Data'!D305)))</f>
        <v/>
      </c>
      <c r="E305" s="8">
        <f>ABS(IF(ISNUMBER(VALUE('01_Raw_Data'!F305)), VALUE('01_Raw_Data'!F305), 1))</f>
        <v/>
      </c>
      <c r="F305" s="9">
        <f>'01_Raw_Data'!G305</f>
        <v/>
      </c>
      <c r="G305" s="11">
        <f>IF(ISNUMBER('01_Raw_Data'!H305), '01_Raw_Data'!H305, IFERROR(VALUE(SUBSTITUTE('01_Raw_Data'!H305, "%", ""))/100, 0))</f>
        <v/>
      </c>
      <c r="H305" s="8">
        <f>PROPER(TRIM('01_Raw_Data'!J305))</f>
        <v/>
      </c>
      <c r="I305" s="8">
        <f>IF('01_Raw_Data'!K305="", "REG-NA", UPPER(TRIM('01_Raw_Data'!K305)))</f>
        <v/>
      </c>
      <c r="J305" s="8">
        <f>IF(OR('01_Raw_Data'!C305="", '01_Raw_Data'!F305&lt;0, ISNUMBER(SEARCH("%", '01_Raw_Data'!H305))), "FIXED ANOMALY", "PASSED")</f>
        <v/>
      </c>
      <c r="K305" s="8">
        <f>IF('01_Raw_Data'!F305&lt;0, "Converted Negative Quantity to ABS", IF('01_Raw_Data'!C305="", "Imputed Missing Customer ID", IF(ISNUMBER(SEARCH("%", '01_Raw_Data'!H305)), "Parsed Text % to Numeric Rate", "Standardized Format")))</f>
        <v/>
      </c>
    </row>
    <row r="306">
      <c r="A306" s="8">
        <f>'01_Raw_Data'!A306</f>
        <v/>
      </c>
      <c r="B306" s="10">
        <f>IFERROR(DATEVALUE('01_Raw_Data'!B306), IF('01_Raw_Data'!B306="", DATE(2024,1,1), '01_Raw_Data'!B306))</f>
        <v/>
      </c>
      <c r="C306" s="8">
        <f>IF(OR('01_Raw_Data'!C306="",'01_Raw_Data'!C306="0"), "CUST-GUEST", TRIM('01_Raw_Data'!C306))</f>
        <v/>
      </c>
      <c r="D306" s="8">
        <f>PROPER(TRIM(CLEAN('01_Raw_Data'!D306)))</f>
        <v/>
      </c>
      <c r="E306" s="8">
        <f>ABS(IF(ISNUMBER(VALUE('01_Raw_Data'!F306)), VALUE('01_Raw_Data'!F306), 1))</f>
        <v/>
      </c>
      <c r="F306" s="9">
        <f>'01_Raw_Data'!G306</f>
        <v/>
      </c>
      <c r="G306" s="11">
        <f>IF(ISNUMBER('01_Raw_Data'!H306), '01_Raw_Data'!H306, IFERROR(VALUE(SUBSTITUTE('01_Raw_Data'!H306, "%", ""))/100, 0))</f>
        <v/>
      </c>
      <c r="H306" s="8">
        <f>PROPER(TRIM('01_Raw_Data'!J306))</f>
        <v/>
      </c>
      <c r="I306" s="8">
        <f>IF('01_Raw_Data'!K306="", "REG-NA", UPPER(TRIM('01_Raw_Data'!K306)))</f>
        <v/>
      </c>
      <c r="J306" s="8">
        <f>IF(OR('01_Raw_Data'!C306="", '01_Raw_Data'!F306&lt;0, ISNUMBER(SEARCH("%", '01_Raw_Data'!H306))), "FIXED ANOMALY", "PASSED")</f>
        <v/>
      </c>
      <c r="K306" s="8">
        <f>IF('01_Raw_Data'!F306&lt;0, "Converted Negative Quantity to ABS", IF('01_Raw_Data'!C306="", "Imputed Missing Customer ID", IF(ISNUMBER(SEARCH("%", '01_Raw_Data'!H306)), "Parsed Text % to Numeric Rate", "Standardized Format")))</f>
        <v/>
      </c>
    </row>
    <row r="307">
      <c r="A307" s="8">
        <f>'01_Raw_Data'!A307</f>
        <v/>
      </c>
      <c r="B307" s="10">
        <f>IFERROR(DATEVALUE('01_Raw_Data'!B307), IF('01_Raw_Data'!B307="", DATE(2024,1,1), '01_Raw_Data'!B307))</f>
        <v/>
      </c>
      <c r="C307" s="8">
        <f>IF(OR('01_Raw_Data'!C307="",'01_Raw_Data'!C307="0"), "CUST-GUEST", TRIM('01_Raw_Data'!C307))</f>
        <v/>
      </c>
      <c r="D307" s="8">
        <f>PROPER(TRIM(CLEAN('01_Raw_Data'!D307)))</f>
        <v/>
      </c>
      <c r="E307" s="8">
        <f>ABS(IF(ISNUMBER(VALUE('01_Raw_Data'!F307)), VALUE('01_Raw_Data'!F307), 1))</f>
        <v/>
      </c>
      <c r="F307" s="9">
        <f>'01_Raw_Data'!G307</f>
        <v/>
      </c>
      <c r="G307" s="11">
        <f>IF(ISNUMBER('01_Raw_Data'!H307), '01_Raw_Data'!H307, IFERROR(VALUE(SUBSTITUTE('01_Raw_Data'!H307, "%", ""))/100, 0))</f>
        <v/>
      </c>
      <c r="H307" s="8">
        <f>PROPER(TRIM('01_Raw_Data'!J307))</f>
        <v/>
      </c>
      <c r="I307" s="8">
        <f>IF('01_Raw_Data'!K307="", "REG-NA", UPPER(TRIM('01_Raw_Data'!K307)))</f>
        <v/>
      </c>
      <c r="J307" s="8">
        <f>IF(OR('01_Raw_Data'!C307="", '01_Raw_Data'!F307&lt;0, ISNUMBER(SEARCH("%", '01_Raw_Data'!H307))), "FIXED ANOMALY", "PASSED")</f>
        <v/>
      </c>
      <c r="K307" s="8">
        <f>IF('01_Raw_Data'!F307&lt;0, "Converted Negative Quantity to ABS", IF('01_Raw_Data'!C307="", "Imputed Missing Customer ID", IF(ISNUMBER(SEARCH("%", '01_Raw_Data'!H307)), "Parsed Text % to Numeric Rate", "Standardized Format")))</f>
        <v/>
      </c>
    </row>
    <row r="308">
      <c r="A308" s="8">
        <f>'01_Raw_Data'!A308</f>
        <v/>
      </c>
      <c r="B308" s="10">
        <f>IFERROR(DATEVALUE('01_Raw_Data'!B308), IF('01_Raw_Data'!B308="", DATE(2024,1,1), '01_Raw_Data'!B308))</f>
        <v/>
      </c>
      <c r="C308" s="8">
        <f>IF(OR('01_Raw_Data'!C308="",'01_Raw_Data'!C308="0"), "CUST-GUEST", TRIM('01_Raw_Data'!C308))</f>
        <v/>
      </c>
      <c r="D308" s="8">
        <f>PROPER(TRIM(CLEAN('01_Raw_Data'!D308)))</f>
        <v/>
      </c>
      <c r="E308" s="8">
        <f>ABS(IF(ISNUMBER(VALUE('01_Raw_Data'!F308)), VALUE('01_Raw_Data'!F308), 1))</f>
        <v/>
      </c>
      <c r="F308" s="9">
        <f>'01_Raw_Data'!G308</f>
        <v/>
      </c>
      <c r="G308" s="11">
        <f>IF(ISNUMBER('01_Raw_Data'!H308), '01_Raw_Data'!H308, IFERROR(VALUE(SUBSTITUTE('01_Raw_Data'!H308, "%", ""))/100, 0))</f>
        <v/>
      </c>
      <c r="H308" s="8">
        <f>PROPER(TRIM('01_Raw_Data'!J308))</f>
        <v/>
      </c>
      <c r="I308" s="8">
        <f>IF('01_Raw_Data'!K308="", "REG-NA", UPPER(TRIM('01_Raw_Data'!K308)))</f>
        <v/>
      </c>
      <c r="J308" s="8">
        <f>IF(OR('01_Raw_Data'!C308="", '01_Raw_Data'!F308&lt;0, ISNUMBER(SEARCH("%", '01_Raw_Data'!H308))), "FIXED ANOMALY", "PASSED")</f>
        <v/>
      </c>
      <c r="K308" s="8">
        <f>IF('01_Raw_Data'!F308&lt;0, "Converted Negative Quantity to ABS", IF('01_Raw_Data'!C308="", "Imputed Missing Customer ID", IF(ISNUMBER(SEARCH("%", '01_Raw_Data'!H308)), "Parsed Text % to Numeric Rate", "Standardized Format")))</f>
        <v/>
      </c>
    </row>
    <row r="309">
      <c r="A309" s="8">
        <f>'01_Raw_Data'!A309</f>
        <v/>
      </c>
      <c r="B309" s="10">
        <f>IFERROR(DATEVALUE('01_Raw_Data'!B309), IF('01_Raw_Data'!B309="", DATE(2024,1,1), '01_Raw_Data'!B309))</f>
        <v/>
      </c>
      <c r="C309" s="8">
        <f>IF(OR('01_Raw_Data'!C309="",'01_Raw_Data'!C309="0"), "CUST-GUEST", TRIM('01_Raw_Data'!C309))</f>
        <v/>
      </c>
      <c r="D309" s="8">
        <f>PROPER(TRIM(CLEAN('01_Raw_Data'!D309)))</f>
        <v/>
      </c>
      <c r="E309" s="8">
        <f>ABS(IF(ISNUMBER(VALUE('01_Raw_Data'!F309)), VALUE('01_Raw_Data'!F309), 1))</f>
        <v/>
      </c>
      <c r="F309" s="9">
        <f>'01_Raw_Data'!G309</f>
        <v/>
      </c>
      <c r="G309" s="11">
        <f>IF(ISNUMBER('01_Raw_Data'!H309), '01_Raw_Data'!H309, IFERROR(VALUE(SUBSTITUTE('01_Raw_Data'!H309, "%", ""))/100, 0))</f>
        <v/>
      </c>
      <c r="H309" s="8">
        <f>PROPER(TRIM('01_Raw_Data'!J309))</f>
        <v/>
      </c>
      <c r="I309" s="8">
        <f>IF('01_Raw_Data'!K309="", "REG-NA", UPPER(TRIM('01_Raw_Data'!K309)))</f>
        <v/>
      </c>
      <c r="J309" s="8">
        <f>IF(OR('01_Raw_Data'!C309="", '01_Raw_Data'!F309&lt;0, ISNUMBER(SEARCH("%", '01_Raw_Data'!H309))), "FIXED ANOMALY", "PASSED")</f>
        <v/>
      </c>
      <c r="K309" s="8">
        <f>IF('01_Raw_Data'!F309&lt;0, "Converted Negative Quantity to ABS", IF('01_Raw_Data'!C309="", "Imputed Missing Customer ID", IF(ISNUMBER(SEARCH("%", '01_Raw_Data'!H309)), "Parsed Text % to Numeric Rate", "Standardized Format")))</f>
        <v/>
      </c>
    </row>
    <row r="310">
      <c r="A310" s="8">
        <f>'01_Raw_Data'!A310</f>
        <v/>
      </c>
      <c r="B310" s="10">
        <f>IFERROR(DATEVALUE('01_Raw_Data'!B310), IF('01_Raw_Data'!B310="", DATE(2024,1,1), '01_Raw_Data'!B310))</f>
        <v/>
      </c>
      <c r="C310" s="8">
        <f>IF(OR('01_Raw_Data'!C310="",'01_Raw_Data'!C310="0"), "CUST-GUEST", TRIM('01_Raw_Data'!C310))</f>
        <v/>
      </c>
      <c r="D310" s="8">
        <f>PROPER(TRIM(CLEAN('01_Raw_Data'!D310)))</f>
        <v/>
      </c>
      <c r="E310" s="8">
        <f>ABS(IF(ISNUMBER(VALUE('01_Raw_Data'!F310)), VALUE('01_Raw_Data'!F310), 1))</f>
        <v/>
      </c>
      <c r="F310" s="9">
        <f>'01_Raw_Data'!G310</f>
        <v/>
      </c>
      <c r="G310" s="11">
        <f>IF(ISNUMBER('01_Raw_Data'!H310), '01_Raw_Data'!H310, IFERROR(VALUE(SUBSTITUTE('01_Raw_Data'!H310, "%", ""))/100, 0))</f>
        <v/>
      </c>
      <c r="H310" s="8">
        <f>PROPER(TRIM('01_Raw_Data'!J310))</f>
        <v/>
      </c>
      <c r="I310" s="8">
        <f>IF('01_Raw_Data'!K310="", "REG-NA", UPPER(TRIM('01_Raw_Data'!K310)))</f>
        <v/>
      </c>
      <c r="J310" s="8">
        <f>IF(OR('01_Raw_Data'!C310="", '01_Raw_Data'!F310&lt;0, ISNUMBER(SEARCH("%", '01_Raw_Data'!H310))), "FIXED ANOMALY", "PASSED")</f>
        <v/>
      </c>
      <c r="K310" s="8">
        <f>IF('01_Raw_Data'!F310&lt;0, "Converted Negative Quantity to ABS", IF('01_Raw_Data'!C310="", "Imputed Missing Customer ID", IF(ISNUMBER(SEARCH("%", '01_Raw_Data'!H310)), "Parsed Text % to Numeric Rate", "Standardized Format")))</f>
        <v/>
      </c>
    </row>
    <row r="311">
      <c r="A311" s="8">
        <f>'01_Raw_Data'!A311</f>
        <v/>
      </c>
      <c r="B311" s="10">
        <f>IFERROR(DATEVALUE('01_Raw_Data'!B311), IF('01_Raw_Data'!B311="", DATE(2024,1,1), '01_Raw_Data'!B311))</f>
        <v/>
      </c>
      <c r="C311" s="8">
        <f>IF(OR('01_Raw_Data'!C311="",'01_Raw_Data'!C311="0"), "CUST-GUEST", TRIM('01_Raw_Data'!C311))</f>
        <v/>
      </c>
      <c r="D311" s="8">
        <f>PROPER(TRIM(CLEAN('01_Raw_Data'!D311)))</f>
        <v/>
      </c>
      <c r="E311" s="8">
        <f>ABS(IF(ISNUMBER(VALUE('01_Raw_Data'!F311)), VALUE('01_Raw_Data'!F311), 1))</f>
        <v/>
      </c>
      <c r="F311" s="9">
        <f>'01_Raw_Data'!G311</f>
        <v/>
      </c>
      <c r="G311" s="11">
        <f>IF(ISNUMBER('01_Raw_Data'!H311), '01_Raw_Data'!H311, IFERROR(VALUE(SUBSTITUTE('01_Raw_Data'!H311, "%", ""))/100, 0))</f>
        <v/>
      </c>
      <c r="H311" s="8">
        <f>PROPER(TRIM('01_Raw_Data'!J311))</f>
        <v/>
      </c>
      <c r="I311" s="8">
        <f>IF('01_Raw_Data'!K311="", "REG-NA", UPPER(TRIM('01_Raw_Data'!K311)))</f>
        <v/>
      </c>
      <c r="J311" s="8">
        <f>IF(OR('01_Raw_Data'!C311="", '01_Raw_Data'!F311&lt;0, ISNUMBER(SEARCH("%", '01_Raw_Data'!H311))), "FIXED ANOMALY", "PASSED")</f>
        <v/>
      </c>
      <c r="K311" s="8">
        <f>IF('01_Raw_Data'!F311&lt;0, "Converted Negative Quantity to ABS", IF('01_Raw_Data'!C311="", "Imputed Missing Customer ID", IF(ISNUMBER(SEARCH("%", '01_Raw_Data'!H311)), "Parsed Text % to Numeric Rate", "Standardized Format")))</f>
        <v/>
      </c>
    </row>
    <row r="312">
      <c r="A312" s="8">
        <f>'01_Raw_Data'!A312</f>
        <v/>
      </c>
      <c r="B312" s="10">
        <f>IFERROR(DATEVALUE('01_Raw_Data'!B312), IF('01_Raw_Data'!B312="", DATE(2024,1,1), '01_Raw_Data'!B312))</f>
        <v/>
      </c>
      <c r="C312" s="8">
        <f>IF(OR('01_Raw_Data'!C312="",'01_Raw_Data'!C312="0"), "CUST-GUEST", TRIM('01_Raw_Data'!C312))</f>
        <v/>
      </c>
      <c r="D312" s="8">
        <f>PROPER(TRIM(CLEAN('01_Raw_Data'!D312)))</f>
        <v/>
      </c>
      <c r="E312" s="8">
        <f>ABS(IF(ISNUMBER(VALUE('01_Raw_Data'!F312)), VALUE('01_Raw_Data'!F312), 1))</f>
        <v/>
      </c>
      <c r="F312" s="9">
        <f>'01_Raw_Data'!G312</f>
        <v/>
      </c>
      <c r="G312" s="11">
        <f>IF(ISNUMBER('01_Raw_Data'!H312), '01_Raw_Data'!H312, IFERROR(VALUE(SUBSTITUTE('01_Raw_Data'!H312, "%", ""))/100, 0))</f>
        <v/>
      </c>
      <c r="H312" s="8">
        <f>PROPER(TRIM('01_Raw_Data'!J312))</f>
        <v/>
      </c>
      <c r="I312" s="8">
        <f>IF('01_Raw_Data'!K312="", "REG-NA", UPPER(TRIM('01_Raw_Data'!K312)))</f>
        <v/>
      </c>
      <c r="J312" s="8">
        <f>IF(OR('01_Raw_Data'!C312="", '01_Raw_Data'!F312&lt;0, ISNUMBER(SEARCH("%", '01_Raw_Data'!H312))), "FIXED ANOMALY", "PASSED")</f>
        <v/>
      </c>
      <c r="K312" s="8">
        <f>IF('01_Raw_Data'!F312&lt;0, "Converted Negative Quantity to ABS", IF('01_Raw_Data'!C312="", "Imputed Missing Customer ID", IF(ISNUMBER(SEARCH("%", '01_Raw_Data'!H312)), "Parsed Text % to Numeric Rate", "Standardized Format")))</f>
        <v/>
      </c>
    </row>
    <row r="313">
      <c r="A313" s="8">
        <f>'01_Raw_Data'!A313</f>
        <v/>
      </c>
      <c r="B313" s="10">
        <f>IFERROR(DATEVALUE('01_Raw_Data'!B313), IF('01_Raw_Data'!B313="", DATE(2024,1,1), '01_Raw_Data'!B313))</f>
        <v/>
      </c>
      <c r="C313" s="8">
        <f>IF(OR('01_Raw_Data'!C313="",'01_Raw_Data'!C313="0"), "CUST-GUEST", TRIM('01_Raw_Data'!C313))</f>
        <v/>
      </c>
      <c r="D313" s="8">
        <f>PROPER(TRIM(CLEAN('01_Raw_Data'!D313)))</f>
        <v/>
      </c>
      <c r="E313" s="8">
        <f>ABS(IF(ISNUMBER(VALUE('01_Raw_Data'!F313)), VALUE('01_Raw_Data'!F313), 1))</f>
        <v/>
      </c>
      <c r="F313" s="9">
        <f>'01_Raw_Data'!G313</f>
        <v/>
      </c>
      <c r="G313" s="11">
        <f>IF(ISNUMBER('01_Raw_Data'!H313), '01_Raw_Data'!H313, IFERROR(VALUE(SUBSTITUTE('01_Raw_Data'!H313, "%", ""))/100, 0))</f>
        <v/>
      </c>
      <c r="H313" s="8">
        <f>PROPER(TRIM('01_Raw_Data'!J313))</f>
        <v/>
      </c>
      <c r="I313" s="8">
        <f>IF('01_Raw_Data'!K313="", "REG-NA", UPPER(TRIM('01_Raw_Data'!K313)))</f>
        <v/>
      </c>
      <c r="J313" s="8">
        <f>IF(OR('01_Raw_Data'!C313="", '01_Raw_Data'!F313&lt;0, ISNUMBER(SEARCH("%", '01_Raw_Data'!H313))), "FIXED ANOMALY", "PASSED")</f>
        <v/>
      </c>
      <c r="K313" s="8">
        <f>IF('01_Raw_Data'!F313&lt;0, "Converted Negative Quantity to ABS", IF('01_Raw_Data'!C313="", "Imputed Missing Customer ID", IF(ISNUMBER(SEARCH("%", '01_Raw_Data'!H313)), "Parsed Text % to Numeric Rate", "Standardized Format")))</f>
        <v/>
      </c>
    </row>
    <row r="314">
      <c r="A314" s="8">
        <f>'01_Raw_Data'!A314</f>
        <v/>
      </c>
      <c r="B314" s="10">
        <f>IFERROR(DATEVALUE('01_Raw_Data'!B314), IF('01_Raw_Data'!B314="", DATE(2024,1,1), '01_Raw_Data'!B314))</f>
        <v/>
      </c>
      <c r="C314" s="8">
        <f>IF(OR('01_Raw_Data'!C314="",'01_Raw_Data'!C314="0"), "CUST-GUEST", TRIM('01_Raw_Data'!C314))</f>
        <v/>
      </c>
      <c r="D314" s="8">
        <f>PROPER(TRIM(CLEAN('01_Raw_Data'!D314)))</f>
        <v/>
      </c>
      <c r="E314" s="8">
        <f>ABS(IF(ISNUMBER(VALUE('01_Raw_Data'!F314)), VALUE('01_Raw_Data'!F314), 1))</f>
        <v/>
      </c>
      <c r="F314" s="9">
        <f>'01_Raw_Data'!G314</f>
        <v/>
      </c>
      <c r="G314" s="11">
        <f>IF(ISNUMBER('01_Raw_Data'!H314), '01_Raw_Data'!H314, IFERROR(VALUE(SUBSTITUTE('01_Raw_Data'!H314, "%", ""))/100, 0))</f>
        <v/>
      </c>
      <c r="H314" s="8">
        <f>PROPER(TRIM('01_Raw_Data'!J314))</f>
        <v/>
      </c>
      <c r="I314" s="8">
        <f>IF('01_Raw_Data'!K314="", "REG-NA", UPPER(TRIM('01_Raw_Data'!K314)))</f>
        <v/>
      </c>
      <c r="J314" s="8">
        <f>IF(OR('01_Raw_Data'!C314="", '01_Raw_Data'!F314&lt;0, ISNUMBER(SEARCH("%", '01_Raw_Data'!H314))), "FIXED ANOMALY", "PASSED")</f>
        <v/>
      </c>
      <c r="K314" s="8">
        <f>IF('01_Raw_Data'!F314&lt;0, "Converted Negative Quantity to ABS", IF('01_Raw_Data'!C314="", "Imputed Missing Customer ID", IF(ISNUMBER(SEARCH("%", '01_Raw_Data'!H314)), "Parsed Text % to Numeric Rate", "Standardized Format")))</f>
        <v/>
      </c>
    </row>
    <row r="315">
      <c r="A315" s="8">
        <f>'01_Raw_Data'!A315</f>
        <v/>
      </c>
      <c r="B315" s="10">
        <f>IFERROR(DATEVALUE('01_Raw_Data'!B315), IF('01_Raw_Data'!B315="", DATE(2024,1,1), '01_Raw_Data'!B315))</f>
        <v/>
      </c>
      <c r="C315" s="8">
        <f>IF(OR('01_Raw_Data'!C315="",'01_Raw_Data'!C315="0"), "CUST-GUEST", TRIM('01_Raw_Data'!C315))</f>
        <v/>
      </c>
      <c r="D315" s="8">
        <f>PROPER(TRIM(CLEAN('01_Raw_Data'!D315)))</f>
        <v/>
      </c>
      <c r="E315" s="8">
        <f>ABS(IF(ISNUMBER(VALUE('01_Raw_Data'!F315)), VALUE('01_Raw_Data'!F315), 1))</f>
        <v/>
      </c>
      <c r="F315" s="9">
        <f>'01_Raw_Data'!G315</f>
        <v/>
      </c>
      <c r="G315" s="11">
        <f>IF(ISNUMBER('01_Raw_Data'!H315), '01_Raw_Data'!H315, IFERROR(VALUE(SUBSTITUTE('01_Raw_Data'!H315, "%", ""))/100, 0))</f>
        <v/>
      </c>
      <c r="H315" s="8">
        <f>PROPER(TRIM('01_Raw_Data'!J315))</f>
        <v/>
      </c>
      <c r="I315" s="8">
        <f>IF('01_Raw_Data'!K315="", "REG-NA", UPPER(TRIM('01_Raw_Data'!K315)))</f>
        <v/>
      </c>
      <c r="J315" s="8">
        <f>IF(OR('01_Raw_Data'!C315="", '01_Raw_Data'!F315&lt;0, ISNUMBER(SEARCH("%", '01_Raw_Data'!H315))), "FIXED ANOMALY", "PASSED")</f>
        <v/>
      </c>
      <c r="K315" s="8">
        <f>IF('01_Raw_Data'!F315&lt;0, "Converted Negative Quantity to ABS", IF('01_Raw_Data'!C315="", "Imputed Missing Customer ID", IF(ISNUMBER(SEARCH("%", '01_Raw_Data'!H315)), "Parsed Text % to Numeric Rate", "Standardized Format")))</f>
        <v/>
      </c>
    </row>
    <row r="316">
      <c r="A316" s="8">
        <f>'01_Raw_Data'!A316</f>
        <v/>
      </c>
      <c r="B316" s="10">
        <f>IFERROR(DATEVALUE('01_Raw_Data'!B316), IF('01_Raw_Data'!B316="", DATE(2024,1,1), '01_Raw_Data'!B316))</f>
        <v/>
      </c>
      <c r="C316" s="8">
        <f>IF(OR('01_Raw_Data'!C316="",'01_Raw_Data'!C316="0"), "CUST-GUEST", TRIM('01_Raw_Data'!C316))</f>
        <v/>
      </c>
      <c r="D316" s="8">
        <f>PROPER(TRIM(CLEAN('01_Raw_Data'!D316)))</f>
        <v/>
      </c>
      <c r="E316" s="8">
        <f>ABS(IF(ISNUMBER(VALUE('01_Raw_Data'!F316)), VALUE('01_Raw_Data'!F316), 1))</f>
        <v/>
      </c>
      <c r="F316" s="9">
        <f>'01_Raw_Data'!G316</f>
        <v/>
      </c>
      <c r="G316" s="11">
        <f>IF(ISNUMBER('01_Raw_Data'!H316), '01_Raw_Data'!H316, IFERROR(VALUE(SUBSTITUTE('01_Raw_Data'!H316, "%", ""))/100, 0))</f>
        <v/>
      </c>
      <c r="H316" s="8">
        <f>PROPER(TRIM('01_Raw_Data'!J316))</f>
        <v/>
      </c>
      <c r="I316" s="8">
        <f>IF('01_Raw_Data'!K316="", "REG-NA", UPPER(TRIM('01_Raw_Data'!K316)))</f>
        <v/>
      </c>
      <c r="J316" s="8">
        <f>IF(OR('01_Raw_Data'!C316="", '01_Raw_Data'!F316&lt;0, ISNUMBER(SEARCH("%", '01_Raw_Data'!H316))), "FIXED ANOMALY", "PASSED")</f>
        <v/>
      </c>
      <c r="K316" s="8">
        <f>IF('01_Raw_Data'!F316&lt;0, "Converted Negative Quantity to ABS", IF('01_Raw_Data'!C316="", "Imputed Missing Customer ID", IF(ISNUMBER(SEARCH("%", '01_Raw_Data'!H316)), "Parsed Text % to Numeric Rate", "Standardized Format")))</f>
        <v/>
      </c>
    </row>
    <row r="317">
      <c r="A317" s="8">
        <f>'01_Raw_Data'!A317</f>
        <v/>
      </c>
      <c r="B317" s="10">
        <f>IFERROR(DATEVALUE('01_Raw_Data'!B317), IF('01_Raw_Data'!B317="", DATE(2024,1,1), '01_Raw_Data'!B317))</f>
        <v/>
      </c>
      <c r="C317" s="8">
        <f>IF(OR('01_Raw_Data'!C317="",'01_Raw_Data'!C317="0"), "CUST-GUEST", TRIM('01_Raw_Data'!C317))</f>
        <v/>
      </c>
      <c r="D317" s="8">
        <f>PROPER(TRIM(CLEAN('01_Raw_Data'!D317)))</f>
        <v/>
      </c>
      <c r="E317" s="8">
        <f>ABS(IF(ISNUMBER(VALUE('01_Raw_Data'!F317)), VALUE('01_Raw_Data'!F317), 1))</f>
        <v/>
      </c>
      <c r="F317" s="9">
        <f>'01_Raw_Data'!G317</f>
        <v/>
      </c>
      <c r="G317" s="11">
        <f>IF(ISNUMBER('01_Raw_Data'!H317), '01_Raw_Data'!H317, IFERROR(VALUE(SUBSTITUTE('01_Raw_Data'!H317, "%", ""))/100, 0))</f>
        <v/>
      </c>
      <c r="H317" s="8">
        <f>PROPER(TRIM('01_Raw_Data'!J317))</f>
        <v/>
      </c>
      <c r="I317" s="8">
        <f>IF('01_Raw_Data'!K317="", "REG-NA", UPPER(TRIM('01_Raw_Data'!K317)))</f>
        <v/>
      </c>
      <c r="J317" s="8">
        <f>IF(OR('01_Raw_Data'!C317="", '01_Raw_Data'!F317&lt;0, ISNUMBER(SEARCH("%", '01_Raw_Data'!H317))), "FIXED ANOMALY", "PASSED")</f>
        <v/>
      </c>
      <c r="K317" s="8">
        <f>IF('01_Raw_Data'!F317&lt;0, "Converted Negative Quantity to ABS", IF('01_Raw_Data'!C317="", "Imputed Missing Customer ID", IF(ISNUMBER(SEARCH("%", '01_Raw_Data'!H317)), "Parsed Text % to Numeric Rate", "Standardized Format")))</f>
        <v/>
      </c>
    </row>
    <row r="318">
      <c r="A318" s="8">
        <f>'01_Raw_Data'!A318</f>
        <v/>
      </c>
      <c r="B318" s="10">
        <f>IFERROR(DATEVALUE('01_Raw_Data'!B318), IF('01_Raw_Data'!B318="", DATE(2024,1,1), '01_Raw_Data'!B318))</f>
        <v/>
      </c>
      <c r="C318" s="8">
        <f>IF(OR('01_Raw_Data'!C318="",'01_Raw_Data'!C318="0"), "CUST-GUEST", TRIM('01_Raw_Data'!C318))</f>
        <v/>
      </c>
      <c r="D318" s="8">
        <f>PROPER(TRIM(CLEAN('01_Raw_Data'!D318)))</f>
        <v/>
      </c>
      <c r="E318" s="8">
        <f>ABS(IF(ISNUMBER(VALUE('01_Raw_Data'!F318)), VALUE('01_Raw_Data'!F318), 1))</f>
        <v/>
      </c>
      <c r="F318" s="9">
        <f>'01_Raw_Data'!G318</f>
        <v/>
      </c>
      <c r="G318" s="11">
        <f>IF(ISNUMBER('01_Raw_Data'!H318), '01_Raw_Data'!H318, IFERROR(VALUE(SUBSTITUTE('01_Raw_Data'!H318, "%", ""))/100, 0))</f>
        <v/>
      </c>
      <c r="H318" s="8">
        <f>PROPER(TRIM('01_Raw_Data'!J318))</f>
        <v/>
      </c>
      <c r="I318" s="8">
        <f>IF('01_Raw_Data'!K318="", "REG-NA", UPPER(TRIM('01_Raw_Data'!K318)))</f>
        <v/>
      </c>
      <c r="J318" s="8">
        <f>IF(OR('01_Raw_Data'!C318="", '01_Raw_Data'!F318&lt;0, ISNUMBER(SEARCH("%", '01_Raw_Data'!H318))), "FIXED ANOMALY", "PASSED")</f>
        <v/>
      </c>
      <c r="K318" s="8">
        <f>IF('01_Raw_Data'!F318&lt;0, "Converted Negative Quantity to ABS", IF('01_Raw_Data'!C318="", "Imputed Missing Customer ID", IF(ISNUMBER(SEARCH("%", '01_Raw_Data'!H318)), "Parsed Text % to Numeric Rate", "Standardized Format")))</f>
        <v/>
      </c>
    </row>
    <row r="319">
      <c r="A319" s="8">
        <f>'01_Raw_Data'!A319</f>
        <v/>
      </c>
      <c r="B319" s="10">
        <f>IFERROR(DATEVALUE('01_Raw_Data'!B319), IF('01_Raw_Data'!B319="", DATE(2024,1,1), '01_Raw_Data'!B319))</f>
        <v/>
      </c>
      <c r="C319" s="8">
        <f>IF(OR('01_Raw_Data'!C319="",'01_Raw_Data'!C319="0"), "CUST-GUEST", TRIM('01_Raw_Data'!C319))</f>
        <v/>
      </c>
      <c r="D319" s="8">
        <f>PROPER(TRIM(CLEAN('01_Raw_Data'!D319)))</f>
        <v/>
      </c>
      <c r="E319" s="8">
        <f>ABS(IF(ISNUMBER(VALUE('01_Raw_Data'!F319)), VALUE('01_Raw_Data'!F319), 1))</f>
        <v/>
      </c>
      <c r="F319" s="9">
        <f>'01_Raw_Data'!G319</f>
        <v/>
      </c>
      <c r="G319" s="11">
        <f>IF(ISNUMBER('01_Raw_Data'!H319), '01_Raw_Data'!H319, IFERROR(VALUE(SUBSTITUTE('01_Raw_Data'!H319, "%", ""))/100, 0))</f>
        <v/>
      </c>
      <c r="H319" s="8">
        <f>PROPER(TRIM('01_Raw_Data'!J319))</f>
        <v/>
      </c>
      <c r="I319" s="8">
        <f>IF('01_Raw_Data'!K319="", "REG-NA", UPPER(TRIM('01_Raw_Data'!K319)))</f>
        <v/>
      </c>
      <c r="J319" s="8">
        <f>IF(OR('01_Raw_Data'!C319="", '01_Raw_Data'!F319&lt;0, ISNUMBER(SEARCH("%", '01_Raw_Data'!H319))), "FIXED ANOMALY", "PASSED")</f>
        <v/>
      </c>
      <c r="K319" s="8">
        <f>IF('01_Raw_Data'!F319&lt;0, "Converted Negative Quantity to ABS", IF('01_Raw_Data'!C319="", "Imputed Missing Customer ID", IF(ISNUMBER(SEARCH("%", '01_Raw_Data'!H319)), "Parsed Text % to Numeric Rate", "Standardized Format")))</f>
        <v/>
      </c>
    </row>
    <row r="320">
      <c r="A320" s="8">
        <f>'01_Raw_Data'!A320</f>
        <v/>
      </c>
      <c r="B320" s="10">
        <f>IFERROR(DATEVALUE('01_Raw_Data'!B320), IF('01_Raw_Data'!B320="", DATE(2024,1,1), '01_Raw_Data'!B320))</f>
        <v/>
      </c>
      <c r="C320" s="8">
        <f>IF(OR('01_Raw_Data'!C320="",'01_Raw_Data'!C320="0"), "CUST-GUEST", TRIM('01_Raw_Data'!C320))</f>
        <v/>
      </c>
      <c r="D320" s="8">
        <f>PROPER(TRIM(CLEAN('01_Raw_Data'!D320)))</f>
        <v/>
      </c>
      <c r="E320" s="8">
        <f>ABS(IF(ISNUMBER(VALUE('01_Raw_Data'!F320)), VALUE('01_Raw_Data'!F320), 1))</f>
        <v/>
      </c>
      <c r="F320" s="9">
        <f>'01_Raw_Data'!G320</f>
        <v/>
      </c>
      <c r="G320" s="11">
        <f>IF(ISNUMBER('01_Raw_Data'!H320), '01_Raw_Data'!H320, IFERROR(VALUE(SUBSTITUTE('01_Raw_Data'!H320, "%", ""))/100, 0))</f>
        <v/>
      </c>
      <c r="H320" s="8">
        <f>PROPER(TRIM('01_Raw_Data'!J320))</f>
        <v/>
      </c>
      <c r="I320" s="8">
        <f>IF('01_Raw_Data'!K320="", "REG-NA", UPPER(TRIM('01_Raw_Data'!K320)))</f>
        <v/>
      </c>
      <c r="J320" s="8">
        <f>IF(OR('01_Raw_Data'!C320="", '01_Raw_Data'!F320&lt;0, ISNUMBER(SEARCH("%", '01_Raw_Data'!H320))), "FIXED ANOMALY", "PASSED")</f>
        <v/>
      </c>
      <c r="K320" s="8">
        <f>IF('01_Raw_Data'!F320&lt;0, "Converted Negative Quantity to ABS", IF('01_Raw_Data'!C320="", "Imputed Missing Customer ID", IF(ISNUMBER(SEARCH("%", '01_Raw_Data'!H320)), "Parsed Text % to Numeric Rate", "Standardized Format")))</f>
        <v/>
      </c>
    </row>
    <row r="321">
      <c r="A321" s="8">
        <f>'01_Raw_Data'!A321</f>
        <v/>
      </c>
      <c r="B321" s="10">
        <f>IFERROR(DATEVALUE('01_Raw_Data'!B321), IF('01_Raw_Data'!B321="", DATE(2024,1,1), '01_Raw_Data'!B321))</f>
        <v/>
      </c>
      <c r="C321" s="8">
        <f>IF(OR('01_Raw_Data'!C321="",'01_Raw_Data'!C321="0"), "CUST-GUEST", TRIM('01_Raw_Data'!C321))</f>
        <v/>
      </c>
      <c r="D321" s="8">
        <f>PROPER(TRIM(CLEAN('01_Raw_Data'!D321)))</f>
        <v/>
      </c>
      <c r="E321" s="8">
        <f>ABS(IF(ISNUMBER(VALUE('01_Raw_Data'!F321)), VALUE('01_Raw_Data'!F321), 1))</f>
        <v/>
      </c>
      <c r="F321" s="9">
        <f>'01_Raw_Data'!G321</f>
        <v/>
      </c>
      <c r="G321" s="11">
        <f>IF(ISNUMBER('01_Raw_Data'!H321), '01_Raw_Data'!H321, IFERROR(VALUE(SUBSTITUTE('01_Raw_Data'!H321, "%", ""))/100, 0))</f>
        <v/>
      </c>
      <c r="H321" s="8">
        <f>PROPER(TRIM('01_Raw_Data'!J321))</f>
        <v/>
      </c>
      <c r="I321" s="8">
        <f>IF('01_Raw_Data'!K321="", "REG-NA", UPPER(TRIM('01_Raw_Data'!K321)))</f>
        <v/>
      </c>
      <c r="J321" s="8">
        <f>IF(OR('01_Raw_Data'!C321="", '01_Raw_Data'!F321&lt;0, ISNUMBER(SEARCH("%", '01_Raw_Data'!H321))), "FIXED ANOMALY", "PASSED")</f>
        <v/>
      </c>
      <c r="K321" s="8">
        <f>IF('01_Raw_Data'!F321&lt;0, "Converted Negative Quantity to ABS", IF('01_Raw_Data'!C321="", "Imputed Missing Customer ID", IF(ISNUMBER(SEARCH("%", '01_Raw_Data'!H321)), "Parsed Text % to Numeric Rate", "Standardized Format")))</f>
        <v/>
      </c>
    </row>
    <row r="322">
      <c r="A322" s="8">
        <f>'01_Raw_Data'!A322</f>
        <v/>
      </c>
      <c r="B322" s="10">
        <f>IFERROR(DATEVALUE('01_Raw_Data'!B322), IF('01_Raw_Data'!B322="", DATE(2024,1,1), '01_Raw_Data'!B322))</f>
        <v/>
      </c>
      <c r="C322" s="8">
        <f>IF(OR('01_Raw_Data'!C322="",'01_Raw_Data'!C322="0"), "CUST-GUEST", TRIM('01_Raw_Data'!C322))</f>
        <v/>
      </c>
      <c r="D322" s="8">
        <f>PROPER(TRIM(CLEAN('01_Raw_Data'!D322)))</f>
        <v/>
      </c>
      <c r="E322" s="8">
        <f>ABS(IF(ISNUMBER(VALUE('01_Raw_Data'!F322)), VALUE('01_Raw_Data'!F322), 1))</f>
        <v/>
      </c>
      <c r="F322" s="9">
        <f>'01_Raw_Data'!G322</f>
        <v/>
      </c>
      <c r="G322" s="11">
        <f>IF(ISNUMBER('01_Raw_Data'!H322), '01_Raw_Data'!H322, IFERROR(VALUE(SUBSTITUTE('01_Raw_Data'!H322, "%", ""))/100, 0))</f>
        <v/>
      </c>
      <c r="H322" s="8">
        <f>PROPER(TRIM('01_Raw_Data'!J322))</f>
        <v/>
      </c>
      <c r="I322" s="8">
        <f>IF('01_Raw_Data'!K322="", "REG-NA", UPPER(TRIM('01_Raw_Data'!K322)))</f>
        <v/>
      </c>
      <c r="J322" s="8">
        <f>IF(OR('01_Raw_Data'!C322="", '01_Raw_Data'!F322&lt;0, ISNUMBER(SEARCH("%", '01_Raw_Data'!H322))), "FIXED ANOMALY", "PASSED")</f>
        <v/>
      </c>
      <c r="K322" s="8">
        <f>IF('01_Raw_Data'!F322&lt;0, "Converted Negative Quantity to ABS", IF('01_Raw_Data'!C322="", "Imputed Missing Customer ID", IF(ISNUMBER(SEARCH("%", '01_Raw_Data'!H322)), "Parsed Text % to Numeric Rate", "Standardized Format")))</f>
        <v/>
      </c>
    </row>
    <row r="323">
      <c r="A323" s="8">
        <f>'01_Raw_Data'!A323</f>
        <v/>
      </c>
      <c r="B323" s="10">
        <f>IFERROR(DATEVALUE('01_Raw_Data'!B323), IF('01_Raw_Data'!B323="", DATE(2024,1,1), '01_Raw_Data'!B323))</f>
        <v/>
      </c>
      <c r="C323" s="8">
        <f>IF(OR('01_Raw_Data'!C323="",'01_Raw_Data'!C323="0"), "CUST-GUEST", TRIM('01_Raw_Data'!C323))</f>
        <v/>
      </c>
      <c r="D323" s="8">
        <f>PROPER(TRIM(CLEAN('01_Raw_Data'!D323)))</f>
        <v/>
      </c>
      <c r="E323" s="8">
        <f>ABS(IF(ISNUMBER(VALUE('01_Raw_Data'!F323)), VALUE('01_Raw_Data'!F323), 1))</f>
        <v/>
      </c>
      <c r="F323" s="9">
        <f>'01_Raw_Data'!G323</f>
        <v/>
      </c>
      <c r="G323" s="11">
        <f>IF(ISNUMBER('01_Raw_Data'!H323), '01_Raw_Data'!H323, IFERROR(VALUE(SUBSTITUTE('01_Raw_Data'!H323, "%", ""))/100, 0))</f>
        <v/>
      </c>
      <c r="H323" s="8">
        <f>PROPER(TRIM('01_Raw_Data'!J323))</f>
        <v/>
      </c>
      <c r="I323" s="8">
        <f>IF('01_Raw_Data'!K323="", "REG-NA", UPPER(TRIM('01_Raw_Data'!K323)))</f>
        <v/>
      </c>
      <c r="J323" s="8">
        <f>IF(OR('01_Raw_Data'!C323="", '01_Raw_Data'!F323&lt;0, ISNUMBER(SEARCH("%", '01_Raw_Data'!H323))), "FIXED ANOMALY", "PASSED")</f>
        <v/>
      </c>
      <c r="K323" s="8">
        <f>IF('01_Raw_Data'!F323&lt;0, "Converted Negative Quantity to ABS", IF('01_Raw_Data'!C323="", "Imputed Missing Customer ID", IF(ISNUMBER(SEARCH("%", '01_Raw_Data'!H323)), "Parsed Text % to Numeric Rate", "Standardized Format")))</f>
        <v/>
      </c>
    </row>
    <row r="324">
      <c r="A324" s="8">
        <f>'01_Raw_Data'!A324</f>
        <v/>
      </c>
      <c r="B324" s="10">
        <f>IFERROR(DATEVALUE('01_Raw_Data'!B324), IF('01_Raw_Data'!B324="", DATE(2024,1,1), '01_Raw_Data'!B324))</f>
        <v/>
      </c>
      <c r="C324" s="8">
        <f>IF(OR('01_Raw_Data'!C324="",'01_Raw_Data'!C324="0"), "CUST-GUEST", TRIM('01_Raw_Data'!C324))</f>
        <v/>
      </c>
      <c r="D324" s="8">
        <f>PROPER(TRIM(CLEAN('01_Raw_Data'!D324)))</f>
        <v/>
      </c>
      <c r="E324" s="8">
        <f>ABS(IF(ISNUMBER(VALUE('01_Raw_Data'!F324)), VALUE('01_Raw_Data'!F324), 1))</f>
        <v/>
      </c>
      <c r="F324" s="9">
        <f>'01_Raw_Data'!G324</f>
        <v/>
      </c>
      <c r="G324" s="11">
        <f>IF(ISNUMBER('01_Raw_Data'!H324), '01_Raw_Data'!H324, IFERROR(VALUE(SUBSTITUTE('01_Raw_Data'!H324, "%", ""))/100, 0))</f>
        <v/>
      </c>
      <c r="H324" s="8">
        <f>PROPER(TRIM('01_Raw_Data'!J324))</f>
        <v/>
      </c>
      <c r="I324" s="8">
        <f>IF('01_Raw_Data'!K324="", "REG-NA", UPPER(TRIM('01_Raw_Data'!K324)))</f>
        <v/>
      </c>
      <c r="J324" s="8">
        <f>IF(OR('01_Raw_Data'!C324="", '01_Raw_Data'!F324&lt;0, ISNUMBER(SEARCH("%", '01_Raw_Data'!H324))), "FIXED ANOMALY", "PASSED")</f>
        <v/>
      </c>
      <c r="K324" s="8">
        <f>IF('01_Raw_Data'!F324&lt;0, "Converted Negative Quantity to ABS", IF('01_Raw_Data'!C324="", "Imputed Missing Customer ID", IF(ISNUMBER(SEARCH("%", '01_Raw_Data'!H324)), "Parsed Text % to Numeric Rate", "Standardized Format")))</f>
        <v/>
      </c>
    </row>
    <row r="325">
      <c r="A325" s="8">
        <f>'01_Raw_Data'!A325</f>
        <v/>
      </c>
      <c r="B325" s="10">
        <f>IFERROR(DATEVALUE('01_Raw_Data'!B325), IF('01_Raw_Data'!B325="", DATE(2024,1,1), '01_Raw_Data'!B325))</f>
        <v/>
      </c>
      <c r="C325" s="8">
        <f>IF(OR('01_Raw_Data'!C325="",'01_Raw_Data'!C325="0"), "CUST-GUEST", TRIM('01_Raw_Data'!C325))</f>
        <v/>
      </c>
      <c r="D325" s="8">
        <f>PROPER(TRIM(CLEAN('01_Raw_Data'!D325)))</f>
        <v/>
      </c>
      <c r="E325" s="8">
        <f>ABS(IF(ISNUMBER(VALUE('01_Raw_Data'!F325)), VALUE('01_Raw_Data'!F325), 1))</f>
        <v/>
      </c>
      <c r="F325" s="9">
        <f>'01_Raw_Data'!G325</f>
        <v/>
      </c>
      <c r="G325" s="11">
        <f>IF(ISNUMBER('01_Raw_Data'!H325), '01_Raw_Data'!H325, IFERROR(VALUE(SUBSTITUTE('01_Raw_Data'!H325, "%", ""))/100, 0))</f>
        <v/>
      </c>
      <c r="H325" s="8">
        <f>PROPER(TRIM('01_Raw_Data'!J325))</f>
        <v/>
      </c>
      <c r="I325" s="8">
        <f>IF('01_Raw_Data'!K325="", "REG-NA", UPPER(TRIM('01_Raw_Data'!K325)))</f>
        <v/>
      </c>
      <c r="J325" s="8">
        <f>IF(OR('01_Raw_Data'!C325="", '01_Raw_Data'!F325&lt;0, ISNUMBER(SEARCH("%", '01_Raw_Data'!H325))), "FIXED ANOMALY", "PASSED")</f>
        <v/>
      </c>
      <c r="K325" s="8">
        <f>IF('01_Raw_Data'!F325&lt;0, "Converted Negative Quantity to ABS", IF('01_Raw_Data'!C325="", "Imputed Missing Customer ID", IF(ISNUMBER(SEARCH("%", '01_Raw_Data'!H325)), "Parsed Text % to Numeric Rate", "Standardized Format")))</f>
        <v/>
      </c>
    </row>
    <row r="326">
      <c r="A326" s="8">
        <f>'01_Raw_Data'!A326</f>
        <v/>
      </c>
      <c r="B326" s="10">
        <f>IFERROR(DATEVALUE('01_Raw_Data'!B326), IF('01_Raw_Data'!B326="", DATE(2024,1,1), '01_Raw_Data'!B326))</f>
        <v/>
      </c>
      <c r="C326" s="8">
        <f>IF(OR('01_Raw_Data'!C326="",'01_Raw_Data'!C326="0"), "CUST-GUEST", TRIM('01_Raw_Data'!C326))</f>
        <v/>
      </c>
      <c r="D326" s="8">
        <f>PROPER(TRIM(CLEAN('01_Raw_Data'!D326)))</f>
        <v/>
      </c>
      <c r="E326" s="8">
        <f>ABS(IF(ISNUMBER(VALUE('01_Raw_Data'!F326)), VALUE('01_Raw_Data'!F326), 1))</f>
        <v/>
      </c>
      <c r="F326" s="9">
        <f>'01_Raw_Data'!G326</f>
        <v/>
      </c>
      <c r="G326" s="11">
        <f>IF(ISNUMBER('01_Raw_Data'!H326), '01_Raw_Data'!H326, IFERROR(VALUE(SUBSTITUTE('01_Raw_Data'!H326, "%", ""))/100, 0))</f>
        <v/>
      </c>
      <c r="H326" s="8">
        <f>PROPER(TRIM('01_Raw_Data'!J326))</f>
        <v/>
      </c>
      <c r="I326" s="8">
        <f>IF('01_Raw_Data'!K326="", "REG-NA", UPPER(TRIM('01_Raw_Data'!K326)))</f>
        <v/>
      </c>
      <c r="J326" s="8">
        <f>IF(OR('01_Raw_Data'!C326="", '01_Raw_Data'!F326&lt;0, ISNUMBER(SEARCH("%", '01_Raw_Data'!H326))), "FIXED ANOMALY", "PASSED")</f>
        <v/>
      </c>
      <c r="K326" s="8">
        <f>IF('01_Raw_Data'!F326&lt;0, "Converted Negative Quantity to ABS", IF('01_Raw_Data'!C326="", "Imputed Missing Customer ID", IF(ISNUMBER(SEARCH("%", '01_Raw_Data'!H326)), "Parsed Text % to Numeric Rate", "Standardized Format")))</f>
        <v/>
      </c>
    </row>
    <row r="327">
      <c r="A327" s="8">
        <f>'01_Raw_Data'!A327</f>
        <v/>
      </c>
      <c r="B327" s="10">
        <f>IFERROR(DATEVALUE('01_Raw_Data'!B327), IF('01_Raw_Data'!B327="", DATE(2024,1,1), '01_Raw_Data'!B327))</f>
        <v/>
      </c>
      <c r="C327" s="8">
        <f>IF(OR('01_Raw_Data'!C327="",'01_Raw_Data'!C327="0"), "CUST-GUEST", TRIM('01_Raw_Data'!C327))</f>
        <v/>
      </c>
      <c r="D327" s="8">
        <f>PROPER(TRIM(CLEAN('01_Raw_Data'!D327)))</f>
        <v/>
      </c>
      <c r="E327" s="8">
        <f>ABS(IF(ISNUMBER(VALUE('01_Raw_Data'!F327)), VALUE('01_Raw_Data'!F327), 1))</f>
        <v/>
      </c>
      <c r="F327" s="9">
        <f>'01_Raw_Data'!G327</f>
        <v/>
      </c>
      <c r="G327" s="11">
        <f>IF(ISNUMBER('01_Raw_Data'!H327), '01_Raw_Data'!H327, IFERROR(VALUE(SUBSTITUTE('01_Raw_Data'!H327, "%", ""))/100, 0))</f>
        <v/>
      </c>
      <c r="H327" s="8">
        <f>PROPER(TRIM('01_Raw_Data'!J327))</f>
        <v/>
      </c>
      <c r="I327" s="8">
        <f>IF('01_Raw_Data'!K327="", "REG-NA", UPPER(TRIM('01_Raw_Data'!K327)))</f>
        <v/>
      </c>
      <c r="J327" s="8">
        <f>IF(OR('01_Raw_Data'!C327="", '01_Raw_Data'!F327&lt;0, ISNUMBER(SEARCH("%", '01_Raw_Data'!H327))), "FIXED ANOMALY", "PASSED")</f>
        <v/>
      </c>
      <c r="K327" s="8">
        <f>IF('01_Raw_Data'!F327&lt;0, "Converted Negative Quantity to ABS", IF('01_Raw_Data'!C327="", "Imputed Missing Customer ID", IF(ISNUMBER(SEARCH("%", '01_Raw_Data'!H327)), "Parsed Text % to Numeric Rate", "Standardized Format")))</f>
        <v/>
      </c>
    </row>
    <row r="328">
      <c r="A328" s="8">
        <f>'01_Raw_Data'!A328</f>
        <v/>
      </c>
      <c r="B328" s="10">
        <f>IFERROR(DATEVALUE('01_Raw_Data'!B328), IF('01_Raw_Data'!B328="", DATE(2024,1,1), '01_Raw_Data'!B328))</f>
        <v/>
      </c>
      <c r="C328" s="8">
        <f>IF(OR('01_Raw_Data'!C328="",'01_Raw_Data'!C328="0"), "CUST-GUEST", TRIM('01_Raw_Data'!C328))</f>
        <v/>
      </c>
      <c r="D328" s="8">
        <f>PROPER(TRIM(CLEAN('01_Raw_Data'!D328)))</f>
        <v/>
      </c>
      <c r="E328" s="8">
        <f>ABS(IF(ISNUMBER(VALUE('01_Raw_Data'!F328)), VALUE('01_Raw_Data'!F328), 1))</f>
        <v/>
      </c>
      <c r="F328" s="9">
        <f>'01_Raw_Data'!G328</f>
        <v/>
      </c>
      <c r="G328" s="11">
        <f>IF(ISNUMBER('01_Raw_Data'!H328), '01_Raw_Data'!H328, IFERROR(VALUE(SUBSTITUTE('01_Raw_Data'!H328, "%", ""))/100, 0))</f>
        <v/>
      </c>
      <c r="H328" s="8">
        <f>PROPER(TRIM('01_Raw_Data'!J328))</f>
        <v/>
      </c>
      <c r="I328" s="8">
        <f>IF('01_Raw_Data'!K328="", "REG-NA", UPPER(TRIM('01_Raw_Data'!K328)))</f>
        <v/>
      </c>
      <c r="J328" s="8">
        <f>IF(OR('01_Raw_Data'!C328="", '01_Raw_Data'!F328&lt;0, ISNUMBER(SEARCH("%", '01_Raw_Data'!H328))), "FIXED ANOMALY", "PASSED")</f>
        <v/>
      </c>
      <c r="K328" s="8">
        <f>IF('01_Raw_Data'!F328&lt;0, "Converted Negative Quantity to ABS", IF('01_Raw_Data'!C328="", "Imputed Missing Customer ID", IF(ISNUMBER(SEARCH("%", '01_Raw_Data'!H328)), "Parsed Text % to Numeric Rate", "Standardized Format")))</f>
        <v/>
      </c>
    </row>
    <row r="329">
      <c r="A329" s="8">
        <f>'01_Raw_Data'!A329</f>
        <v/>
      </c>
      <c r="B329" s="10">
        <f>IFERROR(DATEVALUE('01_Raw_Data'!B329), IF('01_Raw_Data'!B329="", DATE(2024,1,1), '01_Raw_Data'!B329))</f>
        <v/>
      </c>
      <c r="C329" s="8">
        <f>IF(OR('01_Raw_Data'!C329="",'01_Raw_Data'!C329="0"), "CUST-GUEST", TRIM('01_Raw_Data'!C329))</f>
        <v/>
      </c>
      <c r="D329" s="8">
        <f>PROPER(TRIM(CLEAN('01_Raw_Data'!D329)))</f>
        <v/>
      </c>
      <c r="E329" s="8">
        <f>ABS(IF(ISNUMBER(VALUE('01_Raw_Data'!F329)), VALUE('01_Raw_Data'!F329), 1))</f>
        <v/>
      </c>
      <c r="F329" s="9">
        <f>'01_Raw_Data'!G329</f>
        <v/>
      </c>
      <c r="G329" s="11">
        <f>IF(ISNUMBER('01_Raw_Data'!H329), '01_Raw_Data'!H329, IFERROR(VALUE(SUBSTITUTE('01_Raw_Data'!H329, "%", ""))/100, 0))</f>
        <v/>
      </c>
      <c r="H329" s="8">
        <f>PROPER(TRIM('01_Raw_Data'!J329))</f>
        <v/>
      </c>
      <c r="I329" s="8">
        <f>IF('01_Raw_Data'!K329="", "REG-NA", UPPER(TRIM('01_Raw_Data'!K329)))</f>
        <v/>
      </c>
      <c r="J329" s="8">
        <f>IF(OR('01_Raw_Data'!C329="", '01_Raw_Data'!F329&lt;0, ISNUMBER(SEARCH("%", '01_Raw_Data'!H329))), "FIXED ANOMALY", "PASSED")</f>
        <v/>
      </c>
      <c r="K329" s="8">
        <f>IF('01_Raw_Data'!F329&lt;0, "Converted Negative Quantity to ABS", IF('01_Raw_Data'!C329="", "Imputed Missing Customer ID", IF(ISNUMBER(SEARCH("%", '01_Raw_Data'!H329)), "Parsed Text % to Numeric Rate", "Standardized Format")))</f>
        <v/>
      </c>
    </row>
    <row r="330">
      <c r="A330" s="8">
        <f>'01_Raw_Data'!A330</f>
        <v/>
      </c>
      <c r="B330" s="10">
        <f>IFERROR(DATEVALUE('01_Raw_Data'!B330), IF('01_Raw_Data'!B330="", DATE(2024,1,1), '01_Raw_Data'!B330))</f>
        <v/>
      </c>
      <c r="C330" s="8">
        <f>IF(OR('01_Raw_Data'!C330="",'01_Raw_Data'!C330="0"), "CUST-GUEST", TRIM('01_Raw_Data'!C330))</f>
        <v/>
      </c>
      <c r="D330" s="8">
        <f>PROPER(TRIM(CLEAN('01_Raw_Data'!D330)))</f>
        <v/>
      </c>
      <c r="E330" s="8">
        <f>ABS(IF(ISNUMBER(VALUE('01_Raw_Data'!F330)), VALUE('01_Raw_Data'!F330), 1))</f>
        <v/>
      </c>
      <c r="F330" s="9">
        <f>'01_Raw_Data'!G330</f>
        <v/>
      </c>
      <c r="G330" s="11">
        <f>IF(ISNUMBER('01_Raw_Data'!H330), '01_Raw_Data'!H330, IFERROR(VALUE(SUBSTITUTE('01_Raw_Data'!H330, "%", ""))/100, 0))</f>
        <v/>
      </c>
      <c r="H330" s="8">
        <f>PROPER(TRIM('01_Raw_Data'!J330))</f>
        <v/>
      </c>
      <c r="I330" s="8">
        <f>IF('01_Raw_Data'!K330="", "REG-NA", UPPER(TRIM('01_Raw_Data'!K330)))</f>
        <v/>
      </c>
      <c r="J330" s="8">
        <f>IF(OR('01_Raw_Data'!C330="", '01_Raw_Data'!F330&lt;0, ISNUMBER(SEARCH("%", '01_Raw_Data'!H330))), "FIXED ANOMALY", "PASSED")</f>
        <v/>
      </c>
      <c r="K330" s="8">
        <f>IF('01_Raw_Data'!F330&lt;0, "Converted Negative Quantity to ABS", IF('01_Raw_Data'!C330="", "Imputed Missing Customer ID", IF(ISNUMBER(SEARCH("%", '01_Raw_Data'!H330)), "Parsed Text % to Numeric Rate", "Standardized Format")))</f>
        <v/>
      </c>
    </row>
    <row r="331">
      <c r="A331" s="8">
        <f>'01_Raw_Data'!A331</f>
        <v/>
      </c>
      <c r="B331" s="10">
        <f>IFERROR(DATEVALUE('01_Raw_Data'!B331), IF('01_Raw_Data'!B331="", DATE(2024,1,1), '01_Raw_Data'!B331))</f>
        <v/>
      </c>
      <c r="C331" s="8">
        <f>IF(OR('01_Raw_Data'!C331="",'01_Raw_Data'!C331="0"), "CUST-GUEST", TRIM('01_Raw_Data'!C331))</f>
        <v/>
      </c>
      <c r="D331" s="8">
        <f>PROPER(TRIM(CLEAN('01_Raw_Data'!D331)))</f>
        <v/>
      </c>
      <c r="E331" s="8">
        <f>ABS(IF(ISNUMBER(VALUE('01_Raw_Data'!F331)), VALUE('01_Raw_Data'!F331), 1))</f>
        <v/>
      </c>
      <c r="F331" s="9">
        <f>'01_Raw_Data'!G331</f>
        <v/>
      </c>
      <c r="G331" s="11">
        <f>IF(ISNUMBER('01_Raw_Data'!H331), '01_Raw_Data'!H331, IFERROR(VALUE(SUBSTITUTE('01_Raw_Data'!H331, "%", ""))/100, 0))</f>
        <v/>
      </c>
      <c r="H331" s="8">
        <f>PROPER(TRIM('01_Raw_Data'!J331))</f>
        <v/>
      </c>
      <c r="I331" s="8">
        <f>IF('01_Raw_Data'!K331="", "REG-NA", UPPER(TRIM('01_Raw_Data'!K331)))</f>
        <v/>
      </c>
      <c r="J331" s="8">
        <f>IF(OR('01_Raw_Data'!C331="", '01_Raw_Data'!F331&lt;0, ISNUMBER(SEARCH("%", '01_Raw_Data'!H331))), "FIXED ANOMALY", "PASSED")</f>
        <v/>
      </c>
      <c r="K331" s="8">
        <f>IF('01_Raw_Data'!F331&lt;0, "Converted Negative Quantity to ABS", IF('01_Raw_Data'!C331="", "Imputed Missing Customer ID", IF(ISNUMBER(SEARCH("%", '01_Raw_Data'!H331)), "Parsed Text % to Numeric Rate", "Standardized Format")))</f>
        <v/>
      </c>
    </row>
    <row r="332">
      <c r="A332" s="8">
        <f>'01_Raw_Data'!A332</f>
        <v/>
      </c>
      <c r="B332" s="10">
        <f>IFERROR(DATEVALUE('01_Raw_Data'!B332), IF('01_Raw_Data'!B332="", DATE(2024,1,1), '01_Raw_Data'!B332))</f>
        <v/>
      </c>
      <c r="C332" s="8">
        <f>IF(OR('01_Raw_Data'!C332="",'01_Raw_Data'!C332="0"), "CUST-GUEST", TRIM('01_Raw_Data'!C332))</f>
        <v/>
      </c>
      <c r="D332" s="8">
        <f>PROPER(TRIM(CLEAN('01_Raw_Data'!D332)))</f>
        <v/>
      </c>
      <c r="E332" s="8">
        <f>ABS(IF(ISNUMBER(VALUE('01_Raw_Data'!F332)), VALUE('01_Raw_Data'!F332), 1))</f>
        <v/>
      </c>
      <c r="F332" s="9">
        <f>'01_Raw_Data'!G332</f>
        <v/>
      </c>
      <c r="G332" s="11">
        <f>IF(ISNUMBER('01_Raw_Data'!H332), '01_Raw_Data'!H332, IFERROR(VALUE(SUBSTITUTE('01_Raw_Data'!H332, "%", ""))/100, 0))</f>
        <v/>
      </c>
      <c r="H332" s="8">
        <f>PROPER(TRIM('01_Raw_Data'!J332))</f>
        <v/>
      </c>
      <c r="I332" s="8">
        <f>IF('01_Raw_Data'!K332="", "REG-NA", UPPER(TRIM('01_Raw_Data'!K332)))</f>
        <v/>
      </c>
      <c r="J332" s="8">
        <f>IF(OR('01_Raw_Data'!C332="", '01_Raw_Data'!F332&lt;0, ISNUMBER(SEARCH("%", '01_Raw_Data'!H332))), "FIXED ANOMALY", "PASSED")</f>
        <v/>
      </c>
      <c r="K332" s="8">
        <f>IF('01_Raw_Data'!F332&lt;0, "Converted Negative Quantity to ABS", IF('01_Raw_Data'!C332="", "Imputed Missing Customer ID", IF(ISNUMBER(SEARCH("%", '01_Raw_Data'!H332)), "Parsed Text % to Numeric Rate", "Standardized Format")))</f>
        <v/>
      </c>
    </row>
    <row r="333">
      <c r="A333" s="8">
        <f>'01_Raw_Data'!A333</f>
        <v/>
      </c>
      <c r="B333" s="10">
        <f>IFERROR(DATEVALUE('01_Raw_Data'!B333), IF('01_Raw_Data'!B333="", DATE(2024,1,1), '01_Raw_Data'!B333))</f>
        <v/>
      </c>
      <c r="C333" s="8">
        <f>IF(OR('01_Raw_Data'!C333="",'01_Raw_Data'!C333="0"), "CUST-GUEST", TRIM('01_Raw_Data'!C333))</f>
        <v/>
      </c>
      <c r="D333" s="8">
        <f>PROPER(TRIM(CLEAN('01_Raw_Data'!D333)))</f>
        <v/>
      </c>
      <c r="E333" s="8">
        <f>ABS(IF(ISNUMBER(VALUE('01_Raw_Data'!F333)), VALUE('01_Raw_Data'!F333), 1))</f>
        <v/>
      </c>
      <c r="F333" s="9">
        <f>'01_Raw_Data'!G333</f>
        <v/>
      </c>
      <c r="G333" s="11">
        <f>IF(ISNUMBER('01_Raw_Data'!H333), '01_Raw_Data'!H333, IFERROR(VALUE(SUBSTITUTE('01_Raw_Data'!H333, "%", ""))/100, 0))</f>
        <v/>
      </c>
      <c r="H333" s="8">
        <f>PROPER(TRIM('01_Raw_Data'!J333))</f>
        <v/>
      </c>
      <c r="I333" s="8">
        <f>IF('01_Raw_Data'!K333="", "REG-NA", UPPER(TRIM('01_Raw_Data'!K333)))</f>
        <v/>
      </c>
      <c r="J333" s="8">
        <f>IF(OR('01_Raw_Data'!C333="", '01_Raw_Data'!F333&lt;0, ISNUMBER(SEARCH("%", '01_Raw_Data'!H333))), "FIXED ANOMALY", "PASSED")</f>
        <v/>
      </c>
      <c r="K333" s="8">
        <f>IF('01_Raw_Data'!F333&lt;0, "Converted Negative Quantity to ABS", IF('01_Raw_Data'!C333="", "Imputed Missing Customer ID", IF(ISNUMBER(SEARCH("%", '01_Raw_Data'!H333)), "Parsed Text % to Numeric Rate", "Standardized Format")))</f>
        <v/>
      </c>
    </row>
    <row r="334">
      <c r="A334" s="8">
        <f>'01_Raw_Data'!A334</f>
        <v/>
      </c>
      <c r="B334" s="10">
        <f>IFERROR(DATEVALUE('01_Raw_Data'!B334), IF('01_Raw_Data'!B334="", DATE(2024,1,1), '01_Raw_Data'!B334))</f>
        <v/>
      </c>
      <c r="C334" s="8">
        <f>IF(OR('01_Raw_Data'!C334="",'01_Raw_Data'!C334="0"), "CUST-GUEST", TRIM('01_Raw_Data'!C334))</f>
        <v/>
      </c>
      <c r="D334" s="8">
        <f>PROPER(TRIM(CLEAN('01_Raw_Data'!D334)))</f>
        <v/>
      </c>
      <c r="E334" s="8">
        <f>ABS(IF(ISNUMBER(VALUE('01_Raw_Data'!F334)), VALUE('01_Raw_Data'!F334), 1))</f>
        <v/>
      </c>
      <c r="F334" s="9">
        <f>'01_Raw_Data'!G334</f>
        <v/>
      </c>
      <c r="G334" s="11">
        <f>IF(ISNUMBER('01_Raw_Data'!H334), '01_Raw_Data'!H334, IFERROR(VALUE(SUBSTITUTE('01_Raw_Data'!H334, "%", ""))/100, 0))</f>
        <v/>
      </c>
      <c r="H334" s="8">
        <f>PROPER(TRIM('01_Raw_Data'!J334))</f>
        <v/>
      </c>
      <c r="I334" s="8">
        <f>IF('01_Raw_Data'!K334="", "REG-NA", UPPER(TRIM('01_Raw_Data'!K334)))</f>
        <v/>
      </c>
      <c r="J334" s="8">
        <f>IF(OR('01_Raw_Data'!C334="", '01_Raw_Data'!F334&lt;0, ISNUMBER(SEARCH("%", '01_Raw_Data'!H334))), "FIXED ANOMALY", "PASSED")</f>
        <v/>
      </c>
      <c r="K334" s="8">
        <f>IF('01_Raw_Data'!F334&lt;0, "Converted Negative Quantity to ABS", IF('01_Raw_Data'!C334="", "Imputed Missing Customer ID", IF(ISNUMBER(SEARCH("%", '01_Raw_Data'!H334)), "Parsed Text % to Numeric Rate", "Standardized Format")))</f>
        <v/>
      </c>
    </row>
    <row r="335">
      <c r="A335" s="8">
        <f>'01_Raw_Data'!A335</f>
        <v/>
      </c>
      <c r="B335" s="10">
        <f>IFERROR(DATEVALUE('01_Raw_Data'!B335), IF('01_Raw_Data'!B335="", DATE(2024,1,1), '01_Raw_Data'!B335))</f>
        <v/>
      </c>
      <c r="C335" s="8">
        <f>IF(OR('01_Raw_Data'!C335="",'01_Raw_Data'!C335="0"), "CUST-GUEST", TRIM('01_Raw_Data'!C335))</f>
        <v/>
      </c>
      <c r="D335" s="8">
        <f>PROPER(TRIM(CLEAN('01_Raw_Data'!D335)))</f>
        <v/>
      </c>
      <c r="E335" s="8">
        <f>ABS(IF(ISNUMBER(VALUE('01_Raw_Data'!F335)), VALUE('01_Raw_Data'!F335), 1))</f>
        <v/>
      </c>
      <c r="F335" s="9">
        <f>'01_Raw_Data'!G335</f>
        <v/>
      </c>
      <c r="G335" s="11">
        <f>IF(ISNUMBER('01_Raw_Data'!H335), '01_Raw_Data'!H335, IFERROR(VALUE(SUBSTITUTE('01_Raw_Data'!H335, "%", ""))/100, 0))</f>
        <v/>
      </c>
      <c r="H335" s="8">
        <f>PROPER(TRIM('01_Raw_Data'!J335))</f>
        <v/>
      </c>
      <c r="I335" s="8">
        <f>IF('01_Raw_Data'!K335="", "REG-NA", UPPER(TRIM('01_Raw_Data'!K335)))</f>
        <v/>
      </c>
      <c r="J335" s="8">
        <f>IF(OR('01_Raw_Data'!C335="", '01_Raw_Data'!F335&lt;0, ISNUMBER(SEARCH("%", '01_Raw_Data'!H335))), "FIXED ANOMALY", "PASSED")</f>
        <v/>
      </c>
      <c r="K335" s="8">
        <f>IF('01_Raw_Data'!F335&lt;0, "Converted Negative Quantity to ABS", IF('01_Raw_Data'!C335="", "Imputed Missing Customer ID", IF(ISNUMBER(SEARCH("%", '01_Raw_Data'!H335)), "Parsed Text % to Numeric Rate", "Standardized Format")))</f>
        <v/>
      </c>
    </row>
    <row r="336">
      <c r="A336" s="8">
        <f>'01_Raw_Data'!A336</f>
        <v/>
      </c>
      <c r="B336" s="10">
        <f>IFERROR(DATEVALUE('01_Raw_Data'!B336), IF('01_Raw_Data'!B336="", DATE(2024,1,1), '01_Raw_Data'!B336))</f>
        <v/>
      </c>
      <c r="C336" s="8">
        <f>IF(OR('01_Raw_Data'!C336="",'01_Raw_Data'!C336="0"), "CUST-GUEST", TRIM('01_Raw_Data'!C336))</f>
        <v/>
      </c>
      <c r="D336" s="8">
        <f>PROPER(TRIM(CLEAN('01_Raw_Data'!D336)))</f>
        <v/>
      </c>
      <c r="E336" s="8">
        <f>ABS(IF(ISNUMBER(VALUE('01_Raw_Data'!F336)), VALUE('01_Raw_Data'!F336), 1))</f>
        <v/>
      </c>
      <c r="F336" s="9">
        <f>'01_Raw_Data'!G336</f>
        <v/>
      </c>
      <c r="G336" s="11">
        <f>IF(ISNUMBER('01_Raw_Data'!H336), '01_Raw_Data'!H336, IFERROR(VALUE(SUBSTITUTE('01_Raw_Data'!H336, "%", ""))/100, 0))</f>
        <v/>
      </c>
      <c r="H336" s="8">
        <f>PROPER(TRIM('01_Raw_Data'!J336))</f>
        <v/>
      </c>
      <c r="I336" s="8">
        <f>IF('01_Raw_Data'!K336="", "REG-NA", UPPER(TRIM('01_Raw_Data'!K336)))</f>
        <v/>
      </c>
      <c r="J336" s="8">
        <f>IF(OR('01_Raw_Data'!C336="", '01_Raw_Data'!F336&lt;0, ISNUMBER(SEARCH("%", '01_Raw_Data'!H336))), "FIXED ANOMALY", "PASSED")</f>
        <v/>
      </c>
      <c r="K336" s="8">
        <f>IF('01_Raw_Data'!F336&lt;0, "Converted Negative Quantity to ABS", IF('01_Raw_Data'!C336="", "Imputed Missing Customer ID", IF(ISNUMBER(SEARCH("%", '01_Raw_Data'!H336)), "Parsed Text % to Numeric Rate", "Standardized Format")))</f>
        <v/>
      </c>
    </row>
    <row r="337">
      <c r="A337" s="8">
        <f>'01_Raw_Data'!A337</f>
        <v/>
      </c>
      <c r="B337" s="10">
        <f>IFERROR(DATEVALUE('01_Raw_Data'!B337), IF('01_Raw_Data'!B337="", DATE(2024,1,1), '01_Raw_Data'!B337))</f>
        <v/>
      </c>
      <c r="C337" s="8">
        <f>IF(OR('01_Raw_Data'!C337="",'01_Raw_Data'!C337="0"), "CUST-GUEST", TRIM('01_Raw_Data'!C337))</f>
        <v/>
      </c>
      <c r="D337" s="8">
        <f>PROPER(TRIM(CLEAN('01_Raw_Data'!D337)))</f>
        <v/>
      </c>
      <c r="E337" s="8">
        <f>ABS(IF(ISNUMBER(VALUE('01_Raw_Data'!F337)), VALUE('01_Raw_Data'!F337), 1))</f>
        <v/>
      </c>
      <c r="F337" s="9">
        <f>'01_Raw_Data'!G337</f>
        <v/>
      </c>
      <c r="G337" s="11">
        <f>IF(ISNUMBER('01_Raw_Data'!H337), '01_Raw_Data'!H337, IFERROR(VALUE(SUBSTITUTE('01_Raw_Data'!H337, "%", ""))/100, 0))</f>
        <v/>
      </c>
      <c r="H337" s="8">
        <f>PROPER(TRIM('01_Raw_Data'!J337))</f>
        <v/>
      </c>
      <c r="I337" s="8">
        <f>IF('01_Raw_Data'!K337="", "REG-NA", UPPER(TRIM('01_Raw_Data'!K337)))</f>
        <v/>
      </c>
      <c r="J337" s="8">
        <f>IF(OR('01_Raw_Data'!C337="", '01_Raw_Data'!F337&lt;0, ISNUMBER(SEARCH("%", '01_Raw_Data'!H337))), "FIXED ANOMALY", "PASSED")</f>
        <v/>
      </c>
      <c r="K337" s="8">
        <f>IF('01_Raw_Data'!F337&lt;0, "Converted Negative Quantity to ABS", IF('01_Raw_Data'!C337="", "Imputed Missing Customer ID", IF(ISNUMBER(SEARCH("%", '01_Raw_Data'!H337)), "Parsed Text % to Numeric Rate", "Standardized Format")))</f>
        <v/>
      </c>
    </row>
    <row r="338">
      <c r="A338" s="8">
        <f>'01_Raw_Data'!A338</f>
        <v/>
      </c>
      <c r="B338" s="10">
        <f>IFERROR(DATEVALUE('01_Raw_Data'!B338), IF('01_Raw_Data'!B338="", DATE(2024,1,1), '01_Raw_Data'!B338))</f>
        <v/>
      </c>
      <c r="C338" s="8">
        <f>IF(OR('01_Raw_Data'!C338="",'01_Raw_Data'!C338="0"), "CUST-GUEST", TRIM('01_Raw_Data'!C338))</f>
        <v/>
      </c>
      <c r="D338" s="8">
        <f>PROPER(TRIM(CLEAN('01_Raw_Data'!D338)))</f>
        <v/>
      </c>
      <c r="E338" s="8">
        <f>ABS(IF(ISNUMBER(VALUE('01_Raw_Data'!F338)), VALUE('01_Raw_Data'!F338), 1))</f>
        <v/>
      </c>
      <c r="F338" s="9">
        <f>'01_Raw_Data'!G338</f>
        <v/>
      </c>
      <c r="G338" s="11">
        <f>IF(ISNUMBER('01_Raw_Data'!H338), '01_Raw_Data'!H338, IFERROR(VALUE(SUBSTITUTE('01_Raw_Data'!H338, "%", ""))/100, 0))</f>
        <v/>
      </c>
      <c r="H338" s="8">
        <f>PROPER(TRIM('01_Raw_Data'!J338))</f>
        <v/>
      </c>
      <c r="I338" s="8">
        <f>IF('01_Raw_Data'!K338="", "REG-NA", UPPER(TRIM('01_Raw_Data'!K338)))</f>
        <v/>
      </c>
      <c r="J338" s="8">
        <f>IF(OR('01_Raw_Data'!C338="", '01_Raw_Data'!F338&lt;0, ISNUMBER(SEARCH("%", '01_Raw_Data'!H338))), "FIXED ANOMALY", "PASSED")</f>
        <v/>
      </c>
      <c r="K338" s="8">
        <f>IF('01_Raw_Data'!F338&lt;0, "Converted Negative Quantity to ABS", IF('01_Raw_Data'!C338="", "Imputed Missing Customer ID", IF(ISNUMBER(SEARCH("%", '01_Raw_Data'!H338)), "Parsed Text % to Numeric Rate", "Standardized Format")))</f>
        <v/>
      </c>
    </row>
    <row r="339">
      <c r="A339" s="8">
        <f>'01_Raw_Data'!A339</f>
        <v/>
      </c>
      <c r="B339" s="10">
        <f>IFERROR(DATEVALUE('01_Raw_Data'!B339), IF('01_Raw_Data'!B339="", DATE(2024,1,1), '01_Raw_Data'!B339))</f>
        <v/>
      </c>
      <c r="C339" s="8">
        <f>IF(OR('01_Raw_Data'!C339="",'01_Raw_Data'!C339="0"), "CUST-GUEST", TRIM('01_Raw_Data'!C339))</f>
        <v/>
      </c>
      <c r="D339" s="8">
        <f>PROPER(TRIM(CLEAN('01_Raw_Data'!D339)))</f>
        <v/>
      </c>
      <c r="E339" s="8">
        <f>ABS(IF(ISNUMBER(VALUE('01_Raw_Data'!F339)), VALUE('01_Raw_Data'!F339), 1))</f>
        <v/>
      </c>
      <c r="F339" s="9">
        <f>'01_Raw_Data'!G339</f>
        <v/>
      </c>
      <c r="G339" s="11">
        <f>IF(ISNUMBER('01_Raw_Data'!H339), '01_Raw_Data'!H339, IFERROR(VALUE(SUBSTITUTE('01_Raw_Data'!H339, "%", ""))/100, 0))</f>
        <v/>
      </c>
      <c r="H339" s="8">
        <f>PROPER(TRIM('01_Raw_Data'!J339))</f>
        <v/>
      </c>
      <c r="I339" s="8">
        <f>IF('01_Raw_Data'!K339="", "REG-NA", UPPER(TRIM('01_Raw_Data'!K339)))</f>
        <v/>
      </c>
      <c r="J339" s="8">
        <f>IF(OR('01_Raw_Data'!C339="", '01_Raw_Data'!F339&lt;0, ISNUMBER(SEARCH("%", '01_Raw_Data'!H339))), "FIXED ANOMALY", "PASSED")</f>
        <v/>
      </c>
      <c r="K339" s="8">
        <f>IF('01_Raw_Data'!F339&lt;0, "Converted Negative Quantity to ABS", IF('01_Raw_Data'!C339="", "Imputed Missing Customer ID", IF(ISNUMBER(SEARCH("%", '01_Raw_Data'!H339)), "Parsed Text % to Numeric Rate", "Standardized Format")))</f>
        <v/>
      </c>
    </row>
    <row r="340">
      <c r="A340" s="8">
        <f>'01_Raw_Data'!A340</f>
        <v/>
      </c>
      <c r="B340" s="10">
        <f>IFERROR(DATEVALUE('01_Raw_Data'!B340), IF('01_Raw_Data'!B340="", DATE(2024,1,1), '01_Raw_Data'!B340))</f>
        <v/>
      </c>
      <c r="C340" s="8">
        <f>IF(OR('01_Raw_Data'!C340="",'01_Raw_Data'!C340="0"), "CUST-GUEST", TRIM('01_Raw_Data'!C340))</f>
        <v/>
      </c>
      <c r="D340" s="8">
        <f>PROPER(TRIM(CLEAN('01_Raw_Data'!D340)))</f>
        <v/>
      </c>
      <c r="E340" s="8">
        <f>ABS(IF(ISNUMBER(VALUE('01_Raw_Data'!F340)), VALUE('01_Raw_Data'!F340), 1))</f>
        <v/>
      </c>
      <c r="F340" s="9">
        <f>'01_Raw_Data'!G340</f>
        <v/>
      </c>
      <c r="G340" s="11">
        <f>IF(ISNUMBER('01_Raw_Data'!H340), '01_Raw_Data'!H340, IFERROR(VALUE(SUBSTITUTE('01_Raw_Data'!H340, "%", ""))/100, 0))</f>
        <v/>
      </c>
      <c r="H340" s="8">
        <f>PROPER(TRIM('01_Raw_Data'!J340))</f>
        <v/>
      </c>
      <c r="I340" s="8">
        <f>IF('01_Raw_Data'!K340="", "REG-NA", UPPER(TRIM('01_Raw_Data'!K340)))</f>
        <v/>
      </c>
      <c r="J340" s="8">
        <f>IF(OR('01_Raw_Data'!C340="", '01_Raw_Data'!F340&lt;0, ISNUMBER(SEARCH("%", '01_Raw_Data'!H340))), "FIXED ANOMALY", "PASSED")</f>
        <v/>
      </c>
      <c r="K340" s="8">
        <f>IF('01_Raw_Data'!F340&lt;0, "Converted Negative Quantity to ABS", IF('01_Raw_Data'!C340="", "Imputed Missing Customer ID", IF(ISNUMBER(SEARCH("%", '01_Raw_Data'!H340)), "Parsed Text % to Numeric Rate", "Standardized Format")))</f>
        <v/>
      </c>
    </row>
    <row r="341">
      <c r="A341" s="8">
        <f>'01_Raw_Data'!A341</f>
        <v/>
      </c>
      <c r="B341" s="10">
        <f>IFERROR(DATEVALUE('01_Raw_Data'!B341), IF('01_Raw_Data'!B341="", DATE(2024,1,1), '01_Raw_Data'!B341))</f>
        <v/>
      </c>
      <c r="C341" s="8">
        <f>IF(OR('01_Raw_Data'!C341="",'01_Raw_Data'!C341="0"), "CUST-GUEST", TRIM('01_Raw_Data'!C341))</f>
        <v/>
      </c>
      <c r="D341" s="8">
        <f>PROPER(TRIM(CLEAN('01_Raw_Data'!D341)))</f>
        <v/>
      </c>
      <c r="E341" s="8">
        <f>ABS(IF(ISNUMBER(VALUE('01_Raw_Data'!F341)), VALUE('01_Raw_Data'!F341), 1))</f>
        <v/>
      </c>
      <c r="F341" s="9">
        <f>'01_Raw_Data'!G341</f>
        <v/>
      </c>
      <c r="G341" s="11">
        <f>IF(ISNUMBER('01_Raw_Data'!H341), '01_Raw_Data'!H341, IFERROR(VALUE(SUBSTITUTE('01_Raw_Data'!H341, "%", ""))/100, 0))</f>
        <v/>
      </c>
      <c r="H341" s="8">
        <f>PROPER(TRIM('01_Raw_Data'!J341))</f>
        <v/>
      </c>
      <c r="I341" s="8">
        <f>IF('01_Raw_Data'!K341="", "REG-NA", UPPER(TRIM('01_Raw_Data'!K341)))</f>
        <v/>
      </c>
      <c r="J341" s="8">
        <f>IF(OR('01_Raw_Data'!C341="", '01_Raw_Data'!F341&lt;0, ISNUMBER(SEARCH("%", '01_Raw_Data'!H341))), "FIXED ANOMALY", "PASSED")</f>
        <v/>
      </c>
      <c r="K341" s="8">
        <f>IF('01_Raw_Data'!F341&lt;0, "Converted Negative Quantity to ABS", IF('01_Raw_Data'!C341="", "Imputed Missing Customer ID", IF(ISNUMBER(SEARCH("%", '01_Raw_Data'!H341)), "Parsed Text % to Numeric Rate", "Standardized Format")))</f>
        <v/>
      </c>
    </row>
    <row r="342">
      <c r="A342" s="8">
        <f>'01_Raw_Data'!A342</f>
        <v/>
      </c>
      <c r="B342" s="10">
        <f>IFERROR(DATEVALUE('01_Raw_Data'!B342), IF('01_Raw_Data'!B342="", DATE(2024,1,1), '01_Raw_Data'!B342))</f>
        <v/>
      </c>
      <c r="C342" s="8">
        <f>IF(OR('01_Raw_Data'!C342="",'01_Raw_Data'!C342="0"), "CUST-GUEST", TRIM('01_Raw_Data'!C342))</f>
        <v/>
      </c>
      <c r="D342" s="8">
        <f>PROPER(TRIM(CLEAN('01_Raw_Data'!D342)))</f>
        <v/>
      </c>
      <c r="E342" s="8">
        <f>ABS(IF(ISNUMBER(VALUE('01_Raw_Data'!F342)), VALUE('01_Raw_Data'!F342), 1))</f>
        <v/>
      </c>
      <c r="F342" s="9">
        <f>'01_Raw_Data'!G342</f>
        <v/>
      </c>
      <c r="G342" s="11">
        <f>IF(ISNUMBER('01_Raw_Data'!H342), '01_Raw_Data'!H342, IFERROR(VALUE(SUBSTITUTE('01_Raw_Data'!H342, "%", ""))/100, 0))</f>
        <v/>
      </c>
      <c r="H342" s="8">
        <f>PROPER(TRIM('01_Raw_Data'!J342))</f>
        <v/>
      </c>
      <c r="I342" s="8">
        <f>IF('01_Raw_Data'!K342="", "REG-NA", UPPER(TRIM('01_Raw_Data'!K342)))</f>
        <v/>
      </c>
      <c r="J342" s="8">
        <f>IF(OR('01_Raw_Data'!C342="", '01_Raw_Data'!F342&lt;0, ISNUMBER(SEARCH("%", '01_Raw_Data'!H342))), "FIXED ANOMALY", "PASSED")</f>
        <v/>
      </c>
      <c r="K342" s="8">
        <f>IF('01_Raw_Data'!F342&lt;0, "Converted Negative Quantity to ABS", IF('01_Raw_Data'!C342="", "Imputed Missing Customer ID", IF(ISNUMBER(SEARCH("%", '01_Raw_Data'!H342)), "Parsed Text % to Numeric Rate", "Standardized Format")))</f>
        <v/>
      </c>
    </row>
    <row r="343">
      <c r="A343" s="8">
        <f>'01_Raw_Data'!A343</f>
        <v/>
      </c>
      <c r="B343" s="10">
        <f>IFERROR(DATEVALUE('01_Raw_Data'!B343), IF('01_Raw_Data'!B343="", DATE(2024,1,1), '01_Raw_Data'!B343))</f>
        <v/>
      </c>
      <c r="C343" s="8">
        <f>IF(OR('01_Raw_Data'!C343="",'01_Raw_Data'!C343="0"), "CUST-GUEST", TRIM('01_Raw_Data'!C343))</f>
        <v/>
      </c>
      <c r="D343" s="8">
        <f>PROPER(TRIM(CLEAN('01_Raw_Data'!D343)))</f>
        <v/>
      </c>
      <c r="E343" s="8">
        <f>ABS(IF(ISNUMBER(VALUE('01_Raw_Data'!F343)), VALUE('01_Raw_Data'!F343), 1))</f>
        <v/>
      </c>
      <c r="F343" s="9">
        <f>'01_Raw_Data'!G343</f>
        <v/>
      </c>
      <c r="G343" s="11">
        <f>IF(ISNUMBER('01_Raw_Data'!H343), '01_Raw_Data'!H343, IFERROR(VALUE(SUBSTITUTE('01_Raw_Data'!H343, "%", ""))/100, 0))</f>
        <v/>
      </c>
      <c r="H343" s="8">
        <f>PROPER(TRIM('01_Raw_Data'!J343))</f>
        <v/>
      </c>
      <c r="I343" s="8">
        <f>IF('01_Raw_Data'!K343="", "REG-NA", UPPER(TRIM('01_Raw_Data'!K343)))</f>
        <v/>
      </c>
      <c r="J343" s="8">
        <f>IF(OR('01_Raw_Data'!C343="", '01_Raw_Data'!F343&lt;0, ISNUMBER(SEARCH("%", '01_Raw_Data'!H343))), "FIXED ANOMALY", "PASSED")</f>
        <v/>
      </c>
      <c r="K343" s="8">
        <f>IF('01_Raw_Data'!F343&lt;0, "Converted Negative Quantity to ABS", IF('01_Raw_Data'!C343="", "Imputed Missing Customer ID", IF(ISNUMBER(SEARCH("%", '01_Raw_Data'!H343)), "Parsed Text % to Numeric Rate", "Standardized Format")))</f>
        <v/>
      </c>
    </row>
    <row r="344">
      <c r="A344" s="8">
        <f>'01_Raw_Data'!A344</f>
        <v/>
      </c>
      <c r="B344" s="10">
        <f>IFERROR(DATEVALUE('01_Raw_Data'!B344), IF('01_Raw_Data'!B344="", DATE(2024,1,1), '01_Raw_Data'!B344))</f>
        <v/>
      </c>
      <c r="C344" s="8">
        <f>IF(OR('01_Raw_Data'!C344="",'01_Raw_Data'!C344="0"), "CUST-GUEST", TRIM('01_Raw_Data'!C344))</f>
        <v/>
      </c>
      <c r="D344" s="8">
        <f>PROPER(TRIM(CLEAN('01_Raw_Data'!D344)))</f>
        <v/>
      </c>
      <c r="E344" s="8">
        <f>ABS(IF(ISNUMBER(VALUE('01_Raw_Data'!F344)), VALUE('01_Raw_Data'!F344), 1))</f>
        <v/>
      </c>
      <c r="F344" s="9">
        <f>'01_Raw_Data'!G344</f>
        <v/>
      </c>
      <c r="G344" s="11">
        <f>IF(ISNUMBER('01_Raw_Data'!H344), '01_Raw_Data'!H344, IFERROR(VALUE(SUBSTITUTE('01_Raw_Data'!H344, "%", ""))/100, 0))</f>
        <v/>
      </c>
      <c r="H344" s="8">
        <f>PROPER(TRIM('01_Raw_Data'!J344))</f>
        <v/>
      </c>
      <c r="I344" s="8">
        <f>IF('01_Raw_Data'!K344="", "REG-NA", UPPER(TRIM('01_Raw_Data'!K344)))</f>
        <v/>
      </c>
      <c r="J344" s="8">
        <f>IF(OR('01_Raw_Data'!C344="", '01_Raw_Data'!F344&lt;0, ISNUMBER(SEARCH("%", '01_Raw_Data'!H344))), "FIXED ANOMALY", "PASSED")</f>
        <v/>
      </c>
      <c r="K344" s="8">
        <f>IF('01_Raw_Data'!F344&lt;0, "Converted Negative Quantity to ABS", IF('01_Raw_Data'!C344="", "Imputed Missing Customer ID", IF(ISNUMBER(SEARCH("%", '01_Raw_Data'!H344)), "Parsed Text % to Numeric Rate", "Standardized Format")))</f>
        <v/>
      </c>
    </row>
    <row r="345">
      <c r="A345" s="8">
        <f>'01_Raw_Data'!A345</f>
        <v/>
      </c>
      <c r="B345" s="10">
        <f>IFERROR(DATEVALUE('01_Raw_Data'!B345), IF('01_Raw_Data'!B345="", DATE(2024,1,1), '01_Raw_Data'!B345))</f>
        <v/>
      </c>
      <c r="C345" s="8">
        <f>IF(OR('01_Raw_Data'!C345="",'01_Raw_Data'!C345="0"), "CUST-GUEST", TRIM('01_Raw_Data'!C345))</f>
        <v/>
      </c>
      <c r="D345" s="8">
        <f>PROPER(TRIM(CLEAN('01_Raw_Data'!D345)))</f>
        <v/>
      </c>
      <c r="E345" s="8">
        <f>ABS(IF(ISNUMBER(VALUE('01_Raw_Data'!F345)), VALUE('01_Raw_Data'!F345), 1))</f>
        <v/>
      </c>
      <c r="F345" s="9">
        <f>'01_Raw_Data'!G345</f>
        <v/>
      </c>
      <c r="G345" s="11">
        <f>IF(ISNUMBER('01_Raw_Data'!H345), '01_Raw_Data'!H345, IFERROR(VALUE(SUBSTITUTE('01_Raw_Data'!H345, "%", ""))/100, 0))</f>
        <v/>
      </c>
      <c r="H345" s="8">
        <f>PROPER(TRIM('01_Raw_Data'!J345))</f>
        <v/>
      </c>
      <c r="I345" s="8">
        <f>IF('01_Raw_Data'!K345="", "REG-NA", UPPER(TRIM('01_Raw_Data'!K345)))</f>
        <v/>
      </c>
      <c r="J345" s="8">
        <f>IF(OR('01_Raw_Data'!C345="", '01_Raw_Data'!F345&lt;0, ISNUMBER(SEARCH("%", '01_Raw_Data'!H345))), "FIXED ANOMALY", "PASSED")</f>
        <v/>
      </c>
      <c r="K345" s="8">
        <f>IF('01_Raw_Data'!F345&lt;0, "Converted Negative Quantity to ABS", IF('01_Raw_Data'!C345="", "Imputed Missing Customer ID", IF(ISNUMBER(SEARCH("%", '01_Raw_Data'!H345)), "Parsed Text % to Numeric Rate", "Standardized Format")))</f>
        <v/>
      </c>
    </row>
    <row r="346">
      <c r="A346" s="8">
        <f>'01_Raw_Data'!A346</f>
        <v/>
      </c>
      <c r="B346" s="10">
        <f>IFERROR(DATEVALUE('01_Raw_Data'!B346), IF('01_Raw_Data'!B346="", DATE(2024,1,1), '01_Raw_Data'!B346))</f>
        <v/>
      </c>
      <c r="C346" s="8">
        <f>IF(OR('01_Raw_Data'!C346="",'01_Raw_Data'!C346="0"), "CUST-GUEST", TRIM('01_Raw_Data'!C346))</f>
        <v/>
      </c>
      <c r="D346" s="8">
        <f>PROPER(TRIM(CLEAN('01_Raw_Data'!D346)))</f>
        <v/>
      </c>
      <c r="E346" s="8">
        <f>ABS(IF(ISNUMBER(VALUE('01_Raw_Data'!F346)), VALUE('01_Raw_Data'!F346), 1))</f>
        <v/>
      </c>
      <c r="F346" s="9">
        <f>'01_Raw_Data'!G346</f>
        <v/>
      </c>
      <c r="G346" s="11">
        <f>IF(ISNUMBER('01_Raw_Data'!H346), '01_Raw_Data'!H346, IFERROR(VALUE(SUBSTITUTE('01_Raw_Data'!H346, "%", ""))/100, 0))</f>
        <v/>
      </c>
      <c r="H346" s="8">
        <f>PROPER(TRIM('01_Raw_Data'!J346))</f>
        <v/>
      </c>
      <c r="I346" s="8">
        <f>IF('01_Raw_Data'!K346="", "REG-NA", UPPER(TRIM('01_Raw_Data'!K346)))</f>
        <v/>
      </c>
      <c r="J346" s="8">
        <f>IF(OR('01_Raw_Data'!C346="", '01_Raw_Data'!F346&lt;0, ISNUMBER(SEARCH("%", '01_Raw_Data'!H346))), "FIXED ANOMALY", "PASSED")</f>
        <v/>
      </c>
      <c r="K346" s="8">
        <f>IF('01_Raw_Data'!F346&lt;0, "Converted Negative Quantity to ABS", IF('01_Raw_Data'!C346="", "Imputed Missing Customer ID", IF(ISNUMBER(SEARCH("%", '01_Raw_Data'!H346)), "Parsed Text % to Numeric Rate", "Standardized Format")))</f>
        <v/>
      </c>
    </row>
    <row r="347">
      <c r="A347" s="8">
        <f>'01_Raw_Data'!A347</f>
        <v/>
      </c>
      <c r="B347" s="10">
        <f>IFERROR(DATEVALUE('01_Raw_Data'!B347), IF('01_Raw_Data'!B347="", DATE(2024,1,1), '01_Raw_Data'!B347))</f>
        <v/>
      </c>
      <c r="C347" s="8">
        <f>IF(OR('01_Raw_Data'!C347="",'01_Raw_Data'!C347="0"), "CUST-GUEST", TRIM('01_Raw_Data'!C347))</f>
        <v/>
      </c>
      <c r="D347" s="8">
        <f>PROPER(TRIM(CLEAN('01_Raw_Data'!D347)))</f>
        <v/>
      </c>
      <c r="E347" s="8">
        <f>ABS(IF(ISNUMBER(VALUE('01_Raw_Data'!F347)), VALUE('01_Raw_Data'!F347), 1))</f>
        <v/>
      </c>
      <c r="F347" s="9">
        <f>'01_Raw_Data'!G347</f>
        <v/>
      </c>
      <c r="G347" s="11">
        <f>IF(ISNUMBER('01_Raw_Data'!H347), '01_Raw_Data'!H347, IFERROR(VALUE(SUBSTITUTE('01_Raw_Data'!H347, "%", ""))/100, 0))</f>
        <v/>
      </c>
      <c r="H347" s="8">
        <f>PROPER(TRIM('01_Raw_Data'!J347))</f>
        <v/>
      </c>
      <c r="I347" s="8">
        <f>IF('01_Raw_Data'!K347="", "REG-NA", UPPER(TRIM('01_Raw_Data'!K347)))</f>
        <v/>
      </c>
      <c r="J347" s="8">
        <f>IF(OR('01_Raw_Data'!C347="", '01_Raw_Data'!F347&lt;0, ISNUMBER(SEARCH("%", '01_Raw_Data'!H347))), "FIXED ANOMALY", "PASSED")</f>
        <v/>
      </c>
      <c r="K347" s="8">
        <f>IF('01_Raw_Data'!F347&lt;0, "Converted Negative Quantity to ABS", IF('01_Raw_Data'!C347="", "Imputed Missing Customer ID", IF(ISNUMBER(SEARCH("%", '01_Raw_Data'!H347)), "Parsed Text % to Numeric Rate", "Standardized Format")))</f>
        <v/>
      </c>
    </row>
    <row r="348">
      <c r="A348" s="8">
        <f>'01_Raw_Data'!A348</f>
        <v/>
      </c>
      <c r="B348" s="10">
        <f>IFERROR(DATEVALUE('01_Raw_Data'!B348), IF('01_Raw_Data'!B348="", DATE(2024,1,1), '01_Raw_Data'!B348))</f>
        <v/>
      </c>
      <c r="C348" s="8">
        <f>IF(OR('01_Raw_Data'!C348="",'01_Raw_Data'!C348="0"), "CUST-GUEST", TRIM('01_Raw_Data'!C348))</f>
        <v/>
      </c>
      <c r="D348" s="8">
        <f>PROPER(TRIM(CLEAN('01_Raw_Data'!D348)))</f>
        <v/>
      </c>
      <c r="E348" s="8">
        <f>ABS(IF(ISNUMBER(VALUE('01_Raw_Data'!F348)), VALUE('01_Raw_Data'!F348), 1))</f>
        <v/>
      </c>
      <c r="F348" s="9">
        <f>'01_Raw_Data'!G348</f>
        <v/>
      </c>
      <c r="G348" s="11">
        <f>IF(ISNUMBER('01_Raw_Data'!H348), '01_Raw_Data'!H348, IFERROR(VALUE(SUBSTITUTE('01_Raw_Data'!H348, "%", ""))/100, 0))</f>
        <v/>
      </c>
      <c r="H348" s="8">
        <f>PROPER(TRIM('01_Raw_Data'!J348))</f>
        <v/>
      </c>
      <c r="I348" s="8">
        <f>IF('01_Raw_Data'!K348="", "REG-NA", UPPER(TRIM('01_Raw_Data'!K348)))</f>
        <v/>
      </c>
      <c r="J348" s="8">
        <f>IF(OR('01_Raw_Data'!C348="", '01_Raw_Data'!F348&lt;0, ISNUMBER(SEARCH("%", '01_Raw_Data'!H348))), "FIXED ANOMALY", "PASSED")</f>
        <v/>
      </c>
      <c r="K348" s="8">
        <f>IF('01_Raw_Data'!F348&lt;0, "Converted Negative Quantity to ABS", IF('01_Raw_Data'!C348="", "Imputed Missing Customer ID", IF(ISNUMBER(SEARCH("%", '01_Raw_Data'!H348)), "Parsed Text % to Numeric Rate", "Standardized Format")))</f>
        <v/>
      </c>
    </row>
    <row r="349">
      <c r="A349" s="8">
        <f>'01_Raw_Data'!A349</f>
        <v/>
      </c>
      <c r="B349" s="10">
        <f>IFERROR(DATEVALUE('01_Raw_Data'!B349), IF('01_Raw_Data'!B349="", DATE(2024,1,1), '01_Raw_Data'!B349))</f>
        <v/>
      </c>
      <c r="C349" s="8">
        <f>IF(OR('01_Raw_Data'!C349="",'01_Raw_Data'!C349="0"), "CUST-GUEST", TRIM('01_Raw_Data'!C349))</f>
        <v/>
      </c>
      <c r="D349" s="8">
        <f>PROPER(TRIM(CLEAN('01_Raw_Data'!D349)))</f>
        <v/>
      </c>
      <c r="E349" s="8">
        <f>ABS(IF(ISNUMBER(VALUE('01_Raw_Data'!F349)), VALUE('01_Raw_Data'!F349), 1))</f>
        <v/>
      </c>
      <c r="F349" s="9">
        <f>'01_Raw_Data'!G349</f>
        <v/>
      </c>
      <c r="G349" s="11">
        <f>IF(ISNUMBER('01_Raw_Data'!H349), '01_Raw_Data'!H349, IFERROR(VALUE(SUBSTITUTE('01_Raw_Data'!H349, "%", ""))/100, 0))</f>
        <v/>
      </c>
      <c r="H349" s="8">
        <f>PROPER(TRIM('01_Raw_Data'!J349))</f>
        <v/>
      </c>
      <c r="I349" s="8">
        <f>IF('01_Raw_Data'!K349="", "REG-NA", UPPER(TRIM('01_Raw_Data'!K349)))</f>
        <v/>
      </c>
      <c r="J349" s="8">
        <f>IF(OR('01_Raw_Data'!C349="", '01_Raw_Data'!F349&lt;0, ISNUMBER(SEARCH("%", '01_Raw_Data'!H349))), "FIXED ANOMALY", "PASSED")</f>
        <v/>
      </c>
      <c r="K349" s="8">
        <f>IF('01_Raw_Data'!F349&lt;0, "Converted Negative Quantity to ABS", IF('01_Raw_Data'!C349="", "Imputed Missing Customer ID", IF(ISNUMBER(SEARCH("%", '01_Raw_Data'!H349)), "Parsed Text % to Numeric Rate", "Standardized Format")))</f>
        <v/>
      </c>
    </row>
    <row r="350">
      <c r="A350" s="8">
        <f>'01_Raw_Data'!A350</f>
        <v/>
      </c>
      <c r="B350" s="10">
        <f>IFERROR(DATEVALUE('01_Raw_Data'!B350), IF('01_Raw_Data'!B350="", DATE(2024,1,1), '01_Raw_Data'!B350))</f>
        <v/>
      </c>
      <c r="C350" s="8">
        <f>IF(OR('01_Raw_Data'!C350="",'01_Raw_Data'!C350="0"), "CUST-GUEST", TRIM('01_Raw_Data'!C350))</f>
        <v/>
      </c>
      <c r="D350" s="8">
        <f>PROPER(TRIM(CLEAN('01_Raw_Data'!D350)))</f>
        <v/>
      </c>
      <c r="E350" s="8">
        <f>ABS(IF(ISNUMBER(VALUE('01_Raw_Data'!F350)), VALUE('01_Raw_Data'!F350), 1))</f>
        <v/>
      </c>
      <c r="F350" s="9">
        <f>'01_Raw_Data'!G350</f>
        <v/>
      </c>
      <c r="G350" s="11">
        <f>IF(ISNUMBER('01_Raw_Data'!H350), '01_Raw_Data'!H350, IFERROR(VALUE(SUBSTITUTE('01_Raw_Data'!H350, "%", ""))/100, 0))</f>
        <v/>
      </c>
      <c r="H350" s="8">
        <f>PROPER(TRIM('01_Raw_Data'!J350))</f>
        <v/>
      </c>
      <c r="I350" s="8">
        <f>IF('01_Raw_Data'!K350="", "REG-NA", UPPER(TRIM('01_Raw_Data'!K350)))</f>
        <v/>
      </c>
      <c r="J350" s="8">
        <f>IF(OR('01_Raw_Data'!C350="", '01_Raw_Data'!F350&lt;0, ISNUMBER(SEARCH("%", '01_Raw_Data'!H350))), "FIXED ANOMALY", "PASSED")</f>
        <v/>
      </c>
      <c r="K350" s="8">
        <f>IF('01_Raw_Data'!F350&lt;0, "Converted Negative Quantity to ABS", IF('01_Raw_Data'!C350="", "Imputed Missing Customer ID", IF(ISNUMBER(SEARCH("%", '01_Raw_Data'!H350)), "Parsed Text % to Numeric Rate", "Standardized Format")))</f>
        <v/>
      </c>
    </row>
    <row r="351">
      <c r="A351" s="8">
        <f>'01_Raw_Data'!A351</f>
        <v/>
      </c>
      <c r="B351" s="10">
        <f>IFERROR(DATEVALUE('01_Raw_Data'!B351), IF('01_Raw_Data'!B351="", DATE(2024,1,1), '01_Raw_Data'!B351))</f>
        <v/>
      </c>
      <c r="C351" s="8">
        <f>IF(OR('01_Raw_Data'!C351="",'01_Raw_Data'!C351="0"), "CUST-GUEST", TRIM('01_Raw_Data'!C351))</f>
        <v/>
      </c>
      <c r="D351" s="8">
        <f>PROPER(TRIM(CLEAN('01_Raw_Data'!D351)))</f>
        <v/>
      </c>
      <c r="E351" s="8">
        <f>ABS(IF(ISNUMBER(VALUE('01_Raw_Data'!F351)), VALUE('01_Raw_Data'!F351), 1))</f>
        <v/>
      </c>
      <c r="F351" s="9">
        <f>'01_Raw_Data'!G351</f>
        <v/>
      </c>
      <c r="G351" s="11">
        <f>IF(ISNUMBER('01_Raw_Data'!H351), '01_Raw_Data'!H351, IFERROR(VALUE(SUBSTITUTE('01_Raw_Data'!H351, "%", ""))/100, 0))</f>
        <v/>
      </c>
      <c r="H351" s="8">
        <f>PROPER(TRIM('01_Raw_Data'!J351))</f>
        <v/>
      </c>
      <c r="I351" s="8">
        <f>IF('01_Raw_Data'!K351="", "REG-NA", UPPER(TRIM('01_Raw_Data'!K351)))</f>
        <v/>
      </c>
      <c r="J351" s="8">
        <f>IF(OR('01_Raw_Data'!C351="", '01_Raw_Data'!F351&lt;0, ISNUMBER(SEARCH("%", '01_Raw_Data'!H351))), "FIXED ANOMALY", "PASSED")</f>
        <v/>
      </c>
      <c r="K351" s="8">
        <f>IF('01_Raw_Data'!F351&lt;0, "Converted Negative Quantity to ABS", IF('01_Raw_Data'!C351="", "Imputed Missing Customer ID", IF(ISNUMBER(SEARCH("%", '01_Raw_Data'!H351)), "Parsed Text % to Numeric Rate", "Standardized Format")))</f>
        <v/>
      </c>
    </row>
    <row r="352">
      <c r="A352" s="8">
        <f>'01_Raw_Data'!A352</f>
        <v/>
      </c>
      <c r="B352" s="10">
        <f>IFERROR(DATEVALUE('01_Raw_Data'!B352), IF('01_Raw_Data'!B352="", DATE(2024,1,1), '01_Raw_Data'!B352))</f>
        <v/>
      </c>
      <c r="C352" s="8">
        <f>IF(OR('01_Raw_Data'!C352="",'01_Raw_Data'!C352="0"), "CUST-GUEST", TRIM('01_Raw_Data'!C352))</f>
        <v/>
      </c>
      <c r="D352" s="8">
        <f>PROPER(TRIM(CLEAN('01_Raw_Data'!D352)))</f>
        <v/>
      </c>
      <c r="E352" s="8">
        <f>ABS(IF(ISNUMBER(VALUE('01_Raw_Data'!F352)), VALUE('01_Raw_Data'!F352), 1))</f>
        <v/>
      </c>
      <c r="F352" s="9">
        <f>'01_Raw_Data'!G352</f>
        <v/>
      </c>
      <c r="G352" s="11">
        <f>IF(ISNUMBER('01_Raw_Data'!H352), '01_Raw_Data'!H352, IFERROR(VALUE(SUBSTITUTE('01_Raw_Data'!H352, "%", ""))/100, 0))</f>
        <v/>
      </c>
      <c r="H352" s="8">
        <f>PROPER(TRIM('01_Raw_Data'!J352))</f>
        <v/>
      </c>
      <c r="I352" s="8">
        <f>IF('01_Raw_Data'!K352="", "REG-NA", UPPER(TRIM('01_Raw_Data'!K352)))</f>
        <v/>
      </c>
      <c r="J352" s="8">
        <f>IF(OR('01_Raw_Data'!C352="", '01_Raw_Data'!F352&lt;0, ISNUMBER(SEARCH("%", '01_Raw_Data'!H352))), "FIXED ANOMALY", "PASSED")</f>
        <v/>
      </c>
      <c r="K352" s="8">
        <f>IF('01_Raw_Data'!F352&lt;0, "Converted Negative Quantity to ABS", IF('01_Raw_Data'!C352="", "Imputed Missing Customer ID", IF(ISNUMBER(SEARCH("%", '01_Raw_Data'!H352)), "Parsed Text % to Numeric Rate", "Standardized Format")))</f>
        <v/>
      </c>
    </row>
    <row r="353">
      <c r="A353" s="8">
        <f>'01_Raw_Data'!A353</f>
        <v/>
      </c>
      <c r="B353" s="10">
        <f>IFERROR(DATEVALUE('01_Raw_Data'!B353), IF('01_Raw_Data'!B353="", DATE(2024,1,1), '01_Raw_Data'!B353))</f>
        <v/>
      </c>
      <c r="C353" s="8">
        <f>IF(OR('01_Raw_Data'!C353="",'01_Raw_Data'!C353="0"), "CUST-GUEST", TRIM('01_Raw_Data'!C353))</f>
        <v/>
      </c>
      <c r="D353" s="8">
        <f>PROPER(TRIM(CLEAN('01_Raw_Data'!D353)))</f>
        <v/>
      </c>
      <c r="E353" s="8">
        <f>ABS(IF(ISNUMBER(VALUE('01_Raw_Data'!F353)), VALUE('01_Raw_Data'!F353), 1))</f>
        <v/>
      </c>
      <c r="F353" s="9">
        <f>'01_Raw_Data'!G353</f>
        <v/>
      </c>
      <c r="G353" s="11">
        <f>IF(ISNUMBER('01_Raw_Data'!H353), '01_Raw_Data'!H353, IFERROR(VALUE(SUBSTITUTE('01_Raw_Data'!H353, "%", ""))/100, 0))</f>
        <v/>
      </c>
      <c r="H353" s="8">
        <f>PROPER(TRIM('01_Raw_Data'!J353))</f>
        <v/>
      </c>
      <c r="I353" s="8">
        <f>IF('01_Raw_Data'!K353="", "REG-NA", UPPER(TRIM('01_Raw_Data'!K353)))</f>
        <v/>
      </c>
      <c r="J353" s="8">
        <f>IF(OR('01_Raw_Data'!C353="", '01_Raw_Data'!F353&lt;0, ISNUMBER(SEARCH("%", '01_Raw_Data'!H353))), "FIXED ANOMALY", "PASSED")</f>
        <v/>
      </c>
      <c r="K353" s="8">
        <f>IF('01_Raw_Data'!F353&lt;0, "Converted Negative Quantity to ABS", IF('01_Raw_Data'!C353="", "Imputed Missing Customer ID", IF(ISNUMBER(SEARCH("%", '01_Raw_Data'!H353)), "Parsed Text % to Numeric Rate", "Standardized Format")))</f>
        <v/>
      </c>
    </row>
    <row r="354">
      <c r="A354" s="8">
        <f>'01_Raw_Data'!A354</f>
        <v/>
      </c>
      <c r="B354" s="10">
        <f>IFERROR(DATEVALUE('01_Raw_Data'!B354), IF('01_Raw_Data'!B354="", DATE(2024,1,1), '01_Raw_Data'!B354))</f>
        <v/>
      </c>
      <c r="C354" s="8">
        <f>IF(OR('01_Raw_Data'!C354="",'01_Raw_Data'!C354="0"), "CUST-GUEST", TRIM('01_Raw_Data'!C354))</f>
        <v/>
      </c>
      <c r="D354" s="8">
        <f>PROPER(TRIM(CLEAN('01_Raw_Data'!D354)))</f>
        <v/>
      </c>
      <c r="E354" s="8">
        <f>ABS(IF(ISNUMBER(VALUE('01_Raw_Data'!F354)), VALUE('01_Raw_Data'!F354), 1))</f>
        <v/>
      </c>
      <c r="F354" s="9">
        <f>'01_Raw_Data'!G354</f>
        <v/>
      </c>
      <c r="G354" s="11">
        <f>IF(ISNUMBER('01_Raw_Data'!H354), '01_Raw_Data'!H354, IFERROR(VALUE(SUBSTITUTE('01_Raw_Data'!H354, "%", ""))/100, 0))</f>
        <v/>
      </c>
      <c r="H354" s="8">
        <f>PROPER(TRIM('01_Raw_Data'!J354))</f>
        <v/>
      </c>
      <c r="I354" s="8">
        <f>IF('01_Raw_Data'!K354="", "REG-NA", UPPER(TRIM('01_Raw_Data'!K354)))</f>
        <v/>
      </c>
      <c r="J354" s="8">
        <f>IF(OR('01_Raw_Data'!C354="", '01_Raw_Data'!F354&lt;0, ISNUMBER(SEARCH("%", '01_Raw_Data'!H354))), "FIXED ANOMALY", "PASSED")</f>
        <v/>
      </c>
      <c r="K354" s="8">
        <f>IF('01_Raw_Data'!F354&lt;0, "Converted Negative Quantity to ABS", IF('01_Raw_Data'!C354="", "Imputed Missing Customer ID", IF(ISNUMBER(SEARCH("%", '01_Raw_Data'!H354)), "Parsed Text % to Numeric Rate", "Standardized Format")))</f>
        <v/>
      </c>
    </row>
    <row r="355">
      <c r="A355" s="8">
        <f>'01_Raw_Data'!A355</f>
        <v/>
      </c>
      <c r="B355" s="10">
        <f>IFERROR(DATEVALUE('01_Raw_Data'!B355), IF('01_Raw_Data'!B355="", DATE(2024,1,1), '01_Raw_Data'!B355))</f>
        <v/>
      </c>
      <c r="C355" s="8">
        <f>IF(OR('01_Raw_Data'!C355="",'01_Raw_Data'!C355="0"), "CUST-GUEST", TRIM('01_Raw_Data'!C355))</f>
        <v/>
      </c>
      <c r="D355" s="8">
        <f>PROPER(TRIM(CLEAN('01_Raw_Data'!D355)))</f>
        <v/>
      </c>
      <c r="E355" s="8">
        <f>ABS(IF(ISNUMBER(VALUE('01_Raw_Data'!F355)), VALUE('01_Raw_Data'!F355), 1))</f>
        <v/>
      </c>
      <c r="F355" s="9">
        <f>'01_Raw_Data'!G355</f>
        <v/>
      </c>
      <c r="G355" s="11">
        <f>IF(ISNUMBER('01_Raw_Data'!H355), '01_Raw_Data'!H355, IFERROR(VALUE(SUBSTITUTE('01_Raw_Data'!H355, "%", ""))/100, 0))</f>
        <v/>
      </c>
      <c r="H355" s="8">
        <f>PROPER(TRIM('01_Raw_Data'!J355))</f>
        <v/>
      </c>
      <c r="I355" s="8">
        <f>IF('01_Raw_Data'!K355="", "REG-NA", UPPER(TRIM('01_Raw_Data'!K355)))</f>
        <v/>
      </c>
      <c r="J355" s="8">
        <f>IF(OR('01_Raw_Data'!C355="", '01_Raw_Data'!F355&lt;0, ISNUMBER(SEARCH("%", '01_Raw_Data'!H355))), "FIXED ANOMALY", "PASSED")</f>
        <v/>
      </c>
      <c r="K355" s="8">
        <f>IF('01_Raw_Data'!F355&lt;0, "Converted Negative Quantity to ABS", IF('01_Raw_Data'!C355="", "Imputed Missing Customer ID", IF(ISNUMBER(SEARCH("%", '01_Raw_Data'!H355)), "Parsed Text % to Numeric Rate", "Standardized Format")))</f>
        <v/>
      </c>
    </row>
    <row r="356">
      <c r="A356" s="8">
        <f>'01_Raw_Data'!A356</f>
        <v/>
      </c>
      <c r="B356" s="10">
        <f>IFERROR(DATEVALUE('01_Raw_Data'!B356), IF('01_Raw_Data'!B356="", DATE(2024,1,1), '01_Raw_Data'!B356))</f>
        <v/>
      </c>
      <c r="C356" s="8">
        <f>IF(OR('01_Raw_Data'!C356="",'01_Raw_Data'!C356="0"), "CUST-GUEST", TRIM('01_Raw_Data'!C356))</f>
        <v/>
      </c>
      <c r="D356" s="8">
        <f>PROPER(TRIM(CLEAN('01_Raw_Data'!D356)))</f>
        <v/>
      </c>
      <c r="E356" s="8">
        <f>ABS(IF(ISNUMBER(VALUE('01_Raw_Data'!F356)), VALUE('01_Raw_Data'!F356), 1))</f>
        <v/>
      </c>
      <c r="F356" s="9">
        <f>'01_Raw_Data'!G356</f>
        <v/>
      </c>
      <c r="G356" s="11">
        <f>IF(ISNUMBER('01_Raw_Data'!H356), '01_Raw_Data'!H356, IFERROR(VALUE(SUBSTITUTE('01_Raw_Data'!H356, "%", ""))/100, 0))</f>
        <v/>
      </c>
      <c r="H356" s="8">
        <f>PROPER(TRIM('01_Raw_Data'!J356))</f>
        <v/>
      </c>
      <c r="I356" s="8">
        <f>IF('01_Raw_Data'!K356="", "REG-NA", UPPER(TRIM('01_Raw_Data'!K356)))</f>
        <v/>
      </c>
      <c r="J356" s="8">
        <f>IF(OR('01_Raw_Data'!C356="", '01_Raw_Data'!F356&lt;0, ISNUMBER(SEARCH("%", '01_Raw_Data'!H356))), "FIXED ANOMALY", "PASSED")</f>
        <v/>
      </c>
      <c r="K356" s="8">
        <f>IF('01_Raw_Data'!F356&lt;0, "Converted Negative Quantity to ABS", IF('01_Raw_Data'!C356="", "Imputed Missing Customer ID", IF(ISNUMBER(SEARCH("%", '01_Raw_Data'!H356)), "Parsed Text % to Numeric Rate", "Standardized Format")))</f>
        <v/>
      </c>
    </row>
    <row r="357">
      <c r="A357" s="8">
        <f>'01_Raw_Data'!A357</f>
        <v/>
      </c>
      <c r="B357" s="10">
        <f>IFERROR(DATEVALUE('01_Raw_Data'!B357), IF('01_Raw_Data'!B357="", DATE(2024,1,1), '01_Raw_Data'!B357))</f>
        <v/>
      </c>
      <c r="C357" s="8">
        <f>IF(OR('01_Raw_Data'!C357="",'01_Raw_Data'!C357="0"), "CUST-GUEST", TRIM('01_Raw_Data'!C357))</f>
        <v/>
      </c>
      <c r="D357" s="8">
        <f>PROPER(TRIM(CLEAN('01_Raw_Data'!D357)))</f>
        <v/>
      </c>
      <c r="E357" s="8">
        <f>ABS(IF(ISNUMBER(VALUE('01_Raw_Data'!F357)), VALUE('01_Raw_Data'!F357), 1))</f>
        <v/>
      </c>
      <c r="F357" s="9">
        <f>'01_Raw_Data'!G357</f>
        <v/>
      </c>
      <c r="G357" s="11">
        <f>IF(ISNUMBER('01_Raw_Data'!H357), '01_Raw_Data'!H357, IFERROR(VALUE(SUBSTITUTE('01_Raw_Data'!H357, "%", ""))/100, 0))</f>
        <v/>
      </c>
      <c r="H357" s="8">
        <f>PROPER(TRIM('01_Raw_Data'!J357))</f>
        <v/>
      </c>
      <c r="I357" s="8">
        <f>IF('01_Raw_Data'!K357="", "REG-NA", UPPER(TRIM('01_Raw_Data'!K357)))</f>
        <v/>
      </c>
      <c r="J357" s="8">
        <f>IF(OR('01_Raw_Data'!C357="", '01_Raw_Data'!F357&lt;0, ISNUMBER(SEARCH("%", '01_Raw_Data'!H357))), "FIXED ANOMALY", "PASSED")</f>
        <v/>
      </c>
      <c r="K357" s="8">
        <f>IF('01_Raw_Data'!F357&lt;0, "Converted Negative Quantity to ABS", IF('01_Raw_Data'!C357="", "Imputed Missing Customer ID", IF(ISNUMBER(SEARCH("%", '01_Raw_Data'!H357)), "Parsed Text % to Numeric Rate", "Standardized Format")))</f>
        <v/>
      </c>
    </row>
    <row r="358">
      <c r="A358" s="8">
        <f>'01_Raw_Data'!A358</f>
        <v/>
      </c>
      <c r="B358" s="10">
        <f>IFERROR(DATEVALUE('01_Raw_Data'!B358), IF('01_Raw_Data'!B358="", DATE(2024,1,1), '01_Raw_Data'!B358))</f>
        <v/>
      </c>
      <c r="C358" s="8">
        <f>IF(OR('01_Raw_Data'!C358="",'01_Raw_Data'!C358="0"), "CUST-GUEST", TRIM('01_Raw_Data'!C358))</f>
        <v/>
      </c>
      <c r="D358" s="8">
        <f>PROPER(TRIM(CLEAN('01_Raw_Data'!D358)))</f>
        <v/>
      </c>
      <c r="E358" s="8">
        <f>ABS(IF(ISNUMBER(VALUE('01_Raw_Data'!F358)), VALUE('01_Raw_Data'!F358), 1))</f>
        <v/>
      </c>
      <c r="F358" s="9">
        <f>'01_Raw_Data'!G358</f>
        <v/>
      </c>
      <c r="G358" s="11">
        <f>IF(ISNUMBER('01_Raw_Data'!H358), '01_Raw_Data'!H358, IFERROR(VALUE(SUBSTITUTE('01_Raw_Data'!H358, "%", ""))/100, 0))</f>
        <v/>
      </c>
      <c r="H358" s="8">
        <f>PROPER(TRIM('01_Raw_Data'!J358))</f>
        <v/>
      </c>
      <c r="I358" s="8">
        <f>IF('01_Raw_Data'!K358="", "REG-NA", UPPER(TRIM('01_Raw_Data'!K358)))</f>
        <v/>
      </c>
      <c r="J358" s="8">
        <f>IF(OR('01_Raw_Data'!C358="", '01_Raw_Data'!F358&lt;0, ISNUMBER(SEARCH("%", '01_Raw_Data'!H358))), "FIXED ANOMALY", "PASSED")</f>
        <v/>
      </c>
      <c r="K358" s="8">
        <f>IF('01_Raw_Data'!F358&lt;0, "Converted Negative Quantity to ABS", IF('01_Raw_Data'!C358="", "Imputed Missing Customer ID", IF(ISNUMBER(SEARCH("%", '01_Raw_Data'!H358)), "Parsed Text % to Numeric Rate", "Standardized Format")))</f>
        <v/>
      </c>
    </row>
    <row r="359">
      <c r="A359" s="8">
        <f>'01_Raw_Data'!A359</f>
        <v/>
      </c>
      <c r="B359" s="10">
        <f>IFERROR(DATEVALUE('01_Raw_Data'!B359), IF('01_Raw_Data'!B359="", DATE(2024,1,1), '01_Raw_Data'!B359))</f>
        <v/>
      </c>
      <c r="C359" s="8">
        <f>IF(OR('01_Raw_Data'!C359="",'01_Raw_Data'!C359="0"), "CUST-GUEST", TRIM('01_Raw_Data'!C359))</f>
        <v/>
      </c>
      <c r="D359" s="8">
        <f>PROPER(TRIM(CLEAN('01_Raw_Data'!D359)))</f>
        <v/>
      </c>
      <c r="E359" s="8">
        <f>ABS(IF(ISNUMBER(VALUE('01_Raw_Data'!F359)), VALUE('01_Raw_Data'!F359), 1))</f>
        <v/>
      </c>
      <c r="F359" s="9">
        <f>'01_Raw_Data'!G359</f>
        <v/>
      </c>
      <c r="G359" s="11">
        <f>IF(ISNUMBER('01_Raw_Data'!H359), '01_Raw_Data'!H359, IFERROR(VALUE(SUBSTITUTE('01_Raw_Data'!H359, "%", ""))/100, 0))</f>
        <v/>
      </c>
      <c r="H359" s="8">
        <f>PROPER(TRIM('01_Raw_Data'!J359))</f>
        <v/>
      </c>
      <c r="I359" s="8">
        <f>IF('01_Raw_Data'!K359="", "REG-NA", UPPER(TRIM('01_Raw_Data'!K359)))</f>
        <v/>
      </c>
      <c r="J359" s="8">
        <f>IF(OR('01_Raw_Data'!C359="", '01_Raw_Data'!F359&lt;0, ISNUMBER(SEARCH("%", '01_Raw_Data'!H359))), "FIXED ANOMALY", "PASSED")</f>
        <v/>
      </c>
      <c r="K359" s="8">
        <f>IF('01_Raw_Data'!F359&lt;0, "Converted Negative Quantity to ABS", IF('01_Raw_Data'!C359="", "Imputed Missing Customer ID", IF(ISNUMBER(SEARCH("%", '01_Raw_Data'!H359)), "Parsed Text % to Numeric Rate", "Standardized Format")))</f>
        <v/>
      </c>
    </row>
    <row r="360">
      <c r="A360" s="8">
        <f>'01_Raw_Data'!A360</f>
        <v/>
      </c>
      <c r="B360" s="10">
        <f>IFERROR(DATEVALUE('01_Raw_Data'!B360), IF('01_Raw_Data'!B360="", DATE(2024,1,1), '01_Raw_Data'!B360))</f>
        <v/>
      </c>
      <c r="C360" s="8">
        <f>IF(OR('01_Raw_Data'!C360="",'01_Raw_Data'!C360="0"), "CUST-GUEST", TRIM('01_Raw_Data'!C360))</f>
        <v/>
      </c>
      <c r="D360" s="8">
        <f>PROPER(TRIM(CLEAN('01_Raw_Data'!D360)))</f>
        <v/>
      </c>
      <c r="E360" s="8">
        <f>ABS(IF(ISNUMBER(VALUE('01_Raw_Data'!F360)), VALUE('01_Raw_Data'!F360), 1))</f>
        <v/>
      </c>
      <c r="F360" s="9">
        <f>'01_Raw_Data'!G360</f>
        <v/>
      </c>
      <c r="G360" s="11">
        <f>IF(ISNUMBER('01_Raw_Data'!H360), '01_Raw_Data'!H360, IFERROR(VALUE(SUBSTITUTE('01_Raw_Data'!H360, "%", ""))/100, 0))</f>
        <v/>
      </c>
      <c r="H360" s="8">
        <f>PROPER(TRIM('01_Raw_Data'!J360))</f>
        <v/>
      </c>
      <c r="I360" s="8">
        <f>IF('01_Raw_Data'!K360="", "REG-NA", UPPER(TRIM('01_Raw_Data'!K360)))</f>
        <v/>
      </c>
      <c r="J360" s="8">
        <f>IF(OR('01_Raw_Data'!C360="", '01_Raw_Data'!F360&lt;0, ISNUMBER(SEARCH("%", '01_Raw_Data'!H360))), "FIXED ANOMALY", "PASSED")</f>
        <v/>
      </c>
      <c r="K360" s="8">
        <f>IF('01_Raw_Data'!F360&lt;0, "Converted Negative Quantity to ABS", IF('01_Raw_Data'!C360="", "Imputed Missing Customer ID", IF(ISNUMBER(SEARCH("%", '01_Raw_Data'!H360)), "Parsed Text % to Numeric Rate", "Standardized Format")))</f>
        <v/>
      </c>
    </row>
    <row r="361">
      <c r="A361" s="8">
        <f>'01_Raw_Data'!A361</f>
        <v/>
      </c>
      <c r="B361" s="10">
        <f>IFERROR(DATEVALUE('01_Raw_Data'!B361), IF('01_Raw_Data'!B361="", DATE(2024,1,1), '01_Raw_Data'!B361))</f>
        <v/>
      </c>
      <c r="C361" s="8">
        <f>IF(OR('01_Raw_Data'!C361="",'01_Raw_Data'!C361="0"), "CUST-GUEST", TRIM('01_Raw_Data'!C361))</f>
        <v/>
      </c>
      <c r="D361" s="8">
        <f>PROPER(TRIM(CLEAN('01_Raw_Data'!D361)))</f>
        <v/>
      </c>
      <c r="E361" s="8">
        <f>ABS(IF(ISNUMBER(VALUE('01_Raw_Data'!F361)), VALUE('01_Raw_Data'!F361), 1))</f>
        <v/>
      </c>
      <c r="F361" s="9">
        <f>'01_Raw_Data'!G361</f>
        <v/>
      </c>
      <c r="G361" s="11">
        <f>IF(ISNUMBER('01_Raw_Data'!H361), '01_Raw_Data'!H361, IFERROR(VALUE(SUBSTITUTE('01_Raw_Data'!H361, "%", ""))/100, 0))</f>
        <v/>
      </c>
      <c r="H361" s="8">
        <f>PROPER(TRIM('01_Raw_Data'!J361))</f>
        <v/>
      </c>
      <c r="I361" s="8">
        <f>IF('01_Raw_Data'!K361="", "REG-NA", UPPER(TRIM('01_Raw_Data'!K361)))</f>
        <v/>
      </c>
      <c r="J361" s="8">
        <f>IF(OR('01_Raw_Data'!C361="", '01_Raw_Data'!F361&lt;0, ISNUMBER(SEARCH("%", '01_Raw_Data'!H361))), "FIXED ANOMALY", "PASSED")</f>
        <v/>
      </c>
      <c r="K361" s="8">
        <f>IF('01_Raw_Data'!F361&lt;0, "Converted Negative Quantity to ABS", IF('01_Raw_Data'!C361="", "Imputed Missing Customer ID", IF(ISNUMBER(SEARCH("%", '01_Raw_Data'!H361)), "Parsed Text % to Numeric Rate", "Standardized Format")))</f>
        <v/>
      </c>
    </row>
    <row r="362">
      <c r="A362" s="8">
        <f>'01_Raw_Data'!A362</f>
        <v/>
      </c>
      <c r="B362" s="10">
        <f>IFERROR(DATEVALUE('01_Raw_Data'!B362), IF('01_Raw_Data'!B362="", DATE(2024,1,1), '01_Raw_Data'!B362))</f>
        <v/>
      </c>
      <c r="C362" s="8">
        <f>IF(OR('01_Raw_Data'!C362="",'01_Raw_Data'!C362="0"), "CUST-GUEST", TRIM('01_Raw_Data'!C362))</f>
        <v/>
      </c>
      <c r="D362" s="8">
        <f>PROPER(TRIM(CLEAN('01_Raw_Data'!D362)))</f>
        <v/>
      </c>
      <c r="E362" s="8">
        <f>ABS(IF(ISNUMBER(VALUE('01_Raw_Data'!F362)), VALUE('01_Raw_Data'!F362), 1))</f>
        <v/>
      </c>
      <c r="F362" s="9">
        <f>'01_Raw_Data'!G362</f>
        <v/>
      </c>
      <c r="G362" s="11">
        <f>IF(ISNUMBER('01_Raw_Data'!H362), '01_Raw_Data'!H362, IFERROR(VALUE(SUBSTITUTE('01_Raw_Data'!H362, "%", ""))/100, 0))</f>
        <v/>
      </c>
      <c r="H362" s="8">
        <f>PROPER(TRIM('01_Raw_Data'!J362))</f>
        <v/>
      </c>
      <c r="I362" s="8">
        <f>IF('01_Raw_Data'!K362="", "REG-NA", UPPER(TRIM('01_Raw_Data'!K362)))</f>
        <v/>
      </c>
      <c r="J362" s="8">
        <f>IF(OR('01_Raw_Data'!C362="", '01_Raw_Data'!F362&lt;0, ISNUMBER(SEARCH("%", '01_Raw_Data'!H362))), "FIXED ANOMALY", "PASSED")</f>
        <v/>
      </c>
      <c r="K362" s="8">
        <f>IF('01_Raw_Data'!F362&lt;0, "Converted Negative Quantity to ABS", IF('01_Raw_Data'!C362="", "Imputed Missing Customer ID", IF(ISNUMBER(SEARCH("%", '01_Raw_Data'!H362)), "Parsed Text % to Numeric Rate", "Standardized Format")))</f>
        <v/>
      </c>
    </row>
    <row r="363">
      <c r="A363" s="8">
        <f>'01_Raw_Data'!A363</f>
        <v/>
      </c>
      <c r="B363" s="10">
        <f>IFERROR(DATEVALUE('01_Raw_Data'!B363), IF('01_Raw_Data'!B363="", DATE(2024,1,1), '01_Raw_Data'!B363))</f>
        <v/>
      </c>
      <c r="C363" s="8">
        <f>IF(OR('01_Raw_Data'!C363="",'01_Raw_Data'!C363="0"), "CUST-GUEST", TRIM('01_Raw_Data'!C363))</f>
        <v/>
      </c>
      <c r="D363" s="8">
        <f>PROPER(TRIM(CLEAN('01_Raw_Data'!D363)))</f>
        <v/>
      </c>
      <c r="E363" s="8">
        <f>ABS(IF(ISNUMBER(VALUE('01_Raw_Data'!F363)), VALUE('01_Raw_Data'!F363), 1))</f>
        <v/>
      </c>
      <c r="F363" s="9">
        <f>'01_Raw_Data'!G363</f>
        <v/>
      </c>
      <c r="G363" s="11">
        <f>IF(ISNUMBER('01_Raw_Data'!H363), '01_Raw_Data'!H363, IFERROR(VALUE(SUBSTITUTE('01_Raw_Data'!H363, "%", ""))/100, 0))</f>
        <v/>
      </c>
      <c r="H363" s="8">
        <f>PROPER(TRIM('01_Raw_Data'!J363))</f>
        <v/>
      </c>
      <c r="I363" s="8">
        <f>IF('01_Raw_Data'!K363="", "REG-NA", UPPER(TRIM('01_Raw_Data'!K363)))</f>
        <v/>
      </c>
      <c r="J363" s="8">
        <f>IF(OR('01_Raw_Data'!C363="", '01_Raw_Data'!F363&lt;0, ISNUMBER(SEARCH("%", '01_Raw_Data'!H363))), "FIXED ANOMALY", "PASSED")</f>
        <v/>
      </c>
      <c r="K363" s="8">
        <f>IF('01_Raw_Data'!F363&lt;0, "Converted Negative Quantity to ABS", IF('01_Raw_Data'!C363="", "Imputed Missing Customer ID", IF(ISNUMBER(SEARCH("%", '01_Raw_Data'!H363)), "Parsed Text % to Numeric Rate", "Standardized Format")))</f>
        <v/>
      </c>
    </row>
    <row r="364">
      <c r="A364" s="8">
        <f>'01_Raw_Data'!A364</f>
        <v/>
      </c>
      <c r="B364" s="10">
        <f>IFERROR(DATEVALUE('01_Raw_Data'!B364), IF('01_Raw_Data'!B364="", DATE(2024,1,1), '01_Raw_Data'!B364))</f>
        <v/>
      </c>
      <c r="C364" s="8">
        <f>IF(OR('01_Raw_Data'!C364="",'01_Raw_Data'!C364="0"), "CUST-GUEST", TRIM('01_Raw_Data'!C364))</f>
        <v/>
      </c>
      <c r="D364" s="8">
        <f>PROPER(TRIM(CLEAN('01_Raw_Data'!D364)))</f>
        <v/>
      </c>
      <c r="E364" s="8">
        <f>ABS(IF(ISNUMBER(VALUE('01_Raw_Data'!F364)), VALUE('01_Raw_Data'!F364), 1))</f>
        <v/>
      </c>
      <c r="F364" s="9">
        <f>'01_Raw_Data'!G364</f>
        <v/>
      </c>
      <c r="G364" s="11">
        <f>IF(ISNUMBER('01_Raw_Data'!H364), '01_Raw_Data'!H364, IFERROR(VALUE(SUBSTITUTE('01_Raw_Data'!H364, "%", ""))/100, 0))</f>
        <v/>
      </c>
      <c r="H364" s="8">
        <f>PROPER(TRIM('01_Raw_Data'!J364))</f>
        <v/>
      </c>
      <c r="I364" s="8">
        <f>IF('01_Raw_Data'!K364="", "REG-NA", UPPER(TRIM('01_Raw_Data'!K364)))</f>
        <v/>
      </c>
      <c r="J364" s="8">
        <f>IF(OR('01_Raw_Data'!C364="", '01_Raw_Data'!F364&lt;0, ISNUMBER(SEARCH("%", '01_Raw_Data'!H364))), "FIXED ANOMALY", "PASSED")</f>
        <v/>
      </c>
      <c r="K364" s="8">
        <f>IF('01_Raw_Data'!F364&lt;0, "Converted Negative Quantity to ABS", IF('01_Raw_Data'!C364="", "Imputed Missing Customer ID", IF(ISNUMBER(SEARCH("%", '01_Raw_Data'!H364)), "Parsed Text % to Numeric Rate", "Standardized Format")))</f>
        <v/>
      </c>
    </row>
    <row r="365">
      <c r="A365" s="8">
        <f>'01_Raw_Data'!A365</f>
        <v/>
      </c>
      <c r="B365" s="10">
        <f>IFERROR(DATEVALUE('01_Raw_Data'!B365), IF('01_Raw_Data'!B365="", DATE(2024,1,1), '01_Raw_Data'!B365))</f>
        <v/>
      </c>
      <c r="C365" s="8">
        <f>IF(OR('01_Raw_Data'!C365="",'01_Raw_Data'!C365="0"), "CUST-GUEST", TRIM('01_Raw_Data'!C365))</f>
        <v/>
      </c>
      <c r="D365" s="8">
        <f>PROPER(TRIM(CLEAN('01_Raw_Data'!D365)))</f>
        <v/>
      </c>
      <c r="E365" s="8">
        <f>ABS(IF(ISNUMBER(VALUE('01_Raw_Data'!F365)), VALUE('01_Raw_Data'!F365), 1))</f>
        <v/>
      </c>
      <c r="F365" s="9">
        <f>'01_Raw_Data'!G365</f>
        <v/>
      </c>
      <c r="G365" s="11">
        <f>IF(ISNUMBER('01_Raw_Data'!H365), '01_Raw_Data'!H365, IFERROR(VALUE(SUBSTITUTE('01_Raw_Data'!H365, "%", ""))/100, 0))</f>
        <v/>
      </c>
      <c r="H365" s="8">
        <f>PROPER(TRIM('01_Raw_Data'!J365))</f>
        <v/>
      </c>
      <c r="I365" s="8">
        <f>IF('01_Raw_Data'!K365="", "REG-NA", UPPER(TRIM('01_Raw_Data'!K365)))</f>
        <v/>
      </c>
      <c r="J365" s="8">
        <f>IF(OR('01_Raw_Data'!C365="", '01_Raw_Data'!F365&lt;0, ISNUMBER(SEARCH("%", '01_Raw_Data'!H365))), "FIXED ANOMALY", "PASSED")</f>
        <v/>
      </c>
      <c r="K365" s="8">
        <f>IF('01_Raw_Data'!F365&lt;0, "Converted Negative Quantity to ABS", IF('01_Raw_Data'!C365="", "Imputed Missing Customer ID", IF(ISNUMBER(SEARCH("%", '01_Raw_Data'!H365)), "Parsed Text % to Numeric Rate", "Standardized Format")))</f>
        <v/>
      </c>
    </row>
    <row r="366">
      <c r="A366" s="8">
        <f>'01_Raw_Data'!A366</f>
        <v/>
      </c>
      <c r="B366" s="10">
        <f>IFERROR(DATEVALUE('01_Raw_Data'!B366), IF('01_Raw_Data'!B366="", DATE(2024,1,1), '01_Raw_Data'!B366))</f>
        <v/>
      </c>
      <c r="C366" s="8">
        <f>IF(OR('01_Raw_Data'!C366="",'01_Raw_Data'!C366="0"), "CUST-GUEST", TRIM('01_Raw_Data'!C366))</f>
        <v/>
      </c>
      <c r="D366" s="8">
        <f>PROPER(TRIM(CLEAN('01_Raw_Data'!D366)))</f>
        <v/>
      </c>
      <c r="E366" s="8">
        <f>ABS(IF(ISNUMBER(VALUE('01_Raw_Data'!F366)), VALUE('01_Raw_Data'!F366), 1))</f>
        <v/>
      </c>
      <c r="F366" s="9">
        <f>'01_Raw_Data'!G366</f>
        <v/>
      </c>
      <c r="G366" s="11">
        <f>IF(ISNUMBER('01_Raw_Data'!H366), '01_Raw_Data'!H366, IFERROR(VALUE(SUBSTITUTE('01_Raw_Data'!H366, "%", ""))/100, 0))</f>
        <v/>
      </c>
      <c r="H366" s="8">
        <f>PROPER(TRIM('01_Raw_Data'!J366))</f>
        <v/>
      </c>
      <c r="I366" s="8">
        <f>IF('01_Raw_Data'!K366="", "REG-NA", UPPER(TRIM('01_Raw_Data'!K366)))</f>
        <v/>
      </c>
      <c r="J366" s="8">
        <f>IF(OR('01_Raw_Data'!C366="", '01_Raw_Data'!F366&lt;0, ISNUMBER(SEARCH("%", '01_Raw_Data'!H366))), "FIXED ANOMALY", "PASSED")</f>
        <v/>
      </c>
      <c r="K366" s="8">
        <f>IF('01_Raw_Data'!F366&lt;0, "Converted Negative Quantity to ABS", IF('01_Raw_Data'!C366="", "Imputed Missing Customer ID", IF(ISNUMBER(SEARCH("%", '01_Raw_Data'!H366)), "Parsed Text % to Numeric Rate", "Standardized Format")))</f>
        <v/>
      </c>
    </row>
    <row r="367">
      <c r="A367" s="8">
        <f>'01_Raw_Data'!A367</f>
        <v/>
      </c>
      <c r="B367" s="10">
        <f>IFERROR(DATEVALUE('01_Raw_Data'!B367), IF('01_Raw_Data'!B367="", DATE(2024,1,1), '01_Raw_Data'!B367))</f>
        <v/>
      </c>
      <c r="C367" s="8">
        <f>IF(OR('01_Raw_Data'!C367="",'01_Raw_Data'!C367="0"), "CUST-GUEST", TRIM('01_Raw_Data'!C367))</f>
        <v/>
      </c>
      <c r="D367" s="8">
        <f>PROPER(TRIM(CLEAN('01_Raw_Data'!D367)))</f>
        <v/>
      </c>
      <c r="E367" s="8">
        <f>ABS(IF(ISNUMBER(VALUE('01_Raw_Data'!F367)), VALUE('01_Raw_Data'!F367), 1))</f>
        <v/>
      </c>
      <c r="F367" s="9">
        <f>'01_Raw_Data'!G367</f>
        <v/>
      </c>
      <c r="G367" s="11">
        <f>IF(ISNUMBER('01_Raw_Data'!H367), '01_Raw_Data'!H367, IFERROR(VALUE(SUBSTITUTE('01_Raw_Data'!H367, "%", ""))/100, 0))</f>
        <v/>
      </c>
      <c r="H367" s="8">
        <f>PROPER(TRIM('01_Raw_Data'!J367))</f>
        <v/>
      </c>
      <c r="I367" s="8">
        <f>IF('01_Raw_Data'!K367="", "REG-NA", UPPER(TRIM('01_Raw_Data'!K367)))</f>
        <v/>
      </c>
      <c r="J367" s="8">
        <f>IF(OR('01_Raw_Data'!C367="", '01_Raw_Data'!F367&lt;0, ISNUMBER(SEARCH("%", '01_Raw_Data'!H367))), "FIXED ANOMALY", "PASSED")</f>
        <v/>
      </c>
      <c r="K367" s="8">
        <f>IF('01_Raw_Data'!F367&lt;0, "Converted Negative Quantity to ABS", IF('01_Raw_Data'!C367="", "Imputed Missing Customer ID", IF(ISNUMBER(SEARCH("%", '01_Raw_Data'!H367)), "Parsed Text % to Numeric Rate", "Standardized Format")))</f>
        <v/>
      </c>
    </row>
    <row r="368">
      <c r="A368" s="8">
        <f>'01_Raw_Data'!A368</f>
        <v/>
      </c>
      <c r="B368" s="10">
        <f>IFERROR(DATEVALUE('01_Raw_Data'!B368), IF('01_Raw_Data'!B368="", DATE(2024,1,1), '01_Raw_Data'!B368))</f>
        <v/>
      </c>
      <c r="C368" s="8">
        <f>IF(OR('01_Raw_Data'!C368="",'01_Raw_Data'!C368="0"), "CUST-GUEST", TRIM('01_Raw_Data'!C368))</f>
        <v/>
      </c>
      <c r="D368" s="8">
        <f>PROPER(TRIM(CLEAN('01_Raw_Data'!D368)))</f>
        <v/>
      </c>
      <c r="E368" s="8">
        <f>ABS(IF(ISNUMBER(VALUE('01_Raw_Data'!F368)), VALUE('01_Raw_Data'!F368), 1))</f>
        <v/>
      </c>
      <c r="F368" s="9">
        <f>'01_Raw_Data'!G368</f>
        <v/>
      </c>
      <c r="G368" s="11">
        <f>IF(ISNUMBER('01_Raw_Data'!H368), '01_Raw_Data'!H368, IFERROR(VALUE(SUBSTITUTE('01_Raw_Data'!H368, "%", ""))/100, 0))</f>
        <v/>
      </c>
      <c r="H368" s="8">
        <f>PROPER(TRIM('01_Raw_Data'!J368))</f>
        <v/>
      </c>
      <c r="I368" s="8">
        <f>IF('01_Raw_Data'!K368="", "REG-NA", UPPER(TRIM('01_Raw_Data'!K368)))</f>
        <v/>
      </c>
      <c r="J368" s="8">
        <f>IF(OR('01_Raw_Data'!C368="", '01_Raw_Data'!F368&lt;0, ISNUMBER(SEARCH("%", '01_Raw_Data'!H368))), "FIXED ANOMALY", "PASSED")</f>
        <v/>
      </c>
      <c r="K368" s="8">
        <f>IF('01_Raw_Data'!F368&lt;0, "Converted Negative Quantity to ABS", IF('01_Raw_Data'!C368="", "Imputed Missing Customer ID", IF(ISNUMBER(SEARCH("%", '01_Raw_Data'!H368)), "Parsed Text % to Numeric Rate", "Standardized Format")))</f>
        <v/>
      </c>
    </row>
    <row r="369">
      <c r="A369" s="8">
        <f>'01_Raw_Data'!A369</f>
        <v/>
      </c>
      <c r="B369" s="10">
        <f>IFERROR(DATEVALUE('01_Raw_Data'!B369), IF('01_Raw_Data'!B369="", DATE(2024,1,1), '01_Raw_Data'!B369))</f>
        <v/>
      </c>
      <c r="C369" s="8">
        <f>IF(OR('01_Raw_Data'!C369="",'01_Raw_Data'!C369="0"), "CUST-GUEST", TRIM('01_Raw_Data'!C369))</f>
        <v/>
      </c>
      <c r="D369" s="8">
        <f>PROPER(TRIM(CLEAN('01_Raw_Data'!D369)))</f>
        <v/>
      </c>
      <c r="E369" s="8">
        <f>ABS(IF(ISNUMBER(VALUE('01_Raw_Data'!F369)), VALUE('01_Raw_Data'!F369), 1))</f>
        <v/>
      </c>
      <c r="F369" s="9">
        <f>'01_Raw_Data'!G369</f>
        <v/>
      </c>
      <c r="G369" s="11">
        <f>IF(ISNUMBER('01_Raw_Data'!H369), '01_Raw_Data'!H369, IFERROR(VALUE(SUBSTITUTE('01_Raw_Data'!H369, "%", ""))/100, 0))</f>
        <v/>
      </c>
      <c r="H369" s="8">
        <f>PROPER(TRIM('01_Raw_Data'!J369))</f>
        <v/>
      </c>
      <c r="I369" s="8">
        <f>IF('01_Raw_Data'!K369="", "REG-NA", UPPER(TRIM('01_Raw_Data'!K369)))</f>
        <v/>
      </c>
      <c r="J369" s="8">
        <f>IF(OR('01_Raw_Data'!C369="", '01_Raw_Data'!F369&lt;0, ISNUMBER(SEARCH("%", '01_Raw_Data'!H369))), "FIXED ANOMALY", "PASSED")</f>
        <v/>
      </c>
      <c r="K369" s="8">
        <f>IF('01_Raw_Data'!F369&lt;0, "Converted Negative Quantity to ABS", IF('01_Raw_Data'!C369="", "Imputed Missing Customer ID", IF(ISNUMBER(SEARCH("%", '01_Raw_Data'!H369)), "Parsed Text % to Numeric Rate", "Standardized Format")))</f>
        <v/>
      </c>
    </row>
    <row r="370">
      <c r="A370" s="8">
        <f>'01_Raw_Data'!A370</f>
        <v/>
      </c>
      <c r="B370" s="10">
        <f>IFERROR(DATEVALUE('01_Raw_Data'!B370), IF('01_Raw_Data'!B370="", DATE(2024,1,1), '01_Raw_Data'!B370))</f>
        <v/>
      </c>
      <c r="C370" s="8">
        <f>IF(OR('01_Raw_Data'!C370="",'01_Raw_Data'!C370="0"), "CUST-GUEST", TRIM('01_Raw_Data'!C370))</f>
        <v/>
      </c>
      <c r="D370" s="8">
        <f>PROPER(TRIM(CLEAN('01_Raw_Data'!D370)))</f>
        <v/>
      </c>
      <c r="E370" s="8">
        <f>ABS(IF(ISNUMBER(VALUE('01_Raw_Data'!F370)), VALUE('01_Raw_Data'!F370), 1))</f>
        <v/>
      </c>
      <c r="F370" s="9">
        <f>'01_Raw_Data'!G370</f>
        <v/>
      </c>
      <c r="G370" s="11">
        <f>IF(ISNUMBER('01_Raw_Data'!H370), '01_Raw_Data'!H370, IFERROR(VALUE(SUBSTITUTE('01_Raw_Data'!H370, "%", ""))/100, 0))</f>
        <v/>
      </c>
      <c r="H370" s="8">
        <f>PROPER(TRIM('01_Raw_Data'!J370))</f>
        <v/>
      </c>
      <c r="I370" s="8">
        <f>IF('01_Raw_Data'!K370="", "REG-NA", UPPER(TRIM('01_Raw_Data'!K370)))</f>
        <v/>
      </c>
      <c r="J370" s="8">
        <f>IF(OR('01_Raw_Data'!C370="", '01_Raw_Data'!F370&lt;0, ISNUMBER(SEARCH("%", '01_Raw_Data'!H370))), "FIXED ANOMALY", "PASSED")</f>
        <v/>
      </c>
      <c r="K370" s="8">
        <f>IF('01_Raw_Data'!F370&lt;0, "Converted Negative Quantity to ABS", IF('01_Raw_Data'!C370="", "Imputed Missing Customer ID", IF(ISNUMBER(SEARCH("%", '01_Raw_Data'!H370)), "Parsed Text % to Numeric Rate", "Standardized Format")))</f>
        <v/>
      </c>
    </row>
    <row r="371">
      <c r="A371" s="8">
        <f>'01_Raw_Data'!A371</f>
        <v/>
      </c>
      <c r="B371" s="10">
        <f>IFERROR(DATEVALUE('01_Raw_Data'!B371), IF('01_Raw_Data'!B371="", DATE(2024,1,1), '01_Raw_Data'!B371))</f>
        <v/>
      </c>
      <c r="C371" s="8">
        <f>IF(OR('01_Raw_Data'!C371="",'01_Raw_Data'!C371="0"), "CUST-GUEST", TRIM('01_Raw_Data'!C371))</f>
        <v/>
      </c>
      <c r="D371" s="8">
        <f>PROPER(TRIM(CLEAN('01_Raw_Data'!D371)))</f>
        <v/>
      </c>
      <c r="E371" s="8">
        <f>ABS(IF(ISNUMBER(VALUE('01_Raw_Data'!F371)), VALUE('01_Raw_Data'!F371), 1))</f>
        <v/>
      </c>
      <c r="F371" s="9">
        <f>'01_Raw_Data'!G371</f>
        <v/>
      </c>
      <c r="G371" s="11">
        <f>IF(ISNUMBER('01_Raw_Data'!H371), '01_Raw_Data'!H371, IFERROR(VALUE(SUBSTITUTE('01_Raw_Data'!H371, "%", ""))/100, 0))</f>
        <v/>
      </c>
      <c r="H371" s="8">
        <f>PROPER(TRIM('01_Raw_Data'!J371))</f>
        <v/>
      </c>
      <c r="I371" s="8">
        <f>IF('01_Raw_Data'!K371="", "REG-NA", UPPER(TRIM('01_Raw_Data'!K371)))</f>
        <v/>
      </c>
      <c r="J371" s="8">
        <f>IF(OR('01_Raw_Data'!C371="", '01_Raw_Data'!F371&lt;0, ISNUMBER(SEARCH("%", '01_Raw_Data'!H371))), "FIXED ANOMALY", "PASSED")</f>
        <v/>
      </c>
      <c r="K371" s="8">
        <f>IF('01_Raw_Data'!F371&lt;0, "Converted Negative Quantity to ABS", IF('01_Raw_Data'!C371="", "Imputed Missing Customer ID", IF(ISNUMBER(SEARCH("%", '01_Raw_Data'!H371)), "Parsed Text % to Numeric Rate", "Standardized Format")))</f>
        <v/>
      </c>
    </row>
    <row r="372">
      <c r="A372" s="8">
        <f>'01_Raw_Data'!A372</f>
        <v/>
      </c>
      <c r="B372" s="10">
        <f>IFERROR(DATEVALUE('01_Raw_Data'!B372), IF('01_Raw_Data'!B372="", DATE(2024,1,1), '01_Raw_Data'!B372))</f>
        <v/>
      </c>
      <c r="C372" s="8">
        <f>IF(OR('01_Raw_Data'!C372="",'01_Raw_Data'!C372="0"), "CUST-GUEST", TRIM('01_Raw_Data'!C372))</f>
        <v/>
      </c>
      <c r="D372" s="8">
        <f>PROPER(TRIM(CLEAN('01_Raw_Data'!D372)))</f>
        <v/>
      </c>
      <c r="E372" s="8">
        <f>ABS(IF(ISNUMBER(VALUE('01_Raw_Data'!F372)), VALUE('01_Raw_Data'!F372), 1))</f>
        <v/>
      </c>
      <c r="F372" s="9">
        <f>'01_Raw_Data'!G372</f>
        <v/>
      </c>
      <c r="G372" s="11">
        <f>IF(ISNUMBER('01_Raw_Data'!H372), '01_Raw_Data'!H372, IFERROR(VALUE(SUBSTITUTE('01_Raw_Data'!H372, "%", ""))/100, 0))</f>
        <v/>
      </c>
      <c r="H372" s="8">
        <f>PROPER(TRIM('01_Raw_Data'!J372))</f>
        <v/>
      </c>
      <c r="I372" s="8">
        <f>IF('01_Raw_Data'!K372="", "REG-NA", UPPER(TRIM('01_Raw_Data'!K372)))</f>
        <v/>
      </c>
      <c r="J372" s="8">
        <f>IF(OR('01_Raw_Data'!C372="", '01_Raw_Data'!F372&lt;0, ISNUMBER(SEARCH("%", '01_Raw_Data'!H372))), "FIXED ANOMALY", "PASSED")</f>
        <v/>
      </c>
      <c r="K372" s="8">
        <f>IF('01_Raw_Data'!F372&lt;0, "Converted Negative Quantity to ABS", IF('01_Raw_Data'!C372="", "Imputed Missing Customer ID", IF(ISNUMBER(SEARCH("%", '01_Raw_Data'!H372)), "Parsed Text % to Numeric Rate", "Standardized Format")))</f>
        <v/>
      </c>
    </row>
    <row r="373">
      <c r="A373" s="8">
        <f>'01_Raw_Data'!A373</f>
        <v/>
      </c>
      <c r="B373" s="10">
        <f>IFERROR(DATEVALUE('01_Raw_Data'!B373), IF('01_Raw_Data'!B373="", DATE(2024,1,1), '01_Raw_Data'!B373))</f>
        <v/>
      </c>
      <c r="C373" s="8">
        <f>IF(OR('01_Raw_Data'!C373="",'01_Raw_Data'!C373="0"), "CUST-GUEST", TRIM('01_Raw_Data'!C373))</f>
        <v/>
      </c>
      <c r="D373" s="8">
        <f>PROPER(TRIM(CLEAN('01_Raw_Data'!D373)))</f>
        <v/>
      </c>
      <c r="E373" s="8">
        <f>ABS(IF(ISNUMBER(VALUE('01_Raw_Data'!F373)), VALUE('01_Raw_Data'!F373), 1))</f>
        <v/>
      </c>
      <c r="F373" s="9">
        <f>'01_Raw_Data'!G373</f>
        <v/>
      </c>
      <c r="G373" s="11">
        <f>IF(ISNUMBER('01_Raw_Data'!H373), '01_Raw_Data'!H373, IFERROR(VALUE(SUBSTITUTE('01_Raw_Data'!H373, "%", ""))/100, 0))</f>
        <v/>
      </c>
      <c r="H373" s="8">
        <f>PROPER(TRIM('01_Raw_Data'!J373))</f>
        <v/>
      </c>
      <c r="I373" s="8">
        <f>IF('01_Raw_Data'!K373="", "REG-NA", UPPER(TRIM('01_Raw_Data'!K373)))</f>
        <v/>
      </c>
      <c r="J373" s="8">
        <f>IF(OR('01_Raw_Data'!C373="", '01_Raw_Data'!F373&lt;0, ISNUMBER(SEARCH("%", '01_Raw_Data'!H373))), "FIXED ANOMALY", "PASSED")</f>
        <v/>
      </c>
      <c r="K373" s="8">
        <f>IF('01_Raw_Data'!F373&lt;0, "Converted Negative Quantity to ABS", IF('01_Raw_Data'!C373="", "Imputed Missing Customer ID", IF(ISNUMBER(SEARCH("%", '01_Raw_Data'!H373)), "Parsed Text % to Numeric Rate", "Standardized Format")))</f>
        <v/>
      </c>
    </row>
    <row r="374">
      <c r="A374" s="8">
        <f>'01_Raw_Data'!A374</f>
        <v/>
      </c>
      <c r="B374" s="10">
        <f>IFERROR(DATEVALUE('01_Raw_Data'!B374), IF('01_Raw_Data'!B374="", DATE(2024,1,1), '01_Raw_Data'!B374))</f>
        <v/>
      </c>
      <c r="C374" s="8">
        <f>IF(OR('01_Raw_Data'!C374="",'01_Raw_Data'!C374="0"), "CUST-GUEST", TRIM('01_Raw_Data'!C374))</f>
        <v/>
      </c>
      <c r="D374" s="8">
        <f>PROPER(TRIM(CLEAN('01_Raw_Data'!D374)))</f>
        <v/>
      </c>
      <c r="E374" s="8">
        <f>ABS(IF(ISNUMBER(VALUE('01_Raw_Data'!F374)), VALUE('01_Raw_Data'!F374), 1))</f>
        <v/>
      </c>
      <c r="F374" s="9">
        <f>'01_Raw_Data'!G374</f>
        <v/>
      </c>
      <c r="G374" s="11">
        <f>IF(ISNUMBER('01_Raw_Data'!H374), '01_Raw_Data'!H374, IFERROR(VALUE(SUBSTITUTE('01_Raw_Data'!H374, "%", ""))/100, 0))</f>
        <v/>
      </c>
      <c r="H374" s="8">
        <f>PROPER(TRIM('01_Raw_Data'!J374))</f>
        <v/>
      </c>
      <c r="I374" s="8">
        <f>IF('01_Raw_Data'!K374="", "REG-NA", UPPER(TRIM('01_Raw_Data'!K374)))</f>
        <v/>
      </c>
      <c r="J374" s="8">
        <f>IF(OR('01_Raw_Data'!C374="", '01_Raw_Data'!F374&lt;0, ISNUMBER(SEARCH("%", '01_Raw_Data'!H374))), "FIXED ANOMALY", "PASSED")</f>
        <v/>
      </c>
      <c r="K374" s="8">
        <f>IF('01_Raw_Data'!F374&lt;0, "Converted Negative Quantity to ABS", IF('01_Raw_Data'!C374="", "Imputed Missing Customer ID", IF(ISNUMBER(SEARCH("%", '01_Raw_Data'!H374)), "Parsed Text % to Numeric Rate", "Standardized Format")))</f>
        <v/>
      </c>
    </row>
    <row r="375">
      <c r="A375" s="8">
        <f>'01_Raw_Data'!A375</f>
        <v/>
      </c>
      <c r="B375" s="10">
        <f>IFERROR(DATEVALUE('01_Raw_Data'!B375), IF('01_Raw_Data'!B375="", DATE(2024,1,1), '01_Raw_Data'!B375))</f>
        <v/>
      </c>
      <c r="C375" s="8">
        <f>IF(OR('01_Raw_Data'!C375="",'01_Raw_Data'!C375="0"), "CUST-GUEST", TRIM('01_Raw_Data'!C375))</f>
        <v/>
      </c>
      <c r="D375" s="8">
        <f>PROPER(TRIM(CLEAN('01_Raw_Data'!D375)))</f>
        <v/>
      </c>
      <c r="E375" s="8">
        <f>ABS(IF(ISNUMBER(VALUE('01_Raw_Data'!F375)), VALUE('01_Raw_Data'!F375), 1))</f>
        <v/>
      </c>
      <c r="F375" s="9">
        <f>'01_Raw_Data'!G375</f>
        <v/>
      </c>
      <c r="G375" s="11">
        <f>IF(ISNUMBER('01_Raw_Data'!H375), '01_Raw_Data'!H375, IFERROR(VALUE(SUBSTITUTE('01_Raw_Data'!H375, "%", ""))/100, 0))</f>
        <v/>
      </c>
      <c r="H375" s="8">
        <f>PROPER(TRIM('01_Raw_Data'!J375))</f>
        <v/>
      </c>
      <c r="I375" s="8">
        <f>IF('01_Raw_Data'!K375="", "REG-NA", UPPER(TRIM('01_Raw_Data'!K375)))</f>
        <v/>
      </c>
      <c r="J375" s="8">
        <f>IF(OR('01_Raw_Data'!C375="", '01_Raw_Data'!F375&lt;0, ISNUMBER(SEARCH("%", '01_Raw_Data'!H375))), "FIXED ANOMALY", "PASSED")</f>
        <v/>
      </c>
      <c r="K375" s="8">
        <f>IF('01_Raw_Data'!F375&lt;0, "Converted Negative Quantity to ABS", IF('01_Raw_Data'!C375="", "Imputed Missing Customer ID", IF(ISNUMBER(SEARCH("%", '01_Raw_Data'!H375)), "Parsed Text % to Numeric Rate", "Standardized Format")))</f>
        <v/>
      </c>
    </row>
    <row r="376">
      <c r="A376" s="8">
        <f>'01_Raw_Data'!A376</f>
        <v/>
      </c>
      <c r="B376" s="10">
        <f>IFERROR(DATEVALUE('01_Raw_Data'!B376), IF('01_Raw_Data'!B376="", DATE(2024,1,1), '01_Raw_Data'!B376))</f>
        <v/>
      </c>
      <c r="C376" s="8">
        <f>IF(OR('01_Raw_Data'!C376="",'01_Raw_Data'!C376="0"), "CUST-GUEST", TRIM('01_Raw_Data'!C376))</f>
        <v/>
      </c>
      <c r="D376" s="8">
        <f>PROPER(TRIM(CLEAN('01_Raw_Data'!D376)))</f>
        <v/>
      </c>
      <c r="E376" s="8">
        <f>ABS(IF(ISNUMBER(VALUE('01_Raw_Data'!F376)), VALUE('01_Raw_Data'!F376), 1))</f>
        <v/>
      </c>
      <c r="F376" s="9">
        <f>'01_Raw_Data'!G376</f>
        <v/>
      </c>
      <c r="G376" s="11">
        <f>IF(ISNUMBER('01_Raw_Data'!H376), '01_Raw_Data'!H376, IFERROR(VALUE(SUBSTITUTE('01_Raw_Data'!H376, "%", ""))/100, 0))</f>
        <v/>
      </c>
      <c r="H376" s="8">
        <f>PROPER(TRIM('01_Raw_Data'!J376))</f>
        <v/>
      </c>
      <c r="I376" s="8">
        <f>IF('01_Raw_Data'!K376="", "REG-NA", UPPER(TRIM('01_Raw_Data'!K376)))</f>
        <v/>
      </c>
      <c r="J376" s="8">
        <f>IF(OR('01_Raw_Data'!C376="", '01_Raw_Data'!F376&lt;0, ISNUMBER(SEARCH("%", '01_Raw_Data'!H376))), "FIXED ANOMALY", "PASSED")</f>
        <v/>
      </c>
      <c r="K376" s="8">
        <f>IF('01_Raw_Data'!F376&lt;0, "Converted Negative Quantity to ABS", IF('01_Raw_Data'!C376="", "Imputed Missing Customer ID", IF(ISNUMBER(SEARCH("%", '01_Raw_Data'!H376)), "Parsed Text % to Numeric Rate", "Standardized Format")))</f>
        <v/>
      </c>
    </row>
    <row r="377">
      <c r="A377" s="8">
        <f>'01_Raw_Data'!A377</f>
        <v/>
      </c>
      <c r="B377" s="10">
        <f>IFERROR(DATEVALUE('01_Raw_Data'!B377), IF('01_Raw_Data'!B377="", DATE(2024,1,1), '01_Raw_Data'!B377))</f>
        <v/>
      </c>
      <c r="C377" s="8">
        <f>IF(OR('01_Raw_Data'!C377="",'01_Raw_Data'!C377="0"), "CUST-GUEST", TRIM('01_Raw_Data'!C377))</f>
        <v/>
      </c>
      <c r="D377" s="8">
        <f>PROPER(TRIM(CLEAN('01_Raw_Data'!D377)))</f>
        <v/>
      </c>
      <c r="E377" s="8">
        <f>ABS(IF(ISNUMBER(VALUE('01_Raw_Data'!F377)), VALUE('01_Raw_Data'!F377), 1))</f>
        <v/>
      </c>
      <c r="F377" s="9">
        <f>'01_Raw_Data'!G377</f>
        <v/>
      </c>
      <c r="G377" s="11">
        <f>IF(ISNUMBER('01_Raw_Data'!H377), '01_Raw_Data'!H377, IFERROR(VALUE(SUBSTITUTE('01_Raw_Data'!H377, "%", ""))/100, 0))</f>
        <v/>
      </c>
      <c r="H377" s="8">
        <f>PROPER(TRIM('01_Raw_Data'!J377))</f>
        <v/>
      </c>
      <c r="I377" s="8">
        <f>IF('01_Raw_Data'!K377="", "REG-NA", UPPER(TRIM('01_Raw_Data'!K377)))</f>
        <v/>
      </c>
      <c r="J377" s="8">
        <f>IF(OR('01_Raw_Data'!C377="", '01_Raw_Data'!F377&lt;0, ISNUMBER(SEARCH("%", '01_Raw_Data'!H377))), "FIXED ANOMALY", "PASSED")</f>
        <v/>
      </c>
      <c r="K377" s="8">
        <f>IF('01_Raw_Data'!F377&lt;0, "Converted Negative Quantity to ABS", IF('01_Raw_Data'!C377="", "Imputed Missing Customer ID", IF(ISNUMBER(SEARCH("%", '01_Raw_Data'!H377)), "Parsed Text % to Numeric Rate", "Standardized Format")))</f>
        <v/>
      </c>
    </row>
    <row r="378">
      <c r="A378" s="8">
        <f>'01_Raw_Data'!A378</f>
        <v/>
      </c>
      <c r="B378" s="10">
        <f>IFERROR(DATEVALUE('01_Raw_Data'!B378), IF('01_Raw_Data'!B378="", DATE(2024,1,1), '01_Raw_Data'!B378))</f>
        <v/>
      </c>
      <c r="C378" s="8">
        <f>IF(OR('01_Raw_Data'!C378="",'01_Raw_Data'!C378="0"), "CUST-GUEST", TRIM('01_Raw_Data'!C378))</f>
        <v/>
      </c>
      <c r="D378" s="8">
        <f>PROPER(TRIM(CLEAN('01_Raw_Data'!D378)))</f>
        <v/>
      </c>
      <c r="E378" s="8">
        <f>ABS(IF(ISNUMBER(VALUE('01_Raw_Data'!F378)), VALUE('01_Raw_Data'!F378), 1))</f>
        <v/>
      </c>
      <c r="F378" s="9">
        <f>'01_Raw_Data'!G378</f>
        <v/>
      </c>
      <c r="G378" s="11">
        <f>IF(ISNUMBER('01_Raw_Data'!H378), '01_Raw_Data'!H378, IFERROR(VALUE(SUBSTITUTE('01_Raw_Data'!H378, "%", ""))/100, 0))</f>
        <v/>
      </c>
      <c r="H378" s="8">
        <f>PROPER(TRIM('01_Raw_Data'!J378))</f>
        <v/>
      </c>
      <c r="I378" s="8">
        <f>IF('01_Raw_Data'!K378="", "REG-NA", UPPER(TRIM('01_Raw_Data'!K378)))</f>
        <v/>
      </c>
      <c r="J378" s="8">
        <f>IF(OR('01_Raw_Data'!C378="", '01_Raw_Data'!F378&lt;0, ISNUMBER(SEARCH("%", '01_Raw_Data'!H378))), "FIXED ANOMALY", "PASSED")</f>
        <v/>
      </c>
      <c r="K378" s="8">
        <f>IF('01_Raw_Data'!F378&lt;0, "Converted Negative Quantity to ABS", IF('01_Raw_Data'!C378="", "Imputed Missing Customer ID", IF(ISNUMBER(SEARCH("%", '01_Raw_Data'!H378)), "Parsed Text % to Numeric Rate", "Standardized Format")))</f>
        <v/>
      </c>
    </row>
    <row r="379">
      <c r="A379" s="8">
        <f>'01_Raw_Data'!A379</f>
        <v/>
      </c>
      <c r="B379" s="10">
        <f>IFERROR(DATEVALUE('01_Raw_Data'!B379), IF('01_Raw_Data'!B379="", DATE(2024,1,1), '01_Raw_Data'!B379))</f>
        <v/>
      </c>
      <c r="C379" s="8">
        <f>IF(OR('01_Raw_Data'!C379="",'01_Raw_Data'!C379="0"), "CUST-GUEST", TRIM('01_Raw_Data'!C379))</f>
        <v/>
      </c>
      <c r="D379" s="8">
        <f>PROPER(TRIM(CLEAN('01_Raw_Data'!D379)))</f>
        <v/>
      </c>
      <c r="E379" s="8">
        <f>ABS(IF(ISNUMBER(VALUE('01_Raw_Data'!F379)), VALUE('01_Raw_Data'!F379), 1))</f>
        <v/>
      </c>
      <c r="F379" s="9">
        <f>'01_Raw_Data'!G379</f>
        <v/>
      </c>
      <c r="G379" s="11">
        <f>IF(ISNUMBER('01_Raw_Data'!H379), '01_Raw_Data'!H379, IFERROR(VALUE(SUBSTITUTE('01_Raw_Data'!H379, "%", ""))/100, 0))</f>
        <v/>
      </c>
      <c r="H379" s="8">
        <f>PROPER(TRIM('01_Raw_Data'!J379))</f>
        <v/>
      </c>
      <c r="I379" s="8">
        <f>IF('01_Raw_Data'!K379="", "REG-NA", UPPER(TRIM('01_Raw_Data'!K379)))</f>
        <v/>
      </c>
      <c r="J379" s="8">
        <f>IF(OR('01_Raw_Data'!C379="", '01_Raw_Data'!F379&lt;0, ISNUMBER(SEARCH("%", '01_Raw_Data'!H379))), "FIXED ANOMALY", "PASSED")</f>
        <v/>
      </c>
      <c r="K379" s="8">
        <f>IF('01_Raw_Data'!F379&lt;0, "Converted Negative Quantity to ABS", IF('01_Raw_Data'!C379="", "Imputed Missing Customer ID", IF(ISNUMBER(SEARCH("%", '01_Raw_Data'!H379)), "Parsed Text % to Numeric Rate", "Standardized Format")))</f>
        <v/>
      </c>
    </row>
    <row r="380">
      <c r="A380" s="8">
        <f>'01_Raw_Data'!A380</f>
        <v/>
      </c>
      <c r="B380" s="10">
        <f>IFERROR(DATEVALUE('01_Raw_Data'!B380), IF('01_Raw_Data'!B380="", DATE(2024,1,1), '01_Raw_Data'!B380))</f>
        <v/>
      </c>
      <c r="C380" s="8">
        <f>IF(OR('01_Raw_Data'!C380="",'01_Raw_Data'!C380="0"), "CUST-GUEST", TRIM('01_Raw_Data'!C380))</f>
        <v/>
      </c>
      <c r="D380" s="8">
        <f>PROPER(TRIM(CLEAN('01_Raw_Data'!D380)))</f>
        <v/>
      </c>
      <c r="E380" s="8">
        <f>ABS(IF(ISNUMBER(VALUE('01_Raw_Data'!F380)), VALUE('01_Raw_Data'!F380), 1))</f>
        <v/>
      </c>
      <c r="F380" s="9">
        <f>'01_Raw_Data'!G380</f>
        <v/>
      </c>
      <c r="G380" s="11">
        <f>IF(ISNUMBER('01_Raw_Data'!H380), '01_Raw_Data'!H380, IFERROR(VALUE(SUBSTITUTE('01_Raw_Data'!H380, "%", ""))/100, 0))</f>
        <v/>
      </c>
      <c r="H380" s="8">
        <f>PROPER(TRIM('01_Raw_Data'!J380))</f>
        <v/>
      </c>
      <c r="I380" s="8">
        <f>IF('01_Raw_Data'!K380="", "REG-NA", UPPER(TRIM('01_Raw_Data'!K380)))</f>
        <v/>
      </c>
      <c r="J380" s="8">
        <f>IF(OR('01_Raw_Data'!C380="", '01_Raw_Data'!F380&lt;0, ISNUMBER(SEARCH("%", '01_Raw_Data'!H380))), "FIXED ANOMALY", "PASSED")</f>
        <v/>
      </c>
      <c r="K380" s="8">
        <f>IF('01_Raw_Data'!F380&lt;0, "Converted Negative Quantity to ABS", IF('01_Raw_Data'!C380="", "Imputed Missing Customer ID", IF(ISNUMBER(SEARCH("%", '01_Raw_Data'!H380)), "Parsed Text % to Numeric Rate", "Standardized Format")))</f>
        <v/>
      </c>
    </row>
    <row r="381">
      <c r="A381" s="8">
        <f>'01_Raw_Data'!A381</f>
        <v/>
      </c>
      <c r="B381" s="10">
        <f>IFERROR(DATEVALUE('01_Raw_Data'!B381), IF('01_Raw_Data'!B381="", DATE(2024,1,1), '01_Raw_Data'!B381))</f>
        <v/>
      </c>
      <c r="C381" s="8">
        <f>IF(OR('01_Raw_Data'!C381="",'01_Raw_Data'!C381="0"), "CUST-GUEST", TRIM('01_Raw_Data'!C381))</f>
        <v/>
      </c>
      <c r="D381" s="8">
        <f>PROPER(TRIM(CLEAN('01_Raw_Data'!D381)))</f>
        <v/>
      </c>
      <c r="E381" s="8">
        <f>ABS(IF(ISNUMBER(VALUE('01_Raw_Data'!F381)), VALUE('01_Raw_Data'!F381), 1))</f>
        <v/>
      </c>
      <c r="F381" s="9">
        <f>'01_Raw_Data'!G381</f>
        <v/>
      </c>
      <c r="G381" s="11">
        <f>IF(ISNUMBER('01_Raw_Data'!H381), '01_Raw_Data'!H381, IFERROR(VALUE(SUBSTITUTE('01_Raw_Data'!H381, "%", ""))/100, 0))</f>
        <v/>
      </c>
      <c r="H381" s="8">
        <f>PROPER(TRIM('01_Raw_Data'!J381))</f>
        <v/>
      </c>
      <c r="I381" s="8">
        <f>IF('01_Raw_Data'!K381="", "REG-NA", UPPER(TRIM('01_Raw_Data'!K381)))</f>
        <v/>
      </c>
      <c r="J381" s="8">
        <f>IF(OR('01_Raw_Data'!C381="", '01_Raw_Data'!F381&lt;0, ISNUMBER(SEARCH("%", '01_Raw_Data'!H381))), "FIXED ANOMALY", "PASSED")</f>
        <v/>
      </c>
      <c r="K381" s="8">
        <f>IF('01_Raw_Data'!F381&lt;0, "Converted Negative Quantity to ABS", IF('01_Raw_Data'!C381="", "Imputed Missing Customer ID", IF(ISNUMBER(SEARCH("%", '01_Raw_Data'!H381)), "Parsed Text % to Numeric Rate", "Standardized Format")))</f>
        <v/>
      </c>
    </row>
    <row r="382">
      <c r="A382" s="8">
        <f>'01_Raw_Data'!A382</f>
        <v/>
      </c>
      <c r="B382" s="10">
        <f>IFERROR(DATEVALUE('01_Raw_Data'!B382), IF('01_Raw_Data'!B382="", DATE(2024,1,1), '01_Raw_Data'!B382))</f>
        <v/>
      </c>
      <c r="C382" s="8">
        <f>IF(OR('01_Raw_Data'!C382="",'01_Raw_Data'!C382="0"), "CUST-GUEST", TRIM('01_Raw_Data'!C382))</f>
        <v/>
      </c>
      <c r="D382" s="8">
        <f>PROPER(TRIM(CLEAN('01_Raw_Data'!D382)))</f>
        <v/>
      </c>
      <c r="E382" s="8">
        <f>ABS(IF(ISNUMBER(VALUE('01_Raw_Data'!F382)), VALUE('01_Raw_Data'!F382), 1))</f>
        <v/>
      </c>
      <c r="F382" s="9">
        <f>'01_Raw_Data'!G382</f>
        <v/>
      </c>
      <c r="G382" s="11">
        <f>IF(ISNUMBER('01_Raw_Data'!H382), '01_Raw_Data'!H382, IFERROR(VALUE(SUBSTITUTE('01_Raw_Data'!H382, "%", ""))/100, 0))</f>
        <v/>
      </c>
      <c r="H382" s="8">
        <f>PROPER(TRIM('01_Raw_Data'!J382))</f>
        <v/>
      </c>
      <c r="I382" s="8">
        <f>IF('01_Raw_Data'!K382="", "REG-NA", UPPER(TRIM('01_Raw_Data'!K382)))</f>
        <v/>
      </c>
      <c r="J382" s="8">
        <f>IF(OR('01_Raw_Data'!C382="", '01_Raw_Data'!F382&lt;0, ISNUMBER(SEARCH("%", '01_Raw_Data'!H382))), "FIXED ANOMALY", "PASSED")</f>
        <v/>
      </c>
      <c r="K382" s="8">
        <f>IF('01_Raw_Data'!F382&lt;0, "Converted Negative Quantity to ABS", IF('01_Raw_Data'!C382="", "Imputed Missing Customer ID", IF(ISNUMBER(SEARCH("%", '01_Raw_Data'!H382)), "Parsed Text % to Numeric Rate", "Standardized Format")))</f>
        <v/>
      </c>
    </row>
    <row r="383">
      <c r="A383" s="8">
        <f>'01_Raw_Data'!A383</f>
        <v/>
      </c>
      <c r="B383" s="10">
        <f>IFERROR(DATEVALUE('01_Raw_Data'!B383), IF('01_Raw_Data'!B383="", DATE(2024,1,1), '01_Raw_Data'!B383))</f>
        <v/>
      </c>
      <c r="C383" s="8">
        <f>IF(OR('01_Raw_Data'!C383="",'01_Raw_Data'!C383="0"), "CUST-GUEST", TRIM('01_Raw_Data'!C383))</f>
        <v/>
      </c>
      <c r="D383" s="8">
        <f>PROPER(TRIM(CLEAN('01_Raw_Data'!D383)))</f>
        <v/>
      </c>
      <c r="E383" s="8">
        <f>ABS(IF(ISNUMBER(VALUE('01_Raw_Data'!F383)), VALUE('01_Raw_Data'!F383), 1))</f>
        <v/>
      </c>
      <c r="F383" s="9">
        <f>'01_Raw_Data'!G383</f>
        <v/>
      </c>
      <c r="G383" s="11">
        <f>IF(ISNUMBER('01_Raw_Data'!H383), '01_Raw_Data'!H383, IFERROR(VALUE(SUBSTITUTE('01_Raw_Data'!H383, "%", ""))/100, 0))</f>
        <v/>
      </c>
      <c r="H383" s="8">
        <f>PROPER(TRIM('01_Raw_Data'!J383))</f>
        <v/>
      </c>
      <c r="I383" s="8">
        <f>IF('01_Raw_Data'!K383="", "REG-NA", UPPER(TRIM('01_Raw_Data'!K383)))</f>
        <v/>
      </c>
      <c r="J383" s="8">
        <f>IF(OR('01_Raw_Data'!C383="", '01_Raw_Data'!F383&lt;0, ISNUMBER(SEARCH("%", '01_Raw_Data'!H383))), "FIXED ANOMALY", "PASSED")</f>
        <v/>
      </c>
      <c r="K383" s="8">
        <f>IF('01_Raw_Data'!F383&lt;0, "Converted Negative Quantity to ABS", IF('01_Raw_Data'!C383="", "Imputed Missing Customer ID", IF(ISNUMBER(SEARCH("%", '01_Raw_Data'!H383)), "Parsed Text % to Numeric Rate", "Standardized Format")))</f>
        <v/>
      </c>
    </row>
    <row r="384">
      <c r="A384" s="8">
        <f>'01_Raw_Data'!A384</f>
        <v/>
      </c>
      <c r="B384" s="10">
        <f>IFERROR(DATEVALUE('01_Raw_Data'!B384), IF('01_Raw_Data'!B384="", DATE(2024,1,1), '01_Raw_Data'!B384))</f>
        <v/>
      </c>
      <c r="C384" s="8">
        <f>IF(OR('01_Raw_Data'!C384="",'01_Raw_Data'!C384="0"), "CUST-GUEST", TRIM('01_Raw_Data'!C384))</f>
        <v/>
      </c>
      <c r="D384" s="8">
        <f>PROPER(TRIM(CLEAN('01_Raw_Data'!D384)))</f>
        <v/>
      </c>
      <c r="E384" s="8">
        <f>ABS(IF(ISNUMBER(VALUE('01_Raw_Data'!F384)), VALUE('01_Raw_Data'!F384), 1))</f>
        <v/>
      </c>
      <c r="F384" s="9">
        <f>'01_Raw_Data'!G384</f>
        <v/>
      </c>
      <c r="G384" s="11">
        <f>IF(ISNUMBER('01_Raw_Data'!H384), '01_Raw_Data'!H384, IFERROR(VALUE(SUBSTITUTE('01_Raw_Data'!H384, "%", ""))/100, 0))</f>
        <v/>
      </c>
      <c r="H384" s="8">
        <f>PROPER(TRIM('01_Raw_Data'!J384))</f>
        <v/>
      </c>
      <c r="I384" s="8">
        <f>IF('01_Raw_Data'!K384="", "REG-NA", UPPER(TRIM('01_Raw_Data'!K384)))</f>
        <v/>
      </c>
      <c r="J384" s="8">
        <f>IF(OR('01_Raw_Data'!C384="", '01_Raw_Data'!F384&lt;0, ISNUMBER(SEARCH("%", '01_Raw_Data'!H384))), "FIXED ANOMALY", "PASSED")</f>
        <v/>
      </c>
      <c r="K384" s="8">
        <f>IF('01_Raw_Data'!F384&lt;0, "Converted Negative Quantity to ABS", IF('01_Raw_Data'!C384="", "Imputed Missing Customer ID", IF(ISNUMBER(SEARCH("%", '01_Raw_Data'!H384)), "Parsed Text % to Numeric Rate", "Standardized Format")))</f>
        <v/>
      </c>
    </row>
    <row r="385">
      <c r="A385" s="8">
        <f>'01_Raw_Data'!A385</f>
        <v/>
      </c>
      <c r="B385" s="10">
        <f>IFERROR(DATEVALUE('01_Raw_Data'!B385), IF('01_Raw_Data'!B385="", DATE(2024,1,1), '01_Raw_Data'!B385))</f>
        <v/>
      </c>
      <c r="C385" s="8">
        <f>IF(OR('01_Raw_Data'!C385="",'01_Raw_Data'!C385="0"), "CUST-GUEST", TRIM('01_Raw_Data'!C385))</f>
        <v/>
      </c>
      <c r="D385" s="8">
        <f>PROPER(TRIM(CLEAN('01_Raw_Data'!D385)))</f>
        <v/>
      </c>
      <c r="E385" s="8">
        <f>ABS(IF(ISNUMBER(VALUE('01_Raw_Data'!F385)), VALUE('01_Raw_Data'!F385), 1))</f>
        <v/>
      </c>
      <c r="F385" s="9">
        <f>'01_Raw_Data'!G385</f>
        <v/>
      </c>
      <c r="G385" s="11">
        <f>IF(ISNUMBER('01_Raw_Data'!H385), '01_Raw_Data'!H385, IFERROR(VALUE(SUBSTITUTE('01_Raw_Data'!H385, "%", ""))/100, 0))</f>
        <v/>
      </c>
      <c r="H385" s="8">
        <f>PROPER(TRIM('01_Raw_Data'!J385))</f>
        <v/>
      </c>
      <c r="I385" s="8">
        <f>IF('01_Raw_Data'!K385="", "REG-NA", UPPER(TRIM('01_Raw_Data'!K385)))</f>
        <v/>
      </c>
      <c r="J385" s="8">
        <f>IF(OR('01_Raw_Data'!C385="", '01_Raw_Data'!F385&lt;0, ISNUMBER(SEARCH("%", '01_Raw_Data'!H385))), "FIXED ANOMALY", "PASSED")</f>
        <v/>
      </c>
      <c r="K385" s="8">
        <f>IF('01_Raw_Data'!F385&lt;0, "Converted Negative Quantity to ABS", IF('01_Raw_Data'!C385="", "Imputed Missing Customer ID", IF(ISNUMBER(SEARCH("%", '01_Raw_Data'!H385)), "Parsed Text % to Numeric Rate", "Standardized Format")))</f>
        <v/>
      </c>
    </row>
    <row r="386">
      <c r="A386" s="8">
        <f>'01_Raw_Data'!A386</f>
        <v/>
      </c>
      <c r="B386" s="10">
        <f>IFERROR(DATEVALUE('01_Raw_Data'!B386), IF('01_Raw_Data'!B386="", DATE(2024,1,1), '01_Raw_Data'!B386))</f>
        <v/>
      </c>
      <c r="C386" s="8">
        <f>IF(OR('01_Raw_Data'!C386="",'01_Raw_Data'!C386="0"), "CUST-GUEST", TRIM('01_Raw_Data'!C386))</f>
        <v/>
      </c>
      <c r="D386" s="8">
        <f>PROPER(TRIM(CLEAN('01_Raw_Data'!D386)))</f>
        <v/>
      </c>
      <c r="E386" s="8">
        <f>ABS(IF(ISNUMBER(VALUE('01_Raw_Data'!F386)), VALUE('01_Raw_Data'!F386), 1))</f>
        <v/>
      </c>
      <c r="F386" s="9">
        <f>'01_Raw_Data'!G386</f>
        <v/>
      </c>
      <c r="G386" s="11">
        <f>IF(ISNUMBER('01_Raw_Data'!H386), '01_Raw_Data'!H386, IFERROR(VALUE(SUBSTITUTE('01_Raw_Data'!H386, "%", ""))/100, 0))</f>
        <v/>
      </c>
      <c r="H386" s="8">
        <f>PROPER(TRIM('01_Raw_Data'!J386))</f>
        <v/>
      </c>
      <c r="I386" s="8">
        <f>IF('01_Raw_Data'!K386="", "REG-NA", UPPER(TRIM('01_Raw_Data'!K386)))</f>
        <v/>
      </c>
      <c r="J386" s="8">
        <f>IF(OR('01_Raw_Data'!C386="", '01_Raw_Data'!F386&lt;0, ISNUMBER(SEARCH("%", '01_Raw_Data'!H386))), "FIXED ANOMALY", "PASSED")</f>
        <v/>
      </c>
      <c r="K386" s="8">
        <f>IF('01_Raw_Data'!F386&lt;0, "Converted Negative Quantity to ABS", IF('01_Raw_Data'!C386="", "Imputed Missing Customer ID", IF(ISNUMBER(SEARCH("%", '01_Raw_Data'!H386)), "Parsed Text % to Numeric Rate", "Standardized Format")))</f>
        <v/>
      </c>
    </row>
    <row r="387">
      <c r="A387" s="8">
        <f>'01_Raw_Data'!A387</f>
        <v/>
      </c>
      <c r="B387" s="10">
        <f>IFERROR(DATEVALUE('01_Raw_Data'!B387), IF('01_Raw_Data'!B387="", DATE(2024,1,1), '01_Raw_Data'!B387))</f>
        <v/>
      </c>
      <c r="C387" s="8">
        <f>IF(OR('01_Raw_Data'!C387="",'01_Raw_Data'!C387="0"), "CUST-GUEST", TRIM('01_Raw_Data'!C387))</f>
        <v/>
      </c>
      <c r="D387" s="8">
        <f>PROPER(TRIM(CLEAN('01_Raw_Data'!D387)))</f>
        <v/>
      </c>
      <c r="E387" s="8">
        <f>ABS(IF(ISNUMBER(VALUE('01_Raw_Data'!F387)), VALUE('01_Raw_Data'!F387), 1))</f>
        <v/>
      </c>
      <c r="F387" s="9">
        <f>'01_Raw_Data'!G387</f>
        <v/>
      </c>
      <c r="G387" s="11">
        <f>IF(ISNUMBER('01_Raw_Data'!H387), '01_Raw_Data'!H387, IFERROR(VALUE(SUBSTITUTE('01_Raw_Data'!H387, "%", ""))/100, 0))</f>
        <v/>
      </c>
      <c r="H387" s="8">
        <f>PROPER(TRIM('01_Raw_Data'!J387))</f>
        <v/>
      </c>
      <c r="I387" s="8">
        <f>IF('01_Raw_Data'!K387="", "REG-NA", UPPER(TRIM('01_Raw_Data'!K387)))</f>
        <v/>
      </c>
      <c r="J387" s="8">
        <f>IF(OR('01_Raw_Data'!C387="", '01_Raw_Data'!F387&lt;0, ISNUMBER(SEARCH("%", '01_Raw_Data'!H387))), "FIXED ANOMALY", "PASSED")</f>
        <v/>
      </c>
      <c r="K387" s="8">
        <f>IF('01_Raw_Data'!F387&lt;0, "Converted Negative Quantity to ABS", IF('01_Raw_Data'!C387="", "Imputed Missing Customer ID", IF(ISNUMBER(SEARCH("%", '01_Raw_Data'!H387)), "Parsed Text % to Numeric Rate", "Standardized Format")))</f>
        <v/>
      </c>
    </row>
    <row r="388">
      <c r="A388" s="8">
        <f>'01_Raw_Data'!A388</f>
        <v/>
      </c>
      <c r="B388" s="10">
        <f>IFERROR(DATEVALUE('01_Raw_Data'!B388), IF('01_Raw_Data'!B388="", DATE(2024,1,1), '01_Raw_Data'!B388))</f>
        <v/>
      </c>
      <c r="C388" s="8">
        <f>IF(OR('01_Raw_Data'!C388="",'01_Raw_Data'!C388="0"), "CUST-GUEST", TRIM('01_Raw_Data'!C388))</f>
        <v/>
      </c>
      <c r="D388" s="8">
        <f>PROPER(TRIM(CLEAN('01_Raw_Data'!D388)))</f>
        <v/>
      </c>
      <c r="E388" s="8">
        <f>ABS(IF(ISNUMBER(VALUE('01_Raw_Data'!F388)), VALUE('01_Raw_Data'!F388), 1))</f>
        <v/>
      </c>
      <c r="F388" s="9">
        <f>'01_Raw_Data'!G388</f>
        <v/>
      </c>
      <c r="G388" s="11">
        <f>IF(ISNUMBER('01_Raw_Data'!H388), '01_Raw_Data'!H388, IFERROR(VALUE(SUBSTITUTE('01_Raw_Data'!H388, "%", ""))/100, 0))</f>
        <v/>
      </c>
      <c r="H388" s="8">
        <f>PROPER(TRIM('01_Raw_Data'!J388))</f>
        <v/>
      </c>
      <c r="I388" s="8">
        <f>IF('01_Raw_Data'!K388="", "REG-NA", UPPER(TRIM('01_Raw_Data'!K388)))</f>
        <v/>
      </c>
      <c r="J388" s="8">
        <f>IF(OR('01_Raw_Data'!C388="", '01_Raw_Data'!F388&lt;0, ISNUMBER(SEARCH("%", '01_Raw_Data'!H388))), "FIXED ANOMALY", "PASSED")</f>
        <v/>
      </c>
      <c r="K388" s="8">
        <f>IF('01_Raw_Data'!F388&lt;0, "Converted Negative Quantity to ABS", IF('01_Raw_Data'!C388="", "Imputed Missing Customer ID", IF(ISNUMBER(SEARCH("%", '01_Raw_Data'!H388)), "Parsed Text % to Numeric Rate", "Standardized Format")))</f>
        <v/>
      </c>
    </row>
    <row r="389">
      <c r="A389" s="8">
        <f>'01_Raw_Data'!A389</f>
        <v/>
      </c>
      <c r="B389" s="10">
        <f>IFERROR(DATEVALUE('01_Raw_Data'!B389), IF('01_Raw_Data'!B389="", DATE(2024,1,1), '01_Raw_Data'!B389))</f>
        <v/>
      </c>
      <c r="C389" s="8">
        <f>IF(OR('01_Raw_Data'!C389="",'01_Raw_Data'!C389="0"), "CUST-GUEST", TRIM('01_Raw_Data'!C389))</f>
        <v/>
      </c>
      <c r="D389" s="8">
        <f>PROPER(TRIM(CLEAN('01_Raw_Data'!D389)))</f>
        <v/>
      </c>
      <c r="E389" s="8">
        <f>ABS(IF(ISNUMBER(VALUE('01_Raw_Data'!F389)), VALUE('01_Raw_Data'!F389), 1))</f>
        <v/>
      </c>
      <c r="F389" s="9">
        <f>'01_Raw_Data'!G389</f>
        <v/>
      </c>
      <c r="G389" s="11">
        <f>IF(ISNUMBER('01_Raw_Data'!H389), '01_Raw_Data'!H389, IFERROR(VALUE(SUBSTITUTE('01_Raw_Data'!H389, "%", ""))/100, 0))</f>
        <v/>
      </c>
      <c r="H389" s="8">
        <f>PROPER(TRIM('01_Raw_Data'!J389))</f>
        <v/>
      </c>
      <c r="I389" s="8">
        <f>IF('01_Raw_Data'!K389="", "REG-NA", UPPER(TRIM('01_Raw_Data'!K389)))</f>
        <v/>
      </c>
      <c r="J389" s="8">
        <f>IF(OR('01_Raw_Data'!C389="", '01_Raw_Data'!F389&lt;0, ISNUMBER(SEARCH("%", '01_Raw_Data'!H389))), "FIXED ANOMALY", "PASSED")</f>
        <v/>
      </c>
      <c r="K389" s="8">
        <f>IF('01_Raw_Data'!F389&lt;0, "Converted Negative Quantity to ABS", IF('01_Raw_Data'!C389="", "Imputed Missing Customer ID", IF(ISNUMBER(SEARCH("%", '01_Raw_Data'!H389)), "Parsed Text % to Numeric Rate", "Standardized Format")))</f>
        <v/>
      </c>
    </row>
    <row r="390">
      <c r="A390" s="8">
        <f>'01_Raw_Data'!A390</f>
        <v/>
      </c>
      <c r="B390" s="10">
        <f>IFERROR(DATEVALUE('01_Raw_Data'!B390), IF('01_Raw_Data'!B390="", DATE(2024,1,1), '01_Raw_Data'!B390))</f>
        <v/>
      </c>
      <c r="C390" s="8">
        <f>IF(OR('01_Raw_Data'!C390="",'01_Raw_Data'!C390="0"), "CUST-GUEST", TRIM('01_Raw_Data'!C390))</f>
        <v/>
      </c>
      <c r="D390" s="8">
        <f>PROPER(TRIM(CLEAN('01_Raw_Data'!D390)))</f>
        <v/>
      </c>
      <c r="E390" s="8">
        <f>ABS(IF(ISNUMBER(VALUE('01_Raw_Data'!F390)), VALUE('01_Raw_Data'!F390), 1))</f>
        <v/>
      </c>
      <c r="F390" s="9">
        <f>'01_Raw_Data'!G390</f>
        <v/>
      </c>
      <c r="G390" s="11">
        <f>IF(ISNUMBER('01_Raw_Data'!H390), '01_Raw_Data'!H390, IFERROR(VALUE(SUBSTITUTE('01_Raw_Data'!H390, "%", ""))/100, 0))</f>
        <v/>
      </c>
      <c r="H390" s="8">
        <f>PROPER(TRIM('01_Raw_Data'!J390))</f>
        <v/>
      </c>
      <c r="I390" s="8">
        <f>IF('01_Raw_Data'!K390="", "REG-NA", UPPER(TRIM('01_Raw_Data'!K390)))</f>
        <v/>
      </c>
      <c r="J390" s="8">
        <f>IF(OR('01_Raw_Data'!C390="", '01_Raw_Data'!F390&lt;0, ISNUMBER(SEARCH("%", '01_Raw_Data'!H390))), "FIXED ANOMALY", "PASSED")</f>
        <v/>
      </c>
      <c r="K390" s="8">
        <f>IF('01_Raw_Data'!F390&lt;0, "Converted Negative Quantity to ABS", IF('01_Raw_Data'!C390="", "Imputed Missing Customer ID", IF(ISNUMBER(SEARCH("%", '01_Raw_Data'!H390)), "Parsed Text % to Numeric Rate", "Standardized Format")))</f>
        <v/>
      </c>
    </row>
    <row r="391">
      <c r="A391" s="8">
        <f>'01_Raw_Data'!A391</f>
        <v/>
      </c>
      <c r="B391" s="10">
        <f>IFERROR(DATEVALUE('01_Raw_Data'!B391), IF('01_Raw_Data'!B391="", DATE(2024,1,1), '01_Raw_Data'!B391))</f>
        <v/>
      </c>
      <c r="C391" s="8">
        <f>IF(OR('01_Raw_Data'!C391="",'01_Raw_Data'!C391="0"), "CUST-GUEST", TRIM('01_Raw_Data'!C391))</f>
        <v/>
      </c>
      <c r="D391" s="8">
        <f>PROPER(TRIM(CLEAN('01_Raw_Data'!D391)))</f>
        <v/>
      </c>
      <c r="E391" s="8">
        <f>ABS(IF(ISNUMBER(VALUE('01_Raw_Data'!F391)), VALUE('01_Raw_Data'!F391), 1))</f>
        <v/>
      </c>
      <c r="F391" s="9">
        <f>'01_Raw_Data'!G391</f>
        <v/>
      </c>
      <c r="G391" s="11">
        <f>IF(ISNUMBER('01_Raw_Data'!H391), '01_Raw_Data'!H391, IFERROR(VALUE(SUBSTITUTE('01_Raw_Data'!H391, "%", ""))/100, 0))</f>
        <v/>
      </c>
      <c r="H391" s="8">
        <f>PROPER(TRIM('01_Raw_Data'!J391))</f>
        <v/>
      </c>
      <c r="I391" s="8">
        <f>IF('01_Raw_Data'!K391="", "REG-NA", UPPER(TRIM('01_Raw_Data'!K391)))</f>
        <v/>
      </c>
      <c r="J391" s="8">
        <f>IF(OR('01_Raw_Data'!C391="", '01_Raw_Data'!F391&lt;0, ISNUMBER(SEARCH("%", '01_Raw_Data'!H391))), "FIXED ANOMALY", "PASSED")</f>
        <v/>
      </c>
      <c r="K391" s="8">
        <f>IF('01_Raw_Data'!F391&lt;0, "Converted Negative Quantity to ABS", IF('01_Raw_Data'!C391="", "Imputed Missing Customer ID", IF(ISNUMBER(SEARCH("%", '01_Raw_Data'!H391)), "Parsed Text % to Numeric Rate", "Standardized Format")))</f>
        <v/>
      </c>
    </row>
    <row r="392">
      <c r="A392" s="8">
        <f>'01_Raw_Data'!A392</f>
        <v/>
      </c>
      <c r="B392" s="10">
        <f>IFERROR(DATEVALUE('01_Raw_Data'!B392), IF('01_Raw_Data'!B392="", DATE(2024,1,1), '01_Raw_Data'!B392))</f>
        <v/>
      </c>
      <c r="C392" s="8">
        <f>IF(OR('01_Raw_Data'!C392="",'01_Raw_Data'!C392="0"), "CUST-GUEST", TRIM('01_Raw_Data'!C392))</f>
        <v/>
      </c>
      <c r="D392" s="8">
        <f>PROPER(TRIM(CLEAN('01_Raw_Data'!D392)))</f>
        <v/>
      </c>
      <c r="E392" s="8">
        <f>ABS(IF(ISNUMBER(VALUE('01_Raw_Data'!F392)), VALUE('01_Raw_Data'!F392), 1))</f>
        <v/>
      </c>
      <c r="F392" s="9">
        <f>'01_Raw_Data'!G392</f>
        <v/>
      </c>
      <c r="G392" s="11">
        <f>IF(ISNUMBER('01_Raw_Data'!H392), '01_Raw_Data'!H392, IFERROR(VALUE(SUBSTITUTE('01_Raw_Data'!H392, "%", ""))/100, 0))</f>
        <v/>
      </c>
      <c r="H392" s="8">
        <f>PROPER(TRIM('01_Raw_Data'!J392))</f>
        <v/>
      </c>
      <c r="I392" s="8">
        <f>IF('01_Raw_Data'!K392="", "REG-NA", UPPER(TRIM('01_Raw_Data'!K392)))</f>
        <v/>
      </c>
      <c r="J392" s="8">
        <f>IF(OR('01_Raw_Data'!C392="", '01_Raw_Data'!F392&lt;0, ISNUMBER(SEARCH("%", '01_Raw_Data'!H392))), "FIXED ANOMALY", "PASSED")</f>
        <v/>
      </c>
      <c r="K392" s="8">
        <f>IF('01_Raw_Data'!F392&lt;0, "Converted Negative Quantity to ABS", IF('01_Raw_Data'!C392="", "Imputed Missing Customer ID", IF(ISNUMBER(SEARCH("%", '01_Raw_Data'!H392)), "Parsed Text % to Numeric Rate", "Standardized Format")))</f>
        <v/>
      </c>
    </row>
    <row r="393">
      <c r="A393" s="8">
        <f>'01_Raw_Data'!A393</f>
        <v/>
      </c>
      <c r="B393" s="10">
        <f>IFERROR(DATEVALUE('01_Raw_Data'!B393), IF('01_Raw_Data'!B393="", DATE(2024,1,1), '01_Raw_Data'!B393))</f>
        <v/>
      </c>
      <c r="C393" s="8">
        <f>IF(OR('01_Raw_Data'!C393="",'01_Raw_Data'!C393="0"), "CUST-GUEST", TRIM('01_Raw_Data'!C393))</f>
        <v/>
      </c>
      <c r="D393" s="8">
        <f>PROPER(TRIM(CLEAN('01_Raw_Data'!D393)))</f>
        <v/>
      </c>
      <c r="E393" s="8">
        <f>ABS(IF(ISNUMBER(VALUE('01_Raw_Data'!F393)), VALUE('01_Raw_Data'!F393), 1))</f>
        <v/>
      </c>
      <c r="F393" s="9">
        <f>'01_Raw_Data'!G393</f>
        <v/>
      </c>
      <c r="G393" s="11">
        <f>IF(ISNUMBER('01_Raw_Data'!H393), '01_Raw_Data'!H393, IFERROR(VALUE(SUBSTITUTE('01_Raw_Data'!H393, "%", ""))/100, 0))</f>
        <v/>
      </c>
      <c r="H393" s="8">
        <f>PROPER(TRIM('01_Raw_Data'!J393))</f>
        <v/>
      </c>
      <c r="I393" s="8">
        <f>IF('01_Raw_Data'!K393="", "REG-NA", UPPER(TRIM('01_Raw_Data'!K393)))</f>
        <v/>
      </c>
      <c r="J393" s="8">
        <f>IF(OR('01_Raw_Data'!C393="", '01_Raw_Data'!F393&lt;0, ISNUMBER(SEARCH("%", '01_Raw_Data'!H393))), "FIXED ANOMALY", "PASSED")</f>
        <v/>
      </c>
      <c r="K393" s="8">
        <f>IF('01_Raw_Data'!F393&lt;0, "Converted Negative Quantity to ABS", IF('01_Raw_Data'!C393="", "Imputed Missing Customer ID", IF(ISNUMBER(SEARCH("%", '01_Raw_Data'!H393)), "Parsed Text % to Numeric Rate", "Standardized Format")))</f>
        <v/>
      </c>
    </row>
    <row r="394">
      <c r="A394" s="8">
        <f>'01_Raw_Data'!A394</f>
        <v/>
      </c>
      <c r="B394" s="10">
        <f>IFERROR(DATEVALUE('01_Raw_Data'!B394), IF('01_Raw_Data'!B394="", DATE(2024,1,1), '01_Raw_Data'!B394))</f>
        <v/>
      </c>
      <c r="C394" s="8">
        <f>IF(OR('01_Raw_Data'!C394="",'01_Raw_Data'!C394="0"), "CUST-GUEST", TRIM('01_Raw_Data'!C394))</f>
        <v/>
      </c>
      <c r="D394" s="8">
        <f>PROPER(TRIM(CLEAN('01_Raw_Data'!D394)))</f>
        <v/>
      </c>
      <c r="E394" s="8">
        <f>ABS(IF(ISNUMBER(VALUE('01_Raw_Data'!F394)), VALUE('01_Raw_Data'!F394), 1))</f>
        <v/>
      </c>
      <c r="F394" s="9">
        <f>'01_Raw_Data'!G394</f>
        <v/>
      </c>
      <c r="G394" s="11">
        <f>IF(ISNUMBER('01_Raw_Data'!H394), '01_Raw_Data'!H394, IFERROR(VALUE(SUBSTITUTE('01_Raw_Data'!H394, "%", ""))/100, 0))</f>
        <v/>
      </c>
      <c r="H394" s="8">
        <f>PROPER(TRIM('01_Raw_Data'!J394))</f>
        <v/>
      </c>
      <c r="I394" s="8">
        <f>IF('01_Raw_Data'!K394="", "REG-NA", UPPER(TRIM('01_Raw_Data'!K394)))</f>
        <v/>
      </c>
      <c r="J394" s="8">
        <f>IF(OR('01_Raw_Data'!C394="", '01_Raw_Data'!F394&lt;0, ISNUMBER(SEARCH("%", '01_Raw_Data'!H394))), "FIXED ANOMALY", "PASSED")</f>
        <v/>
      </c>
      <c r="K394" s="8">
        <f>IF('01_Raw_Data'!F394&lt;0, "Converted Negative Quantity to ABS", IF('01_Raw_Data'!C394="", "Imputed Missing Customer ID", IF(ISNUMBER(SEARCH("%", '01_Raw_Data'!H394)), "Parsed Text % to Numeric Rate", "Standardized Format")))</f>
        <v/>
      </c>
    </row>
    <row r="395">
      <c r="A395" s="8">
        <f>'01_Raw_Data'!A395</f>
        <v/>
      </c>
      <c r="B395" s="10">
        <f>IFERROR(DATEVALUE('01_Raw_Data'!B395), IF('01_Raw_Data'!B395="", DATE(2024,1,1), '01_Raw_Data'!B395))</f>
        <v/>
      </c>
      <c r="C395" s="8">
        <f>IF(OR('01_Raw_Data'!C395="",'01_Raw_Data'!C395="0"), "CUST-GUEST", TRIM('01_Raw_Data'!C395))</f>
        <v/>
      </c>
      <c r="D395" s="8">
        <f>PROPER(TRIM(CLEAN('01_Raw_Data'!D395)))</f>
        <v/>
      </c>
      <c r="E395" s="8">
        <f>ABS(IF(ISNUMBER(VALUE('01_Raw_Data'!F395)), VALUE('01_Raw_Data'!F395), 1))</f>
        <v/>
      </c>
      <c r="F395" s="9">
        <f>'01_Raw_Data'!G395</f>
        <v/>
      </c>
      <c r="G395" s="11">
        <f>IF(ISNUMBER('01_Raw_Data'!H395), '01_Raw_Data'!H395, IFERROR(VALUE(SUBSTITUTE('01_Raw_Data'!H395, "%", ""))/100, 0))</f>
        <v/>
      </c>
      <c r="H395" s="8">
        <f>PROPER(TRIM('01_Raw_Data'!J395))</f>
        <v/>
      </c>
      <c r="I395" s="8">
        <f>IF('01_Raw_Data'!K395="", "REG-NA", UPPER(TRIM('01_Raw_Data'!K395)))</f>
        <v/>
      </c>
      <c r="J395" s="8">
        <f>IF(OR('01_Raw_Data'!C395="", '01_Raw_Data'!F395&lt;0, ISNUMBER(SEARCH("%", '01_Raw_Data'!H395))), "FIXED ANOMALY", "PASSED")</f>
        <v/>
      </c>
      <c r="K395" s="8">
        <f>IF('01_Raw_Data'!F395&lt;0, "Converted Negative Quantity to ABS", IF('01_Raw_Data'!C395="", "Imputed Missing Customer ID", IF(ISNUMBER(SEARCH("%", '01_Raw_Data'!H395)), "Parsed Text % to Numeric Rate", "Standardized Format")))</f>
        <v/>
      </c>
    </row>
    <row r="396">
      <c r="A396" s="8">
        <f>'01_Raw_Data'!A396</f>
        <v/>
      </c>
      <c r="B396" s="10">
        <f>IFERROR(DATEVALUE('01_Raw_Data'!B396), IF('01_Raw_Data'!B396="", DATE(2024,1,1), '01_Raw_Data'!B396))</f>
        <v/>
      </c>
      <c r="C396" s="8">
        <f>IF(OR('01_Raw_Data'!C396="",'01_Raw_Data'!C396="0"), "CUST-GUEST", TRIM('01_Raw_Data'!C396))</f>
        <v/>
      </c>
      <c r="D396" s="8">
        <f>PROPER(TRIM(CLEAN('01_Raw_Data'!D396)))</f>
        <v/>
      </c>
      <c r="E396" s="8">
        <f>ABS(IF(ISNUMBER(VALUE('01_Raw_Data'!F396)), VALUE('01_Raw_Data'!F396), 1))</f>
        <v/>
      </c>
      <c r="F396" s="9">
        <f>'01_Raw_Data'!G396</f>
        <v/>
      </c>
      <c r="G396" s="11">
        <f>IF(ISNUMBER('01_Raw_Data'!H396), '01_Raw_Data'!H396, IFERROR(VALUE(SUBSTITUTE('01_Raw_Data'!H396, "%", ""))/100, 0))</f>
        <v/>
      </c>
      <c r="H396" s="8">
        <f>PROPER(TRIM('01_Raw_Data'!J396))</f>
        <v/>
      </c>
      <c r="I396" s="8">
        <f>IF('01_Raw_Data'!K396="", "REG-NA", UPPER(TRIM('01_Raw_Data'!K396)))</f>
        <v/>
      </c>
      <c r="J396" s="8">
        <f>IF(OR('01_Raw_Data'!C396="", '01_Raw_Data'!F396&lt;0, ISNUMBER(SEARCH("%", '01_Raw_Data'!H396))), "FIXED ANOMALY", "PASSED")</f>
        <v/>
      </c>
      <c r="K396" s="8">
        <f>IF('01_Raw_Data'!F396&lt;0, "Converted Negative Quantity to ABS", IF('01_Raw_Data'!C396="", "Imputed Missing Customer ID", IF(ISNUMBER(SEARCH("%", '01_Raw_Data'!H396)), "Parsed Text % to Numeric Rate", "Standardized Format")))</f>
        <v/>
      </c>
    </row>
    <row r="397">
      <c r="A397" s="8">
        <f>'01_Raw_Data'!A397</f>
        <v/>
      </c>
      <c r="B397" s="10">
        <f>IFERROR(DATEVALUE('01_Raw_Data'!B397), IF('01_Raw_Data'!B397="", DATE(2024,1,1), '01_Raw_Data'!B397))</f>
        <v/>
      </c>
      <c r="C397" s="8">
        <f>IF(OR('01_Raw_Data'!C397="",'01_Raw_Data'!C397="0"), "CUST-GUEST", TRIM('01_Raw_Data'!C397))</f>
        <v/>
      </c>
      <c r="D397" s="8">
        <f>PROPER(TRIM(CLEAN('01_Raw_Data'!D397)))</f>
        <v/>
      </c>
      <c r="E397" s="8">
        <f>ABS(IF(ISNUMBER(VALUE('01_Raw_Data'!F397)), VALUE('01_Raw_Data'!F397), 1))</f>
        <v/>
      </c>
      <c r="F397" s="9">
        <f>'01_Raw_Data'!G397</f>
        <v/>
      </c>
      <c r="G397" s="11">
        <f>IF(ISNUMBER('01_Raw_Data'!H397), '01_Raw_Data'!H397, IFERROR(VALUE(SUBSTITUTE('01_Raw_Data'!H397, "%", ""))/100, 0))</f>
        <v/>
      </c>
      <c r="H397" s="8">
        <f>PROPER(TRIM('01_Raw_Data'!J397))</f>
        <v/>
      </c>
      <c r="I397" s="8">
        <f>IF('01_Raw_Data'!K397="", "REG-NA", UPPER(TRIM('01_Raw_Data'!K397)))</f>
        <v/>
      </c>
      <c r="J397" s="8">
        <f>IF(OR('01_Raw_Data'!C397="", '01_Raw_Data'!F397&lt;0, ISNUMBER(SEARCH("%", '01_Raw_Data'!H397))), "FIXED ANOMALY", "PASSED")</f>
        <v/>
      </c>
      <c r="K397" s="8">
        <f>IF('01_Raw_Data'!F397&lt;0, "Converted Negative Quantity to ABS", IF('01_Raw_Data'!C397="", "Imputed Missing Customer ID", IF(ISNUMBER(SEARCH("%", '01_Raw_Data'!H397)), "Parsed Text % to Numeric Rate", "Standardized Format")))</f>
        <v/>
      </c>
    </row>
    <row r="398">
      <c r="A398" s="8">
        <f>'01_Raw_Data'!A398</f>
        <v/>
      </c>
      <c r="B398" s="10">
        <f>IFERROR(DATEVALUE('01_Raw_Data'!B398), IF('01_Raw_Data'!B398="", DATE(2024,1,1), '01_Raw_Data'!B398))</f>
        <v/>
      </c>
      <c r="C398" s="8">
        <f>IF(OR('01_Raw_Data'!C398="",'01_Raw_Data'!C398="0"), "CUST-GUEST", TRIM('01_Raw_Data'!C398))</f>
        <v/>
      </c>
      <c r="D398" s="8">
        <f>PROPER(TRIM(CLEAN('01_Raw_Data'!D398)))</f>
        <v/>
      </c>
      <c r="E398" s="8">
        <f>ABS(IF(ISNUMBER(VALUE('01_Raw_Data'!F398)), VALUE('01_Raw_Data'!F398), 1))</f>
        <v/>
      </c>
      <c r="F398" s="9">
        <f>'01_Raw_Data'!G398</f>
        <v/>
      </c>
      <c r="G398" s="11">
        <f>IF(ISNUMBER('01_Raw_Data'!H398), '01_Raw_Data'!H398, IFERROR(VALUE(SUBSTITUTE('01_Raw_Data'!H398, "%", ""))/100, 0))</f>
        <v/>
      </c>
      <c r="H398" s="8">
        <f>PROPER(TRIM('01_Raw_Data'!J398))</f>
        <v/>
      </c>
      <c r="I398" s="8">
        <f>IF('01_Raw_Data'!K398="", "REG-NA", UPPER(TRIM('01_Raw_Data'!K398)))</f>
        <v/>
      </c>
      <c r="J398" s="8">
        <f>IF(OR('01_Raw_Data'!C398="", '01_Raw_Data'!F398&lt;0, ISNUMBER(SEARCH("%", '01_Raw_Data'!H398))), "FIXED ANOMALY", "PASSED")</f>
        <v/>
      </c>
      <c r="K398" s="8">
        <f>IF('01_Raw_Data'!F398&lt;0, "Converted Negative Quantity to ABS", IF('01_Raw_Data'!C398="", "Imputed Missing Customer ID", IF(ISNUMBER(SEARCH("%", '01_Raw_Data'!H398)), "Parsed Text % to Numeric Rate", "Standardized Format")))</f>
        <v/>
      </c>
    </row>
    <row r="399">
      <c r="A399" s="8">
        <f>'01_Raw_Data'!A399</f>
        <v/>
      </c>
      <c r="B399" s="10">
        <f>IFERROR(DATEVALUE('01_Raw_Data'!B399), IF('01_Raw_Data'!B399="", DATE(2024,1,1), '01_Raw_Data'!B399))</f>
        <v/>
      </c>
      <c r="C399" s="8">
        <f>IF(OR('01_Raw_Data'!C399="",'01_Raw_Data'!C399="0"), "CUST-GUEST", TRIM('01_Raw_Data'!C399))</f>
        <v/>
      </c>
      <c r="D399" s="8">
        <f>PROPER(TRIM(CLEAN('01_Raw_Data'!D399)))</f>
        <v/>
      </c>
      <c r="E399" s="8">
        <f>ABS(IF(ISNUMBER(VALUE('01_Raw_Data'!F399)), VALUE('01_Raw_Data'!F399), 1))</f>
        <v/>
      </c>
      <c r="F399" s="9">
        <f>'01_Raw_Data'!G399</f>
        <v/>
      </c>
      <c r="G399" s="11">
        <f>IF(ISNUMBER('01_Raw_Data'!H399), '01_Raw_Data'!H399, IFERROR(VALUE(SUBSTITUTE('01_Raw_Data'!H399, "%", ""))/100, 0))</f>
        <v/>
      </c>
      <c r="H399" s="8">
        <f>PROPER(TRIM('01_Raw_Data'!J399))</f>
        <v/>
      </c>
      <c r="I399" s="8">
        <f>IF('01_Raw_Data'!K399="", "REG-NA", UPPER(TRIM('01_Raw_Data'!K399)))</f>
        <v/>
      </c>
      <c r="J399" s="8">
        <f>IF(OR('01_Raw_Data'!C399="", '01_Raw_Data'!F399&lt;0, ISNUMBER(SEARCH("%", '01_Raw_Data'!H399))), "FIXED ANOMALY", "PASSED")</f>
        <v/>
      </c>
      <c r="K399" s="8">
        <f>IF('01_Raw_Data'!F399&lt;0, "Converted Negative Quantity to ABS", IF('01_Raw_Data'!C399="", "Imputed Missing Customer ID", IF(ISNUMBER(SEARCH("%", '01_Raw_Data'!H399)), "Parsed Text % to Numeric Rate", "Standardized Format")))</f>
        <v/>
      </c>
    </row>
    <row r="400">
      <c r="A400" s="8">
        <f>'01_Raw_Data'!A400</f>
        <v/>
      </c>
      <c r="B400" s="10">
        <f>IFERROR(DATEVALUE('01_Raw_Data'!B400), IF('01_Raw_Data'!B400="", DATE(2024,1,1), '01_Raw_Data'!B400))</f>
        <v/>
      </c>
      <c r="C400" s="8">
        <f>IF(OR('01_Raw_Data'!C400="",'01_Raw_Data'!C400="0"), "CUST-GUEST", TRIM('01_Raw_Data'!C400))</f>
        <v/>
      </c>
      <c r="D400" s="8">
        <f>PROPER(TRIM(CLEAN('01_Raw_Data'!D400)))</f>
        <v/>
      </c>
      <c r="E400" s="8">
        <f>ABS(IF(ISNUMBER(VALUE('01_Raw_Data'!F400)), VALUE('01_Raw_Data'!F400), 1))</f>
        <v/>
      </c>
      <c r="F400" s="9">
        <f>'01_Raw_Data'!G400</f>
        <v/>
      </c>
      <c r="G400" s="11">
        <f>IF(ISNUMBER('01_Raw_Data'!H400), '01_Raw_Data'!H400, IFERROR(VALUE(SUBSTITUTE('01_Raw_Data'!H400, "%", ""))/100, 0))</f>
        <v/>
      </c>
      <c r="H400" s="8">
        <f>PROPER(TRIM('01_Raw_Data'!J400))</f>
        <v/>
      </c>
      <c r="I400" s="8">
        <f>IF('01_Raw_Data'!K400="", "REG-NA", UPPER(TRIM('01_Raw_Data'!K400)))</f>
        <v/>
      </c>
      <c r="J400" s="8">
        <f>IF(OR('01_Raw_Data'!C400="", '01_Raw_Data'!F400&lt;0, ISNUMBER(SEARCH("%", '01_Raw_Data'!H400))), "FIXED ANOMALY", "PASSED")</f>
        <v/>
      </c>
      <c r="K400" s="8">
        <f>IF('01_Raw_Data'!F400&lt;0, "Converted Negative Quantity to ABS", IF('01_Raw_Data'!C400="", "Imputed Missing Customer ID", IF(ISNUMBER(SEARCH("%", '01_Raw_Data'!H400)), "Parsed Text % to Numeric Rate", "Standardized Format")))</f>
        <v/>
      </c>
    </row>
    <row r="401">
      <c r="A401" s="8">
        <f>'01_Raw_Data'!A401</f>
        <v/>
      </c>
      <c r="B401" s="10">
        <f>IFERROR(DATEVALUE('01_Raw_Data'!B401), IF('01_Raw_Data'!B401="", DATE(2024,1,1), '01_Raw_Data'!B401))</f>
        <v/>
      </c>
      <c r="C401" s="8">
        <f>IF(OR('01_Raw_Data'!C401="",'01_Raw_Data'!C401="0"), "CUST-GUEST", TRIM('01_Raw_Data'!C401))</f>
        <v/>
      </c>
      <c r="D401" s="8">
        <f>PROPER(TRIM(CLEAN('01_Raw_Data'!D401)))</f>
        <v/>
      </c>
      <c r="E401" s="8">
        <f>ABS(IF(ISNUMBER(VALUE('01_Raw_Data'!F401)), VALUE('01_Raw_Data'!F401), 1))</f>
        <v/>
      </c>
      <c r="F401" s="9">
        <f>'01_Raw_Data'!G401</f>
        <v/>
      </c>
      <c r="G401" s="11">
        <f>IF(ISNUMBER('01_Raw_Data'!H401), '01_Raw_Data'!H401, IFERROR(VALUE(SUBSTITUTE('01_Raw_Data'!H401, "%", ""))/100, 0))</f>
        <v/>
      </c>
      <c r="H401" s="8">
        <f>PROPER(TRIM('01_Raw_Data'!J401))</f>
        <v/>
      </c>
      <c r="I401" s="8">
        <f>IF('01_Raw_Data'!K401="", "REG-NA", UPPER(TRIM('01_Raw_Data'!K401)))</f>
        <v/>
      </c>
      <c r="J401" s="8">
        <f>IF(OR('01_Raw_Data'!C401="", '01_Raw_Data'!F401&lt;0, ISNUMBER(SEARCH("%", '01_Raw_Data'!H401))), "FIXED ANOMALY", "PASSED")</f>
        <v/>
      </c>
      <c r="K401" s="8">
        <f>IF('01_Raw_Data'!F401&lt;0, "Converted Negative Quantity to ABS", IF('01_Raw_Data'!C401="", "Imputed Missing Customer ID", IF(ISNUMBER(SEARCH("%", '01_Raw_Data'!H401)), "Parsed Text % to Numeric Rate", "Standardized Format")))</f>
        <v/>
      </c>
    </row>
    <row r="402">
      <c r="A402" s="8">
        <f>'01_Raw_Data'!A402</f>
        <v/>
      </c>
      <c r="B402" s="10">
        <f>IFERROR(DATEVALUE('01_Raw_Data'!B402), IF('01_Raw_Data'!B402="", DATE(2024,1,1), '01_Raw_Data'!B402))</f>
        <v/>
      </c>
      <c r="C402" s="8">
        <f>IF(OR('01_Raw_Data'!C402="",'01_Raw_Data'!C402="0"), "CUST-GUEST", TRIM('01_Raw_Data'!C402))</f>
        <v/>
      </c>
      <c r="D402" s="8">
        <f>PROPER(TRIM(CLEAN('01_Raw_Data'!D402)))</f>
        <v/>
      </c>
      <c r="E402" s="8">
        <f>ABS(IF(ISNUMBER(VALUE('01_Raw_Data'!F402)), VALUE('01_Raw_Data'!F402), 1))</f>
        <v/>
      </c>
      <c r="F402" s="9">
        <f>'01_Raw_Data'!G402</f>
        <v/>
      </c>
      <c r="G402" s="11">
        <f>IF(ISNUMBER('01_Raw_Data'!H402), '01_Raw_Data'!H402, IFERROR(VALUE(SUBSTITUTE('01_Raw_Data'!H402, "%", ""))/100, 0))</f>
        <v/>
      </c>
      <c r="H402" s="8">
        <f>PROPER(TRIM('01_Raw_Data'!J402))</f>
        <v/>
      </c>
      <c r="I402" s="8">
        <f>IF('01_Raw_Data'!K402="", "REG-NA", UPPER(TRIM('01_Raw_Data'!K402)))</f>
        <v/>
      </c>
      <c r="J402" s="8">
        <f>IF(OR('01_Raw_Data'!C402="", '01_Raw_Data'!F402&lt;0, ISNUMBER(SEARCH("%", '01_Raw_Data'!H402))), "FIXED ANOMALY", "PASSED")</f>
        <v/>
      </c>
      <c r="K402" s="8">
        <f>IF('01_Raw_Data'!F402&lt;0, "Converted Negative Quantity to ABS", IF('01_Raw_Data'!C402="", "Imputed Missing Customer ID", IF(ISNUMBER(SEARCH("%", '01_Raw_Data'!H402)), "Parsed Text % to Numeric Rate", "Standardized Format")))</f>
        <v/>
      </c>
    </row>
    <row r="403">
      <c r="A403" s="8">
        <f>'01_Raw_Data'!A403</f>
        <v/>
      </c>
      <c r="B403" s="10">
        <f>IFERROR(DATEVALUE('01_Raw_Data'!B403), IF('01_Raw_Data'!B403="", DATE(2024,1,1), '01_Raw_Data'!B403))</f>
        <v/>
      </c>
      <c r="C403" s="8">
        <f>IF(OR('01_Raw_Data'!C403="",'01_Raw_Data'!C403="0"), "CUST-GUEST", TRIM('01_Raw_Data'!C403))</f>
        <v/>
      </c>
      <c r="D403" s="8">
        <f>PROPER(TRIM(CLEAN('01_Raw_Data'!D403)))</f>
        <v/>
      </c>
      <c r="E403" s="8">
        <f>ABS(IF(ISNUMBER(VALUE('01_Raw_Data'!F403)), VALUE('01_Raw_Data'!F403), 1))</f>
        <v/>
      </c>
      <c r="F403" s="9">
        <f>'01_Raw_Data'!G403</f>
        <v/>
      </c>
      <c r="G403" s="11">
        <f>IF(ISNUMBER('01_Raw_Data'!H403), '01_Raw_Data'!H403, IFERROR(VALUE(SUBSTITUTE('01_Raw_Data'!H403, "%", ""))/100, 0))</f>
        <v/>
      </c>
      <c r="H403" s="8">
        <f>PROPER(TRIM('01_Raw_Data'!J403))</f>
        <v/>
      </c>
      <c r="I403" s="8">
        <f>IF('01_Raw_Data'!K403="", "REG-NA", UPPER(TRIM('01_Raw_Data'!K403)))</f>
        <v/>
      </c>
      <c r="J403" s="8">
        <f>IF(OR('01_Raw_Data'!C403="", '01_Raw_Data'!F403&lt;0, ISNUMBER(SEARCH("%", '01_Raw_Data'!H403))), "FIXED ANOMALY", "PASSED")</f>
        <v/>
      </c>
      <c r="K403" s="8">
        <f>IF('01_Raw_Data'!F403&lt;0, "Converted Negative Quantity to ABS", IF('01_Raw_Data'!C403="", "Imputed Missing Customer ID", IF(ISNUMBER(SEARCH("%", '01_Raw_Data'!H403)), "Parsed Text % to Numeric Rate", "Standardized Format")))</f>
        <v/>
      </c>
    </row>
    <row r="404">
      <c r="A404" s="8">
        <f>'01_Raw_Data'!A404</f>
        <v/>
      </c>
      <c r="B404" s="10">
        <f>IFERROR(DATEVALUE('01_Raw_Data'!B404), IF('01_Raw_Data'!B404="", DATE(2024,1,1), '01_Raw_Data'!B404))</f>
        <v/>
      </c>
      <c r="C404" s="8">
        <f>IF(OR('01_Raw_Data'!C404="",'01_Raw_Data'!C404="0"), "CUST-GUEST", TRIM('01_Raw_Data'!C404))</f>
        <v/>
      </c>
      <c r="D404" s="8">
        <f>PROPER(TRIM(CLEAN('01_Raw_Data'!D404)))</f>
        <v/>
      </c>
      <c r="E404" s="8">
        <f>ABS(IF(ISNUMBER(VALUE('01_Raw_Data'!F404)), VALUE('01_Raw_Data'!F404), 1))</f>
        <v/>
      </c>
      <c r="F404" s="9">
        <f>'01_Raw_Data'!G404</f>
        <v/>
      </c>
      <c r="G404" s="11">
        <f>IF(ISNUMBER('01_Raw_Data'!H404), '01_Raw_Data'!H404, IFERROR(VALUE(SUBSTITUTE('01_Raw_Data'!H404, "%", ""))/100, 0))</f>
        <v/>
      </c>
      <c r="H404" s="8">
        <f>PROPER(TRIM('01_Raw_Data'!J404))</f>
        <v/>
      </c>
      <c r="I404" s="8">
        <f>IF('01_Raw_Data'!K404="", "REG-NA", UPPER(TRIM('01_Raw_Data'!K404)))</f>
        <v/>
      </c>
      <c r="J404" s="8">
        <f>IF(OR('01_Raw_Data'!C404="", '01_Raw_Data'!F404&lt;0, ISNUMBER(SEARCH("%", '01_Raw_Data'!H404))), "FIXED ANOMALY", "PASSED")</f>
        <v/>
      </c>
      <c r="K404" s="8">
        <f>IF('01_Raw_Data'!F404&lt;0, "Converted Negative Quantity to ABS", IF('01_Raw_Data'!C404="", "Imputed Missing Customer ID", IF(ISNUMBER(SEARCH("%", '01_Raw_Data'!H404)), "Parsed Text % to Numeric Rate", "Standardized Format")))</f>
        <v/>
      </c>
    </row>
    <row r="405">
      <c r="A405" s="8">
        <f>'01_Raw_Data'!A405</f>
        <v/>
      </c>
      <c r="B405" s="10">
        <f>IFERROR(DATEVALUE('01_Raw_Data'!B405), IF('01_Raw_Data'!B405="", DATE(2024,1,1), '01_Raw_Data'!B405))</f>
        <v/>
      </c>
      <c r="C405" s="8">
        <f>IF(OR('01_Raw_Data'!C405="",'01_Raw_Data'!C405="0"), "CUST-GUEST", TRIM('01_Raw_Data'!C405))</f>
        <v/>
      </c>
      <c r="D405" s="8">
        <f>PROPER(TRIM(CLEAN('01_Raw_Data'!D405)))</f>
        <v/>
      </c>
      <c r="E405" s="8">
        <f>ABS(IF(ISNUMBER(VALUE('01_Raw_Data'!F405)), VALUE('01_Raw_Data'!F405), 1))</f>
        <v/>
      </c>
      <c r="F405" s="9">
        <f>'01_Raw_Data'!G405</f>
        <v/>
      </c>
      <c r="G405" s="11">
        <f>IF(ISNUMBER('01_Raw_Data'!H405), '01_Raw_Data'!H405, IFERROR(VALUE(SUBSTITUTE('01_Raw_Data'!H405, "%", ""))/100, 0))</f>
        <v/>
      </c>
      <c r="H405" s="8">
        <f>PROPER(TRIM('01_Raw_Data'!J405))</f>
        <v/>
      </c>
      <c r="I405" s="8">
        <f>IF('01_Raw_Data'!K405="", "REG-NA", UPPER(TRIM('01_Raw_Data'!K405)))</f>
        <v/>
      </c>
      <c r="J405" s="8">
        <f>IF(OR('01_Raw_Data'!C405="", '01_Raw_Data'!F405&lt;0, ISNUMBER(SEARCH("%", '01_Raw_Data'!H405))), "FIXED ANOMALY", "PASSED")</f>
        <v/>
      </c>
      <c r="K405" s="8">
        <f>IF('01_Raw_Data'!F405&lt;0, "Converted Negative Quantity to ABS", IF('01_Raw_Data'!C405="", "Imputed Missing Customer ID", IF(ISNUMBER(SEARCH("%", '01_Raw_Data'!H405)), "Parsed Text % to Numeric Rate", "Standardized Format")))</f>
        <v/>
      </c>
    </row>
    <row r="406">
      <c r="A406" s="8">
        <f>'01_Raw_Data'!A406</f>
        <v/>
      </c>
      <c r="B406" s="10">
        <f>IFERROR(DATEVALUE('01_Raw_Data'!B406), IF('01_Raw_Data'!B406="", DATE(2024,1,1), '01_Raw_Data'!B406))</f>
        <v/>
      </c>
      <c r="C406" s="8">
        <f>IF(OR('01_Raw_Data'!C406="",'01_Raw_Data'!C406="0"), "CUST-GUEST", TRIM('01_Raw_Data'!C406))</f>
        <v/>
      </c>
      <c r="D406" s="8">
        <f>PROPER(TRIM(CLEAN('01_Raw_Data'!D406)))</f>
        <v/>
      </c>
      <c r="E406" s="8">
        <f>ABS(IF(ISNUMBER(VALUE('01_Raw_Data'!F406)), VALUE('01_Raw_Data'!F406), 1))</f>
        <v/>
      </c>
      <c r="F406" s="9">
        <f>'01_Raw_Data'!G406</f>
        <v/>
      </c>
      <c r="G406" s="11">
        <f>IF(ISNUMBER('01_Raw_Data'!H406), '01_Raw_Data'!H406, IFERROR(VALUE(SUBSTITUTE('01_Raw_Data'!H406, "%", ""))/100, 0))</f>
        <v/>
      </c>
      <c r="H406" s="8">
        <f>PROPER(TRIM('01_Raw_Data'!J406))</f>
        <v/>
      </c>
      <c r="I406" s="8">
        <f>IF('01_Raw_Data'!K406="", "REG-NA", UPPER(TRIM('01_Raw_Data'!K406)))</f>
        <v/>
      </c>
      <c r="J406" s="8">
        <f>IF(OR('01_Raw_Data'!C406="", '01_Raw_Data'!F406&lt;0, ISNUMBER(SEARCH("%", '01_Raw_Data'!H406))), "FIXED ANOMALY", "PASSED")</f>
        <v/>
      </c>
      <c r="K406" s="8">
        <f>IF('01_Raw_Data'!F406&lt;0, "Converted Negative Quantity to ABS", IF('01_Raw_Data'!C406="", "Imputed Missing Customer ID", IF(ISNUMBER(SEARCH("%", '01_Raw_Data'!H406)), "Parsed Text % to Numeric Rate", "Standardized Format")))</f>
        <v/>
      </c>
    </row>
    <row r="407">
      <c r="A407" s="8">
        <f>'01_Raw_Data'!A407</f>
        <v/>
      </c>
      <c r="B407" s="10">
        <f>IFERROR(DATEVALUE('01_Raw_Data'!B407), IF('01_Raw_Data'!B407="", DATE(2024,1,1), '01_Raw_Data'!B407))</f>
        <v/>
      </c>
      <c r="C407" s="8">
        <f>IF(OR('01_Raw_Data'!C407="",'01_Raw_Data'!C407="0"), "CUST-GUEST", TRIM('01_Raw_Data'!C407))</f>
        <v/>
      </c>
      <c r="D407" s="8">
        <f>PROPER(TRIM(CLEAN('01_Raw_Data'!D407)))</f>
        <v/>
      </c>
      <c r="E407" s="8">
        <f>ABS(IF(ISNUMBER(VALUE('01_Raw_Data'!F407)), VALUE('01_Raw_Data'!F407), 1))</f>
        <v/>
      </c>
      <c r="F407" s="9">
        <f>'01_Raw_Data'!G407</f>
        <v/>
      </c>
      <c r="G407" s="11">
        <f>IF(ISNUMBER('01_Raw_Data'!H407), '01_Raw_Data'!H407, IFERROR(VALUE(SUBSTITUTE('01_Raw_Data'!H407, "%", ""))/100, 0))</f>
        <v/>
      </c>
      <c r="H407" s="8">
        <f>PROPER(TRIM('01_Raw_Data'!J407))</f>
        <v/>
      </c>
      <c r="I407" s="8">
        <f>IF('01_Raw_Data'!K407="", "REG-NA", UPPER(TRIM('01_Raw_Data'!K407)))</f>
        <v/>
      </c>
      <c r="J407" s="8">
        <f>IF(OR('01_Raw_Data'!C407="", '01_Raw_Data'!F407&lt;0, ISNUMBER(SEARCH("%", '01_Raw_Data'!H407))), "FIXED ANOMALY", "PASSED")</f>
        <v/>
      </c>
      <c r="K407" s="8">
        <f>IF('01_Raw_Data'!F407&lt;0, "Converted Negative Quantity to ABS", IF('01_Raw_Data'!C407="", "Imputed Missing Customer ID", IF(ISNUMBER(SEARCH("%", '01_Raw_Data'!H407)), "Parsed Text % to Numeric Rate", "Standardized Format")))</f>
        <v/>
      </c>
    </row>
    <row r="408">
      <c r="A408" s="8">
        <f>'01_Raw_Data'!A408</f>
        <v/>
      </c>
      <c r="B408" s="10">
        <f>IFERROR(DATEVALUE('01_Raw_Data'!B408), IF('01_Raw_Data'!B408="", DATE(2024,1,1), '01_Raw_Data'!B408))</f>
        <v/>
      </c>
      <c r="C408" s="8">
        <f>IF(OR('01_Raw_Data'!C408="",'01_Raw_Data'!C408="0"), "CUST-GUEST", TRIM('01_Raw_Data'!C408))</f>
        <v/>
      </c>
      <c r="D408" s="8">
        <f>PROPER(TRIM(CLEAN('01_Raw_Data'!D408)))</f>
        <v/>
      </c>
      <c r="E408" s="8">
        <f>ABS(IF(ISNUMBER(VALUE('01_Raw_Data'!F408)), VALUE('01_Raw_Data'!F408), 1))</f>
        <v/>
      </c>
      <c r="F408" s="9">
        <f>'01_Raw_Data'!G408</f>
        <v/>
      </c>
      <c r="G408" s="11">
        <f>IF(ISNUMBER('01_Raw_Data'!H408), '01_Raw_Data'!H408, IFERROR(VALUE(SUBSTITUTE('01_Raw_Data'!H408, "%", ""))/100, 0))</f>
        <v/>
      </c>
      <c r="H408" s="8">
        <f>PROPER(TRIM('01_Raw_Data'!J408))</f>
        <v/>
      </c>
      <c r="I408" s="8">
        <f>IF('01_Raw_Data'!K408="", "REG-NA", UPPER(TRIM('01_Raw_Data'!K408)))</f>
        <v/>
      </c>
      <c r="J408" s="8">
        <f>IF(OR('01_Raw_Data'!C408="", '01_Raw_Data'!F408&lt;0, ISNUMBER(SEARCH("%", '01_Raw_Data'!H408))), "FIXED ANOMALY", "PASSED")</f>
        <v/>
      </c>
      <c r="K408" s="8">
        <f>IF('01_Raw_Data'!F408&lt;0, "Converted Negative Quantity to ABS", IF('01_Raw_Data'!C408="", "Imputed Missing Customer ID", IF(ISNUMBER(SEARCH("%", '01_Raw_Data'!H408)), "Parsed Text % to Numeric Rate", "Standardized Format")))</f>
        <v/>
      </c>
    </row>
    <row r="409">
      <c r="A409" s="8">
        <f>'01_Raw_Data'!A409</f>
        <v/>
      </c>
      <c r="B409" s="10">
        <f>IFERROR(DATEVALUE('01_Raw_Data'!B409), IF('01_Raw_Data'!B409="", DATE(2024,1,1), '01_Raw_Data'!B409))</f>
        <v/>
      </c>
      <c r="C409" s="8">
        <f>IF(OR('01_Raw_Data'!C409="",'01_Raw_Data'!C409="0"), "CUST-GUEST", TRIM('01_Raw_Data'!C409))</f>
        <v/>
      </c>
      <c r="D409" s="8">
        <f>PROPER(TRIM(CLEAN('01_Raw_Data'!D409)))</f>
        <v/>
      </c>
      <c r="E409" s="8">
        <f>ABS(IF(ISNUMBER(VALUE('01_Raw_Data'!F409)), VALUE('01_Raw_Data'!F409), 1))</f>
        <v/>
      </c>
      <c r="F409" s="9">
        <f>'01_Raw_Data'!G409</f>
        <v/>
      </c>
      <c r="G409" s="11">
        <f>IF(ISNUMBER('01_Raw_Data'!H409), '01_Raw_Data'!H409, IFERROR(VALUE(SUBSTITUTE('01_Raw_Data'!H409, "%", ""))/100, 0))</f>
        <v/>
      </c>
      <c r="H409" s="8">
        <f>PROPER(TRIM('01_Raw_Data'!J409))</f>
        <v/>
      </c>
      <c r="I409" s="8">
        <f>IF('01_Raw_Data'!K409="", "REG-NA", UPPER(TRIM('01_Raw_Data'!K409)))</f>
        <v/>
      </c>
      <c r="J409" s="8">
        <f>IF(OR('01_Raw_Data'!C409="", '01_Raw_Data'!F409&lt;0, ISNUMBER(SEARCH("%", '01_Raw_Data'!H409))), "FIXED ANOMALY", "PASSED")</f>
        <v/>
      </c>
      <c r="K409" s="8">
        <f>IF('01_Raw_Data'!F409&lt;0, "Converted Negative Quantity to ABS", IF('01_Raw_Data'!C409="", "Imputed Missing Customer ID", IF(ISNUMBER(SEARCH("%", '01_Raw_Data'!H409)), "Parsed Text % to Numeric Rate", "Standardized Format")))</f>
        <v/>
      </c>
    </row>
    <row r="410">
      <c r="A410" s="8">
        <f>'01_Raw_Data'!A410</f>
        <v/>
      </c>
      <c r="B410" s="10">
        <f>IFERROR(DATEVALUE('01_Raw_Data'!B410), IF('01_Raw_Data'!B410="", DATE(2024,1,1), '01_Raw_Data'!B410))</f>
        <v/>
      </c>
      <c r="C410" s="8">
        <f>IF(OR('01_Raw_Data'!C410="",'01_Raw_Data'!C410="0"), "CUST-GUEST", TRIM('01_Raw_Data'!C410))</f>
        <v/>
      </c>
      <c r="D410" s="8">
        <f>PROPER(TRIM(CLEAN('01_Raw_Data'!D410)))</f>
        <v/>
      </c>
      <c r="E410" s="8">
        <f>ABS(IF(ISNUMBER(VALUE('01_Raw_Data'!F410)), VALUE('01_Raw_Data'!F410), 1))</f>
        <v/>
      </c>
      <c r="F410" s="9">
        <f>'01_Raw_Data'!G410</f>
        <v/>
      </c>
      <c r="G410" s="11">
        <f>IF(ISNUMBER('01_Raw_Data'!H410), '01_Raw_Data'!H410, IFERROR(VALUE(SUBSTITUTE('01_Raw_Data'!H410, "%", ""))/100, 0))</f>
        <v/>
      </c>
      <c r="H410" s="8">
        <f>PROPER(TRIM('01_Raw_Data'!J410))</f>
        <v/>
      </c>
      <c r="I410" s="8">
        <f>IF('01_Raw_Data'!K410="", "REG-NA", UPPER(TRIM('01_Raw_Data'!K410)))</f>
        <v/>
      </c>
      <c r="J410" s="8">
        <f>IF(OR('01_Raw_Data'!C410="", '01_Raw_Data'!F410&lt;0, ISNUMBER(SEARCH("%", '01_Raw_Data'!H410))), "FIXED ANOMALY", "PASSED")</f>
        <v/>
      </c>
      <c r="K410" s="8">
        <f>IF('01_Raw_Data'!F410&lt;0, "Converted Negative Quantity to ABS", IF('01_Raw_Data'!C410="", "Imputed Missing Customer ID", IF(ISNUMBER(SEARCH("%", '01_Raw_Data'!H410)), "Parsed Text % to Numeric Rate", "Standardized Format")))</f>
        <v/>
      </c>
    </row>
    <row r="411">
      <c r="A411" s="8">
        <f>'01_Raw_Data'!A411</f>
        <v/>
      </c>
      <c r="B411" s="10">
        <f>IFERROR(DATEVALUE('01_Raw_Data'!B411), IF('01_Raw_Data'!B411="", DATE(2024,1,1), '01_Raw_Data'!B411))</f>
        <v/>
      </c>
      <c r="C411" s="8">
        <f>IF(OR('01_Raw_Data'!C411="",'01_Raw_Data'!C411="0"), "CUST-GUEST", TRIM('01_Raw_Data'!C411))</f>
        <v/>
      </c>
      <c r="D411" s="8">
        <f>PROPER(TRIM(CLEAN('01_Raw_Data'!D411)))</f>
        <v/>
      </c>
      <c r="E411" s="8">
        <f>ABS(IF(ISNUMBER(VALUE('01_Raw_Data'!F411)), VALUE('01_Raw_Data'!F411), 1))</f>
        <v/>
      </c>
      <c r="F411" s="9">
        <f>'01_Raw_Data'!G411</f>
        <v/>
      </c>
      <c r="G411" s="11">
        <f>IF(ISNUMBER('01_Raw_Data'!H411), '01_Raw_Data'!H411, IFERROR(VALUE(SUBSTITUTE('01_Raw_Data'!H411, "%", ""))/100, 0))</f>
        <v/>
      </c>
      <c r="H411" s="8">
        <f>PROPER(TRIM('01_Raw_Data'!J411))</f>
        <v/>
      </c>
      <c r="I411" s="8">
        <f>IF('01_Raw_Data'!K411="", "REG-NA", UPPER(TRIM('01_Raw_Data'!K411)))</f>
        <v/>
      </c>
      <c r="J411" s="8">
        <f>IF(OR('01_Raw_Data'!C411="", '01_Raw_Data'!F411&lt;0, ISNUMBER(SEARCH("%", '01_Raw_Data'!H411))), "FIXED ANOMALY", "PASSED")</f>
        <v/>
      </c>
      <c r="K411" s="8">
        <f>IF('01_Raw_Data'!F411&lt;0, "Converted Negative Quantity to ABS", IF('01_Raw_Data'!C411="", "Imputed Missing Customer ID", IF(ISNUMBER(SEARCH("%", '01_Raw_Data'!H411)), "Parsed Text % to Numeric Rate", "Standardized Format")))</f>
        <v/>
      </c>
    </row>
    <row r="412">
      <c r="A412" s="8">
        <f>'01_Raw_Data'!A412</f>
        <v/>
      </c>
      <c r="B412" s="10">
        <f>IFERROR(DATEVALUE('01_Raw_Data'!B412), IF('01_Raw_Data'!B412="", DATE(2024,1,1), '01_Raw_Data'!B412))</f>
        <v/>
      </c>
      <c r="C412" s="8">
        <f>IF(OR('01_Raw_Data'!C412="",'01_Raw_Data'!C412="0"), "CUST-GUEST", TRIM('01_Raw_Data'!C412))</f>
        <v/>
      </c>
      <c r="D412" s="8">
        <f>PROPER(TRIM(CLEAN('01_Raw_Data'!D412)))</f>
        <v/>
      </c>
      <c r="E412" s="8">
        <f>ABS(IF(ISNUMBER(VALUE('01_Raw_Data'!F412)), VALUE('01_Raw_Data'!F412), 1))</f>
        <v/>
      </c>
      <c r="F412" s="9">
        <f>'01_Raw_Data'!G412</f>
        <v/>
      </c>
      <c r="G412" s="11">
        <f>IF(ISNUMBER('01_Raw_Data'!H412), '01_Raw_Data'!H412, IFERROR(VALUE(SUBSTITUTE('01_Raw_Data'!H412, "%", ""))/100, 0))</f>
        <v/>
      </c>
      <c r="H412" s="8">
        <f>PROPER(TRIM('01_Raw_Data'!J412))</f>
        <v/>
      </c>
      <c r="I412" s="8">
        <f>IF('01_Raw_Data'!K412="", "REG-NA", UPPER(TRIM('01_Raw_Data'!K412)))</f>
        <v/>
      </c>
      <c r="J412" s="8">
        <f>IF(OR('01_Raw_Data'!C412="", '01_Raw_Data'!F412&lt;0, ISNUMBER(SEARCH("%", '01_Raw_Data'!H412))), "FIXED ANOMALY", "PASSED")</f>
        <v/>
      </c>
      <c r="K412" s="8">
        <f>IF('01_Raw_Data'!F412&lt;0, "Converted Negative Quantity to ABS", IF('01_Raw_Data'!C412="", "Imputed Missing Customer ID", IF(ISNUMBER(SEARCH("%", '01_Raw_Data'!H412)), "Parsed Text % to Numeric Rate", "Standardized Format")))</f>
        <v/>
      </c>
    </row>
    <row r="413">
      <c r="A413" s="8">
        <f>'01_Raw_Data'!A413</f>
        <v/>
      </c>
      <c r="B413" s="10">
        <f>IFERROR(DATEVALUE('01_Raw_Data'!B413), IF('01_Raw_Data'!B413="", DATE(2024,1,1), '01_Raw_Data'!B413))</f>
        <v/>
      </c>
      <c r="C413" s="8">
        <f>IF(OR('01_Raw_Data'!C413="",'01_Raw_Data'!C413="0"), "CUST-GUEST", TRIM('01_Raw_Data'!C413))</f>
        <v/>
      </c>
      <c r="D413" s="8">
        <f>PROPER(TRIM(CLEAN('01_Raw_Data'!D413)))</f>
        <v/>
      </c>
      <c r="E413" s="8">
        <f>ABS(IF(ISNUMBER(VALUE('01_Raw_Data'!F413)), VALUE('01_Raw_Data'!F413), 1))</f>
        <v/>
      </c>
      <c r="F413" s="9">
        <f>'01_Raw_Data'!G413</f>
        <v/>
      </c>
      <c r="G413" s="11">
        <f>IF(ISNUMBER('01_Raw_Data'!H413), '01_Raw_Data'!H413, IFERROR(VALUE(SUBSTITUTE('01_Raw_Data'!H413, "%", ""))/100, 0))</f>
        <v/>
      </c>
      <c r="H413" s="8">
        <f>PROPER(TRIM('01_Raw_Data'!J413))</f>
        <v/>
      </c>
      <c r="I413" s="8">
        <f>IF('01_Raw_Data'!K413="", "REG-NA", UPPER(TRIM('01_Raw_Data'!K413)))</f>
        <v/>
      </c>
      <c r="J413" s="8">
        <f>IF(OR('01_Raw_Data'!C413="", '01_Raw_Data'!F413&lt;0, ISNUMBER(SEARCH("%", '01_Raw_Data'!H413))), "FIXED ANOMALY", "PASSED")</f>
        <v/>
      </c>
      <c r="K413" s="8">
        <f>IF('01_Raw_Data'!F413&lt;0, "Converted Negative Quantity to ABS", IF('01_Raw_Data'!C413="", "Imputed Missing Customer ID", IF(ISNUMBER(SEARCH("%", '01_Raw_Data'!H413)), "Parsed Text % to Numeric Rate", "Standardized Format")))</f>
        <v/>
      </c>
    </row>
    <row r="414">
      <c r="A414" s="8">
        <f>'01_Raw_Data'!A414</f>
        <v/>
      </c>
      <c r="B414" s="10">
        <f>IFERROR(DATEVALUE('01_Raw_Data'!B414), IF('01_Raw_Data'!B414="", DATE(2024,1,1), '01_Raw_Data'!B414))</f>
        <v/>
      </c>
      <c r="C414" s="8">
        <f>IF(OR('01_Raw_Data'!C414="",'01_Raw_Data'!C414="0"), "CUST-GUEST", TRIM('01_Raw_Data'!C414))</f>
        <v/>
      </c>
      <c r="D414" s="8">
        <f>PROPER(TRIM(CLEAN('01_Raw_Data'!D414)))</f>
        <v/>
      </c>
      <c r="E414" s="8">
        <f>ABS(IF(ISNUMBER(VALUE('01_Raw_Data'!F414)), VALUE('01_Raw_Data'!F414), 1))</f>
        <v/>
      </c>
      <c r="F414" s="9">
        <f>'01_Raw_Data'!G414</f>
        <v/>
      </c>
      <c r="G414" s="11">
        <f>IF(ISNUMBER('01_Raw_Data'!H414), '01_Raw_Data'!H414, IFERROR(VALUE(SUBSTITUTE('01_Raw_Data'!H414, "%", ""))/100, 0))</f>
        <v/>
      </c>
      <c r="H414" s="8">
        <f>PROPER(TRIM('01_Raw_Data'!J414))</f>
        <v/>
      </c>
      <c r="I414" s="8">
        <f>IF('01_Raw_Data'!K414="", "REG-NA", UPPER(TRIM('01_Raw_Data'!K414)))</f>
        <v/>
      </c>
      <c r="J414" s="8">
        <f>IF(OR('01_Raw_Data'!C414="", '01_Raw_Data'!F414&lt;0, ISNUMBER(SEARCH("%", '01_Raw_Data'!H414))), "FIXED ANOMALY", "PASSED")</f>
        <v/>
      </c>
      <c r="K414" s="8">
        <f>IF('01_Raw_Data'!F414&lt;0, "Converted Negative Quantity to ABS", IF('01_Raw_Data'!C414="", "Imputed Missing Customer ID", IF(ISNUMBER(SEARCH("%", '01_Raw_Data'!H414)), "Parsed Text % to Numeric Rate", "Standardized Format")))</f>
        <v/>
      </c>
    </row>
    <row r="415">
      <c r="A415" s="8">
        <f>'01_Raw_Data'!A415</f>
        <v/>
      </c>
      <c r="B415" s="10">
        <f>IFERROR(DATEVALUE('01_Raw_Data'!B415), IF('01_Raw_Data'!B415="", DATE(2024,1,1), '01_Raw_Data'!B415))</f>
        <v/>
      </c>
      <c r="C415" s="8">
        <f>IF(OR('01_Raw_Data'!C415="",'01_Raw_Data'!C415="0"), "CUST-GUEST", TRIM('01_Raw_Data'!C415))</f>
        <v/>
      </c>
      <c r="D415" s="8">
        <f>PROPER(TRIM(CLEAN('01_Raw_Data'!D415)))</f>
        <v/>
      </c>
      <c r="E415" s="8">
        <f>ABS(IF(ISNUMBER(VALUE('01_Raw_Data'!F415)), VALUE('01_Raw_Data'!F415), 1))</f>
        <v/>
      </c>
      <c r="F415" s="9">
        <f>'01_Raw_Data'!G415</f>
        <v/>
      </c>
      <c r="G415" s="11">
        <f>IF(ISNUMBER('01_Raw_Data'!H415), '01_Raw_Data'!H415, IFERROR(VALUE(SUBSTITUTE('01_Raw_Data'!H415, "%", ""))/100, 0))</f>
        <v/>
      </c>
      <c r="H415" s="8">
        <f>PROPER(TRIM('01_Raw_Data'!J415))</f>
        <v/>
      </c>
      <c r="I415" s="8">
        <f>IF('01_Raw_Data'!K415="", "REG-NA", UPPER(TRIM('01_Raw_Data'!K415)))</f>
        <v/>
      </c>
      <c r="J415" s="8">
        <f>IF(OR('01_Raw_Data'!C415="", '01_Raw_Data'!F415&lt;0, ISNUMBER(SEARCH("%", '01_Raw_Data'!H415))), "FIXED ANOMALY", "PASSED")</f>
        <v/>
      </c>
      <c r="K415" s="8">
        <f>IF('01_Raw_Data'!F415&lt;0, "Converted Negative Quantity to ABS", IF('01_Raw_Data'!C415="", "Imputed Missing Customer ID", IF(ISNUMBER(SEARCH("%", '01_Raw_Data'!H415)), "Parsed Text % to Numeric Rate", "Standardized Format")))</f>
        <v/>
      </c>
    </row>
    <row r="416">
      <c r="A416" s="8">
        <f>'01_Raw_Data'!A416</f>
        <v/>
      </c>
      <c r="B416" s="10">
        <f>IFERROR(DATEVALUE('01_Raw_Data'!B416), IF('01_Raw_Data'!B416="", DATE(2024,1,1), '01_Raw_Data'!B416))</f>
        <v/>
      </c>
      <c r="C416" s="8">
        <f>IF(OR('01_Raw_Data'!C416="",'01_Raw_Data'!C416="0"), "CUST-GUEST", TRIM('01_Raw_Data'!C416))</f>
        <v/>
      </c>
      <c r="D416" s="8">
        <f>PROPER(TRIM(CLEAN('01_Raw_Data'!D416)))</f>
        <v/>
      </c>
      <c r="E416" s="8">
        <f>ABS(IF(ISNUMBER(VALUE('01_Raw_Data'!F416)), VALUE('01_Raw_Data'!F416), 1))</f>
        <v/>
      </c>
      <c r="F416" s="9">
        <f>'01_Raw_Data'!G416</f>
        <v/>
      </c>
      <c r="G416" s="11">
        <f>IF(ISNUMBER('01_Raw_Data'!H416), '01_Raw_Data'!H416, IFERROR(VALUE(SUBSTITUTE('01_Raw_Data'!H416, "%", ""))/100, 0))</f>
        <v/>
      </c>
      <c r="H416" s="8">
        <f>PROPER(TRIM('01_Raw_Data'!J416))</f>
        <v/>
      </c>
      <c r="I416" s="8">
        <f>IF('01_Raw_Data'!K416="", "REG-NA", UPPER(TRIM('01_Raw_Data'!K416)))</f>
        <v/>
      </c>
      <c r="J416" s="8">
        <f>IF(OR('01_Raw_Data'!C416="", '01_Raw_Data'!F416&lt;0, ISNUMBER(SEARCH("%", '01_Raw_Data'!H416))), "FIXED ANOMALY", "PASSED")</f>
        <v/>
      </c>
      <c r="K416" s="8">
        <f>IF('01_Raw_Data'!F416&lt;0, "Converted Negative Quantity to ABS", IF('01_Raw_Data'!C416="", "Imputed Missing Customer ID", IF(ISNUMBER(SEARCH("%", '01_Raw_Data'!H416)), "Parsed Text % to Numeric Rate", "Standardized Format")))</f>
        <v/>
      </c>
    </row>
    <row r="417">
      <c r="A417" s="8">
        <f>'01_Raw_Data'!A417</f>
        <v/>
      </c>
      <c r="B417" s="10">
        <f>IFERROR(DATEVALUE('01_Raw_Data'!B417), IF('01_Raw_Data'!B417="", DATE(2024,1,1), '01_Raw_Data'!B417))</f>
        <v/>
      </c>
      <c r="C417" s="8">
        <f>IF(OR('01_Raw_Data'!C417="",'01_Raw_Data'!C417="0"), "CUST-GUEST", TRIM('01_Raw_Data'!C417))</f>
        <v/>
      </c>
      <c r="D417" s="8">
        <f>PROPER(TRIM(CLEAN('01_Raw_Data'!D417)))</f>
        <v/>
      </c>
      <c r="E417" s="8">
        <f>ABS(IF(ISNUMBER(VALUE('01_Raw_Data'!F417)), VALUE('01_Raw_Data'!F417), 1))</f>
        <v/>
      </c>
      <c r="F417" s="9">
        <f>'01_Raw_Data'!G417</f>
        <v/>
      </c>
      <c r="G417" s="11">
        <f>IF(ISNUMBER('01_Raw_Data'!H417), '01_Raw_Data'!H417, IFERROR(VALUE(SUBSTITUTE('01_Raw_Data'!H417, "%", ""))/100, 0))</f>
        <v/>
      </c>
      <c r="H417" s="8">
        <f>PROPER(TRIM('01_Raw_Data'!J417))</f>
        <v/>
      </c>
      <c r="I417" s="8">
        <f>IF('01_Raw_Data'!K417="", "REG-NA", UPPER(TRIM('01_Raw_Data'!K417)))</f>
        <v/>
      </c>
      <c r="J417" s="8">
        <f>IF(OR('01_Raw_Data'!C417="", '01_Raw_Data'!F417&lt;0, ISNUMBER(SEARCH("%", '01_Raw_Data'!H417))), "FIXED ANOMALY", "PASSED")</f>
        <v/>
      </c>
      <c r="K417" s="8">
        <f>IF('01_Raw_Data'!F417&lt;0, "Converted Negative Quantity to ABS", IF('01_Raw_Data'!C417="", "Imputed Missing Customer ID", IF(ISNUMBER(SEARCH("%", '01_Raw_Data'!H417)), "Parsed Text % to Numeric Rate", "Standardized Format")))</f>
        <v/>
      </c>
    </row>
    <row r="418">
      <c r="A418" s="8">
        <f>'01_Raw_Data'!A418</f>
        <v/>
      </c>
      <c r="B418" s="10">
        <f>IFERROR(DATEVALUE('01_Raw_Data'!B418), IF('01_Raw_Data'!B418="", DATE(2024,1,1), '01_Raw_Data'!B418))</f>
        <v/>
      </c>
      <c r="C418" s="8">
        <f>IF(OR('01_Raw_Data'!C418="",'01_Raw_Data'!C418="0"), "CUST-GUEST", TRIM('01_Raw_Data'!C418))</f>
        <v/>
      </c>
      <c r="D418" s="8">
        <f>PROPER(TRIM(CLEAN('01_Raw_Data'!D418)))</f>
        <v/>
      </c>
      <c r="E418" s="8">
        <f>ABS(IF(ISNUMBER(VALUE('01_Raw_Data'!F418)), VALUE('01_Raw_Data'!F418), 1))</f>
        <v/>
      </c>
      <c r="F418" s="9">
        <f>'01_Raw_Data'!G418</f>
        <v/>
      </c>
      <c r="G418" s="11">
        <f>IF(ISNUMBER('01_Raw_Data'!H418), '01_Raw_Data'!H418, IFERROR(VALUE(SUBSTITUTE('01_Raw_Data'!H418, "%", ""))/100, 0))</f>
        <v/>
      </c>
      <c r="H418" s="8">
        <f>PROPER(TRIM('01_Raw_Data'!J418))</f>
        <v/>
      </c>
      <c r="I418" s="8">
        <f>IF('01_Raw_Data'!K418="", "REG-NA", UPPER(TRIM('01_Raw_Data'!K418)))</f>
        <v/>
      </c>
      <c r="J418" s="8">
        <f>IF(OR('01_Raw_Data'!C418="", '01_Raw_Data'!F418&lt;0, ISNUMBER(SEARCH("%", '01_Raw_Data'!H418))), "FIXED ANOMALY", "PASSED")</f>
        <v/>
      </c>
      <c r="K418" s="8">
        <f>IF('01_Raw_Data'!F418&lt;0, "Converted Negative Quantity to ABS", IF('01_Raw_Data'!C418="", "Imputed Missing Customer ID", IF(ISNUMBER(SEARCH("%", '01_Raw_Data'!H418)), "Parsed Text % to Numeric Rate", "Standardized Format")))</f>
        <v/>
      </c>
    </row>
    <row r="419">
      <c r="A419" s="8">
        <f>'01_Raw_Data'!A419</f>
        <v/>
      </c>
      <c r="B419" s="10">
        <f>IFERROR(DATEVALUE('01_Raw_Data'!B419), IF('01_Raw_Data'!B419="", DATE(2024,1,1), '01_Raw_Data'!B419))</f>
        <v/>
      </c>
      <c r="C419" s="8">
        <f>IF(OR('01_Raw_Data'!C419="",'01_Raw_Data'!C419="0"), "CUST-GUEST", TRIM('01_Raw_Data'!C419))</f>
        <v/>
      </c>
      <c r="D419" s="8">
        <f>PROPER(TRIM(CLEAN('01_Raw_Data'!D419)))</f>
        <v/>
      </c>
      <c r="E419" s="8">
        <f>ABS(IF(ISNUMBER(VALUE('01_Raw_Data'!F419)), VALUE('01_Raw_Data'!F419), 1))</f>
        <v/>
      </c>
      <c r="F419" s="9">
        <f>'01_Raw_Data'!G419</f>
        <v/>
      </c>
      <c r="G419" s="11">
        <f>IF(ISNUMBER('01_Raw_Data'!H419), '01_Raw_Data'!H419, IFERROR(VALUE(SUBSTITUTE('01_Raw_Data'!H419, "%", ""))/100, 0))</f>
        <v/>
      </c>
      <c r="H419" s="8">
        <f>PROPER(TRIM('01_Raw_Data'!J419))</f>
        <v/>
      </c>
      <c r="I419" s="8">
        <f>IF('01_Raw_Data'!K419="", "REG-NA", UPPER(TRIM('01_Raw_Data'!K419)))</f>
        <v/>
      </c>
      <c r="J419" s="8">
        <f>IF(OR('01_Raw_Data'!C419="", '01_Raw_Data'!F419&lt;0, ISNUMBER(SEARCH("%", '01_Raw_Data'!H419))), "FIXED ANOMALY", "PASSED")</f>
        <v/>
      </c>
      <c r="K419" s="8">
        <f>IF('01_Raw_Data'!F419&lt;0, "Converted Negative Quantity to ABS", IF('01_Raw_Data'!C419="", "Imputed Missing Customer ID", IF(ISNUMBER(SEARCH("%", '01_Raw_Data'!H419)), "Parsed Text % to Numeric Rate", "Standardized Format")))</f>
        <v/>
      </c>
    </row>
    <row r="420">
      <c r="A420" s="8">
        <f>'01_Raw_Data'!A420</f>
        <v/>
      </c>
      <c r="B420" s="10">
        <f>IFERROR(DATEVALUE('01_Raw_Data'!B420), IF('01_Raw_Data'!B420="", DATE(2024,1,1), '01_Raw_Data'!B420))</f>
        <v/>
      </c>
      <c r="C420" s="8">
        <f>IF(OR('01_Raw_Data'!C420="",'01_Raw_Data'!C420="0"), "CUST-GUEST", TRIM('01_Raw_Data'!C420))</f>
        <v/>
      </c>
      <c r="D420" s="8">
        <f>PROPER(TRIM(CLEAN('01_Raw_Data'!D420)))</f>
        <v/>
      </c>
      <c r="E420" s="8">
        <f>ABS(IF(ISNUMBER(VALUE('01_Raw_Data'!F420)), VALUE('01_Raw_Data'!F420), 1))</f>
        <v/>
      </c>
      <c r="F420" s="9">
        <f>'01_Raw_Data'!G420</f>
        <v/>
      </c>
      <c r="G420" s="11">
        <f>IF(ISNUMBER('01_Raw_Data'!H420), '01_Raw_Data'!H420, IFERROR(VALUE(SUBSTITUTE('01_Raw_Data'!H420, "%", ""))/100, 0))</f>
        <v/>
      </c>
      <c r="H420" s="8">
        <f>PROPER(TRIM('01_Raw_Data'!J420))</f>
        <v/>
      </c>
      <c r="I420" s="8">
        <f>IF('01_Raw_Data'!K420="", "REG-NA", UPPER(TRIM('01_Raw_Data'!K420)))</f>
        <v/>
      </c>
      <c r="J420" s="8">
        <f>IF(OR('01_Raw_Data'!C420="", '01_Raw_Data'!F420&lt;0, ISNUMBER(SEARCH("%", '01_Raw_Data'!H420))), "FIXED ANOMALY", "PASSED")</f>
        <v/>
      </c>
      <c r="K420" s="8">
        <f>IF('01_Raw_Data'!F420&lt;0, "Converted Negative Quantity to ABS", IF('01_Raw_Data'!C420="", "Imputed Missing Customer ID", IF(ISNUMBER(SEARCH("%", '01_Raw_Data'!H420)), "Parsed Text % to Numeric Rate", "Standardized Format")))</f>
        <v/>
      </c>
    </row>
    <row r="421">
      <c r="A421" s="8">
        <f>'01_Raw_Data'!A421</f>
        <v/>
      </c>
      <c r="B421" s="10">
        <f>IFERROR(DATEVALUE('01_Raw_Data'!B421), IF('01_Raw_Data'!B421="", DATE(2024,1,1), '01_Raw_Data'!B421))</f>
        <v/>
      </c>
      <c r="C421" s="8">
        <f>IF(OR('01_Raw_Data'!C421="",'01_Raw_Data'!C421="0"), "CUST-GUEST", TRIM('01_Raw_Data'!C421))</f>
        <v/>
      </c>
      <c r="D421" s="8">
        <f>PROPER(TRIM(CLEAN('01_Raw_Data'!D421)))</f>
        <v/>
      </c>
      <c r="E421" s="8">
        <f>ABS(IF(ISNUMBER(VALUE('01_Raw_Data'!F421)), VALUE('01_Raw_Data'!F421), 1))</f>
        <v/>
      </c>
      <c r="F421" s="9">
        <f>'01_Raw_Data'!G421</f>
        <v/>
      </c>
      <c r="G421" s="11">
        <f>IF(ISNUMBER('01_Raw_Data'!H421), '01_Raw_Data'!H421, IFERROR(VALUE(SUBSTITUTE('01_Raw_Data'!H421, "%", ""))/100, 0))</f>
        <v/>
      </c>
      <c r="H421" s="8">
        <f>PROPER(TRIM('01_Raw_Data'!J421))</f>
        <v/>
      </c>
      <c r="I421" s="8">
        <f>IF('01_Raw_Data'!K421="", "REG-NA", UPPER(TRIM('01_Raw_Data'!K421)))</f>
        <v/>
      </c>
      <c r="J421" s="8">
        <f>IF(OR('01_Raw_Data'!C421="", '01_Raw_Data'!F421&lt;0, ISNUMBER(SEARCH("%", '01_Raw_Data'!H421))), "FIXED ANOMALY", "PASSED")</f>
        <v/>
      </c>
      <c r="K421" s="8">
        <f>IF('01_Raw_Data'!F421&lt;0, "Converted Negative Quantity to ABS", IF('01_Raw_Data'!C421="", "Imputed Missing Customer ID", IF(ISNUMBER(SEARCH("%", '01_Raw_Data'!H421)), "Parsed Text % to Numeric Rate", "Standardized Format")))</f>
        <v/>
      </c>
    </row>
    <row r="422">
      <c r="A422" s="8">
        <f>'01_Raw_Data'!A422</f>
        <v/>
      </c>
      <c r="B422" s="10">
        <f>IFERROR(DATEVALUE('01_Raw_Data'!B422), IF('01_Raw_Data'!B422="", DATE(2024,1,1), '01_Raw_Data'!B422))</f>
        <v/>
      </c>
      <c r="C422" s="8">
        <f>IF(OR('01_Raw_Data'!C422="",'01_Raw_Data'!C422="0"), "CUST-GUEST", TRIM('01_Raw_Data'!C422))</f>
        <v/>
      </c>
      <c r="D422" s="8">
        <f>PROPER(TRIM(CLEAN('01_Raw_Data'!D422)))</f>
        <v/>
      </c>
      <c r="E422" s="8">
        <f>ABS(IF(ISNUMBER(VALUE('01_Raw_Data'!F422)), VALUE('01_Raw_Data'!F422), 1))</f>
        <v/>
      </c>
      <c r="F422" s="9">
        <f>'01_Raw_Data'!G422</f>
        <v/>
      </c>
      <c r="G422" s="11">
        <f>IF(ISNUMBER('01_Raw_Data'!H422), '01_Raw_Data'!H422, IFERROR(VALUE(SUBSTITUTE('01_Raw_Data'!H422, "%", ""))/100, 0))</f>
        <v/>
      </c>
      <c r="H422" s="8">
        <f>PROPER(TRIM('01_Raw_Data'!J422))</f>
        <v/>
      </c>
      <c r="I422" s="8">
        <f>IF('01_Raw_Data'!K422="", "REG-NA", UPPER(TRIM('01_Raw_Data'!K422)))</f>
        <v/>
      </c>
      <c r="J422" s="8">
        <f>IF(OR('01_Raw_Data'!C422="", '01_Raw_Data'!F422&lt;0, ISNUMBER(SEARCH("%", '01_Raw_Data'!H422))), "FIXED ANOMALY", "PASSED")</f>
        <v/>
      </c>
      <c r="K422" s="8">
        <f>IF('01_Raw_Data'!F422&lt;0, "Converted Negative Quantity to ABS", IF('01_Raw_Data'!C422="", "Imputed Missing Customer ID", IF(ISNUMBER(SEARCH("%", '01_Raw_Data'!H422)), "Parsed Text % to Numeric Rate", "Standardized Format")))</f>
        <v/>
      </c>
    </row>
    <row r="423">
      <c r="A423" s="8">
        <f>'01_Raw_Data'!A423</f>
        <v/>
      </c>
      <c r="B423" s="10">
        <f>IFERROR(DATEVALUE('01_Raw_Data'!B423), IF('01_Raw_Data'!B423="", DATE(2024,1,1), '01_Raw_Data'!B423))</f>
        <v/>
      </c>
      <c r="C423" s="8">
        <f>IF(OR('01_Raw_Data'!C423="",'01_Raw_Data'!C423="0"), "CUST-GUEST", TRIM('01_Raw_Data'!C423))</f>
        <v/>
      </c>
      <c r="D423" s="8">
        <f>PROPER(TRIM(CLEAN('01_Raw_Data'!D423)))</f>
        <v/>
      </c>
      <c r="E423" s="8">
        <f>ABS(IF(ISNUMBER(VALUE('01_Raw_Data'!F423)), VALUE('01_Raw_Data'!F423), 1))</f>
        <v/>
      </c>
      <c r="F423" s="9">
        <f>'01_Raw_Data'!G423</f>
        <v/>
      </c>
      <c r="G423" s="11">
        <f>IF(ISNUMBER('01_Raw_Data'!H423), '01_Raw_Data'!H423, IFERROR(VALUE(SUBSTITUTE('01_Raw_Data'!H423, "%", ""))/100, 0))</f>
        <v/>
      </c>
      <c r="H423" s="8">
        <f>PROPER(TRIM('01_Raw_Data'!J423))</f>
        <v/>
      </c>
      <c r="I423" s="8">
        <f>IF('01_Raw_Data'!K423="", "REG-NA", UPPER(TRIM('01_Raw_Data'!K423)))</f>
        <v/>
      </c>
      <c r="J423" s="8">
        <f>IF(OR('01_Raw_Data'!C423="", '01_Raw_Data'!F423&lt;0, ISNUMBER(SEARCH("%", '01_Raw_Data'!H423))), "FIXED ANOMALY", "PASSED")</f>
        <v/>
      </c>
      <c r="K423" s="8">
        <f>IF('01_Raw_Data'!F423&lt;0, "Converted Negative Quantity to ABS", IF('01_Raw_Data'!C423="", "Imputed Missing Customer ID", IF(ISNUMBER(SEARCH("%", '01_Raw_Data'!H423)), "Parsed Text % to Numeric Rate", "Standardized Format")))</f>
        <v/>
      </c>
    </row>
    <row r="424">
      <c r="A424" s="8">
        <f>'01_Raw_Data'!A424</f>
        <v/>
      </c>
      <c r="B424" s="10">
        <f>IFERROR(DATEVALUE('01_Raw_Data'!B424), IF('01_Raw_Data'!B424="", DATE(2024,1,1), '01_Raw_Data'!B424))</f>
        <v/>
      </c>
      <c r="C424" s="8">
        <f>IF(OR('01_Raw_Data'!C424="",'01_Raw_Data'!C424="0"), "CUST-GUEST", TRIM('01_Raw_Data'!C424))</f>
        <v/>
      </c>
      <c r="D424" s="8">
        <f>PROPER(TRIM(CLEAN('01_Raw_Data'!D424)))</f>
        <v/>
      </c>
      <c r="E424" s="8">
        <f>ABS(IF(ISNUMBER(VALUE('01_Raw_Data'!F424)), VALUE('01_Raw_Data'!F424), 1))</f>
        <v/>
      </c>
      <c r="F424" s="9">
        <f>'01_Raw_Data'!G424</f>
        <v/>
      </c>
      <c r="G424" s="11">
        <f>IF(ISNUMBER('01_Raw_Data'!H424), '01_Raw_Data'!H424, IFERROR(VALUE(SUBSTITUTE('01_Raw_Data'!H424, "%", ""))/100, 0))</f>
        <v/>
      </c>
      <c r="H424" s="8">
        <f>PROPER(TRIM('01_Raw_Data'!J424))</f>
        <v/>
      </c>
      <c r="I424" s="8">
        <f>IF('01_Raw_Data'!K424="", "REG-NA", UPPER(TRIM('01_Raw_Data'!K424)))</f>
        <v/>
      </c>
      <c r="J424" s="8">
        <f>IF(OR('01_Raw_Data'!C424="", '01_Raw_Data'!F424&lt;0, ISNUMBER(SEARCH("%", '01_Raw_Data'!H424))), "FIXED ANOMALY", "PASSED")</f>
        <v/>
      </c>
      <c r="K424" s="8">
        <f>IF('01_Raw_Data'!F424&lt;0, "Converted Negative Quantity to ABS", IF('01_Raw_Data'!C424="", "Imputed Missing Customer ID", IF(ISNUMBER(SEARCH("%", '01_Raw_Data'!H424)), "Parsed Text % to Numeric Rate", "Standardized Format")))</f>
        <v/>
      </c>
    </row>
    <row r="425">
      <c r="A425" s="8">
        <f>'01_Raw_Data'!A425</f>
        <v/>
      </c>
      <c r="B425" s="10">
        <f>IFERROR(DATEVALUE('01_Raw_Data'!B425), IF('01_Raw_Data'!B425="", DATE(2024,1,1), '01_Raw_Data'!B425))</f>
        <v/>
      </c>
      <c r="C425" s="8">
        <f>IF(OR('01_Raw_Data'!C425="",'01_Raw_Data'!C425="0"), "CUST-GUEST", TRIM('01_Raw_Data'!C425))</f>
        <v/>
      </c>
      <c r="D425" s="8">
        <f>PROPER(TRIM(CLEAN('01_Raw_Data'!D425)))</f>
        <v/>
      </c>
      <c r="E425" s="8">
        <f>ABS(IF(ISNUMBER(VALUE('01_Raw_Data'!F425)), VALUE('01_Raw_Data'!F425), 1))</f>
        <v/>
      </c>
      <c r="F425" s="9">
        <f>'01_Raw_Data'!G425</f>
        <v/>
      </c>
      <c r="G425" s="11">
        <f>IF(ISNUMBER('01_Raw_Data'!H425), '01_Raw_Data'!H425, IFERROR(VALUE(SUBSTITUTE('01_Raw_Data'!H425, "%", ""))/100, 0))</f>
        <v/>
      </c>
      <c r="H425" s="8">
        <f>PROPER(TRIM('01_Raw_Data'!J425))</f>
        <v/>
      </c>
      <c r="I425" s="8">
        <f>IF('01_Raw_Data'!K425="", "REG-NA", UPPER(TRIM('01_Raw_Data'!K425)))</f>
        <v/>
      </c>
      <c r="J425" s="8">
        <f>IF(OR('01_Raw_Data'!C425="", '01_Raw_Data'!F425&lt;0, ISNUMBER(SEARCH("%", '01_Raw_Data'!H425))), "FIXED ANOMALY", "PASSED")</f>
        <v/>
      </c>
      <c r="K425" s="8">
        <f>IF('01_Raw_Data'!F425&lt;0, "Converted Negative Quantity to ABS", IF('01_Raw_Data'!C425="", "Imputed Missing Customer ID", IF(ISNUMBER(SEARCH("%", '01_Raw_Data'!H425)), "Parsed Text % to Numeric Rate", "Standardized Format")))</f>
        <v/>
      </c>
    </row>
    <row r="426">
      <c r="A426" s="8">
        <f>'01_Raw_Data'!A426</f>
        <v/>
      </c>
      <c r="B426" s="10">
        <f>IFERROR(DATEVALUE('01_Raw_Data'!B426), IF('01_Raw_Data'!B426="", DATE(2024,1,1), '01_Raw_Data'!B426))</f>
        <v/>
      </c>
      <c r="C426" s="8">
        <f>IF(OR('01_Raw_Data'!C426="",'01_Raw_Data'!C426="0"), "CUST-GUEST", TRIM('01_Raw_Data'!C426))</f>
        <v/>
      </c>
      <c r="D426" s="8">
        <f>PROPER(TRIM(CLEAN('01_Raw_Data'!D426)))</f>
        <v/>
      </c>
      <c r="E426" s="8">
        <f>ABS(IF(ISNUMBER(VALUE('01_Raw_Data'!F426)), VALUE('01_Raw_Data'!F426), 1))</f>
        <v/>
      </c>
      <c r="F426" s="9">
        <f>'01_Raw_Data'!G426</f>
        <v/>
      </c>
      <c r="G426" s="11">
        <f>IF(ISNUMBER('01_Raw_Data'!H426), '01_Raw_Data'!H426, IFERROR(VALUE(SUBSTITUTE('01_Raw_Data'!H426, "%", ""))/100, 0))</f>
        <v/>
      </c>
      <c r="H426" s="8">
        <f>PROPER(TRIM('01_Raw_Data'!J426))</f>
        <v/>
      </c>
      <c r="I426" s="8">
        <f>IF('01_Raw_Data'!K426="", "REG-NA", UPPER(TRIM('01_Raw_Data'!K426)))</f>
        <v/>
      </c>
      <c r="J426" s="8">
        <f>IF(OR('01_Raw_Data'!C426="", '01_Raw_Data'!F426&lt;0, ISNUMBER(SEARCH("%", '01_Raw_Data'!H426))), "FIXED ANOMALY", "PASSED")</f>
        <v/>
      </c>
      <c r="K426" s="8">
        <f>IF('01_Raw_Data'!F426&lt;0, "Converted Negative Quantity to ABS", IF('01_Raw_Data'!C426="", "Imputed Missing Customer ID", IF(ISNUMBER(SEARCH("%", '01_Raw_Data'!H426)), "Parsed Text % to Numeric Rate", "Standardized Format")))</f>
        <v/>
      </c>
    </row>
    <row r="427">
      <c r="A427" s="8">
        <f>'01_Raw_Data'!A427</f>
        <v/>
      </c>
      <c r="B427" s="10">
        <f>IFERROR(DATEVALUE('01_Raw_Data'!B427), IF('01_Raw_Data'!B427="", DATE(2024,1,1), '01_Raw_Data'!B427))</f>
        <v/>
      </c>
      <c r="C427" s="8">
        <f>IF(OR('01_Raw_Data'!C427="",'01_Raw_Data'!C427="0"), "CUST-GUEST", TRIM('01_Raw_Data'!C427))</f>
        <v/>
      </c>
      <c r="D427" s="8">
        <f>PROPER(TRIM(CLEAN('01_Raw_Data'!D427)))</f>
        <v/>
      </c>
      <c r="E427" s="8">
        <f>ABS(IF(ISNUMBER(VALUE('01_Raw_Data'!F427)), VALUE('01_Raw_Data'!F427), 1))</f>
        <v/>
      </c>
      <c r="F427" s="9">
        <f>'01_Raw_Data'!G427</f>
        <v/>
      </c>
      <c r="G427" s="11">
        <f>IF(ISNUMBER('01_Raw_Data'!H427), '01_Raw_Data'!H427, IFERROR(VALUE(SUBSTITUTE('01_Raw_Data'!H427, "%", ""))/100, 0))</f>
        <v/>
      </c>
      <c r="H427" s="8">
        <f>PROPER(TRIM('01_Raw_Data'!J427))</f>
        <v/>
      </c>
      <c r="I427" s="8">
        <f>IF('01_Raw_Data'!K427="", "REG-NA", UPPER(TRIM('01_Raw_Data'!K427)))</f>
        <v/>
      </c>
      <c r="J427" s="8">
        <f>IF(OR('01_Raw_Data'!C427="", '01_Raw_Data'!F427&lt;0, ISNUMBER(SEARCH("%", '01_Raw_Data'!H427))), "FIXED ANOMALY", "PASSED")</f>
        <v/>
      </c>
      <c r="K427" s="8">
        <f>IF('01_Raw_Data'!F427&lt;0, "Converted Negative Quantity to ABS", IF('01_Raw_Data'!C427="", "Imputed Missing Customer ID", IF(ISNUMBER(SEARCH("%", '01_Raw_Data'!H427)), "Parsed Text % to Numeric Rate", "Standardized Format")))</f>
        <v/>
      </c>
    </row>
    <row r="428">
      <c r="A428" s="8">
        <f>'01_Raw_Data'!A428</f>
        <v/>
      </c>
      <c r="B428" s="10">
        <f>IFERROR(DATEVALUE('01_Raw_Data'!B428), IF('01_Raw_Data'!B428="", DATE(2024,1,1), '01_Raw_Data'!B428))</f>
        <v/>
      </c>
      <c r="C428" s="8">
        <f>IF(OR('01_Raw_Data'!C428="",'01_Raw_Data'!C428="0"), "CUST-GUEST", TRIM('01_Raw_Data'!C428))</f>
        <v/>
      </c>
      <c r="D428" s="8">
        <f>PROPER(TRIM(CLEAN('01_Raw_Data'!D428)))</f>
        <v/>
      </c>
      <c r="E428" s="8">
        <f>ABS(IF(ISNUMBER(VALUE('01_Raw_Data'!F428)), VALUE('01_Raw_Data'!F428), 1))</f>
        <v/>
      </c>
      <c r="F428" s="9">
        <f>'01_Raw_Data'!G428</f>
        <v/>
      </c>
      <c r="G428" s="11">
        <f>IF(ISNUMBER('01_Raw_Data'!H428), '01_Raw_Data'!H428, IFERROR(VALUE(SUBSTITUTE('01_Raw_Data'!H428, "%", ""))/100, 0))</f>
        <v/>
      </c>
      <c r="H428" s="8">
        <f>PROPER(TRIM('01_Raw_Data'!J428))</f>
        <v/>
      </c>
      <c r="I428" s="8">
        <f>IF('01_Raw_Data'!K428="", "REG-NA", UPPER(TRIM('01_Raw_Data'!K428)))</f>
        <v/>
      </c>
      <c r="J428" s="8">
        <f>IF(OR('01_Raw_Data'!C428="", '01_Raw_Data'!F428&lt;0, ISNUMBER(SEARCH("%", '01_Raw_Data'!H428))), "FIXED ANOMALY", "PASSED")</f>
        <v/>
      </c>
      <c r="K428" s="8">
        <f>IF('01_Raw_Data'!F428&lt;0, "Converted Negative Quantity to ABS", IF('01_Raw_Data'!C428="", "Imputed Missing Customer ID", IF(ISNUMBER(SEARCH("%", '01_Raw_Data'!H428)), "Parsed Text % to Numeric Rate", "Standardized Format")))</f>
        <v/>
      </c>
    </row>
    <row r="429">
      <c r="A429" s="8">
        <f>'01_Raw_Data'!A429</f>
        <v/>
      </c>
      <c r="B429" s="10">
        <f>IFERROR(DATEVALUE('01_Raw_Data'!B429), IF('01_Raw_Data'!B429="", DATE(2024,1,1), '01_Raw_Data'!B429))</f>
        <v/>
      </c>
      <c r="C429" s="8">
        <f>IF(OR('01_Raw_Data'!C429="",'01_Raw_Data'!C429="0"), "CUST-GUEST", TRIM('01_Raw_Data'!C429))</f>
        <v/>
      </c>
      <c r="D429" s="8">
        <f>PROPER(TRIM(CLEAN('01_Raw_Data'!D429)))</f>
        <v/>
      </c>
      <c r="E429" s="8">
        <f>ABS(IF(ISNUMBER(VALUE('01_Raw_Data'!F429)), VALUE('01_Raw_Data'!F429), 1))</f>
        <v/>
      </c>
      <c r="F429" s="9">
        <f>'01_Raw_Data'!G429</f>
        <v/>
      </c>
      <c r="G429" s="11">
        <f>IF(ISNUMBER('01_Raw_Data'!H429), '01_Raw_Data'!H429, IFERROR(VALUE(SUBSTITUTE('01_Raw_Data'!H429, "%", ""))/100, 0))</f>
        <v/>
      </c>
      <c r="H429" s="8">
        <f>PROPER(TRIM('01_Raw_Data'!J429))</f>
        <v/>
      </c>
      <c r="I429" s="8">
        <f>IF('01_Raw_Data'!K429="", "REG-NA", UPPER(TRIM('01_Raw_Data'!K429)))</f>
        <v/>
      </c>
      <c r="J429" s="8">
        <f>IF(OR('01_Raw_Data'!C429="", '01_Raw_Data'!F429&lt;0, ISNUMBER(SEARCH("%", '01_Raw_Data'!H429))), "FIXED ANOMALY", "PASSED")</f>
        <v/>
      </c>
      <c r="K429" s="8">
        <f>IF('01_Raw_Data'!F429&lt;0, "Converted Negative Quantity to ABS", IF('01_Raw_Data'!C429="", "Imputed Missing Customer ID", IF(ISNUMBER(SEARCH("%", '01_Raw_Data'!H429)), "Parsed Text % to Numeric Rate", "Standardized Format")))</f>
        <v/>
      </c>
    </row>
    <row r="430">
      <c r="A430" s="8">
        <f>'01_Raw_Data'!A430</f>
        <v/>
      </c>
      <c r="B430" s="10">
        <f>IFERROR(DATEVALUE('01_Raw_Data'!B430), IF('01_Raw_Data'!B430="", DATE(2024,1,1), '01_Raw_Data'!B430))</f>
        <v/>
      </c>
      <c r="C430" s="8">
        <f>IF(OR('01_Raw_Data'!C430="",'01_Raw_Data'!C430="0"), "CUST-GUEST", TRIM('01_Raw_Data'!C430))</f>
        <v/>
      </c>
      <c r="D430" s="8">
        <f>PROPER(TRIM(CLEAN('01_Raw_Data'!D430)))</f>
        <v/>
      </c>
      <c r="E430" s="8">
        <f>ABS(IF(ISNUMBER(VALUE('01_Raw_Data'!F430)), VALUE('01_Raw_Data'!F430), 1))</f>
        <v/>
      </c>
      <c r="F430" s="9">
        <f>'01_Raw_Data'!G430</f>
        <v/>
      </c>
      <c r="G430" s="11">
        <f>IF(ISNUMBER('01_Raw_Data'!H430), '01_Raw_Data'!H430, IFERROR(VALUE(SUBSTITUTE('01_Raw_Data'!H430, "%", ""))/100, 0))</f>
        <v/>
      </c>
      <c r="H430" s="8">
        <f>PROPER(TRIM('01_Raw_Data'!J430))</f>
        <v/>
      </c>
      <c r="I430" s="8">
        <f>IF('01_Raw_Data'!K430="", "REG-NA", UPPER(TRIM('01_Raw_Data'!K430)))</f>
        <v/>
      </c>
      <c r="J430" s="8">
        <f>IF(OR('01_Raw_Data'!C430="", '01_Raw_Data'!F430&lt;0, ISNUMBER(SEARCH("%", '01_Raw_Data'!H430))), "FIXED ANOMALY", "PASSED")</f>
        <v/>
      </c>
      <c r="K430" s="8">
        <f>IF('01_Raw_Data'!F430&lt;0, "Converted Negative Quantity to ABS", IF('01_Raw_Data'!C430="", "Imputed Missing Customer ID", IF(ISNUMBER(SEARCH("%", '01_Raw_Data'!H430)), "Parsed Text % to Numeric Rate", "Standardized Format")))</f>
        <v/>
      </c>
    </row>
    <row r="431">
      <c r="A431" s="8">
        <f>'01_Raw_Data'!A431</f>
        <v/>
      </c>
      <c r="B431" s="10">
        <f>IFERROR(DATEVALUE('01_Raw_Data'!B431), IF('01_Raw_Data'!B431="", DATE(2024,1,1), '01_Raw_Data'!B431))</f>
        <v/>
      </c>
      <c r="C431" s="8">
        <f>IF(OR('01_Raw_Data'!C431="",'01_Raw_Data'!C431="0"), "CUST-GUEST", TRIM('01_Raw_Data'!C431))</f>
        <v/>
      </c>
      <c r="D431" s="8">
        <f>PROPER(TRIM(CLEAN('01_Raw_Data'!D431)))</f>
        <v/>
      </c>
      <c r="E431" s="8">
        <f>ABS(IF(ISNUMBER(VALUE('01_Raw_Data'!F431)), VALUE('01_Raw_Data'!F431), 1))</f>
        <v/>
      </c>
      <c r="F431" s="9">
        <f>'01_Raw_Data'!G431</f>
        <v/>
      </c>
      <c r="G431" s="11">
        <f>IF(ISNUMBER('01_Raw_Data'!H431), '01_Raw_Data'!H431, IFERROR(VALUE(SUBSTITUTE('01_Raw_Data'!H431, "%", ""))/100, 0))</f>
        <v/>
      </c>
      <c r="H431" s="8">
        <f>PROPER(TRIM('01_Raw_Data'!J431))</f>
        <v/>
      </c>
      <c r="I431" s="8">
        <f>IF('01_Raw_Data'!K431="", "REG-NA", UPPER(TRIM('01_Raw_Data'!K431)))</f>
        <v/>
      </c>
      <c r="J431" s="8">
        <f>IF(OR('01_Raw_Data'!C431="", '01_Raw_Data'!F431&lt;0, ISNUMBER(SEARCH("%", '01_Raw_Data'!H431))), "FIXED ANOMALY", "PASSED")</f>
        <v/>
      </c>
      <c r="K431" s="8">
        <f>IF('01_Raw_Data'!F431&lt;0, "Converted Negative Quantity to ABS", IF('01_Raw_Data'!C431="", "Imputed Missing Customer ID", IF(ISNUMBER(SEARCH("%", '01_Raw_Data'!H431)), "Parsed Text % to Numeric Rate", "Standardized Format")))</f>
        <v/>
      </c>
    </row>
    <row r="432">
      <c r="A432" s="8">
        <f>'01_Raw_Data'!A432</f>
        <v/>
      </c>
      <c r="B432" s="10">
        <f>IFERROR(DATEVALUE('01_Raw_Data'!B432), IF('01_Raw_Data'!B432="", DATE(2024,1,1), '01_Raw_Data'!B432))</f>
        <v/>
      </c>
      <c r="C432" s="8">
        <f>IF(OR('01_Raw_Data'!C432="",'01_Raw_Data'!C432="0"), "CUST-GUEST", TRIM('01_Raw_Data'!C432))</f>
        <v/>
      </c>
      <c r="D432" s="8">
        <f>PROPER(TRIM(CLEAN('01_Raw_Data'!D432)))</f>
        <v/>
      </c>
      <c r="E432" s="8">
        <f>ABS(IF(ISNUMBER(VALUE('01_Raw_Data'!F432)), VALUE('01_Raw_Data'!F432), 1))</f>
        <v/>
      </c>
      <c r="F432" s="9">
        <f>'01_Raw_Data'!G432</f>
        <v/>
      </c>
      <c r="G432" s="11">
        <f>IF(ISNUMBER('01_Raw_Data'!H432), '01_Raw_Data'!H432, IFERROR(VALUE(SUBSTITUTE('01_Raw_Data'!H432, "%", ""))/100, 0))</f>
        <v/>
      </c>
      <c r="H432" s="8">
        <f>PROPER(TRIM('01_Raw_Data'!J432))</f>
        <v/>
      </c>
      <c r="I432" s="8">
        <f>IF('01_Raw_Data'!K432="", "REG-NA", UPPER(TRIM('01_Raw_Data'!K432)))</f>
        <v/>
      </c>
      <c r="J432" s="8">
        <f>IF(OR('01_Raw_Data'!C432="", '01_Raw_Data'!F432&lt;0, ISNUMBER(SEARCH("%", '01_Raw_Data'!H432))), "FIXED ANOMALY", "PASSED")</f>
        <v/>
      </c>
      <c r="K432" s="8">
        <f>IF('01_Raw_Data'!F432&lt;0, "Converted Negative Quantity to ABS", IF('01_Raw_Data'!C432="", "Imputed Missing Customer ID", IF(ISNUMBER(SEARCH("%", '01_Raw_Data'!H432)), "Parsed Text % to Numeric Rate", "Standardized Format")))</f>
        <v/>
      </c>
    </row>
    <row r="433">
      <c r="A433" s="8">
        <f>'01_Raw_Data'!A433</f>
        <v/>
      </c>
      <c r="B433" s="10">
        <f>IFERROR(DATEVALUE('01_Raw_Data'!B433), IF('01_Raw_Data'!B433="", DATE(2024,1,1), '01_Raw_Data'!B433))</f>
        <v/>
      </c>
      <c r="C433" s="8">
        <f>IF(OR('01_Raw_Data'!C433="",'01_Raw_Data'!C433="0"), "CUST-GUEST", TRIM('01_Raw_Data'!C433))</f>
        <v/>
      </c>
      <c r="D433" s="8">
        <f>PROPER(TRIM(CLEAN('01_Raw_Data'!D433)))</f>
        <v/>
      </c>
      <c r="E433" s="8">
        <f>ABS(IF(ISNUMBER(VALUE('01_Raw_Data'!F433)), VALUE('01_Raw_Data'!F433), 1))</f>
        <v/>
      </c>
      <c r="F433" s="9">
        <f>'01_Raw_Data'!G433</f>
        <v/>
      </c>
      <c r="G433" s="11">
        <f>IF(ISNUMBER('01_Raw_Data'!H433), '01_Raw_Data'!H433, IFERROR(VALUE(SUBSTITUTE('01_Raw_Data'!H433, "%", ""))/100, 0))</f>
        <v/>
      </c>
      <c r="H433" s="8">
        <f>PROPER(TRIM('01_Raw_Data'!J433))</f>
        <v/>
      </c>
      <c r="I433" s="8">
        <f>IF('01_Raw_Data'!K433="", "REG-NA", UPPER(TRIM('01_Raw_Data'!K433)))</f>
        <v/>
      </c>
      <c r="J433" s="8">
        <f>IF(OR('01_Raw_Data'!C433="", '01_Raw_Data'!F433&lt;0, ISNUMBER(SEARCH("%", '01_Raw_Data'!H433))), "FIXED ANOMALY", "PASSED")</f>
        <v/>
      </c>
      <c r="K433" s="8">
        <f>IF('01_Raw_Data'!F433&lt;0, "Converted Negative Quantity to ABS", IF('01_Raw_Data'!C433="", "Imputed Missing Customer ID", IF(ISNUMBER(SEARCH("%", '01_Raw_Data'!H433)), "Parsed Text % to Numeric Rate", "Standardized Format")))</f>
        <v/>
      </c>
    </row>
    <row r="434">
      <c r="A434" s="8">
        <f>'01_Raw_Data'!A434</f>
        <v/>
      </c>
      <c r="B434" s="10">
        <f>IFERROR(DATEVALUE('01_Raw_Data'!B434), IF('01_Raw_Data'!B434="", DATE(2024,1,1), '01_Raw_Data'!B434))</f>
        <v/>
      </c>
      <c r="C434" s="8">
        <f>IF(OR('01_Raw_Data'!C434="",'01_Raw_Data'!C434="0"), "CUST-GUEST", TRIM('01_Raw_Data'!C434))</f>
        <v/>
      </c>
      <c r="D434" s="8">
        <f>PROPER(TRIM(CLEAN('01_Raw_Data'!D434)))</f>
        <v/>
      </c>
      <c r="E434" s="8">
        <f>ABS(IF(ISNUMBER(VALUE('01_Raw_Data'!F434)), VALUE('01_Raw_Data'!F434), 1))</f>
        <v/>
      </c>
      <c r="F434" s="9">
        <f>'01_Raw_Data'!G434</f>
        <v/>
      </c>
      <c r="G434" s="11">
        <f>IF(ISNUMBER('01_Raw_Data'!H434), '01_Raw_Data'!H434, IFERROR(VALUE(SUBSTITUTE('01_Raw_Data'!H434, "%", ""))/100, 0))</f>
        <v/>
      </c>
      <c r="H434" s="8">
        <f>PROPER(TRIM('01_Raw_Data'!J434))</f>
        <v/>
      </c>
      <c r="I434" s="8">
        <f>IF('01_Raw_Data'!K434="", "REG-NA", UPPER(TRIM('01_Raw_Data'!K434)))</f>
        <v/>
      </c>
      <c r="J434" s="8">
        <f>IF(OR('01_Raw_Data'!C434="", '01_Raw_Data'!F434&lt;0, ISNUMBER(SEARCH("%", '01_Raw_Data'!H434))), "FIXED ANOMALY", "PASSED")</f>
        <v/>
      </c>
      <c r="K434" s="8">
        <f>IF('01_Raw_Data'!F434&lt;0, "Converted Negative Quantity to ABS", IF('01_Raw_Data'!C434="", "Imputed Missing Customer ID", IF(ISNUMBER(SEARCH("%", '01_Raw_Data'!H434)), "Parsed Text % to Numeric Rate", "Standardized Format")))</f>
        <v/>
      </c>
    </row>
    <row r="435">
      <c r="A435" s="8">
        <f>'01_Raw_Data'!A435</f>
        <v/>
      </c>
      <c r="B435" s="10">
        <f>IFERROR(DATEVALUE('01_Raw_Data'!B435), IF('01_Raw_Data'!B435="", DATE(2024,1,1), '01_Raw_Data'!B435))</f>
        <v/>
      </c>
      <c r="C435" s="8">
        <f>IF(OR('01_Raw_Data'!C435="",'01_Raw_Data'!C435="0"), "CUST-GUEST", TRIM('01_Raw_Data'!C435))</f>
        <v/>
      </c>
      <c r="D435" s="8">
        <f>PROPER(TRIM(CLEAN('01_Raw_Data'!D435)))</f>
        <v/>
      </c>
      <c r="E435" s="8">
        <f>ABS(IF(ISNUMBER(VALUE('01_Raw_Data'!F435)), VALUE('01_Raw_Data'!F435), 1))</f>
        <v/>
      </c>
      <c r="F435" s="9">
        <f>'01_Raw_Data'!G435</f>
        <v/>
      </c>
      <c r="G435" s="11">
        <f>IF(ISNUMBER('01_Raw_Data'!H435), '01_Raw_Data'!H435, IFERROR(VALUE(SUBSTITUTE('01_Raw_Data'!H435, "%", ""))/100, 0))</f>
        <v/>
      </c>
      <c r="H435" s="8">
        <f>PROPER(TRIM('01_Raw_Data'!J435))</f>
        <v/>
      </c>
      <c r="I435" s="8">
        <f>IF('01_Raw_Data'!K435="", "REG-NA", UPPER(TRIM('01_Raw_Data'!K435)))</f>
        <v/>
      </c>
      <c r="J435" s="8">
        <f>IF(OR('01_Raw_Data'!C435="", '01_Raw_Data'!F435&lt;0, ISNUMBER(SEARCH("%", '01_Raw_Data'!H435))), "FIXED ANOMALY", "PASSED")</f>
        <v/>
      </c>
      <c r="K435" s="8">
        <f>IF('01_Raw_Data'!F435&lt;0, "Converted Negative Quantity to ABS", IF('01_Raw_Data'!C435="", "Imputed Missing Customer ID", IF(ISNUMBER(SEARCH("%", '01_Raw_Data'!H435)), "Parsed Text % to Numeric Rate", "Standardized Format")))</f>
        <v/>
      </c>
    </row>
    <row r="436">
      <c r="A436" s="8">
        <f>'01_Raw_Data'!A436</f>
        <v/>
      </c>
      <c r="B436" s="10">
        <f>IFERROR(DATEVALUE('01_Raw_Data'!B436), IF('01_Raw_Data'!B436="", DATE(2024,1,1), '01_Raw_Data'!B436))</f>
        <v/>
      </c>
      <c r="C436" s="8">
        <f>IF(OR('01_Raw_Data'!C436="",'01_Raw_Data'!C436="0"), "CUST-GUEST", TRIM('01_Raw_Data'!C436))</f>
        <v/>
      </c>
      <c r="D436" s="8">
        <f>PROPER(TRIM(CLEAN('01_Raw_Data'!D436)))</f>
        <v/>
      </c>
      <c r="E436" s="8">
        <f>ABS(IF(ISNUMBER(VALUE('01_Raw_Data'!F436)), VALUE('01_Raw_Data'!F436), 1))</f>
        <v/>
      </c>
      <c r="F436" s="9">
        <f>'01_Raw_Data'!G436</f>
        <v/>
      </c>
      <c r="G436" s="11">
        <f>IF(ISNUMBER('01_Raw_Data'!H436), '01_Raw_Data'!H436, IFERROR(VALUE(SUBSTITUTE('01_Raw_Data'!H436, "%", ""))/100, 0))</f>
        <v/>
      </c>
      <c r="H436" s="8">
        <f>PROPER(TRIM('01_Raw_Data'!J436))</f>
        <v/>
      </c>
      <c r="I436" s="8">
        <f>IF('01_Raw_Data'!K436="", "REG-NA", UPPER(TRIM('01_Raw_Data'!K436)))</f>
        <v/>
      </c>
      <c r="J436" s="8">
        <f>IF(OR('01_Raw_Data'!C436="", '01_Raw_Data'!F436&lt;0, ISNUMBER(SEARCH("%", '01_Raw_Data'!H436))), "FIXED ANOMALY", "PASSED")</f>
        <v/>
      </c>
      <c r="K436" s="8">
        <f>IF('01_Raw_Data'!F436&lt;0, "Converted Negative Quantity to ABS", IF('01_Raw_Data'!C436="", "Imputed Missing Customer ID", IF(ISNUMBER(SEARCH("%", '01_Raw_Data'!H436)), "Parsed Text % to Numeric Rate", "Standardized Format")))</f>
        <v/>
      </c>
    </row>
    <row r="437">
      <c r="A437" s="8">
        <f>'01_Raw_Data'!A437</f>
        <v/>
      </c>
      <c r="B437" s="10">
        <f>IFERROR(DATEVALUE('01_Raw_Data'!B437), IF('01_Raw_Data'!B437="", DATE(2024,1,1), '01_Raw_Data'!B437))</f>
        <v/>
      </c>
      <c r="C437" s="8">
        <f>IF(OR('01_Raw_Data'!C437="",'01_Raw_Data'!C437="0"), "CUST-GUEST", TRIM('01_Raw_Data'!C437))</f>
        <v/>
      </c>
      <c r="D437" s="8">
        <f>PROPER(TRIM(CLEAN('01_Raw_Data'!D437)))</f>
        <v/>
      </c>
      <c r="E437" s="8">
        <f>ABS(IF(ISNUMBER(VALUE('01_Raw_Data'!F437)), VALUE('01_Raw_Data'!F437), 1))</f>
        <v/>
      </c>
      <c r="F437" s="9">
        <f>'01_Raw_Data'!G437</f>
        <v/>
      </c>
      <c r="G437" s="11">
        <f>IF(ISNUMBER('01_Raw_Data'!H437), '01_Raw_Data'!H437, IFERROR(VALUE(SUBSTITUTE('01_Raw_Data'!H437, "%", ""))/100, 0))</f>
        <v/>
      </c>
      <c r="H437" s="8">
        <f>PROPER(TRIM('01_Raw_Data'!J437))</f>
        <v/>
      </c>
      <c r="I437" s="8">
        <f>IF('01_Raw_Data'!K437="", "REG-NA", UPPER(TRIM('01_Raw_Data'!K437)))</f>
        <v/>
      </c>
      <c r="J437" s="8">
        <f>IF(OR('01_Raw_Data'!C437="", '01_Raw_Data'!F437&lt;0, ISNUMBER(SEARCH("%", '01_Raw_Data'!H437))), "FIXED ANOMALY", "PASSED")</f>
        <v/>
      </c>
      <c r="K437" s="8">
        <f>IF('01_Raw_Data'!F437&lt;0, "Converted Negative Quantity to ABS", IF('01_Raw_Data'!C437="", "Imputed Missing Customer ID", IF(ISNUMBER(SEARCH("%", '01_Raw_Data'!H437)), "Parsed Text % to Numeric Rate", "Standardized Format")))</f>
        <v/>
      </c>
    </row>
    <row r="438">
      <c r="A438" s="8">
        <f>'01_Raw_Data'!A438</f>
        <v/>
      </c>
      <c r="B438" s="10">
        <f>IFERROR(DATEVALUE('01_Raw_Data'!B438), IF('01_Raw_Data'!B438="", DATE(2024,1,1), '01_Raw_Data'!B438))</f>
        <v/>
      </c>
      <c r="C438" s="8">
        <f>IF(OR('01_Raw_Data'!C438="",'01_Raw_Data'!C438="0"), "CUST-GUEST", TRIM('01_Raw_Data'!C438))</f>
        <v/>
      </c>
      <c r="D438" s="8">
        <f>PROPER(TRIM(CLEAN('01_Raw_Data'!D438)))</f>
        <v/>
      </c>
      <c r="E438" s="8">
        <f>ABS(IF(ISNUMBER(VALUE('01_Raw_Data'!F438)), VALUE('01_Raw_Data'!F438), 1))</f>
        <v/>
      </c>
      <c r="F438" s="9">
        <f>'01_Raw_Data'!G438</f>
        <v/>
      </c>
      <c r="G438" s="11">
        <f>IF(ISNUMBER('01_Raw_Data'!H438), '01_Raw_Data'!H438, IFERROR(VALUE(SUBSTITUTE('01_Raw_Data'!H438, "%", ""))/100, 0))</f>
        <v/>
      </c>
      <c r="H438" s="8">
        <f>PROPER(TRIM('01_Raw_Data'!J438))</f>
        <v/>
      </c>
      <c r="I438" s="8">
        <f>IF('01_Raw_Data'!K438="", "REG-NA", UPPER(TRIM('01_Raw_Data'!K438)))</f>
        <v/>
      </c>
      <c r="J438" s="8">
        <f>IF(OR('01_Raw_Data'!C438="", '01_Raw_Data'!F438&lt;0, ISNUMBER(SEARCH("%", '01_Raw_Data'!H438))), "FIXED ANOMALY", "PASSED")</f>
        <v/>
      </c>
      <c r="K438" s="8">
        <f>IF('01_Raw_Data'!F438&lt;0, "Converted Negative Quantity to ABS", IF('01_Raw_Data'!C438="", "Imputed Missing Customer ID", IF(ISNUMBER(SEARCH("%", '01_Raw_Data'!H438)), "Parsed Text % to Numeric Rate", "Standardized Format")))</f>
        <v/>
      </c>
    </row>
    <row r="439">
      <c r="A439" s="8">
        <f>'01_Raw_Data'!A439</f>
        <v/>
      </c>
      <c r="B439" s="10">
        <f>IFERROR(DATEVALUE('01_Raw_Data'!B439), IF('01_Raw_Data'!B439="", DATE(2024,1,1), '01_Raw_Data'!B439))</f>
        <v/>
      </c>
      <c r="C439" s="8">
        <f>IF(OR('01_Raw_Data'!C439="",'01_Raw_Data'!C439="0"), "CUST-GUEST", TRIM('01_Raw_Data'!C439))</f>
        <v/>
      </c>
      <c r="D439" s="8">
        <f>PROPER(TRIM(CLEAN('01_Raw_Data'!D439)))</f>
        <v/>
      </c>
      <c r="E439" s="8">
        <f>ABS(IF(ISNUMBER(VALUE('01_Raw_Data'!F439)), VALUE('01_Raw_Data'!F439), 1))</f>
        <v/>
      </c>
      <c r="F439" s="9">
        <f>'01_Raw_Data'!G439</f>
        <v/>
      </c>
      <c r="G439" s="11">
        <f>IF(ISNUMBER('01_Raw_Data'!H439), '01_Raw_Data'!H439, IFERROR(VALUE(SUBSTITUTE('01_Raw_Data'!H439, "%", ""))/100, 0))</f>
        <v/>
      </c>
      <c r="H439" s="8">
        <f>PROPER(TRIM('01_Raw_Data'!J439))</f>
        <v/>
      </c>
      <c r="I439" s="8">
        <f>IF('01_Raw_Data'!K439="", "REG-NA", UPPER(TRIM('01_Raw_Data'!K439)))</f>
        <v/>
      </c>
      <c r="J439" s="8">
        <f>IF(OR('01_Raw_Data'!C439="", '01_Raw_Data'!F439&lt;0, ISNUMBER(SEARCH("%", '01_Raw_Data'!H439))), "FIXED ANOMALY", "PASSED")</f>
        <v/>
      </c>
      <c r="K439" s="8">
        <f>IF('01_Raw_Data'!F439&lt;0, "Converted Negative Quantity to ABS", IF('01_Raw_Data'!C439="", "Imputed Missing Customer ID", IF(ISNUMBER(SEARCH("%", '01_Raw_Data'!H439)), "Parsed Text % to Numeric Rate", "Standardized Format")))</f>
        <v/>
      </c>
    </row>
    <row r="440">
      <c r="A440" s="8">
        <f>'01_Raw_Data'!A440</f>
        <v/>
      </c>
      <c r="B440" s="10">
        <f>IFERROR(DATEVALUE('01_Raw_Data'!B440), IF('01_Raw_Data'!B440="", DATE(2024,1,1), '01_Raw_Data'!B440))</f>
        <v/>
      </c>
      <c r="C440" s="8">
        <f>IF(OR('01_Raw_Data'!C440="",'01_Raw_Data'!C440="0"), "CUST-GUEST", TRIM('01_Raw_Data'!C440))</f>
        <v/>
      </c>
      <c r="D440" s="8">
        <f>PROPER(TRIM(CLEAN('01_Raw_Data'!D440)))</f>
        <v/>
      </c>
      <c r="E440" s="8">
        <f>ABS(IF(ISNUMBER(VALUE('01_Raw_Data'!F440)), VALUE('01_Raw_Data'!F440), 1))</f>
        <v/>
      </c>
      <c r="F440" s="9">
        <f>'01_Raw_Data'!G440</f>
        <v/>
      </c>
      <c r="G440" s="11">
        <f>IF(ISNUMBER('01_Raw_Data'!H440), '01_Raw_Data'!H440, IFERROR(VALUE(SUBSTITUTE('01_Raw_Data'!H440, "%", ""))/100, 0))</f>
        <v/>
      </c>
      <c r="H440" s="8">
        <f>PROPER(TRIM('01_Raw_Data'!J440))</f>
        <v/>
      </c>
      <c r="I440" s="8">
        <f>IF('01_Raw_Data'!K440="", "REG-NA", UPPER(TRIM('01_Raw_Data'!K440)))</f>
        <v/>
      </c>
      <c r="J440" s="8">
        <f>IF(OR('01_Raw_Data'!C440="", '01_Raw_Data'!F440&lt;0, ISNUMBER(SEARCH("%", '01_Raw_Data'!H440))), "FIXED ANOMALY", "PASSED")</f>
        <v/>
      </c>
      <c r="K440" s="8">
        <f>IF('01_Raw_Data'!F440&lt;0, "Converted Negative Quantity to ABS", IF('01_Raw_Data'!C440="", "Imputed Missing Customer ID", IF(ISNUMBER(SEARCH("%", '01_Raw_Data'!H440)), "Parsed Text % to Numeric Rate", "Standardized Format")))</f>
        <v/>
      </c>
    </row>
    <row r="441">
      <c r="A441" s="8">
        <f>'01_Raw_Data'!A441</f>
        <v/>
      </c>
      <c r="B441" s="10">
        <f>IFERROR(DATEVALUE('01_Raw_Data'!B441), IF('01_Raw_Data'!B441="", DATE(2024,1,1), '01_Raw_Data'!B441))</f>
        <v/>
      </c>
      <c r="C441" s="8">
        <f>IF(OR('01_Raw_Data'!C441="",'01_Raw_Data'!C441="0"), "CUST-GUEST", TRIM('01_Raw_Data'!C441))</f>
        <v/>
      </c>
      <c r="D441" s="8">
        <f>PROPER(TRIM(CLEAN('01_Raw_Data'!D441)))</f>
        <v/>
      </c>
      <c r="E441" s="8">
        <f>ABS(IF(ISNUMBER(VALUE('01_Raw_Data'!F441)), VALUE('01_Raw_Data'!F441), 1))</f>
        <v/>
      </c>
      <c r="F441" s="9">
        <f>'01_Raw_Data'!G441</f>
        <v/>
      </c>
      <c r="G441" s="11">
        <f>IF(ISNUMBER('01_Raw_Data'!H441), '01_Raw_Data'!H441, IFERROR(VALUE(SUBSTITUTE('01_Raw_Data'!H441, "%", ""))/100, 0))</f>
        <v/>
      </c>
      <c r="H441" s="8">
        <f>PROPER(TRIM('01_Raw_Data'!J441))</f>
        <v/>
      </c>
      <c r="I441" s="8">
        <f>IF('01_Raw_Data'!K441="", "REG-NA", UPPER(TRIM('01_Raw_Data'!K441)))</f>
        <v/>
      </c>
      <c r="J441" s="8">
        <f>IF(OR('01_Raw_Data'!C441="", '01_Raw_Data'!F441&lt;0, ISNUMBER(SEARCH("%", '01_Raw_Data'!H441))), "FIXED ANOMALY", "PASSED")</f>
        <v/>
      </c>
      <c r="K441" s="8">
        <f>IF('01_Raw_Data'!F441&lt;0, "Converted Negative Quantity to ABS", IF('01_Raw_Data'!C441="", "Imputed Missing Customer ID", IF(ISNUMBER(SEARCH("%", '01_Raw_Data'!H441)), "Parsed Text % to Numeric Rate", "Standardized Format")))</f>
        <v/>
      </c>
    </row>
    <row r="442">
      <c r="A442" s="8">
        <f>'01_Raw_Data'!A442</f>
        <v/>
      </c>
      <c r="B442" s="10">
        <f>IFERROR(DATEVALUE('01_Raw_Data'!B442), IF('01_Raw_Data'!B442="", DATE(2024,1,1), '01_Raw_Data'!B442))</f>
        <v/>
      </c>
      <c r="C442" s="8">
        <f>IF(OR('01_Raw_Data'!C442="",'01_Raw_Data'!C442="0"), "CUST-GUEST", TRIM('01_Raw_Data'!C442))</f>
        <v/>
      </c>
      <c r="D442" s="8">
        <f>PROPER(TRIM(CLEAN('01_Raw_Data'!D442)))</f>
        <v/>
      </c>
      <c r="E442" s="8">
        <f>ABS(IF(ISNUMBER(VALUE('01_Raw_Data'!F442)), VALUE('01_Raw_Data'!F442), 1))</f>
        <v/>
      </c>
      <c r="F442" s="9">
        <f>'01_Raw_Data'!G442</f>
        <v/>
      </c>
      <c r="G442" s="11">
        <f>IF(ISNUMBER('01_Raw_Data'!H442), '01_Raw_Data'!H442, IFERROR(VALUE(SUBSTITUTE('01_Raw_Data'!H442, "%", ""))/100, 0))</f>
        <v/>
      </c>
      <c r="H442" s="8">
        <f>PROPER(TRIM('01_Raw_Data'!J442))</f>
        <v/>
      </c>
      <c r="I442" s="8">
        <f>IF('01_Raw_Data'!K442="", "REG-NA", UPPER(TRIM('01_Raw_Data'!K442)))</f>
        <v/>
      </c>
      <c r="J442" s="8">
        <f>IF(OR('01_Raw_Data'!C442="", '01_Raw_Data'!F442&lt;0, ISNUMBER(SEARCH("%", '01_Raw_Data'!H442))), "FIXED ANOMALY", "PASSED")</f>
        <v/>
      </c>
      <c r="K442" s="8">
        <f>IF('01_Raw_Data'!F442&lt;0, "Converted Negative Quantity to ABS", IF('01_Raw_Data'!C442="", "Imputed Missing Customer ID", IF(ISNUMBER(SEARCH("%", '01_Raw_Data'!H442)), "Parsed Text % to Numeric Rate", "Standardized Format")))</f>
        <v/>
      </c>
    </row>
    <row r="443">
      <c r="A443" s="8">
        <f>'01_Raw_Data'!A443</f>
        <v/>
      </c>
      <c r="B443" s="10">
        <f>IFERROR(DATEVALUE('01_Raw_Data'!B443), IF('01_Raw_Data'!B443="", DATE(2024,1,1), '01_Raw_Data'!B443))</f>
        <v/>
      </c>
      <c r="C443" s="8">
        <f>IF(OR('01_Raw_Data'!C443="",'01_Raw_Data'!C443="0"), "CUST-GUEST", TRIM('01_Raw_Data'!C443))</f>
        <v/>
      </c>
      <c r="D443" s="8">
        <f>PROPER(TRIM(CLEAN('01_Raw_Data'!D443)))</f>
        <v/>
      </c>
      <c r="E443" s="8">
        <f>ABS(IF(ISNUMBER(VALUE('01_Raw_Data'!F443)), VALUE('01_Raw_Data'!F443), 1))</f>
        <v/>
      </c>
      <c r="F443" s="9">
        <f>'01_Raw_Data'!G443</f>
        <v/>
      </c>
      <c r="G443" s="11">
        <f>IF(ISNUMBER('01_Raw_Data'!H443), '01_Raw_Data'!H443, IFERROR(VALUE(SUBSTITUTE('01_Raw_Data'!H443, "%", ""))/100, 0))</f>
        <v/>
      </c>
      <c r="H443" s="8">
        <f>PROPER(TRIM('01_Raw_Data'!J443))</f>
        <v/>
      </c>
      <c r="I443" s="8">
        <f>IF('01_Raw_Data'!K443="", "REG-NA", UPPER(TRIM('01_Raw_Data'!K443)))</f>
        <v/>
      </c>
      <c r="J443" s="8">
        <f>IF(OR('01_Raw_Data'!C443="", '01_Raw_Data'!F443&lt;0, ISNUMBER(SEARCH("%", '01_Raw_Data'!H443))), "FIXED ANOMALY", "PASSED")</f>
        <v/>
      </c>
      <c r="K443" s="8">
        <f>IF('01_Raw_Data'!F443&lt;0, "Converted Negative Quantity to ABS", IF('01_Raw_Data'!C443="", "Imputed Missing Customer ID", IF(ISNUMBER(SEARCH("%", '01_Raw_Data'!H443)), "Parsed Text % to Numeric Rate", "Standardized Format")))</f>
        <v/>
      </c>
    </row>
    <row r="444">
      <c r="A444" s="8">
        <f>'01_Raw_Data'!A444</f>
        <v/>
      </c>
      <c r="B444" s="10">
        <f>IFERROR(DATEVALUE('01_Raw_Data'!B444), IF('01_Raw_Data'!B444="", DATE(2024,1,1), '01_Raw_Data'!B444))</f>
        <v/>
      </c>
      <c r="C444" s="8">
        <f>IF(OR('01_Raw_Data'!C444="",'01_Raw_Data'!C444="0"), "CUST-GUEST", TRIM('01_Raw_Data'!C444))</f>
        <v/>
      </c>
      <c r="D444" s="8">
        <f>PROPER(TRIM(CLEAN('01_Raw_Data'!D444)))</f>
        <v/>
      </c>
      <c r="E444" s="8">
        <f>ABS(IF(ISNUMBER(VALUE('01_Raw_Data'!F444)), VALUE('01_Raw_Data'!F444), 1))</f>
        <v/>
      </c>
      <c r="F444" s="9">
        <f>'01_Raw_Data'!G444</f>
        <v/>
      </c>
      <c r="G444" s="11">
        <f>IF(ISNUMBER('01_Raw_Data'!H444), '01_Raw_Data'!H444, IFERROR(VALUE(SUBSTITUTE('01_Raw_Data'!H444, "%", ""))/100, 0))</f>
        <v/>
      </c>
      <c r="H444" s="8">
        <f>PROPER(TRIM('01_Raw_Data'!J444))</f>
        <v/>
      </c>
      <c r="I444" s="8">
        <f>IF('01_Raw_Data'!K444="", "REG-NA", UPPER(TRIM('01_Raw_Data'!K444)))</f>
        <v/>
      </c>
      <c r="J444" s="8">
        <f>IF(OR('01_Raw_Data'!C444="", '01_Raw_Data'!F444&lt;0, ISNUMBER(SEARCH("%", '01_Raw_Data'!H444))), "FIXED ANOMALY", "PASSED")</f>
        <v/>
      </c>
      <c r="K444" s="8">
        <f>IF('01_Raw_Data'!F444&lt;0, "Converted Negative Quantity to ABS", IF('01_Raw_Data'!C444="", "Imputed Missing Customer ID", IF(ISNUMBER(SEARCH("%", '01_Raw_Data'!H444)), "Parsed Text % to Numeric Rate", "Standardized Format")))</f>
        <v/>
      </c>
    </row>
    <row r="445">
      <c r="A445" s="8">
        <f>'01_Raw_Data'!A445</f>
        <v/>
      </c>
      <c r="B445" s="10">
        <f>IFERROR(DATEVALUE('01_Raw_Data'!B445), IF('01_Raw_Data'!B445="", DATE(2024,1,1), '01_Raw_Data'!B445))</f>
        <v/>
      </c>
      <c r="C445" s="8">
        <f>IF(OR('01_Raw_Data'!C445="",'01_Raw_Data'!C445="0"), "CUST-GUEST", TRIM('01_Raw_Data'!C445))</f>
        <v/>
      </c>
      <c r="D445" s="8">
        <f>PROPER(TRIM(CLEAN('01_Raw_Data'!D445)))</f>
        <v/>
      </c>
      <c r="E445" s="8">
        <f>ABS(IF(ISNUMBER(VALUE('01_Raw_Data'!F445)), VALUE('01_Raw_Data'!F445), 1))</f>
        <v/>
      </c>
      <c r="F445" s="9">
        <f>'01_Raw_Data'!G445</f>
        <v/>
      </c>
      <c r="G445" s="11">
        <f>IF(ISNUMBER('01_Raw_Data'!H445), '01_Raw_Data'!H445, IFERROR(VALUE(SUBSTITUTE('01_Raw_Data'!H445, "%", ""))/100, 0))</f>
        <v/>
      </c>
      <c r="H445" s="8">
        <f>PROPER(TRIM('01_Raw_Data'!J445))</f>
        <v/>
      </c>
      <c r="I445" s="8">
        <f>IF('01_Raw_Data'!K445="", "REG-NA", UPPER(TRIM('01_Raw_Data'!K445)))</f>
        <v/>
      </c>
      <c r="J445" s="8">
        <f>IF(OR('01_Raw_Data'!C445="", '01_Raw_Data'!F445&lt;0, ISNUMBER(SEARCH("%", '01_Raw_Data'!H445))), "FIXED ANOMALY", "PASSED")</f>
        <v/>
      </c>
      <c r="K445" s="8">
        <f>IF('01_Raw_Data'!F445&lt;0, "Converted Negative Quantity to ABS", IF('01_Raw_Data'!C445="", "Imputed Missing Customer ID", IF(ISNUMBER(SEARCH("%", '01_Raw_Data'!H445)), "Parsed Text % to Numeric Rate", "Standardized Format")))</f>
        <v/>
      </c>
    </row>
    <row r="446">
      <c r="A446" s="8">
        <f>'01_Raw_Data'!A446</f>
        <v/>
      </c>
      <c r="B446" s="10">
        <f>IFERROR(DATEVALUE('01_Raw_Data'!B446), IF('01_Raw_Data'!B446="", DATE(2024,1,1), '01_Raw_Data'!B446))</f>
        <v/>
      </c>
      <c r="C446" s="8">
        <f>IF(OR('01_Raw_Data'!C446="",'01_Raw_Data'!C446="0"), "CUST-GUEST", TRIM('01_Raw_Data'!C446))</f>
        <v/>
      </c>
      <c r="D446" s="8">
        <f>PROPER(TRIM(CLEAN('01_Raw_Data'!D446)))</f>
        <v/>
      </c>
      <c r="E446" s="8">
        <f>ABS(IF(ISNUMBER(VALUE('01_Raw_Data'!F446)), VALUE('01_Raw_Data'!F446), 1))</f>
        <v/>
      </c>
      <c r="F446" s="9">
        <f>'01_Raw_Data'!G446</f>
        <v/>
      </c>
      <c r="G446" s="11">
        <f>IF(ISNUMBER('01_Raw_Data'!H446), '01_Raw_Data'!H446, IFERROR(VALUE(SUBSTITUTE('01_Raw_Data'!H446, "%", ""))/100, 0))</f>
        <v/>
      </c>
      <c r="H446" s="8">
        <f>PROPER(TRIM('01_Raw_Data'!J446))</f>
        <v/>
      </c>
      <c r="I446" s="8">
        <f>IF('01_Raw_Data'!K446="", "REG-NA", UPPER(TRIM('01_Raw_Data'!K446)))</f>
        <v/>
      </c>
      <c r="J446" s="8">
        <f>IF(OR('01_Raw_Data'!C446="", '01_Raw_Data'!F446&lt;0, ISNUMBER(SEARCH("%", '01_Raw_Data'!H446))), "FIXED ANOMALY", "PASSED")</f>
        <v/>
      </c>
      <c r="K446" s="8">
        <f>IF('01_Raw_Data'!F446&lt;0, "Converted Negative Quantity to ABS", IF('01_Raw_Data'!C446="", "Imputed Missing Customer ID", IF(ISNUMBER(SEARCH("%", '01_Raw_Data'!H446)), "Parsed Text % to Numeric Rate", "Standardized Format")))</f>
        <v/>
      </c>
    </row>
    <row r="447">
      <c r="A447" s="8">
        <f>'01_Raw_Data'!A447</f>
        <v/>
      </c>
      <c r="B447" s="10">
        <f>IFERROR(DATEVALUE('01_Raw_Data'!B447), IF('01_Raw_Data'!B447="", DATE(2024,1,1), '01_Raw_Data'!B447))</f>
        <v/>
      </c>
      <c r="C447" s="8">
        <f>IF(OR('01_Raw_Data'!C447="",'01_Raw_Data'!C447="0"), "CUST-GUEST", TRIM('01_Raw_Data'!C447))</f>
        <v/>
      </c>
      <c r="D447" s="8">
        <f>PROPER(TRIM(CLEAN('01_Raw_Data'!D447)))</f>
        <v/>
      </c>
      <c r="E447" s="8">
        <f>ABS(IF(ISNUMBER(VALUE('01_Raw_Data'!F447)), VALUE('01_Raw_Data'!F447), 1))</f>
        <v/>
      </c>
      <c r="F447" s="9">
        <f>'01_Raw_Data'!G447</f>
        <v/>
      </c>
      <c r="G447" s="11">
        <f>IF(ISNUMBER('01_Raw_Data'!H447), '01_Raw_Data'!H447, IFERROR(VALUE(SUBSTITUTE('01_Raw_Data'!H447, "%", ""))/100, 0))</f>
        <v/>
      </c>
      <c r="H447" s="8">
        <f>PROPER(TRIM('01_Raw_Data'!J447))</f>
        <v/>
      </c>
      <c r="I447" s="8">
        <f>IF('01_Raw_Data'!K447="", "REG-NA", UPPER(TRIM('01_Raw_Data'!K447)))</f>
        <v/>
      </c>
      <c r="J447" s="8">
        <f>IF(OR('01_Raw_Data'!C447="", '01_Raw_Data'!F447&lt;0, ISNUMBER(SEARCH("%", '01_Raw_Data'!H447))), "FIXED ANOMALY", "PASSED")</f>
        <v/>
      </c>
      <c r="K447" s="8">
        <f>IF('01_Raw_Data'!F447&lt;0, "Converted Negative Quantity to ABS", IF('01_Raw_Data'!C447="", "Imputed Missing Customer ID", IF(ISNUMBER(SEARCH("%", '01_Raw_Data'!H447)), "Parsed Text % to Numeric Rate", "Standardized Format")))</f>
        <v/>
      </c>
    </row>
    <row r="448">
      <c r="A448" s="8">
        <f>'01_Raw_Data'!A448</f>
        <v/>
      </c>
      <c r="B448" s="10">
        <f>IFERROR(DATEVALUE('01_Raw_Data'!B448), IF('01_Raw_Data'!B448="", DATE(2024,1,1), '01_Raw_Data'!B448))</f>
        <v/>
      </c>
      <c r="C448" s="8">
        <f>IF(OR('01_Raw_Data'!C448="",'01_Raw_Data'!C448="0"), "CUST-GUEST", TRIM('01_Raw_Data'!C448))</f>
        <v/>
      </c>
      <c r="D448" s="8">
        <f>PROPER(TRIM(CLEAN('01_Raw_Data'!D448)))</f>
        <v/>
      </c>
      <c r="E448" s="8">
        <f>ABS(IF(ISNUMBER(VALUE('01_Raw_Data'!F448)), VALUE('01_Raw_Data'!F448), 1))</f>
        <v/>
      </c>
      <c r="F448" s="9">
        <f>'01_Raw_Data'!G448</f>
        <v/>
      </c>
      <c r="G448" s="11">
        <f>IF(ISNUMBER('01_Raw_Data'!H448), '01_Raw_Data'!H448, IFERROR(VALUE(SUBSTITUTE('01_Raw_Data'!H448, "%", ""))/100, 0))</f>
        <v/>
      </c>
      <c r="H448" s="8">
        <f>PROPER(TRIM('01_Raw_Data'!J448))</f>
        <v/>
      </c>
      <c r="I448" s="8">
        <f>IF('01_Raw_Data'!K448="", "REG-NA", UPPER(TRIM('01_Raw_Data'!K448)))</f>
        <v/>
      </c>
      <c r="J448" s="8">
        <f>IF(OR('01_Raw_Data'!C448="", '01_Raw_Data'!F448&lt;0, ISNUMBER(SEARCH("%", '01_Raw_Data'!H448))), "FIXED ANOMALY", "PASSED")</f>
        <v/>
      </c>
      <c r="K448" s="8">
        <f>IF('01_Raw_Data'!F448&lt;0, "Converted Negative Quantity to ABS", IF('01_Raw_Data'!C448="", "Imputed Missing Customer ID", IF(ISNUMBER(SEARCH("%", '01_Raw_Data'!H448)), "Parsed Text % to Numeric Rate", "Standardized Format")))</f>
        <v/>
      </c>
    </row>
    <row r="449">
      <c r="A449" s="8">
        <f>'01_Raw_Data'!A449</f>
        <v/>
      </c>
      <c r="B449" s="10">
        <f>IFERROR(DATEVALUE('01_Raw_Data'!B449), IF('01_Raw_Data'!B449="", DATE(2024,1,1), '01_Raw_Data'!B449))</f>
        <v/>
      </c>
      <c r="C449" s="8">
        <f>IF(OR('01_Raw_Data'!C449="",'01_Raw_Data'!C449="0"), "CUST-GUEST", TRIM('01_Raw_Data'!C449))</f>
        <v/>
      </c>
      <c r="D449" s="8">
        <f>PROPER(TRIM(CLEAN('01_Raw_Data'!D449)))</f>
        <v/>
      </c>
      <c r="E449" s="8">
        <f>ABS(IF(ISNUMBER(VALUE('01_Raw_Data'!F449)), VALUE('01_Raw_Data'!F449), 1))</f>
        <v/>
      </c>
      <c r="F449" s="9">
        <f>'01_Raw_Data'!G449</f>
        <v/>
      </c>
      <c r="G449" s="11">
        <f>IF(ISNUMBER('01_Raw_Data'!H449), '01_Raw_Data'!H449, IFERROR(VALUE(SUBSTITUTE('01_Raw_Data'!H449, "%", ""))/100, 0))</f>
        <v/>
      </c>
      <c r="H449" s="8">
        <f>PROPER(TRIM('01_Raw_Data'!J449))</f>
        <v/>
      </c>
      <c r="I449" s="8">
        <f>IF('01_Raw_Data'!K449="", "REG-NA", UPPER(TRIM('01_Raw_Data'!K449)))</f>
        <v/>
      </c>
      <c r="J449" s="8">
        <f>IF(OR('01_Raw_Data'!C449="", '01_Raw_Data'!F449&lt;0, ISNUMBER(SEARCH("%", '01_Raw_Data'!H449))), "FIXED ANOMALY", "PASSED")</f>
        <v/>
      </c>
      <c r="K449" s="8">
        <f>IF('01_Raw_Data'!F449&lt;0, "Converted Negative Quantity to ABS", IF('01_Raw_Data'!C449="", "Imputed Missing Customer ID", IF(ISNUMBER(SEARCH("%", '01_Raw_Data'!H449)), "Parsed Text % to Numeric Rate", "Standardized Format")))</f>
        <v/>
      </c>
    </row>
    <row r="450">
      <c r="A450" s="8">
        <f>'01_Raw_Data'!A450</f>
        <v/>
      </c>
      <c r="B450" s="10">
        <f>IFERROR(DATEVALUE('01_Raw_Data'!B450), IF('01_Raw_Data'!B450="", DATE(2024,1,1), '01_Raw_Data'!B450))</f>
        <v/>
      </c>
      <c r="C450" s="8">
        <f>IF(OR('01_Raw_Data'!C450="",'01_Raw_Data'!C450="0"), "CUST-GUEST", TRIM('01_Raw_Data'!C450))</f>
        <v/>
      </c>
      <c r="D450" s="8">
        <f>PROPER(TRIM(CLEAN('01_Raw_Data'!D450)))</f>
        <v/>
      </c>
      <c r="E450" s="8">
        <f>ABS(IF(ISNUMBER(VALUE('01_Raw_Data'!F450)), VALUE('01_Raw_Data'!F450), 1))</f>
        <v/>
      </c>
      <c r="F450" s="9">
        <f>'01_Raw_Data'!G450</f>
        <v/>
      </c>
      <c r="G450" s="11">
        <f>IF(ISNUMBER('01_Raw_Data'!H450), '01_Raw_Data'!H450, IFERROR(VALUE(SUBSTITUTE('01_Raw_Data'!H450, "%", ""))/100, 0))</f>
        <v/>
      </c>
      <c r="H450" s="8">
        <f>PROPER(TRIM('01_Raw_Data'!J450))</f>
        <v/>
      </c>
      <c r="I450" s="8">
        <f>IF('01_Raw_Data'!K450="", "REG-NA", UPPER(TRIM('01_Raw_Data'!K450)))</f>
        <v/>
      </c>
      <c r="J450" s="8">
        <f>IF(OR('01_Raw_Data'!C450="", '01_Raw_Data'!F450&lt;0, ISNUMBER(SEARCH("%", '01_Raw_Data'!H450))), "FIXED ANOMALY", "PASSED")</f>
        <v/>
      </c>
      <c r="K450" s="8">
        <f>IF('01_Raw_Data'!F450&lt;0, "Converted Negative Quantity to ABS", IF('01_Raw_Data'!C450="", "Imputed Missing Customer ID", IF(ISNUMBER(SEARCH("%", '01_Raw_Data'!H450)), "Parsed Text % to Numeric Rate", "Standardized Format")))</f>
        <v/>
      </c>
    </row>
    <row r="451">
      <c r="A451" s="8">
        <f>'01_Raw_Data'!A451</f>
        <v/>
      </c>
      <c r="B451" s="10">
        <f>IFERROR(DATEVALUE('01_Raw_Data'!B451), IF('01_Raw_Data'!B451="", DATE(2024,1,1), '01_Raw_Data'!B451))</f>
        <v/>
      </c>
      <c r="C451" s="8">
        <f>IF(OR('01_Raw_Data'!C451="",'01_Raw_Data'!C451="0"), "CUST-GUEST", TRIM('01_Raw_Data'!C451))</f>
        <v/>
      </c>
      <c r="D451" s="8">
        <f>PROPER(TRIM(CLEAN('01_Raw_Data'!D451)))</f>
        <v/>
      </c>
      <c r="E451" s="8">
        <f>ABS(IF(ISNUMBER(VALUE('01_Raw_Data'!F451)), VALUE('01_Raw_Data'!F451), 1))</f>
        <v/>
      </c>
      <c r="F451" s="9">
        <f>'01_Raw_Data'!G451</f>
        <v/>
      </c>
      <c r="G451" s="11">
        <f>IF(ISNUMBER('01_Raw_Data'!H451), '01_Raw_Data'!H451, IFERROR(VALUE(SUBSTITUTE('01_Raw_Data'!H451, "%", ""))/100, 0))</f>
        <v/>
      </c>
      <c r="H451" s="8">
        <f>PROPER(TRIM('01_Raw_Data'!J451))</f>
        <v/>
      </c>
      <c r="I451" s="8">
        <f>IF('01_Raw_Data'!K451="", "REG-NA", UPPER(TRIM('01_Raw_Data'!K451)))</f>
        <v/>
      </c>
      <c r="J451" s="8">
        <f>IF(OR('01_Raw_Data'!C451="", '01_Raw_Data'!F451&lt;0, ISNUMBER(SEARCH("%", '01_Raw_Data'!H451))), "FIXED ANOMALY", "PASSED")</f>
        <v/>
      </c>
      <c r="K451" s="8">
        <f>IF('01_Raw_Data'!F451&lt;0, "Converted Negative Quantity to ABS", IF('01_Raw_Data'!C451="", "Imputed Missing Customer ID", IF(ISNUMBER(SEARCH("%", '01_Raw_Data'!H451)), "Parsed Text % to Numeric Rate", "Standardized Format")))</f>
        <v/>
      </c>
    </row>
    <row r="452">
      <c r="A452" s="8">
        <f>'01_Raw_Data'!A452</f>
        <v/>
      </c>
      <c r="B452" s="10">
        <f>IFERROR(DATEVALUE('01_Raw_Data'!B452), IF('01_Raw_Data'!B452="", DATE(2024,1,1), '01_Raw_Data'!B452))</f>
        <v/>
      </c>
      <c r="C452" s="8">
        <f>IF(OR('01_Raw_Data'!C452="",'01_Raw_Data'!C452="0"), "CUST-GUEST", TRIM('01_Raw_Data'!C452))</f>
        <v/>
      </c>
      <c r="D452" s="8">
        <f>PROPER(TRIM(CLEAN('01_Raw_Data'!D452)))</f>
        <v/>
      </c>
      <c r="E452" s="8">
        <f>ABS(IF(ISNUMBER(VALUE('01_Raw_Data'!F452)), VALUE('01_Raw_Data'!F452), 1))</f>
        <v/>
      </c>
      <c r="F452" s="9">
        <f>'01_Raw_Data'!G452</f>
        <v/>
      </c>
      <c r="G452" s="11">
        <f>IF(ISNUMBER('01_Raw_Data'!H452), '01_Raw_Data'!H452, IFERROR(VALUE(SUBSTITUTE('01_Raw_Data'!H452, "%", ""))/100, 0))</f>
        <v/>
      </c>
      <c r="H452" s="8">
        <f>PROPER(TRIM('01_Raw_Data'!J452))</f>
        <v/>
      </c>
      <c r="I452" s="8">
        <f>IF('01_Raw_Data'!K452="", "REG-NA", UPPER(TRIM('01_Raw_Data'!K452)))</f>
        <v/>
      </c>
      <c r="J452" s="8">
        <f>IF(OR('01_Raw_Data'!C452="", '01_Raw_Data'!F452&lt;0, ISNUMBER(SEARCH("%", '01_Raw_Data'!H452))), "FIXED ANOMALY", "PASSED")</f>
        <v/>
      </c>
      <c r="K452" s="8">
        <f>IF('01_Raw_Data'!F452&lt;0, "Converted Negative Quantity to ABS", IF('01_Raw_Data'!C452="", "Imputed Missing Customer ID", IF(ISNUMBER(SEARCH("%", '01_Raw_Data'!H452)), "Parsed Text % to Numeric Rate", "Standardized Format")))</f>
        <v/>
      </c>
    </row>
    <row r="453">
      <c r="A453" s="8">
        <f>'01_Raw_Data'!A453</f>
        <v/>
      </c>
      <c r="B453" s="10">
        <f>IFERROR(DATEVALUE('01_Raw_Data'!B453), IF('01_Raw_Data'!B453="", DATE(2024,1,1), '01_Raw_Data'!B453))</f>
        <v/>
      </c>
      <c r="C453" s="8">
        <f>IF(OR('01_Raw_Data'!C453="",'01_Raw_Data'!C453="0"), "CUST-GUEST", TRIM('01_Raw_Data'!C453))</f>
        <v/>
      </c>
      <c r="D453" s="8">
        <f>PROPER(TRIM(CLEAN('01_Raw_Data'!D453)))</f>
        <v/>
      </c>
      <c r="E453" s="8">
        <f>ABS(IF(ISNUMBER(VALUE('01_Raw_Data'!F453)), VALUE('01_Raw_Data'!F453), 1))</f>
        <v/>
      </c>
      <c r="F453" s="9">
        <f>'01_Raw_Data'!G453</f>
        <v/>
      </c>
      <c r="G453" s="11">
        <f>IF(ISNUMBER('01_Raw_Data'!H453), '01_Raw_Data'!H453, IFERROR(VALUE(SUBSTITUTE('01_Raw_Data'!H453, "%", ""))/100, 0))</f>
        <v/>
      </c>
      <c r="H453" s="8">
        <f>PROPER(TRIM('01_Raw_Data'!J453))</f>
        <v/>
      </c>
      <c r="I453" s="8">
        <f>IF('01_Raw_Data'!K453="", "REG-NA", UPPER(TRIM('01_Raw_Data'!K453)))</f>
        <v/>
      </c>
      <c r="J453" s="8">
        <f>IF(OR('01_Raw_Data'!C453="", '01_Raw_Data'!F453&lt;0, ISNUMBER(SEARCH("%", '01_Raw_Data'!H453))), "FIXED ANOMALY", "PASSED")</f>
        <v/>
      </c>
      <c r="K453" s="8">
        <f>IF('01_Raw_Data'!F453&lt;0, "Converted Negative Quantity to ABS", IF('01_Raw_Data'!C453="", "Imputed Missing Customer ID", IF(ISNUMBER(SEARCH("%", '01_Raw_Data'!H453)), "Parsed Text % to Numeric Rate", "Standardized Format")))</f>
        <v/>
      </c>
    </row>
    <row r="454">
      <c r="A454" s="8">
        <f>'01_Raw_Data'!A454</f>
        <v/>
      </c>
      <c r="B454" s="10">
        <f>IFERROR(DATEVALUE('01_Raw_Data'!B454), IF('01_Raw_Data'!B454="", DATE(2024,1,1), '01_Raw_Data'!B454))</f>
        <v/>
      </c>
      <c r="C454" s="8">
        <f>IF(OR('01_Raw_Data'!C454="",'01_Raw_Data'!C454="0"), "CUST-GUEST", TRIM('01_Raw_Data'!C454))</f>
        <v/>
      </c>
      <c r="D454" s="8">
        <f>PROPER(TRIM(CLEAN('01_Raw_Data'!D454)))</f>
        <v/>
      </c>
      <c r="E454" s="8">
        <f>ABS(IF(ISNUMBER(VALUE('01_Raw_Data'!F454)), VALUE('01_Raw_Data'!F454), 1))</f>
        <v/>
      </c>
      <c r="F454" s="9">
        <f>'01_Raw_Data'!G454</f>
        <v/>
      </c>
      <c r="G454" s="11">
        <f>IF(ISNUMBER('01_Raw_Data'!H454), '01_Raw_Data'!H454, IFERROR(VALUE(SUBSTITUTE('01_Raw_Data'!H454, "%", ""))/100, 0))</f>
        <v/>
      </c>
      <c r="H454" s="8">
        <f>PROPER(TRIM('01_Raw_Data'!J454))</f>
        <v/>
      </c>
      <c r="I454" s="8">
        <f>IF('01_Raw_Data'!K454="", "REG-NA", UPPER(TRIM('01_Raw_Data'!K454)))</f>
        <v/>
      </c>
      <c r="J454" s="8">
        <f>IF(OR('01_Raw_Data'!C454="", '01_Raw_Data'!F454&lt;0, ISNUMBER(SEARCH("%", '01_Raw_Data'!H454))), "FIXED ANOMALY", "PASSED")</f>
        <v/>
      </c>
      <c r="K454" s="8">
        <f>IF('01_Raw_Data'!F454&lt;0, "Converted Negative Quantity to ABS", IF('01_Raw_Data'!C454="", "Imputed Missing Customer ID", IF(ISNUMBER(SEARCH("%", '01_Raw_Data'!H454)), "Parsed Text % to Numeric Rate", "Standardized Format")))</f>
        <v/>
      </c>
    </row>
    <row r="455">
      <c r="A455" s="8">
        <f>'01_Raw_Data'!A455</f>
        <v/>
      </c>
      <c r="B455" s="10">
        <f>IFERROR(DATEVALUE('01_Raw_Data'!B455), IF('01_Raw_Data'!B455="", DATE(2024,1,1), '01_Raw_Data'!B455))</f>
        <v/>
      </c>
      <c r="C455" s="8">
        <f>IF(OR('01_Raw_Data'!C455="",'01_Raw_Data'!C455="0"), "CUST-GUEST", TRIM('01_Raw_Data'!C455))</f>
        <v/>
      </c>
      <c r="D455" s="8">
        <f>PROPER(TRIM(CLEAN('01_Raw_Data'!D455)))</f>
        <v/>
      </c>
      <c r="E455" s="8">
        <f>ABS(IF(ISNUMBER(VALUE('01_Raw_Data'!F455)), VALUE('01_Raw_Data'!F455), 1))</f>
        <v/>
      </c>
      <c r="F455" s="9">
        <f>'01_Raw_Data'!G455</f>
        <v/>
      </c>
      <c r="G455" s="11">
        <f>IF(ISNUMBER('01_Raw_Data'!H455), '01_Raw_Data'!H455, IFERROR(VALUE(SUBSTITUTE('01_Raw_Data'!H455, "%", ""))/100, 0))</f>
        <v/>
      </c>
      <c r="H455" s="8">
        <f>PROPER(TRIM('01_Raw_Data'!J455))</f>
        <v/>
      </c>
      <c r="I455" s="8">
        <f>IF('01_Raw_Data'!K455="", "REG-NA", UPPER(TRIM('01_Raw_Data'!K455)))</f>
        <v/>
      </c>
      <c r="J455" s="8">
        <f>IF(OR('01_Raw_Data'!C455="", '01_Raw_Data'!F455&lt;0, ISNUMBER(SEARCH("%", '01_Raw_Data'!H455))), "FIXED ANOMALY", "PASSED")</f>
        <v/>
      </c>
      <c r="K455" s="8">
        <f>IF('01_Raw_Data'!F455&lt;0, "Converted Negative Quantity to ABS", IF('01_Raw_Data'!C455="", "Imputed Missing Customer ID", IF(ISNUMBER(SEARCH("%", '01_Raw_Data'!H455)), "Parsed Text % to Numeric Rate", "Standardized Format")))</f>
        <v/>
      </c>
    </row>
    <row r="456">
      <c r="A456" s="8">
        <f>'01_Raw_Data'!A456</f>
        <v/>
      </c>
      <c r="B456" s="10">
        <f>IFERROR(DATEVALUE('01_Raw_Data'!B456), IF('01_Raw_Data'!B456="", DATE(2024,1,1), '01_Raw_Data'!B456))</f>
        <v/>
      </c>
      <c r="C456" s="8">
        <f>IF(OR('01_Raw_Data'!C456="",'01_Raw_Data'!C456="0"), "CUST-GUEST", TRIM('01_Raw_Data'!C456))</f>
        <v/>
      </c>
      <c r="D456" s="8">
        <f>PROPER(TRIM(CLEAN('01_Raw_Data'!D456)))</f>
        <v/>
      </c>
      <c r="E456" s="8">
        <f>ABS(IF(ISNUMBER(VALUE('01_Raw_Data'!F456)), VALUE('01_Raw_Data'!F456), 1))</f>
        <v/>
      </c>
      <c r="F456" s="9">
        <f>'01_Raw_Data'!G456</f>
        <v/>
      </c>
      <c r="G456" s="11">
        <f>IF(ISNUMBER('01_Raw_Data'!H456), '01_Raw_Data'!H456, IFERROR(VALUE(SUBSTITUTE('01_Raw_Data'!H456, "%", ""))/100, 0))</f>
        <v/>
      </c>
      <c r="H456" s="8">
        <f>PROPER(TRIM('01_Raw_Data'!J456))</f>
        <v/>
      </c>
      <c r="I456" s="8">
        <f>IF('01_Raw_Data'!K456="", "REG-NA", UPPER(TRIM('01_Raw_Data'!K456)))</f>
        <v/>
      </c>
      <c r="J456" s="8">
        <f>IF(OR('01_Raw_Data'!C456="", '01_Raw_Data'!F456&lt;0, ISNUMBER(SEARCH("%", '01_Raw_Data'!H456))), "FIXED ANOMALY", "PASSED")</f>
        <v/>
      </c>
      <c r="K456" s="8">
        <f>IF('01_Raw_Data'!F456&lt;0, "Converted Negative Quantity to ABS", IF('01_Raw_Data'!C456="", "Imputed Missing Customer ID", IF(ISNUMBER(SEARCH("%", '01_Raw_Data'!H456)), "Parsed Text % to Numeric Rate", "Standardized Format")))</f>
        <v/>
      </c>
    </row>
    <row r="457">
      <c r="A457" s="8">
        <f>'01_Raw_Data'!A457</f>
        <v/>
      </c>
      <c r="B457" s="10">
        <f>IFERROR(DATEVALUE('01_Raw_Data'!B457), IF('01_Raw_Data'!B457="", DATE(2024,1,1), '01_Raw_Data'!B457))</f>
        <v/>
      </c>
      <c r="C457" s="8">
        <f>IF(OR('01_Raw_Data'!C457="",'01_Raw_Data'!C457="0"), "CUST-GUEST", TRIM('01_Raw_Data'!C457))</f>
        <v/>
      </c>
      <c r="D457" s="8">
        <f>PROPER(TRIM(CLEAN('01_Raw_Data'!D457)))</f>
        <v/>
      </c>
      <c r="E457" s="8">
        <f>ABS(IF(ISNUMBER(VALUE('01_Raw_Data'!F457)), VALUE('01_Raw_Data'!F457), 1))</f>
        <v/>
      </c>
      <c r="F457" s="9">
        <f>'01_Raw_Data'!G457</f>
        <v/>
      </c>
      <c r="G457" s="11">
        <f>IF(ISNUMBER('01_Raw_Data'!H457), '01_Raw_Data'!H457, IFERROR(VALUE(SUBSTITUTE('01_Raw_Data'!H457, "%", ""))/100, 0))</f>
        <v/>
      </c>
      <c r="H457" s="8">
        <f>PROPER(TRIM('01_Raw_Data'!J457))</f>
        <v/>
      </c>
      <c r="I457" s="8">
        <f>IF('01_Raw_Data'!K457="", "REG-NA", UPPER(TRIM('01_Raw_Data'!K457)))</f>
        <v/>
      </c>
      <c r="J457" s="8">
        <f>IF(OR('01_Raw_Data'!C457="", '01_Raw_Data'!F457&lt;0, ISNUMBER(SEARCH("%", '01_Raw_Data'!H457))), "FIXED ANOMALY", "PASSED")</f>
        <v/>
      </c>
      <c r="K457" s="8">
        <f>IF('01_Raw_Data'!F457&lt;0, "Converted Negative Quantity to ABS", IF('01_Raw_Data'!C457="", "Imputed Missing Customer ID", IF(ISNUMBER(SEARCH("%", '01_Raw_Data'!H457)), "Parsed Text % to Numeric Rate", "Standardized Format")))</f>
        <v/>
      </c>
    </row>
    <row r="458">
      <c r="A458" s="8">
        <f>'01_Raw_Data'!A458</f>
        <v/>
      </c>
      <c r="B458" s="10">
        <f>IFERROR(DATEVALUE('01_Raw_Data'!B458), IF('01_Raw_Data'!B458="", DATE(2024,1,1), '01_Raw_Data'!B458))</f>
        <v/>
      </c>
      <c r="C458" s="8">
        <f>IF(OR('01_Raw_Data'!C458="",'01_Raw_Data'!C458="0"), "CUST-GUEST", TRIM('01_Raw_Data'!C458))</f>
        <v/>
      </c>
      <c r="D458" s="8">
        <f>PROPER(TRIM(CLEAN('01_Raw_Data'!D458)))</f>
        <v/>
      </c>
      <c r="E458" s="8">
        <f>ABS(IF(ISNUMBER(VALUE('01_Raw_Data'!F458)), VALUE('01_Raw_Data'!F458), 1))</f>
        <v/>
      </c>
      <c r="F458" s="9">
        <f>'01_Raw_Data'!G458</f>
        <v/>
      </c>
      <c r="G458" s="11">
        <f>IF(ISNUMBER('01_Raw_Data'!H458), '01_Raw_Data'!H458, IFERROR(VALUE(SUBSTITUTE('01_Raw_Data'!H458, "%", ""))/100, 0))</f>
        <v/>
      </c>
      <c r="H458" s="8">
        <f>PROPER(TRIM('01_Raw_Data'!J458))</f>
        <v/>
      </c>
      <c r="I458" s="8">
        <f>IF('01_Raw_Data'!K458="", "REG-NA", UPPER(TRIM('01_Raw_Data'!K458)))</f>
        <v/>
      </c>
      <c r="J458" s="8">
        <f>IF(OR('01_Raw_Data'!C458="", '01_Raw_Data'!F458&lt;0, ISNUMBER(SEARCH("%", '01_Raw_Data'!H458))), "FIXED ANOMALY", "PASSED")</f>
        <v/>
      </c>
      <c r="K458" s="8">
        <f>IF('01_Raw_Data'!F458&lt;0, "Converted Negative Quantity to ABS", IF('01_Raw_Data'!C458="", "Imputed Missing Customer ID", IF(ISNUMBER(SEARCH("%", '01_Raw_Data'!H458)), "Parsed Text % to Numeric Rate", "Standardized Format")))</f>
        <v/>
      </c>
    </row>
    <row r="459">
      <c r="A459" s="8">
        <f>'01_Raw_Data'!A459</f>
        <v/>
      </c>
      <c r="B459" s="10">
        <f>IFERROR(DATEVALUE('01_Raw_Data'!B459), IF('01_Raw_Data'!B459="", DATE(2024,1,1), '01_Raw_Data'!B459))</f>
        <v/>
      </c>
      <c r="C459" s="8">
        <f>IF(OR('01_Raw_Data'!C459="",'01_Raw_Data'!C459="0"), "CUST-GUEST", TRIM('01_Raw_Data'!C459))</f>
        <v/>
      </c>
      <c r="D459" s="8">
        <f>PROPER(TRIM(CLEAN('01_Raw_Data'!D459)))</f>
        <v/>
      </c>
      <c r="E459" s="8">
        <f>ABS(IF(ISNUMBER(VALUE('01_Raw_Data'!F459)), VALUE('01_Raw_Data'!F459), 1))</f>
        <v/>
      </c>
      <c r="F459" s="9">
        <f>'01_Raw_Data'!G459</f>
        <v/>
      </c>
      <c r="G459" s="11">
        <f>IF(ISNUMBER('01_Raw_Data'!H459), '01_Raw_Data'!H459, IFERROR(VALUE(SUBSTITUTE('01_Raw_Data'!H459, "%", ""))/100, 0))</f>
        <v/>
      </c>
      <c r="H459" s="8">
        <f>PROPER(TRIM('01_Raw_Data'!J459))</f>
        <v/>
      </c>
      <c r="I459" s="8">
        <f>IF('01_Raw_Data'!K459="", "REG-NA", UPPER(TRIM('01_Raw_Data'!K459)))</f>
        <v/>
      </c>
      <c r="J459" s="8">
        <f>IF(OR('01_Raw_Data'!C459="", '01_Raw_Data'!F459&lt;0, ISNUMBER(SEARCH("%", '01_Raw_Data'!H459))), "FIXED ANOMALY", "PASSED")</f>
        <v/>
      </c>
      <c r="K459" s="8">
        <f>IF('01_Raw_Data'!F459&lt;0, "Converted Negative Quantity to ABS", IF('01_Raw_Data'!C459="", "Imputed Missing Customer ID", IF(ISNUMBER(SEARCH("%", '01_Raw_Data'!H459)), "Parsed Text % to Numeric Rate", "Standardized Format")))</f>
        <v/>
      </c>
    </row>
    <row r="460">
      <c r="A460" s="8">
        <f>'01_Raw_Data'!A460</f>
        <v/>
      </c>
      <c r="B460" s="10">
        <f>IFERROR(DATEVALUE('01_Raw_Data'!B460), IF('01_Raw_Data'!B460="", DATE(2024,1,1), '01_Raw_Data'!B460))</f>
        <v/>
      </c>
      <c r="C460" s="8">
        <f>IF(OR('01_Raw_Data'!C460="",'01_Raw_Data'!C460="0"), "CUST-GUEST", TRIM('01_Raw_Data'!C460))</f>
        <v/>
      </c>
      <c r="D460" s="8">
        <f>PROPER(TRIM(CLEAN('01_Raw_Data'!D460)))</f>
        <v/>
      </c>
      <c r="E460" s="8">
        <f>ABS(IF(ISNUMBER(VALUE('01_Raw_Data'!F460)), VALUE('01_Raw_Data'!F460), 1))</f>
        <v/>
      </c>
      <c r="F460" s="9">
        <f>'01_Raw_Data'!G460</f>
        <v/>
      </c>
      <c r="G460" s="11">
        <f>IF(ISNUMBER('01_Raw_Data'!H460), '01_Raw_Data'!H460, IFERROR(VALUE(SUBSTITUTE('01_Raw_Data'!H460, "%", ""))/100, 0))</f>
        <v/>
      </c>
      <c r="H460" s="8">
        <f>PROPER(TRIM('01_Raw_Data'!J460))</f>
        <v/>
      </c>
      <c r="I460" s="8">
        <f>IF('01_Raw_Data'!K460="", "REG-NA", UPPER(TRIM('01_Raw_Data'!K460)))</f>
        <v/>
      </c>
      <c r="J460" s="8">
        <f>IF(OR('01_Raw_Data'!C460="", '01_Raw_Data'!F460&lt;0, ISNUMBER(SEARCH("%", '01_Raw_Data'!H460))), "FIXED ANOMALY", "PASSED")</f>
        <v/>
      </c>
      <c r="K460" s="8">
        <f>IF('01_Raw_Data'!F460&lt;0, "Converted Negative Quantity to ABS", IF('01_Raw_Data'!C460="", "Imputed Missing Customer ID", IF(ISNUMBER(SEARCH("%", '01_Raw_Data'!H460)), "Parsed Text % to Numeric Rate", "Standardized Format")))</f>
        <v/>
      </c>
    </row>
    <row r="461">
      <c r="A461" s="8">
        <f>'01_Raw_Data'!A461</f>
        <v/>
      </c>
      <c r="B461" s="10">
        <f>IFERROR(DATEVALUE('01_Raw_Data'!B461), IF('01_Raw_Data'!B461="", DATE(2024,1,1), '01_Raw_Data'!B461))</f>
        <v/>
      </c>
      <c r="C461" s="8">
        <f>IF(OR('01_Raw_Data'!C461="",'01_Raw_Data'!C461="0"), "CUST-GUEST", TRIM('01_Raw_Data'!C461))</f>
        <v/>
      </c>
      <c r="D461" s="8">
        <f>PROPER(TRIM(CLEAN('01_Raw_Data'!D461)))</f>
        <v/>
      </c>
      <c r="E461" s="8">
        <f>ABS(IF(ISNUMBER(VALUE('01_Raw_Data'!F461)), VALUE('01_Raw_Data'!F461), 1))</f>
        <v/>
      </c>
      <c r="F461" s="9">
        <f>'01_Raw_Data'!G461</f>
        <v/>
      </c>
      <c r="G461" s="11">
        <f>IF(ISNUMBER('01_Raw_Data'!H461), '01_Raw_Data'!H461, IFERROR(VALUE(SUBSTITUTE('01_Raw_Data'!H461, "%", ""))/100, 0))</f>
        <v/>
      </c>
      <c r="H461" s="8">
        <f>PROPER(TRIM('01_Raw_Data'!J461))</f>
        <v/>
      </c>
      <c r="I461" s="8">
        <f>IF('01_Raw_Data'!K461="", "REG-NA", UPPER(TRIM('01_Raw_Data'!K461)))</f>
        <v/>
      </c>
      <c r="J461" s="8">
        <f>IF(OR('01_Raw_Data'!C461="", '01_Raw_Data'!F461&lt;0, ISNUMBER(SEARCH("%", '01_Raw_Data'!H461))), "FIXED ANOMALY", "PASSED")</f>
        <v/>
      </c>
      <c r="K461" s="8">
        <f>IF('01_Raw_Data'!F461&lt;0, "Converted Negative Quantity to ABS", IF('01_Raw_Data'!C461="", "Imputed Missing Customer ID", IF(ISNUMBER(SEARCH("%", '01_Raw_Data'!H461)), "Parsed Text % to Numeric Rate", "Standardized Format")))</f>
        <v/>
      </c>
    </row>
    <row r="462">
      <c r="A462" s="8">
        <f>'01_Raw_Data'!A462</f>
        <v/>
      </c>
      <c r="B462" s="10">
        <f>IFERROR(DATEVALUE('01_Raw_Data'!B462), IF('01_Raw_Data'!B462="", DATE(2024,1,1), '01_Raw_Data'!B462))</f>
        <v/>
      </c>
      <c r="C462" s="8">
        <f>IF(OR('01_Raw_Data'!C462="",'01_Raw_Data'!C462="0"), "CUST-GUEST", TRIM('01_Raw_Data'!C462))</f>
        <v/>
      </c>
      <c r="D462" s="8">
        <f>PROPER(TRIM(CLEAN('01_Raw_Data'!D462)))</f>
        <v/>
      </c>
      <c r="E462" s="8">
        <f>ABS(IF(ISNUMBER(VALUE('01_Raw_Data'!F462)), VALUE('01_Raw_Data'!F462), 1))</f>
        <v/>
      </c>
      <c r="F462" s="9">
        <f>'01_Raw_Data'!G462</f>
        <v/>
      </c>
      <c r="G462" s="11">
        <f>IF(ISNUMBER('01_Raw_Data'!H462), '01_Raw_Data'!H462, IFERROR(VALUE(SUBSTITUTE('01_Raw_Data'!H462, "%", ""))/100, 0))</f>
        <v/>
      </c>
      <c r="H462" s="8">
        <f>PROPER(TRIM('01_Raw_Data'!J462))</f>
        <v/>
      </c>
      <c r="I462" s="8">
        <f>IF('01_Raw_Data'!K462="", "REG-NA", UPPER(TRIM('01_Raw_Data'!K462)))</f>
        <v/>
      </c>
      <c r="J462" s="8">
        <f>IF(OR('01_Raw_Data'!C462="", '01_Raw_Data'!F462&lt;0, ISNUMBER(SEARCH("%", '01_Raw_Data'!H462))), "FIXED ANOMALY", "PASSED")</f>
        <v/>
      </c>
      <c r="K462" s="8">
        <f>IF('01_Raw_Data'!F462&lt;0, "Converted Negative Quantity to ABS", IF('01_Raw_Data'!C462="", "Imputed Missing Customer ID", IF(ISNUMBER(SEARCH("%", '01_Raw_Data'!H462)), "Parsed Text % to Numeric Rate", "Standardized Format")))</f>
        <v/>
      </c>
    </row>
    <row r="463">
      <c r="A463" s="8">
        <f>'01_Raw_Data'!A463</f>
        <v/>
      </c>
      <c r="B463" s="10">
        <f>IFERROR(DATEVALUE('01_Raw_Data'!B463), IF('01_Raw_Data'!B463="", DATE(2024,1,1), '01_Raw_Data'!B463))</f>
        <v/>
      </c>
      <c r="C463" s="8">
        <f>IF(OR('01_Raw_Data'!C463="",'01_Raw_Data'!C463="0"), "CUST-GUEST", TRIM('01_Raw_Data'!C463))</f>
        <v/>
      </c>
      <c r="D463" s="8">
        <f>PROPER(TRIM(CLEAN('01_Raw_Data'!D463)))</f>
        <v/>
      </c>
      <c r="E463" s="8">
        <f>ABS(IF(ISNUMBER(VALUE('01_Raw_Data'!F463)), VALUE('01_Raw_Data'!F463), 1))</f>
        <v/>
      </c>
      <c r="F463" s="9">
        <f>'01_Raw_Data'!G463</f>
        <v/>
      </c>
      <c r="G463" s="11">
        <f>IF(ISNUMBER('01_Raw_Data'!H463), '01_Raw_Data'!H463, IFERROR(VALUE(SUBSTITUTE('01_Raw_Data'!H463, "%", ""))/100, 0))</f>
        <v/>
      </c>
      <c r="H463" s="8">
        <f>PROPER(TRIM('01_Raw_Data'!J463))</f>
        <v/>
      </c>
      <c r="I463" s="8">
        <f>IF('01_Raw_Data'!K463="", "REG-NA", UPPER(TRIM('01_Raw_Data'!K463)))</f>
        <v/>
      </c>
      <c r="J463" s="8">
        <f>IF(OR('01_Raw_Data'!C463="", '01_Raw_Data'!F463&lt;0, ISNUMBER(SEARCH("%", '01_Raw_Data'!H463))), "FIXED ANOMALY", "PASSED")</f>
        <v/>
      </c>
      <c r="K463" s="8">
        <f>IF('01_Raw_Data'!F463&lt;0, "Converted Negative Quantity to ABS", IF('01_Raw_Data'!C463="", "Imputed Missing Customer ID", IF(ISNUMBER(SEARCH("%", '01_Raw_Data'!H463)), "Parsed Text % to Numeric Rate", "Standardized Format")))</f>
        <v/>
      </c>
    </row>
    <row r="464">
      <c r="A464" s="8">
        <f>'01_Raw_Data'!A464</f>
        <v/>
      </c>
      <c r="B464" s="10">
        <f>IFERROR(DATEVALUE('01_Raw_Data'!B464), IF('01_Raw_Data'!B464="", DATE(2024,1,1), '01_Raw_Data'!B464))</f>
        <v/>
      </c>
      <c r="C464" s="8">
        <f>IF(OR('01_Raw_Data'!C464="",'01_Raw_Data'!C464="0"), "CUST-GUEST", TRIM('01_Raw_Data'!C464))</f>
        <v/>
      </c>
      <c r="D464" s="8">
        <f>PROPER(TRIM(CLEAN('01_Raw_Data'!D464)))</f>
        <v/>
      </c>
      <c r="E464" s="8">
        <f>ABS(IF(ISNUMBER(VALUE('01_Raw_Data'!F464)), VALUE('01_Raw_Data'!F464), 1))</f>
        <v/>
      </c>
      <c r="F464" s="9">
        <f>'01_Raw_Data'!G464</f>
        <v/>
      </c>
      <c r="G464" s="11">
        <f>IF(ISNUMBER('01_Raw_Data'!H464), '01_Raw_Data'!H464, IFERROR(VALUE(SUBSTITUTE('01_Raw_Data'!H464, "%", ""))/100, 0))</f>
        <v/>
      </c>
      <c r="H464" s="8">
        <f>PROPER(TRIM('01_Raw_Data'!J464))</f>
        <v/>
      </c>
      <c r="I464" s="8">
        <f>IF('01_Raw_Data'!K464="", "REG-NA", UPPER(TRIM('01_Raw_Data'!K464)))</f>
        <v/>
      </c>
      <c r="J464" s="8">
        <f>IF(OR('01_Raw_Data'!C464="", '01_Raw_Data'!F464&lt;0, ISNUMBER(SEARCH("%", '01_Raw_Data'!H464))), "FIXED ANOMALY", "PASSED")</f>
        <v/>
      </c>
      <c r="K464" s="8">
        <f>IF('01_Raw_Data'!F464&lt;0, "Converted Negative Quantity to ABS", IF('01_Raw_Data'!C464="", "Imputed Missing Customer ID", IF(ISNUMBER(SEARCH("%", '01_Raw_Data'!H464)), "Parsed Text % to Numeric Rate", "Standardized Format")))</f>
        <v/>
      </c>
    </row>
    <row r="465">
      <c r="A465" s="8">
        <f>'01_Raw_Data'!A465</f>
        <v/>
      </c>
      <c r="B465" s="10">
        <f>IFERROR(DATEVALUE('01_Raw_Data'!B465), IF('01_Raw_Data'!B465="", DATE(2024,1,1), '01_Raw_Data'!B465))</f>
        <v/>
      </c>
      <c r="C465" s="8">
        <f>IF(OR('01_Raw_Data'!C465="",'01_Raw_Data'!C465="0"), "CUST-GUEST", TRIM('01_Raw_Data'!C465))</f>
        <v/>
      </c>
      <c r="D465" s="8">
        <f>PROPER(TRIM(CLEAN('01_Raw_Data'!D465)))</f>
        <v/>
      </c>
      <c r="E465" s="8">
        <f>ABS(IF(ISNUMBER(VALUE('01_Raw_Data'!F465)), VALUE('01_Raw_Data'!F465), 1))</f>
        <v/>
      </c>
      <c r="F465" s="9">
        <f>'01_Raw_Data'!G465</f>
        <v/>
      </c>
      <c r="G465" s="11">
        <f>IF(ISNUMBER('01_Raw_Data'!H465), '01_Raw_Data'!H465, IFERROR(VALUE(SUBSTITUTE('01_Raw_Data'!H465, "%", ""))/100, 0))</f>
        <v/>
      </c>
      <c r="H465" s="8">
        <f>PROPER(TRIM('01_Raw_Data'!J465))</f>
        <v/>
      </c>
      <c r="I465" s="8">
        <f>IF('01_Raw_Data'!K465="", "REG-NA", UPPER(TRIM('01_Raw_Data'!K465)))</f>
        <v/>
      </c>
      <c r="J465" s="8">
        <f>IF(OR('01_Raw_Data'!C465="", '01_Raw_Data'!F465&lt;0, ISNUMBER(SEARCH("%", '01_Raw_Data'!H465))), "FIXED ANOMALY", "PASSED")</f>
        <v/>
      </c>
      <c r="K465" s="8">
        <f>IF('01_Raw_Data'!F465&lt;0, "Converted Negative Quantity to ABS", IF('01_Raw_Data'!C465="", "Imputed Missing Customer ID", IF(ISNUMBER(SEARCH("%", '01_Raw_Data'!H465)), "Parsed Text % to Numeric Rate", "Standardized Format")))</f>
        <v/>
      </c>
    </row>
    <row r="466">
      <c r="A466" s="8">
        <f>'01_Raw_Data'!A466</f>
        <v/>
      </c>
      <c r="B466" s="10">
        <f>IFERROR(DATEVALUE('01_Raw_Data'!B466), IF('01_Raw_Data'!B466="", DATE(2024,1,1), '01_Raw_Data'!B466))</f>
        <v/>
      </c>
      <c r="C466" s="8">
        <f>IF(OR('01_Raw_Data'!C466="",'01_Raw_Data'!C466="0"), "CUST-GUEST", TRIM('01_Raw_Data'!C466))</f>
        <v/>
      </c>
      <c r="D466" s="8">
        <f>PROPER(TRIM(CLEAN('01_Raw_Data'!D466)))</f>
        <v/>
      </c>
      <c r="E466" s="8">
        <f>ABS(IF(ISNUMBER(VALUE('01_Raw_Data'!F466)), VALUE('01_Raw_Data'!F466), 1))</f>
        <v/>
      </c>
      <c r="F466" s="9">
        <f>'01_Raw_Data'!G466</f>
        <v/>
      </c>
      <c r="G466" s="11">
        <f>IF(ISNUMBER('01_Raw_Data'!H466), '01_Raw_Data'!H466, IFERROR(VALUE(SUBSTITUTE('01_Raw_Data'!H466, "%", ""))/100, 0))</f>
        <v/>
      </c>
      <c r="H466" s="8">
        <f>PROPER(TRIM('01_Raw_Data'!J466))</f>
        <v/>
      </c>
      <c r="I466" s="8">
        <f>IF('01_Raw_Data'!K466="", "REG-NA", UPPER(TRIM('01_Raw_Data'!K466)))</f>
        <v/>
      </c>
      <c r="J466" s="8">
        <f>IF(OR('01_Raw_Data'!C466="", '01_Raw_Data'!F466&lt;0, ISNUMBER(SEARCH("%", '01_Raw_Data'!H466))), "FIXED ANOMALY", "PASSED")</f>
        <v/>
      </c>
      <c r="K466" s="8">
        <f>IF('01_Raw_Data'!F466&lt;0, "Converted Negative Quantity to ABS", IF('01_Raw_Data'!C466="", "Imputed Missing Customer ID", IF(ISNUMBER(SEARCH("%", '01_Raw_Data'!H466)), "Parsed Text % to Numeric Rate", "Standardized Format")))</f>
        <v/>
      </c>
    </row>
    <row r="467">
      <c r="A467" s="8">
        <f>'01_Raw_Data'!A467</f>
        <v/>
      </c>
      <c r="B467" s="10">
        <f>IFERROR(DATEVALUE('01_Raw_Data'!B467), IF('01_Raw_Data'!B467="", DATE(2024,1,1), '01_Raw_Data'!B467))</f>
        <v/>
      </c>
      <c r="C467" s="8">
        <f>IF(OR('01_Raw_Data'!C467="",'01_Raw_Data'!C467="0"), "CUST-GUEST", TRIM('01_Raw_Data'!C467))</f>
        <v/>
      </c>
      <c r="D467" s="8">
        <f>PROPER(TRIM(CLEAN('01_Raw_Data'!D467)))</f>
        <v/>
      </c>
      <c r="E467" s="8">
        <f>ABS(IF(ISNUMBER(VALUE('01_Raw_Data'!F467)), VALUE('01_Raw_Data'!F467), 1))</f>
        <v/>
      </c>
      <c r="F467" s="9">
        <f>'01_Raw_Data'!G467</f>
        <v/>
      </c>
      <c r="G467" s="11">
        <f>IF(ISNUMBER('01_Raw_Data'!H467), '01_Raw_Data'!H467, IFERROR(VALUE(SUBSTITUTE('01_Raw_Data'!H467, "%", ""))/100, 0))</f>
        <v/>
      </c>
      <c r="H467" s="8">
        <f>PROPER(TRIM('01_Raw_Data'!J467))</f>
        <v/>
      </c>
      <c r="I467" s="8">
        <f>IF('01_Raw_Data'!K467="", "REG-NA", UPPER(TRIM('01_Raw_Data'!K467)))</f>
        <v/>
      </c>
      <c r="J467" s="8">
        <f>IF(OR('01_Raw_Data'!C467="", '01_Raw_Data'!F467&lt;0, ISNUMBER(SEARCH("%", '01_Raw_Data'!H467))), "FIXED ANOMALY", "PASSED")</f>
        <v/>
      </c>
      <c r="K467" s="8">
        <f>IF('01_Raw_Data'!F467&lt;0, "Converted Negative Quantity to ABS", IF('01_Raw_Data'!C467="", "Imputed Missing Customer ID", IF(ISNUMBER(SEARCH("%", '01_Raw_Data'!H467)), "Parsed Text % to Numeric Rate", "Standardized Format")))</f>
        <v/>
      </c>
    </row>
    <row r="468">
      <c r="A468" s="8">
        <f>'01_Raw_Data'!A468</f>
        <v/>
      </c>
      <c r="B468" s="10">
        <f>IFERROR(DATEVALUE('01_Raw_Data'!B468), IF('01_Raw_Data'!B468="", DATE(2024,1,1), '01_Raw_Data'!B468))</f>
        <v/>
      </c>
      <c r="C468" s="8">
        <f>IF(OR('01_Raw_Data'!C468="",'01_Raw_Data'!C468="0"), "CUST-GUEST", TRIM('01_Raw_Data'!C468))</f>
        <v/>
      </c>
      <c r="D468" s="8">
        <f>PROPER(TRIM(CLEAN('01_Raw_Data'!D468)))</f>
        <v/>
      </c>
      <c r="E468" s="8">
        <f>ABS(IF(ISNUMBER(VALUE('01_Raw_Data'!F468)), VALUE('01_Raw_Data'!F468), 1))</f>
        <v/>
      </c>
      <c r="F468" s="9">
        <f>'01_Raw_Data'!G468</f>
        <v/>
      </c>
      <c r="G468" s="11">
        <f>IF(ISNUMBER('01_Raw_Data'!H468), '01_Raw_Data'!H468, IFERROR(VALUE(SUBSTITUTE('01_Raw_Data'!H468, "%", ""))/100, 0))</f>
        <v/>
      </c>
      <c r="H468" s="8">
        <f>PROPER(TRIM('01_Raw_Data'!J468))</f>
        <v/>
      </c>
      <c r="I468" s="8">
        <f>IF('01_Raw_Data'!K468="", "REG-NA", UPPER(TRIM('01_Raw_Data'!K468)))</f>
        <v/>
      </c>
      <c r="J468" s="8">
        <f>IF(OR('01_Raw_Data'!C468="", '01_Raw_Data'!F468&lt;0, ISNUMBER(SEARCH("%", '01_Raw_Data'!H468))), "FIXED ANOMALY", "PASSED")</f>
        <v/>
      </c>
      <c r="K468" s="8">
        <f>IF('01_Raw_Data'!F468&lt;0, "Converted Negative Quantity to ABS", IF('01_Raw_Data'!C468="", "Imputed Missing Customer ID", IF(ISNUMBER(SEARCH("%", '01_Raw_Data'!H468)), "Parsed Text % to Numeric Rate", "Standardized Format")))</f>
        <v/>
      </c>
    </row>
    <row r="469">
      <c r="A469" s="8">
        <f>'01_Raw_Data'!A469</f>
        <v/>
      </c>
      <c r="B469" s="10">
        <f>IFERROR(DATEVALUE('01_Raw_Data'!B469), IF('01_Raw_Data'!B469="", DATE(2024,1,1), '01_Raw_Data'!B469))</f>
        <v/>
      </c>
      <c r="C469" s="8">
        <f>IF(OR('01_Raw_Data'!C469="",'01_Raw_Data'!C469="0"), "CUST-GUEST", TRIM('01_Raw_Data'!C469))</f>
        <v/>
      </c>
      <c r="D469" s="8">
        <f>PROPER(TRIM(CLEAN('01_Raw_Data'!D469)))</f>
        <v/>
      </c>
      <c r="E469" s="8">
        <f>ABS(IF(ISNUMBER(VALUE('01_Raw_Data'!F469)), VALUE('01_Raw_Data'!F469), 1))</f>
        <v/>
      </c>
      <c r="F469" s="9">
        <f>'01_Raw_Data'!G469</f>
        <v/>
      </c>
      <c r="G469" s="11">
        <f>IF(ISNUMBER('01_Raw_Data'!H469), '01_Raw_Data'!H469, IFERROR(VALUE(SUBSTITUTE('01_Raw_Data'!H469, "%", ""))/100, 0))</f>
        <v/>
      </c>
      <c r="H469" s="8">
        <f>PROPER(TRIM('01_Raw_Data'!J469))</f>
        <v/>
      </c>
      <c r="I469" s="8">
        <f>IF('01_Raw_Data'!K469="", "REG-NA", UPPER(TRIM('01_Raw_Data'!K469)))</f>
        <v/>
      </c>
      <c r="J469" s="8">
        <f>IF(OR('01_Raw_Data'!C469="", '01_Raw_Data'!F469&lt;0, ISNUMBER(SEARCH("%", '01_Raw_Data'!H469))), "FIXED ANOMALY", "PASSED")</f>
        <v/>
      </c>
      <c r="K469" s="8">
        <f>IF('01_Raw_Data'!F469&lt;0, "Converted Negative Quantity to ABS", IF('01_Raw_Data'!C469="", "Imputed Missing Customer ID", IF(ISNUMBER(SEARCH("%", '01_Raw_Data'!H469)), "Parsed Text % to Numeric Rate", "Standardized Format")))</f>
        <v/>
      </c>
    </row>
    <row r="470">
      <c r="A470" s="8">
        <f>'01_Raw_Data'!A470</f>
        <v/>
      </c>
      <c r="B470" s="10">
        <f>IFERROR(DATEVALUE('01_Raw_Data'!B470), IF('01_Raw_Data'!B470="", DATE(2024,1,1), '01_Raw_Data'!B470))</f>
        <v/>
      </c>
      <c r="C470" s="8">
        <f>IF(OR('01_Raw_Data'!C470="",'01_Raw_Data'!C470="0"), "CUST-GUEST", TRIM('01_Raw_Data'!C470))</f>
        <v/>
      </c>
      <c r="D470" s="8">
        <f>PROPER(TRIM(CLEAN('01_Raw_Data'!D470)))</f>
        <v/>
      </c>
      <c r="E470" s="8">
        <f>ABS(IF(ISNUMBER(VALUE('01_Raw_Data'!F470)), VALUE('01_Raw_Data'!F470), 1))</f>
        <v/>
      </c>
      <c r="F470" s="9">
        <f>'01_Raw_Data'!G470</f>
        <v/>
      </c>
      <c r="G470" s="11">
        <f>IF(ISNUMBER('01_Raw_Data'!H470), '01_Raw_Data'!H470, IFERROR(VALUE(SUBSTITUTE('01_Raw_Data'!H470, "%", ""))/100, 0))</f>
        <v/>
      </c>
      <c r="H470" s="8">
        <f>PROPER(TRIM('01_Raw_Data'!J470))</f>
        <v/>
      </c>
      <c r="I470" s="8">
        <f>IF('01_Raw_Data'!K470="", "REG-NA", UPPER(TRIM('01_Raw_Data'!K470)))</f>
        <v/>
      </c>
      <c r="J470" s="8">
        <f>IF(OR('01_Raw_Data'!C470="", '01_Raw_Data'!F470&lt;0, ISNUMBER(SEARCH("%", '01_Raw_Data'!H470))), "FIXED ANOMALY", "PASSED")</f>
        <v/>
      </c>
      <c r="K470" s="8">
        <f>IF('01_Raw_Data'!F470&lt;0, "Converted Negative Quantity to ABS", IF('01_Raw_Data'!C470="", "Imputed Missing Customer ID", IF(ISNUMBER(SEARCH("%", '01_Raw_Data'!H470)), "Parsed Text % to Numeric Rate", "Standardized Format")))</f>
        <v/>
      </c>
    </row>
    <row r="471">
      <c r="A471" s="8">
        <f>'01_Raw_Data'!A471</f>
        <v/>
      </c>
      <c r="B471" s="10">
        <f>IFERROR(DATEVALUE('01_Raw_Data'!B471), IF('01_Raw_Data'!B471="", DATE(2024,1,1), '01_Raw_Data'!B471))</f>
        <v/>
      </c>
      <c r="C471" s="8">
        <f>IF(OR('01_Raw_Data'!C471="",'01_Raw_Data'!C471="0"), "CUST-GUEST", TRIM('01_Raw_Data'!C471))</f>
        <v/>
      </c>
      <c r="D471" s="8">
        <f>PROPER(TRIM(CLEAN('01_Raw_Data'!D471)))</f>
        <v/>
      </c>
      <c r="E471" s="8">
        <f>ABS(IF(ISNUMBER(VALUE('01_Raw_Data'!F471)), VALUE('01_Raw_Data'!F471), 1))</f>
        <v/>
      </c>
      <c r="F471" s="9">
        <f>'01_Raw_Data'!G471</f>
        <v/>
      </c>
      <c r="G471" s="11">
        <f>IF(ISNUMBER('01_Raw_Data'!H471), '01_Raw_Data'!H471, IFERROR(VALUE(SUBSTITUTE('01_Raw_Data'!H471, "%", ""))/100, 0))</f>
        <v/>
      </c>
      <c r="H471" s="8">
        <f>PROPER(TRIM('01_Raw_Data'!J471))</f>
        <v/>
      </c>
      <c r="I471" s="8">
        <f>IF('01_Raw_Data'!K471="", "REG-NA", UPPER(TRIM('01_Raw_Data'!K471)))</f>
        <v/>
      </c>
      <c r="J471" s="8">
        <f>IF(OR('01_Raw_Data'!C471="", '01_Raw_Data'!F471&lt;0, ISNUMBER(SEARCH("%", '01_Raw_Data'!H471))), "FIXED ANOMALY", "PASSED")</f>
        <v/>
      </c>
      <c r="K471" s="8">
        <f>IF('01_Raw_Data'!F471&lt;0, "Converted Negative Quantity to ABS", IF('01_Raw_Data'!C471="", "Imputed Missing Customer ID", IF(ISNUMBER(SEARCH("%", '01_Raw_Data'!H471)), "Parsed Text % to Numeric Rate", "Standardized Format")))</f>
        <v/>
      </c>
    </row>
    <row r="472">
      <c r="A472" s="8">
        <f>'01_Raw_Data'!A472</f>
        <v/>
      </c>
      <c r="B472" s="10">
        <f>IFERROR(DATEVALUE('01_Raw_Data'!B472), IF('01_Raw_Data'!B472="", DATE(2024,1,1), '01_Raw_Data'!B472))</f>
        <v/>
      </c>
      <c r="C472" s="8">
        <f>IF(OR('01_Raw_Data'!C472="",'01_Raw_Data'!C472="0"), "CUST-GUEST", TRIM('01_Raw_Data'!C472))</f>
        <v/>
      </c>
      <c r="D472" s="8">
        <f>PROPER(TRIM(CLEAN('01_Raw_Data'!D472)))</f>
        <v/>
      </c>
      <c r="E472" s="8">
        <f>ABS(IF(ISNUMBER(VALUE('01_Raw_Data'!F472)), VALUE('01_Raw_Data'!F472), 1))</f>
        <v/>
      </c>
      <c r="F472" s="9">
        <f>'01_Raw_Data'!G472</f>
        <v/>
      </c>
      <c r="G472" s="11">
        <f>IF(ISNUMBER('01_Raw_Data'!H472), '01_Raw_Data'!H472, IFERROR(VALUE(SUBSTITUTE('01_Raw_Data'!H472, "%", ""))/100, 0))</f>
        <v/>
      </c>
      <c r="H472" s="8">
        <f>PROPER(TRIM('01_Raw_Data'!J472))</f>
        <v/>
      </c>
      <c r="I472" s="8">
        <f>IF('01_Raw_Data'!K472="", "REG-NA", UPPER(TRIM('01_Raw_Data'!K472)))</f>
        <v/>
      </c>
      <c r="J472" s="8">
        <f>IF(OR('01_Raw_Data'!C472="", '01_Raw_Data'!F472&lt;0, ISNUMBER(SEARCH("%", '01_Raw_Data'!H472))), "FIXED ANOMALY", "PASSED")</f>
        <v/>
      </c>
      <c r="K472" s="8">
        <f>IF('01_Raw_Data'!F472&lt;0, "Converted Negative Quantity to ABS", IF('01_Raw_Data'!C472="", "Imputed Missing Customer ID", IF(ISNUMBER(SEARCH("%", '01_Raw_Data'!H472)), "Parsed Text % to Numeric Rate", "Standardized Format")))</f>
        <v/>
      </c>
    </row>
    <row r="473">
      <c r="A473" s="8">
        <f>'01_Raw_Data'!A473</f>
        <v/>
      </c>
      <c r="B473" s="10">
        <f>IFERROR(DATEVALUE('01_Raw_Data'!B473), IF('01_Raw_Data'!B473="", DATE(2024,1,1), '01_Raw_Data'!B473))</f>
        <v/>
      </c>
      <c r="C473" s="8">
        <f>IF(OR('01_Raw_Data'!C473="",'01_Raw_Data'!C473="0"), "CUST-GUEST", TRIM('01_Raw_Data'!C473))</f>
        <v/>
      </c>
      <c r="D473" s="8">
        <f>PROPER(TRIM(CLEAN('01_Raw_Data'!D473)))</f>
        <v/>
      </c>
      <c r="E473" s="8">
        <f>ABS(IF(ISNUMBER(VALUE('01_Raw_Data'!F473)), VALUE('01_Raw_Data'!F473), 1))</f>
        <v/>
      </c>
      <c r="F473" s="9">
        <f>'01_Raw_Data'!G473</f>
        <v/>
      </c>
      <c r="G473" s="11">
        <f>IF(ISNUMBER('01_Raw_Data'!H473), '01_Raw_Data'!H473, IFERROR(VALUE(SUBSTITUTE('01_Raw_Data'!H473, "%", ""))/100, 0))</f>
        <v/>
      </c>
      <c r="H473" s="8">
        <f>PROPER(TRIM('01_Raw_Data'!J473))</f>
        <v/>
      </c>
      <c r="I473" s="8">
        <f>IF('01_Raw_Data'!K473="", "REG-NA", UPPER(TRIM('01_Raw_Data'!K473)))</f>
        <v/>
      </c>
      <c r="J473" s="8">
        <f>IF(OR('01_Raw_Data'!C473="", '01_Raw_Data'!F473&lt;0, ISNUMBER(SEARCH("%", '01_Raw_Data'!H473))), "FIXED ANOMALY", "PASSED")</f>
        <v/>
      </c>
      <c r="K473" s="8">
        <f>IF('01_Raw_Data'!F473&lt;0, "Converted Negative Quantity to ABS", IF('01_Raw_Data'!C473="", "Imputed Missing Customer ID", IF(ISNUMBER(SEARCH("%", '01_Raw_Data'!H473)), "Parsed Text % to Numeric Rate", "Standardized Format")))</f>
        <v/>
      </c>
    </row>
    <row r="474">
      <c r="A474" s="8">
        <f>'01_Raw_Data'!A474</f>
        <v/>
      </c>
      <c r="B474" s="10">
        <f>IFERROR(DATEVALUE('01_Raw_Data'!B474), IF('01_Raw_Data'!B474="", DATE(2024,1,1), '01_Raw_Data'!B474))</f>
        <v/>
      </c>
      <c r="C474" s="8">
        <f>IF(OR('01_Raw_Data'!C474="",'01_Raw_Data'!C474="0"), "CUST-GUEST", TRIM('01_Raw_Data'!C474))</f>
        <v/>
      </c>
      <c r="D474" s="8">
        <f>PROPER(TRIM(CLEAN('01_Raw_Data'!D474)))</f>
        <v/>
      </c>
      <c r="E474" s="8">
        <f>ABS(IF(ISNUMBER(VALUE('01_Raw_Data'!F474)), VALUE('01_Raw_Data'!F474), 1))</f>
        <v/>
      </c>
      <c r="F474" s="9">
        <f>'01_Raw_Data'!G474</f>
        <v/>
      </c>
      <c r="G474" s="11">
        <f>IF(ISNUMBER('01_Raw_Data'!H474), '01_Raw_Data'!H474, IFERROR(VALUE(SUBSTITUTE('01_Raw_Data'!H474, "%", ""))/100, 0))</f>
        <v/>
      </c>
      <c r="H474" s="8">
        <f>PROPER(TRIM('01_Raw_Data'!J474))</f>
        <v/>
      </c>
      <c r="I474" s="8">
        <f>IF('01_Raw_Data'!K474="", "REG-NA", UPPER(TRIM('01_Raw_Data'!K474)))</f>
        <v/>
      </c>
      <c r="J474" s="8">
        <f>IF(OR('01_Raw_Data'!C474="", '01_Raw_Data'!F474&lt;0, ISNUMBER(SEARCH("%", '01_Raw_Data'!H474))), "FIXED ANOMALY", "PASSED")</f>
        <v/>
      </c>
      <c r="K474" s="8">
        <f>IF('01_Raw_Data'!F474&lt;0, "Converted Negative Quantity to ABS", IF('01_Raw_Data'!C474="", "Imputed Missing Customer ID", IF(ISNUMBER(SEARCH("%", '01_Raw_Data'!H474)), "Parsed Text % to Numeric Rate", "Standardized Format")))</f>
        <v/>
      </c>
    </row>
    <row r="475">
      <c r="A475" s="8">
        <f>'01_Raw_Data'!A475</f>
        <v/>
      </c>
      <c r="B475" s="10">
        <f>IFERROR(DATEVALUE('01_Raw_Data'!B475), IF('01_Raw_Data'!B475="", DATE(2024,1,1), '01_Raw_Data'!B475))</f>
        <v/>
      </c>
      <c r="C475" s="8">
        <f>IF(OR('01_Raw_Data'!C475="",'01_Raw_Data'!C475="0"), "CUST-GUEST", TRIM('01_Raw_Data'!C475))</f>
        <v/>
      </c>
      <c r="D475" s="8">
        <f>PROPER(TRIM(CLEAN('01_Raw_Data'!D475)))</f>
        <v/>
      </c>
      <c r="E475" s="8">
        <f>ABS(IF(ISNUMBER(VALUE('01_Raw_Data'!F475)), VALUE('01_Raw_Data'!F475), 1))</f>
        <v/>
      </c>
      <c r="F475" s="9">
        <f>'01_Raw_Data'!G475</f>
        <v/>
      </c>
      <c r="G475" s="11">
        <f>IF(ISNUMBER('01_Raw_Data'!H475), '01_Raw_Data'!H475, IFERROR(VALUE(SUBSTITUTE('01_Raw_Data'!H475, "%", ""))/100, 0))</f>
        <v/>
      </c>
      <c r="H475" s="8">
        <f>PROPER(TRIM('01_Raw_Data'!J475))</f>
        <v/>
      </c>
      <c r="I475" s="8">
        <f>IF('01_Raw_Data'!K475="", "REG-NA", UPPER(TRIM('01_Raw_Data'!K475)))</f>
        <v/>
      </c>
      <c r="J475" s="8">
        <f>IF(OR('01_Raw_Data'!C475="", '01_Raw_Data'!F475&lt;0, ISNUMBER(SEARCH("%", '01_Raw_Data'!H475))), "FIXED ANOMALY", "PASSED")</f>
        <v/>
      </c>
      <c r="K475" s="8">
        <f>IF('01_Raw_Data'!F475&lt;0, "Converted Negative Quantity to ABS", IF('01_Raw_Data'!C475="", "Imputed Missing Customer ID", IF(ISNUMBER(SEARCH("%", '01_Raw_Data'!H475)), "Parsed Text % to Numeric Rate", "Standardized Format")))</f>
        <v/>
      </c>
    </row>
    <row r="476">
      <c r="A476" s="8">
        <f>'01_Raw_Data'!A476</f>
        <v/>
      </c>
      <c r="B476" s="10">
        <f>IFERROR(DATEVALUE('01_Raw_Data'!B476), IF('01_Raw_Data'!B476="", DATE(2024,1,1), '01_Raw_Data'!B476))</f>
        <v/>
      </c>
      <c r="C476" s="8">
        <f>IF(OR('01_Raw_Data'!C476="",'01_Raw_Data'!C476="0"), "CUST-GUEST", TRIM('01_Raw_Data'!C476))</f>
        <v/>
      </c>
      <c r="D476" s="8">
        <f>PROPER(TRIM(CLEAN('01_Raw_Data'!D476)))</f>
        <v/>
      </c>
      <c r="E476" s="8">
        <f>ABS(IF(ISNUMBER(VALUE('01_Raw_Data'!F476)), VALUE('01_Raw_Data'!F476), 1))</f>
        <v/>
      </c>
      <c r="F476" s="9">
        <f>'01_Raw_Data'!G476</f>
        <v/>
      </c>
      <c r="G476" s="11">
        <f>IF(ISNUMBER('01_Raw_Data'!H476), '01_Raw_Data'!H476, IFERROR(VALUE(SUBSTITUTE('01_Raw_Data'!H476, "%", ""))/100, 0))</f>
        <v/>
      </c>
      <c r="H476" s="8">
        <f>PROPER(TRIM('01_Raw_Data'!J476))</f>
        <v/>
      </c>
      <c r="I476" s="8">
        <f>IF('01_Raw_Data'!K476="", "REG-NA", UPPER(TRIM('01_Raw_Data'!K476)))</f>
        <v/>
      </c>
      <c r="J476" s="8">
        <f>IF(OR('01_Raw_Data'!C476="", '01_Raw_Data'!F476&lt;0, ISNUMBER(SEARCH("%", '01_Raw_Data'!H476))), "FIXED ANOMALY", "PASSED")</f>
        <v/>
      </c>
      <c r="K476" s="8">
        <f>IF('01_Raw_Data'!F476&lt;0, "Converted Negative Quantity to ABS", IF('01_Raw_Data'!C476="", "Imputed Missing Customer ID", IF(ISNUMBER(SEARCH("%", '01_Raw_Data'!H476)), "Parsed Text % to Numeric Rate", "Standardized Format")))</f>
        <v/>
      </c>
    </row>
    <row r="477">
      <c r="A477" s="8">
        <f>'01_Raw_Data'!A477</f>
        <v/>
      </c>
      <c r="B477" s="10">
        <f>IFERROR(DATEVALUE('01_Raw_Data'!B477), IF('01_Raw_Data'!B477="", DATE(2024,1,1), '01_Raw_Data'!B477))</f>
        <v/>
      </c>
      <c r="C477" s="8">
        <f>IF(OR('01_Raw_Data'!C477="",'01_Raw_Data'!C477="0"), "CUST-GUEST", TRIM('01_Raw_Data'!C477))</f>
        <v/>
      </c>
      <c r="D477" s="8">
        <f>PROPER(TRIM(CLEAN('01_Raw_Data'!D477)))</f>
        <v/>
      </c>
      <c r="E477" s="8">
        <f>ABS(IF(ISNUMBER(VALUE('01_Raw_Data'!F477)), VALUE('01_Raw_Data'!F477), 1))</f>
        <v/>
      </c>
      <c r="F477" s="9">
        <f>'01_Raw_Data'!G477</f>
        <v/>
      </c>
      <c r="G477" s="11">
        <f>IF(ISNUMBER('01_Raw_Data'!H477), '01_Raw_Data'!H477, IFERROR(VALUE(SUBSTITUTE('01_Raw_Data'!H477, "%", ""))/100, 0))</f>
        <v/>
      </c>
      <c r="H477" s="8">
        <f>PROPER(TRIM('01_Raw_Data'!J477))</f>
        <v/>
      </c>
      <c r="I477" s="8">
        <f>IF('01_Raw_Data'!K477="", "REG-NA", UPPER(TRIM('01_Raw_Data'!K477)))</f>
        <v/>
      </c>
      <c r="J477" s="8">
        <f>IF(OR('01_Raw_Data'!C477="", '01_Raw_Data'!F477&lt;0, ISNUMBER(SEARCH("%", '01_Raw_Data'!H477))), "FIXED ANOMALY", "PASSED")</f>
        <v/>
      </c>
      <c r="K477" s="8">
        <f>IF('01_Raw_Data'!F477&lt;0, "Converted Negative Quantity to ABS", IF('01_Raw_Data'!C477="", "Imputed Missing Customer ID", IF(ISNUMBER(SEARCH("%", '01_Raw_Data'!H477)), "Parsed Text % to Numeric Rate", "Standardized Format")))</f>
        <v/>
      </c>
    </row>
    <row r="478">
      <c r="A478" s="8">
        <f>'01_Raw_Data'!A478</f>
        <v/>
      </c>
      <c r="B478" s="10">
        <f>IFERROR(DATEVALUE('01_Raw_Data'!B478), IF('01_Raw_Data'!B478="", DATE(2024,1,1), '01_Raw_Data'!B478))</f>
        <v/>
      </c>
      <c r="C478" s="8">
        <f>IF(OR('01_Raw_Data'!C478="",'01_Raw_Data'!C478="0"), "CUST-GUEST", TRIM('01_Raw_Data'!C478))</f>
        <v/>
      </c>
      <c r="D478" s="8">
        <f>PROPER(TRIM(CLEAN('01_Raw_Data'!D478)))</f>
        <v/>
      </c>
      <c r="E478" s="8">
        <f>ABS(IF(ISNUMBER(VALUE('01_Raw_Data'!F478)), VALUE('01_Raw_Data'!F478), 1))</f>
        <v/>
      </c>
      <c r="F478" s="9">
        <f>'01_Raw_Data'!G478</f>
        <v/>
      </c>
      <c r="G478" s="11">
        <f>IF(ISNUMBER('01_Raw_Data'!H478), '01_Raw_Data'!H478, IFERROR(VALUE(SUBSTITUTE('01_Raw_Data'!H478, "%", ""))/100, 0))</f>
        <v/>
      </c>
      <c r="H478" s="8">
        <f>PROPER(TRIM('01_Raw_Data'!J478))</f>
        <v/>
      </c>
      <c r="I478" s="8">
        <f>IF('01_Raw_Data'!K478="", "REG-NA", UPPER(TRIM('01_Raw_Data'!K478)))</f>
        <v/>
      </c>
      <c r="J478" s="8">
        <f>IF(OR('01_Raw_Data'!C478="", '01_Raw_Data'!F478&lt;0, ISNUMBER(SEARCH("%", '01_Raw_Data'!H478))), "FIXED ANOMALY", "PASSED")</f>
        <v/>
      </c>
      <c r="K478" s="8">
        <f>IF('01_Raw_Data'!F478&lt;0, "Converted Negative Quantity to ABS", IF('01_Raw_Data'!C478="", "Imputed Missing Customer ID", IF(ISNUMBER(SEARCH("%", '01_Raw_Data'!H478)), "Parsed Text % to Numeric Rate", "Standardized Format")))</f>
        <v/>
      </c>
    </row>
    <row r="479">
      <c r="A479" s="8">
        <f>'01_Raw_Data'!A479</f>
        <v/>
      </c>
      <c r="B479" s="10">
        <f>IFERROR(DATEVALUE('01_Raw_Data'!B479), IF('01_Raw_Data'!B479="", DATE(2024,1,1), '01_Raw_Data'!B479))</f>
        <v/>
      </c>
      <c r="C479" s="8">
        <f>IF(OR('01_Raw_Data'!C479="",'01_Raw_Data'!C479="0"), "CUST-GUEST", TRIM('01_Raw_Data'!C479))</f>
        <v/>
      </c>
      <c r="D479" s="8">
        <f>PROPER(TRIM(CLEAN('01_Raw_Data'!D479)))</f>
        <v/>
      </c>
      <c r="E479" s="8">
        <f>ABS(IF(ISNUMBER(VALUE('01_Raw_Data'!F479)), VALUE('01_Raw_Data'!F479), 1))</f>
        <v/>
      </c>
      <c r="F479" s="9">
        <f>'01_Raw_Data'!G479</f>
        <v/>
      </c>
      <c r="G479" s="11">
        <f>IF(ISNUMBER('01_Raw_Data'!H479), '01_Raw_Data'!H479, IFERROR(VALUE(SUBSTITUTE('01_Raw_Data'!H479, "%", ""))/100, 0))</f>
        <v/>
      </c>
      <c r="H479" s="8">
        <f>PROPER(TRIM('01_Raw_Data'!J479))</f>
        <v/>
      </c>
      <c r="I479" s="8">
        <f>IF('01_Raw_Data'!K479="", "REG-NA", UPPER(TRIM('01_Raw_Data'!K479)))</f>
        <v/>
      </c>
      <c r="J479" s="8">
        <f>IF(OR('01_Raw_Data'!C479="", '01_Raw_Data'!F479&lt;0, ISNUMBER(SEARCH("%", '01_Raw_Data'!H479))), "FIXED ANOMALY", "PASSED")</f>
        <v/>
      </c>
      <c r="K479" s="8">
        <f>IF('01_Raw_Data'!F479&lt;0, "Converted Negative Quantity to ABS", IF('01_Raw_Data'!C479="", "Imputed Missing Customer ID", IF(ISNUMBER(SEARCH("%", '01_Raw_Data'!H479)), "Parsed Text % to Numeric Rate", "Standardized Format")))</f>
        <v/>
      </c>
    </row>
    <row r="480">
      <c r="A480" s="8">
        <f>'01_Raw_Data'!A480</f>
        <v/>
      </c>
      <c r="B480" s="10">
        <f>IFERROR(DATEVALUE('01_Raw_Data'!B480), IF('01_Raw_Data'!B480="", DATE(2024,1,1), '01_Raw_Data'!B480))</f>
        <v/>
      </c>
      <c r="C480" s="8">
        <f>IF(OR('01_Raw_Data'!C480="",'01_Raw_Data'!C480="0"), "CUST-GUEST", TRIM('01_Raw_Data'!C480))</f>
        <v/>
      </c>
      <c r="D480" s="8">
        <f>PROPER(TRIM(CLEAN('01_Raw_Data'!D480)))</f>
        <v/>
      </c>
      <c r="E480" s="8">
        <f>ABS(IF(ISNUMBER(VALUE('01_Raw_Data'!F480)), VALUE('01_Raw_Data'!F480), 1))</f>
        <v/>
      </c>
      <c r="F480" s="9">
        <f>'01_Raw_Data'!G480</f>
        <v/>
      </c>
      <c r="G480" s="11">
        <f>IF(ISNUMBER('01_Raw_Data'!H480), '01_Raw_Data'!H480, IFERROR(VALUE(SUBSTITUTE('01_Raw_Data'!H480, "%", ""))/100, 0))</f>
        <v/>
      </c>
      <c r="H480" s="8">
        <f>PROPER(TRIM('01_Raw_Data'!J480))</f>
        <v/>
      </c>
      <c r="I480" s="8">
        <f>IF('01_Raw_Data'!K480="", "REG-NA", UPPER(TRIM('01_Raw_Data'!K480)))</f>
        <v/>
      </c>
      <c r="J480" s="8">
        <f>IF(OR('01_Raw_Data'!C480="", '01_Raw_Data'!F480&lt;0, ISNUMBER(SEARCH("%", '01_Raw_Data'!H480))), "FIXED ANOMALY", "PASSED")</f>
        <v/>
      </c>
      <c r="K480" s="8">
        <f>IF('01_Raw_Data'!F480&lt;0, "Converted Negative Quantity to ABS", IF('01_Raw_Data'!C480="", "Imputed Missing Customer ID", IF(ISNUMBER(SEARCH("%", '01_Raw_Data'!H480)), "Parsed Text % to Numeric Rate", "Standardized Format")))</f>
        <v/>
      </c>
    </row>
    <row r="481">
      <c r="A481" s="8">
        <f>'01_Raw_Data'!A481</f>
        <v/>
      </c>
      <c r="B481" s="10">
        <f>IFERROR(DATEVALUE('01_Raw_Data'!B481), IF('01_Raw_Data'!B481="", DATE(2024,1,1), '01_Raw_Data'!B481))</f>
        <v/>
      </c>
      <c r="C481" s="8">
        <f>IF(OR('01_Raw_Data'!C481="",'01_Raw_Data'!C481="0"), "CUST-GUEST", TRIM('01_Raw_Data'!C481))</f>
        <v/>
      </c>
      <c r="D481" s="8">
        <f>PROPER(TRIM(CLEAN('01_Raw_Data'!D481)))</f>
        <v/>
      </c>
      <c r="E481" s="8">
        <f>ABS(IF(ISNUMBER(VALUE('01_Raw_Data'!F481)), VALUE('01_Raw_Data'!F481), 1))</f>
        <v/>
      </c>
      <c r="F481" s="9">
        <f>'01_Raw_Data'!G481</f>
        <v/>
      </c>
      <c r="G481" s="11">
        <f>IF(ISNUMBER('01_Raw_Data'!H481), '01_Raw_Data'!H481, IFERROR(VALUE(SUBSTITUTE('01_Raw_Data'!H481, "%", ""))/100, 0))</f>
        <v/>
      </c>
      <c r="H481" s="8">
        <f>PROPER(TRIM('01_Raw_Data'!J481))</f>
        <v/>
      </c>
      <c r="I481" s="8">
        <f>IF('01_Raw_Data'!K481="", "REG-NA", UPPER(TRIM('01_Raw_Data'!K481)))</f>
        <v/>
      </c>
      <c r="J481" s="8">
        <f>IF(OR('01_Raw_Data'!C481="", '01_Raw_Data'!F481&lt;0, ISNUMBER(SEARCH("%", '01_Raw_Data'!H481))), "FIXED ANOMALY", "PASSED")</f>
        <v/>
      </c>
      <c r="K481" s="8">
        <f>IF('01_Raw_Data'!F481&lt;0, "Converted Negative Quantity to ABS", IF('01_Raw_Data'!C481="", "Imputed Missing Customer ID", IF(ISNUMBER(SEARCH("%", '01_Raw_Data'!H481)), "Parsed Text % to Numeric Rate", "Standardized Format")))</f>
        <v/>
      </c>
    </row>
    <row r="482">
      <c r="A482" s="8">
        <f>'01_Raw_Data'!A482</f>
        <v/>
      </c>
      <c r="B482" s="10">
        <f>IFERROR(DATEVALUE('01_Raw_Data'!B482), IF('01_Raw_Data'!B482="", DATE(2024,1,1), '01_Raw_Data'!B482))</f>
        <v/>
      </c>
      <c r="C482" s="8">
        <f>IF(OR('01_Raw_Data'!C482="",'01_Raw_Data'!C482="0"), "CUST-GUEST", TRIM('01_Raw_Data'!C482))</f>
        <v/>
      </c>
      <c r="D482" s="8">
        <f>PROPER(TRIM(CLEAN('01_Raw_Data'!D482)))</f>
        <v/>
      </c>
      <c r="E482" s="8">
        <f>ABS(IF(ISNUMBER(VALUE('01_Raw_Data'!F482)), VALUE('01_Raw_Data'!F482), 1))</f>
        <v/>
      </c>
      <c r="F482" s="9">
        <f>'01_Raw_Data'!G482</f>
        <v/>
      </c>
      <c r="G482" s="11">
        <f>IF(ISNUMBER('01_Raw_Data'!H482), '01_Raw_Data'!H482, IFERROR(VALUE(SUBSTITUTE('01_Raw_Data'!H482, "%", ""))/100, 0))</f>
        <v/>
      </c>
      <c r="H482" s="8">
        <f>PROPER(TRIM('01_Raw_Data'!J482))</f>
        <v/>
      </c>
      <c r="I482" s="8">
        <f>IF('01_Raw_Data'!K482="", "REG-NA", UPPER(TRIM('01_Raw_Data'!K482)))</f>
        <v/>
      </c>
      <c r="J482" s="8">
        <f>IF(OR('01_Raw_Data'!C482="", '01_Raw_Data'!F482&lt;0, ISNUMBER(SEARCH("%", '01_Raw_Data'!H482))), "FIXED ANOMALY", "PASSED")</f>
        <v/>
      </c>
      <c r="K482" s="8">
        <f>IF('01_Raw_Data'!F482&lt;0, "Converted Negative Quantity to ABS", IF('01_Raw_Data'!C482="", "Imputed Missing Customer ID", IF(ISNUMBER(SEARCH("%", '01_Raw_Data'!H482)), "Parsed Text % to Numeric Rate", "Standardized Format")))</f>
        <v/>
      </c>
    </row>
    <row r="483">
      <c r="A483" s="8">
        <f>'01_Raw_Data'!A483</f>
        <v/>
      </c>
      <c r="B483" s="10">
        <f>IFERROR(DATEVALUE('01_Raw_Data'!B483), IF('01_Raw_Data'!B483="", DATE(2024,1,1), '01_Raw_Data'!B483))</f>
        <v/>
      </c>
      <c r="C483" s="8">
        <f>IF(OR('01_Raw_Data'!C483="",'01_Raw_Data'!C483="0"), "CUST-GUEST", TRIM('01_Raw_Data'!C483))</f>
        <v/>
      </c>
      <c r="D483" s="8">
        <f>PROPER(TRIM(CLEAN('01_Raw_Data'!D483)))</f>
        <v/>
      </c>
      <c r="E483" s="8">
        <f>ABS(IF(ISNUMBER(VALUE('01_Raw_Data'!F483)), VALUE('01_Raw_Data'!F483), 1))</f>
        <v/>
      </c>
      <c r="F483" s="9">
        <f>'01_Raw_Data'!G483</f>
        <v/>
      </c>
      <c r="G483" s="11">
        <f>IF(ISNUMBER('01_Raw_Data'!H483), '01_Raw_Data'!H483, IFERROR(VALUE(SUBSTITUTE('01_Raw_Data'!H483, "%", ""))/100, 0))</f>
        <v/>
      </c>
      <c r="H483" s="8">
        <f>PROPER(TRIM('01_Raw_Data'!J483))</f>
        <v/>
      </c>
      <c r="I483" s="8">
        <f>IF('01_Raw_Data'!K483="", "REG-NA", UPPER(TRIM('01_Raw_Data'!K483)))</f>
        <v/>
      </c>
      <c r="J483" s="8">
        <f>IF(OR('01_Raw_Data'!C483="", '01_Raw_Data'!F483&lt;0, ISNUMBER(SEARCH("%", '01_Raw_Data'!H483))), "FIXED ANOMALY", "PASSED")</f>
        <v/>
      </c>
      <c r="K483" s="8">
        <f>IF('01_Raw_Data'!F483&lt;0, "Converted Negative Quantity to ABS", IF('01_Raw_Data'!C483="", "Imputed Missing Customer ID", IF(ISNUMBER(SEARCH("%", '01_Raw_Data'!H483)), "Parsed Text % to Numeric Rate", "Standardized Format")))</f>
        <v/>
      </c>
    </row>
    <row r="484">
      <c r="A484" s="8">
        <f>'01_Raw_Data'!A484</f>
        <v/>
      </c>
      <c r="B484" s="10">
        <f>IFERROR(DATEVALUE('01_Raw_Data'!B484), IF('01_Raw_Data'!B484="", DATE(2024,1,1), '01_Raw_Data'!B484))</f>
        <v/>
      </c>
      <c r="C484" s="8">
        <f>IF(OR('01_Raw_Data'!C484="",'01_Raw_Data'!C484="0"), "CUST-GUEST", TRIM('01_Raw_Data'!C484))</f>
        <v/>
      </c>
      <c r="D484" s="8">
        <f>PROPER(TRIM(CLEAN('01_Raw_Data'!D484)))</f>
        <v/>
      </c>
      <c r="E484" s="8">
        <f>ABS(IF(ISNUMBER(VALUE('01_Raw_Data'!F484)), VALUE('01_Raw_Data'!F484), 1))</f>
        <v/>
      </c>
      <c r="F484" s="9">
        <f>'01_Raw_Data'!G484</f>
        <v/>
      </c>
      <c r="G484" s="11">
        <f>IF(ISNUMBER('01_Raw_Data'!H484), '01_Raw_Data'!H484, IFERROR(VALUE(SUBSTITUTE('01_Raw_Data'!H484, "%", ""))/100, 0))</f>
        <v/>
      </c>
      <c r="H484" s="8">
        <f>PROPER(TRIM('01_Raw_Data'!J484))</f>
        <v/>
      </c>
      <c r="I484" s="8">
        <f>IF('01_Raw_Data'!K484="", "REG-NA", UPPER(TRIM('01_Raw_Data'!K484)))</f>
        <v/>
      </c>
      <c r="J484" s="8">
        <f>IF(OR('01_Raw_Data'!C484="", '01_Raw_Data'!F484&lt;0, ISNUMBER(SEARCH("%", '01_Raw_Data'!H484))), "FIXED ANOMALY", "PASSED")</f>
        <v/>
      </c>
      <c r="K484" s="8">
        <f>IF('01_Raw_Data'!F484&lt;0, "Converted Negative Quantity to ABS", IF('01_Raw_Data'!C484="", "Imputed Missing Customer ID", IF(ISNUMBER(SEARCH("%", '01_Raw_Data'!H484)), "Parsed Text % to Numeric Rate", "Standardized Format")))</f>
        <v/>
      </c>
    </row>
    <row r="485">
      <c r="A485" s="8">
        <f>'01_Raw_Data'!A485</f>
        <v/>
      </c>
      <c r="B485" s="10">
        <f>IFERROR(DATEVALUE('01_Raw_Data'!B485), IF('01_Raw_Data'!B485="", DATE(2024,1,1), '01_Raw_Data'!B485))</f>
        <v/>
      </c>
      <c r="C485" s="8">
        <f>IF(OR('01_Raw_Data'!C485="",'01_Raw_Data'!C485="0"), "CUST-GUEST", TRIM('01_Raw_Data'!C485))</f>
        <v/>
      </c>
      <c r="D485" s="8">
        <f>PROPER(TRIM(CLEAN('01_Raw_Data'!D485)))</f>
        <v/>
      </c>
      <c r="E485" s="8">
        <f>ABS(IF(ISNUMBER(VALUE('01_Raw_Data'!F485)), VALUE('01_Raw_Data'!F485), 1))</f>
        <v/>
      </c>
      <c r="F485" s="9">
        <f>'01_Raw_Data'!G485</f>
        <v/>
      </c>
      <c r="G485" s="11">
        <f>IF(ISNUMBER('01_Raw_Data'!H485), '01_Raw_Data'!H485, IFERROR(VALUE(SUBSTITUTE('01_Raw_Data'!H485, "%", ""))/100, 0))</f>
        <v/>
      </c>
      <c r="H485" s="8">
        <f>PROPER(TRIM('01_Raw_Data'!J485))</f>
        <v/>
      </c>
      <c r="I485" s="8">
        <f>IF('01_Raw_Data'!K485="", "REG-NA", UPPER(TRIM('01_Raw_Data'!K485)))</f>
        <v/>
      </c>
      <c r="J485" s="8">
        <f>IF(OR('01_Raw_Data'!C485="", '01_Raw_Data'!F485&lt;0, ISNUMBER(SEARCH("%", '01_Raw_Data'!H485))), "FIXED ANOMALY", "PASSED")</f>
        <v/>
      </c>
      <c r="K485" s="8">
        <f>IF('01_Raw_Data'!F485&lt;0, "Converted Negative Quantity to ABS", IF('01_Raw_Data'!C485="", "Imputed Missing Customer ID", IF(ISNUMBER(SEARCH("%", '01_Raw_Data'!H485)), "Parsed Text % to Numeric Rate", "Standardized Format")))</f>
        <v/>
      </c>
    </row>
    <row r="486">
      <c r="A486" s="8">
        <f>'01_Raw_Data'!A486</f>
        <v/>
      </c>
      <c r="B486" s="10">
        <f>IFERROR(DATEVALUE('01_Raw_Data'!B486), IF('01_Raw_Data'!B486="", DATE(2024,1,1), '01_Raw_Data'!B486))</f>
        <v/>
      </c>
      <c r="C486" s="8">
        <f>IF(OR('01_Raw_Data'!C486="",'01_Raw_Data'!C486="0"), "CUST-GUEST", TRIM('01_Raw_Data'!C486))</f>
        <v/>
      </c>
      <c r="D486" s="8">
        <f>PROPER(TRIM(CLEAN('01_Raw_Data'!D486)))</f>
        <v/>
      </c>
      <c r="E486" s="8">
        <f>ABS(IF(ISNUMBER(VALUE('01_Raw_Data'!F486)), VALUE('01_Raw_Data'!F486), 1))</f>
        <v/>
      </c>
      <c r="F486" s="9">
        <f>'01_Raw_Data'!G486</f>
        <v/>
      </c>
      <c r="G486" s="11">
        <f>IF(ISNUMBER('01_Raw_Data'!H486), '01_Raw_Data'!H486, IFERROR(VALUE(SUBSTITUTE('01_Raw_Data'!H486, "%", ""))/100, 0))</f>
        <v/>
      </c>
      <c r="H486" s="8">
        <f>PROPER(TRIM('01_Raw_Data'!J486))</f>
        <v/>
      </c>
      <c r="I486" s="8">
        <f>IF('01_Raw_Data'!K486="", "REG-NA", UPPER(TRIM('01_Raw_Data'!K486)))</f>
        <v/>
      </c>
      <c r="J486" s="8">
        <f>IF(OR('01_Raw_Data'!C486="", '01_Raw_Data'!F486&lt;0, ISNUMBER(SEARCH("%", '01_Raw_Data'!H486))), "FIXED ANOMALY", "PASSED")</f>
        <v/>
      </c>
      <c r="K486" s="8">
        <f>IF('01_Raw_Data'!F486&lt;0, "Converted Negative Quantity to ABS", IF('01_Raw_Data'!C486="", "Imputed Missing Customer ID", IF(ISNUMBER(SEARCH("%", '01_Raw_Data'!H486)), "Parsed Text % to Numeric Rate", "Standardized Format")))</f>
        <v/>
      </c>
    </row>
    <row r="487">
      <c r="A487" s="8">
        <f>'01_Raw_Data'!A487</f>
        <v/>
      </c>
      <c r="B487" s="10">
        <f>IFERROR(DATEVALUE('01_Raw_Data'!B487), IF('01_Raw_Data'!B487="", DATE(2024,1,1), '01_Raw_Data'!B487))</f>
        <v/>
      </c>
      <c r="C487" s="8">
        <f>IF(OR('01_Raw_Data'!C487="",'01_Raw_Data'!C487="0"), "CUST-GUEST", TRIM('01_Raw_Data'!C487))</f>
        <v/>
      </c>
      <c r="D487" s="8">
        <f>PROPER(TRIM(CLEAN('01_Raw_Data'!D487)))</f>
        <v/>
      </c>
      <c r="E487" s="8">
        <f>ABS(IF(ISNUMBER(VALUE('01_Raw_Data'!F487)), VALUE('01_Raw_Data'!F487), 1))</f>
        <v/>
      </c>
      <c r="F487" s="9">
        <f>'01_Raw_Data'!G487</f>
        <v/>
      </c>
      <c r="G487" s="11">
        <f>IF(ISNUMBER('01_Raw_Data'!H487), '01_Raw_Data'!H487, IFERROR(VALUE(SUBSTITUTE('01_Raw_Data'!H487, "%", ""))/100, 0))</f>
        <v/>
      </c>
      <c r="H487" s="8">
        <f>PROPER(TRIM('01_Raw_Data'!J487))</f>
        <v/>
      </c>
      <c r="I487" s="8">
        <f>IF('01_Raw_Data'!K487="", "REG-NA", UPPER(TRIM('01_Raw_Data'!K487)))</f>
        <v/>
      </c>
      <c r="J487" s="8">
        <f>IF(OR('01_Raw_Data'!C487="", '01_Raw_Data'!F487&lt;0, ISNUMBER(SEARCH("%", '01_Raw_Data'!H487))), "FIXED ANOMALY", "PASSED")</f>
        <v/>
      </c>
      <c r="K487" s="8">
        <f>IF('01_Raw_Data'!F487&lt;0, "Converted Negative Quantity to ABS", IF('01_Raw_Data'!C487="", "Imputed Missing Customer ID", IF(ISNUMBER(SEARCH("%", '01_Raw_Data'!H487)), "Parsed Text % to Numeric Rate", "Standardized Format")))</f>
        <v/>
      </c>
    </row>
    <row r="488">
      <c r="A488" s="8">
        <f>'01_Raw_Data'!A488</f>
        <v/>
      </c>
      <c r="B488" s="10">
        <f>IFERROR(DATEVALUE('01_Raw_Data'!B488), IF('01_Raw_Data'!B488="", DATE(2024,1,1), '01_Raw_Data'!B488))</f>
        <v/>
      </c>
      <c r="C488" s="8">
        <f>IF(OR('01_Raw_Data'!C488="",'01_Raw_Data'!C488="0"), "CUST-GUEST", TRIM('01_Raw_Data'!C488))</f>
        <v/>
      </c>
      <c r="D488" s="8">
        <f>PROPER(TRIM(CLEAN('01_Raw_Data'!D488)))</f>
        <v/>
      </c>
      <c r="E488" s="8">
        <f>ABS(IF(ISNUMBER(VALUE('01_Raw_Data'!F488)), VALUE('01_Raw_Data'!F488), 1))</f>
        <v/>
      </c>
      <c r="F488" s="9">
        <f>'01_Raw_Data'!G488</f>
        <v/>
      </c>
      <c r="G488" s="11">
        <f>IF(ISNUMBER('01_Raw_Data'!H488), '01_Raw_Data'!H488, IFERROR(VALUE(SUBSTITUTE('01_Raw_Data'!H488, "%", ""))/100, 0))</f>
        <v/>
      </c>
      <c r="H488" s="8">
        <f>PROPER(TRIM('01_Raw_Data'!J488))</f>
        <v/>
      </c>
      <c r="I488" s="8">
        <f>IF('01_Raw_Data'!K488="", "REG-NA", UPPER(TRIM('01_Raw_Data'!K488)))</f>
        <v/>
      </c>
      <c r="J488" s="8">
        <f>IF(OR('01_Raw_Data'!C488="", '01_Raw_Data'!F488&lt;0, ISNUMBER(SEARCH("%", '01_Raw_Data'!H488))), "FIXED ANOMALY", "PASSED")</f>
        <v/>
      </c>
      <c r="K488" s="8">
        <f>IF('01_Raw_Data'!F488&lt;0, "Converted Negative Quantity to ABS", IF('01_Raw_Data'!C488="", "Imputed Missing Customer ID", IF(ISNUMBER(SEARCH("%", '01_Raw_Data'!H488)), "Parsed Text % to Numeric Rate", "Standardized Format")))</f>
        <v/>
      </c>
    </row>
    <row r="489">
      <c r="A489" s="8">
        <f>'01_Raw_Data'!A489</f>
        <v/>
      </c>
      <c r="B489" s="10">
        <f>IFERROR(DATEVALUE('01_Raw_Data'!B489), IF('01_Raw_Data'!B489="", DATE(2024,1,1), '01_Raw_Data'!B489))</f>
        <v/>
      </c>
      <c r="C489" s="8">
        <f>IF(OR('01_Raw_Data'!C489="",'01_Raw_Data'!C489="0"), "CUST-GUEST", TRIM('01_Raw_Data'!C489))</f>
        <v/>
      </c>
      <c r="D489" s="8">
        <f>PROPER(TRIM(CLEAN('01_Raw_Data'!D489)))</f>
        <v/>
      </c>
      <c r="E489" s="8">
        <f>ABS(IF(ISNUMBER(VALUE('01_Raw_Data'!F489)), VALUE('01_Raw_Data'!F489), 1))</f>
        <v/>
      </c>
      <c r="F489" s="9">
        <f>'01_Raw_Data'!G489</f>
        <v/>
      </c>
      <c r="G489" s="11">
        <f>IF(ISNUMBER('01_Raw_Data'!H489), '01_Raw_Data'!H489, IFERROR(VALUE(SUBSTITUTE('01_Raw_Data'!H489, "%", ""))/100, 0))</f>
        <v/>
      </c>
      <c r="H489" s="8">
        <f>PROPER(TRIM('01_Raw_Data'!J489))</f>
        <v/>
      </c>
      <c r="I489" s="8">
        <f>IF('01_Raw_Data'!K489="", "REG-NA", UPPER(TRIM('01_Raw_Data'!K489)))</f>
        <v/>
      </c>
      <c r="J489" s="8">
        <f>IF(OR('01_Raw_Data'!C489="", '01_Raw_Data'!F489&lt;0, ISNUMBER(SEARCH("%", '01_Raw_Data'!H489))), "FIXED ANOMALY", "PASSED")</f>
        <v/>
      </c>
      <c r="K489" s="8">
        <f>IF('01_Raw_Data'!F489&lt;0, "Converted Negative Quantity to ABS", IF('01_Raw_Data'!C489="", "Imputed Missing Customer ID", IF(ISNUMBER(SEARCH("%", '01_Raw_Data'!H489)), "Parsed Text % to Numeric Rate", "Standardized Format")))</f>
        <v/>
      </c>
    </row>
    <row r="490">
      <c r="A490" s="8">
        <f>'01_Raw_Data'!A490</f>
        <v/>
      </c>
      <c r="B490" s="10">
        <f>IFERROR(DATEVALUE('01_Raw_Data'!B490), IF('01_Raw_Data'!B490="", DATE(2024,1,1), '01_Raw_Data'!B490))</f>
        <v/>
      </c>
      <c r="C490" s="8">
        <f>IF(OR('01_Raw_Data'!C490="",'01_Raw_Data'!C490="0"), "CUST-GUEST", TRIM('01_Raw_Data'!C490))</f>
        <v/>
      </c>
      <c r="D490" s="8">
        <f>PROPER(TRIM(CLEAN('01_Raw_Data'!D490)))</f>
        <v/>
      </c>
      <c r="E490" s="8">
        <f>ABS(IF(ISNUMBER(VALUE('01_Raw_Data'!F490)), VALUE('01_Raw_Data'!F490), 1))</f>
        <v/>
      </c>
      <c r="F490" s="9">
        <f>'01_Raw_Data'!G490</f>
        <v/>
      </c>
      <c r="G490" s="11">
        <f>IF(ISNUMBER('01_Raw_Data'!H490), '01_Raw_Data'!H490, IFERROR(VALUE(SUBSTITUTE('01_Raw_Data'!H490, "%", ""))/100, 0))</f>
        <v/>
      </c>
      <c r="H490" s="8">
        <f>PROPER(TRIM('01_Raw_Data'!J490))</f>
        <v/>
      </c>
      <c r="I490" s="8">
        <f>IF('01_Raw_Data'!K490="", "REG-NA", UPPER(TRIM('01_Raw_Data'!K490)))</f>
        <v/>
      </c>
      <c r="J490" s="8">
        <f>IF(OR('01_Raw_Data'!C490="", '01_Raw_Data'!F490&lt;0, ISNUMBER(SEARCH("%", '01_Raw_Data'!H490))), "FIXED ANOMALY", "PASSED")</f>
        <v/>
      </c>
      <c r="K490" s="8">
        <f>IF('01_Raw_Data'!F490&lt;0, "Converted Negative Quantity to ABS", IF('01_Raw_Data'!C490="", "Imputed Missing Customer ID", IF(ISNUMBER(SEARCH("%", '01_Raw_Data'!H490)), "Parsed Text % to Numeric Rate", "Standardized Format")))</f>
        <v/>
      </c>
    </row>
    <row r="491">
      <c r="A491" s="8">
        <f>'01_Raw_Data'!A491</f>
        <v/>
      </c>
      <c r="B491" s="10">
        <f>IFERROR(DATEVALUE('01_Raw_Data'!B491), IF('01_Raw_Data'!B491="", DATE(2024,1,1), '01_Raw_Data'!B491))</f>
        <v/>
      </c>
      <c r="C491" s="8">
        <f>IF(OR('01_Raw_Data'!C491="",'01_Raw_Data'!C491="0"), "CUST-GUEST", TRIM('01_Raw_Data'!C491))</f>
        <v/>
      </c>
      <c r="D491" s="8">
        <f>PROPER(TRIM(CLEAN('01_Raw_Data'!D491)))</f>
        <v/>
      </c>
      <c r="E491" s="8">
        <f>ABS(IF(ISNUMBER(VALUE('01_Raw_Data'!F491)), VALUE('01_Raw_Data'!F491), 1))</f>
        <v/>
      </c>
      <c r="F491" s="9">
        <f>'01_Raw_Data'!G491</f>
        <v/>
      </c>
      <c r="G491" s="11">
        <f>IF(ISNUMBER('01_Raw_Data'!H491), '01_Raw_Data'!H491, IFERROR(VALUE(SUBSTITUTE('01_Raw_Data'!H491, "%", ""))/100, 0))</f>
        <v/>
      </c>
      <c r="H491" s="8">
        <f>PROPER(TRIM('01_Raw_Data'!J491))</f>
        <v/>
      </c>
      <c r="I491" s="8">
        <f>IF('01_Raw_Data'!K491="", "REG-NA", UPPER(TRIM('01_Raw_Data'!K491)))</f>
        <v/>
      </c>
      <c r="J491" s="8">
        <f>IF(OR('01_Raw_Data'!C491="", '01_Raw_Data'!F491&lt;0, ISNUMBER(SEARCH("%", '01_Raw_Data'!H491))), "FIXED ANOMALY", "PASSED")</f>
        <v/>
      </c>
      <c r="K491" s="8">
        <f>IF('01_Raw_Data'!F491&lt;0, "Converted Negative Quantity to ABS", IF('01_Raw_Data'!C491="", "Imputed Missing Customer ID", IF(ISNUMBER(SEARCH("%", '01_Raw_Data'!H491)), "Parsed Text % to Numeric Rate", "Standardized Format")))</f>
        <v/>
      </c>
    </row>
    <row r="492">
      <c r="A492" s="8">
        <f>'01_Raw_Data'!A492</f>
        <v/>
      </c>
      <c r="B492" s="10">
        <f>IFERROR(DATEVALUE('01_Raw_Data'!B492), IF('01_Raw_Data'!B492="", DATE(2024,1,1), '01_Raw_Data'!B492))</f>
        <v/>
      </c>
      <c r="C492" s="8">
        <f>IF(OR('01_Raw_Data'!C492="",'01_Raw_Data'!C492="0"), "CUST-GUEST", TRIM('01_Raw_Data'!C492))</f>
        <v/>
      </c>
      <c r="D492" s="8">
        <f>PROPER(TRIM(CLEAN('01_Raw_Data'!D492)))</f>
        <v/>
      </c>
      <c r="E492" s="8">
        <f>ABS(IF(ISNUMBER(VALUE('01_Raw_Data'!F492)), VALUE('01_Raw_Data'!F492), 1))</f>
        <v/>
      </c>
      <c r="F492" s="9">
        <f>'01_Raw_Data'!G492</f>
        <v/>
      </c>
      <c r="G492" s="11">
        <f>IF(ISNUMBER('01_Raw_Data'!H492), '01_Raw_Data'!H492, IFERROR(VALUE(SUBSTITUTE('01_Raw_Data'!H492, "%", ""))/100, 0))</f>
        <v/>
      </c>
      <c r="H492" s="8">
        <f>PROPER(TRIM('01_Raw_Data'!J492))</f>
        <v/>
      </c>
      <c r="I492" s="8">
        <f>IF('01_Raw_Data'!K492="", "REG-NA", UPPER(TRIM('01_Raw_Data'!K492)))</f>
        <v/>
      </c>
      <c r="J492" s="8">
        <f>IF(OR('01_Raw_Data'!C492="", '01_Raw_Data'!F492&lt;0, ISNUMBER(SEARCH("%", '01_Raw_Data'!H492))), "FIXED ANOMALY", "PASSED")</f>
        <v/>
      </c>
      <c r="K492" s="8">
        <f>IF('01_Raw_Data'!F492&lt;0, "Converted Negative Quantity to ABS", IF('01_Raw_Data'!C492="", "Imputed Missing Customer ID", IF(ISNUMBER(SEARCH("%", '01_Raw_Data'!H492)), "Parsed Text % to Numeric Rate", "Standardized Format")))</f>
        <v/>
      </c>
    </row>
    <row r="493">
      <c r="A493" s="8">
        <f>'01_Raw_Data'!A493</f>
        <v/>
      </c>
      <c r="B493" s="10">
        <f>IFERROR(DATEVALUE('01_Raw_Data'!B493), IF('01_Raw_Data'!B493="", DATE(2024,1,1), '01_Raw_Data'!B493))</f>
        <v/>
      </c>
      <c r="C493" s="8">
        <f>IF(OR('01_Raw_Data'!C493="",'01_Raw_Data'!C493="0"), "CUST-GUEST", TRIM('01_Raw_Data'!C493))</f>
        <v/>
      </c>
      <c r="D493" s="8">
        <f>PROPER(TRIM(CLEAN('01_Raw_Data'!D493)))</f>
        <v/>
      </c>
      <c r="E493" s="8">
        <f>ABS(IF(ISNUMBER(VALUE('01_Raw_Data'!F493)), VALUE('01_Raw_Data'!F493), 1))</f>
        <v/>
      </c>
      <c r="F493" s="9">
        <f>'01_Raw_Data'!G493</f>
        <v/>
      </c>
      <c r="G493" s="11">
        <f>IF(ISNUMBER('01_Raw_Data'!H493), '01_Raw_Data'!H493, IFERROR(VALUE(SUBSTITUTE('01_Raw_Data'!H493, "%", ""))/100, 0))</f>
        <v/>
      </c>
      <c r="H493" s="8">
        <f>PROPER(TRIM('01_Raw_Data'!J493))</f>
        <v/>
      </c>
      <c r="I493" s="8">
        <f>IF('01_Raw_Data'!K493="", "REG-NA", UPPER(TRIM('01_Raw_Data'!K493)))</f>
        <v/>
      </c>
      <c r="J493" s="8">
        <f>IF(OR('01_Raw_Data'!C493="", '01_Raw_Data'!F493&lt;0, ISNUMBER(SEARCH("%", '01_Raw_Data'!H493))), "FIXED ANOMALY", "PASSED")</f>
        <v/>
      </c>
      <c r="K493" s="8">
        <f>IF('01_Raw_Data'!F493&lt;0, "Converted Negative Quantity to ABS", IF('01_Raw_Data'!C493="", "Imputed Missing Customer ID", IF(ISNUMBER(SEARCH("%", '01_Raw_Data'!H493)), "Parsed Text % to Numeric Rate", "Standardized Format")))</f>
        <v/>
      </c>
    </row>
    <row r="494">
      <c r="A494" s="8">
        <f>'01_Raw_Data'!A494</f>
        <v/>
      </c>
      <c r="B494" s="10">
        <f>IFERROR(DATEVALUE('01_Raw_Data'!B494), IF('01_Raw_Data'!B494="", DATE(2024,1,1), '01_Raw_Data'!B494))</f>
        <v/>
      </c>
      <c r="C494" s="8">
        <f>IF(OR('01_Raw_Data'!C494="",'01_Raw_Data'!C494="0"), "CUST-GUEST", TRIM('01_Raw_Data'!C494))</f>
        <v/>
      </c>
      <c r="D494" s="8">
        <f>PROPER(TRIM(CLEAN('01_Raw_Data'!D494)))</f>
        <v/>
      </c>
      <c r="E494" s="8">
        <f>ABS(IF(ISNUMBER(VALUE('01_Raw_Data'!F494)), VALUE('01_Raw_Data'!F494), 1))</f>
        <v/>
      </c>
      <c r="F494" s="9">
        <f>'01_Raw_Data'!G494</f>
        <v/>
      </c>
      <c r="G494" s="11">
        <f>IF(ISNUMBER('01_Raw_Data'!H494), '01_Raw_Data'!H494, IFERROR(VALUE(SUBSTITUTE('01_Raw_Data'!H494, "%", ""))/100, 0))</f>
        <v/>
      </c>
      <c r="H494" s="8">
        <f>PROPER(TRIM('01_Raw_Data'!J494))</f>
        <v/>
      </c>
      <c r="I494" s="8">
        <f>IF('01_Raw_Data'!K494="", "REG-NA", UPPER(TRIM('01_Raw_Data'!K494)))</f>
        <v/>
      </c>
      <c r="J494" s="8">
        <f>IF(OR('01_Raw_Data'!C494="", '01_Raw_Data'!F494&lt;0, ISNUMBER(SEARCH("%", '01_Raw_Data'!H494))), "FIXED ANOMALY", "PASSED")</f>
        <v/>
      </c>
      <c r="K494" s="8">
        <f>IF('01_Raw_Data'!F494&lt;0, "Converted Negative Quantity to ABS", IF('01_Raw_Data'!C494="", "Imputed Missing Customer ID", IF(ISNUMBER(SEARCH("%", '01_Raw_Data'!H494)), "Parsed Text % to Numeric Rate", "Standardized Format")))</f>
        <v/>
      </c>
    </row>
    <row r="495">
      <c r="A495" s="8">
        <f>'01_Raw_Data'!A495</f>
        <v/>
      </c>
      <c r="B495" s="10">
        <f>IFERROR(DATEVALUE('01_Raw_Data'!B495), IF('01_Raw_Data'!B495="", DATE(2024,1,1), '01_Raw_Data'!B495))</f>
        <v/>
      </c>
      <c r="C495" s="8">
        <f>IF(OR('01_Raw_Data'!C495="",'01_Raw_Data'!C495="0"), "CUST-GUEST", TRIM('01_Raw_Data'!C495))</f>
        <v/>
      </c>
      <c r="D495" s="8">
        <f>PROPER(TRIM(CLEAN('01_Raw_Data'!D495)))</f>
        <v/>
      </c>
      <c r="E495" s="8">
        <f>ABS(IF(ISNUMBER(VALUE('01_Raw_Data'!F495)), VALUE('01_Raw_Data'!F495), 1))</f>
        <v/>
      </c>
      <c r="F495" s="9">
        <f>'01_Raw_Data'!G495</f>
        <v/>
      </c>
      <c r="G495" s="11">
        <f>IF(ISNUMBER('01_Raw_Data'!H495), '01_Raw_Data'!H495, IFERROR(VALUE(SUBSTITUTE('01_Raw_Data'!H495, "%", ""))/100, 0))</f>
        <v/>
      </c>
      <c r="H495" s="8">
        <f>PROPER(TRIM('01_Raw_Data'!J495))</f>
        <v/>
      </c>
      <c r="I495" s="8">
        <f>IF('01_Raw_Data'!K495="", "REG-NA", UPPER(TRIM('01_Raw_Data'!K495)))</f>
        <v/>
      </c>
      <c r="J495" s="8">
        <f>IF(OR('01_Raw_Data'!C495="", '01_Raw_Data'!F495&lt;0, ISNUMBER(SEARCH("%", '01_Raw_Data'!H495))), "FIXED ANOMALY", "PASSED")</f>
        <v/>
      </c>
      <c r="K495" s="8">
        <f>IF('01_Raw_Data'!F495&lt;0, "Converted Negative Quantity to ABS", IF('01_Raw_Data'!C495="", "Imputed Missing Customer ID", IF(ISNUMBER(SEARCH("%", '01_Raw_Data'!H495)), "Parsed Text % to Numeric Rate", "Standardized Format")))</f>
        <v/>
      </c>
    </row>
    <row r="496">
      <c r="A496" s="8">
        <f>'01_Raw_Data'!A496</f>
        <v/>
      </c>
      <c r="B496" s="10">
        <f>IFERROR(DATEVALUE('01_Raw_Data'!B496), IF('01_Raw_Data'!B496="", DATE(2024,1,1), '01_Raw_Data'!B496))</f>
        <v/>
      </c>
      <c r="C496" s="8">
        <f>IF(OR('01_Raw_Data'!C496="",'01_Raw_Data'!C496="0"), "CUST-GUEST", TRIM('01_Raw_Data'!C496))</f>
        <v/>
      </c>
      <c r="D496" s="8">
        <f>PROPER(TRIM(CLEAN('01_Raw_Data'!D496)))</f>
        <v/>
      </c>
      <c r="E496" s="8">
        <f>ABS(IF(ISNUMBER(VALUE('01_Raw_Data'!F496)), VALUE('01_Raw_Data'!F496), 1))</f>
        <v/>
      </c>
      <c r="F496" s="9">
        <f>'01_Raw_Data'!G496</f>
        <v/>
      </c>
      <c r="G496" s="11">
        <f>IF(ISNUMBER('01_Raw_Data'!H496), '01_Raw_Data'!H496, IFERROR(VALUE(SUBSTITUTE('01_Raw_Data'!H496, "%", ""))/100, 0))</f>
        <v/>
      </c>
      <c r="H496" s="8">
        <f>PROPER(TRIM('01_Raw_Data'!J496))</f>
        <v/>
      </c>
      <c r="I496" s="8">
        <f>IF('01_Raw_Data'!K496="", "REG-NA", UPPER(TRIM('01_Raw_Data'!K496)))</f>
        <v/>
      </c>
      <c r="J496" s="8">
        <f>IF(OR('01_Raw_Data'!C496="", '01_Raw_Data'!F496&lt;0, ISNUMBER(SEARCH("%", '01_Raw_Data'!H496))), "FIXED ANOMALY", "PASSED")</f>
        <v/>
      </c>
      <c r="K496" s="8">
        <f>IF('01_Raw_Data'!F496&lt;0, "Converted Negative Quantity to ABS", IF('01_Raw_Data'!C496="", "Imputed Missing Customer ID", IF(ISNUMBER(SEARCH("%", '01_Raw_Data'!H496)), "Parsed Text % to Numeric Rate", "Standardized Format")))</f>
        <v/>
      </c>
    </row>
    <row r="497">
      <c r="A497" s="8">
        <f>'01_Raw_Data'!A497</f>
        <v/>
      </c>
      <c r="B497" s="10">
        <f>IFERROR(DATEVALUE('01_Raw_Data'!B497), IF('01_Raw_Data'!B497="", DATE(2024,1,1), '01_Raw_Data'!B497))</f>
        <v/>
      </c>
      <c r="C497" s="8">
        <f>IF(OR('01_Raw_Data'!C497="",'01_Raw_Data'!C497="0"), "CUST-GUEST", TRIM('01_Raw_Data'!C497))</f>
        <v/>
      </c>
      <c r="D497" s="8">
        <f>PROPER(TRIM(CLEAN('01_Raw_Data'!D497)))</f>
        <v/>
      </c>
      <c r="E497" s="8">
        <f>ABS(IF(ISNUMBER(VALUE('01_Raw_Data'!F497)), VALUE('01_Raw_Data'!F497), 1))</f>
        <v/>
      </c>
      <c r="F497" s="9">
        <f>'01_Raw_Data'!G497</f>
        <v/>
      </c>
      <c r="G497" s="11">
        <f>IF(ISNUMBER('01_Raw_Data'!H497), '01_Raw_Data'!H497, IFERROR(VALUE(SUBSTITUTE('01_Raw_Data'!H497, "%", ""))/100, 0))</f>
        <v/>
      </c>
      <c r="H497" s="8">
        <f>PROPER(TRIM('01_Raw_Data'!J497))</f>
        <v/>
      </c>
      <c r="I497" s="8">
        <f>IF('01_Raw_Data'!K497="", "REG-NA", UPPER(TRIM('01_Raw_Data'!K497)))</f>
        <v/>
      </c>
      <c r="J497" s="8">
        <f>IF(OR('01_Raw_Data'!C497="", '01_Raw_Data'!F497&lt;0, ISNUMBER(SEARCH("%", '01_Raw_Data'!H497))), "FIXED ANOMALY", "PASSED")</f>
        <v/>
      </c>
      <c r="K497" s="8">
        <f>IF('01_Raw_Data'!F497&lt;0, "Converted Negative Quantity to ABS", IF('01_Raw_Data'!C497="", "Imputed Missing Customer ID", IF(ISNUMBER(SEARCH("%", '01_Raw_Data'!H497)), "Parsed Text % to Numeric Rate", "Standardized Format")))</f>
        <v/>
      </c>
    </row>
    <row r="498">
      <c r="A498" s="8">
        <f>'01_Raw_Data'!A498</f>
        <v/>
      </c>
      <c r="B498" s="10">
        <f>IFERROR(DATEVALUE('01_Raw_Data'!B498), IF('01_Raw_Data'!B498="", DATE(2024,1,1), '01_Raw_Data'!B498))</f>
        <v/>
      </c>
      <c r="C498" s="8">
        <f>IF(OR('01_Raw_Data'!C498="",'01_Raw_Data'!C498="0"), "CUST-GUEST", TRIM('01_Raw_Data'!C498))</f>
        <v/>
      </c>
      <c r="D498" s="8">
        <f>PROPER(TRIM(CLEAN('01_Raw_Data'!D498)))</f>
        <v/>
      </c>
      <c r="E498" s="8">
        <f>ABS(IF(ISNUMBER(VALUE('01_Raw_Data'!F498)), VALUE('01_Raw_Data'!F498), 1))</f>
        <v/>
      </c>
      <c r="F498" s="9">
        <f>'01_Raw_Data'!G498</f>
        <v/>
      </c>
      <c r="G498" s="11">
        <f>IF(ISNUMBER('01_Raw_Data'!H498), '01_Raw_Data'!H498, IFERROR(VALUE(SUBSTITUTE('01_Raw_Data'!H498, "%", ""))/100, 0))</f>
        <v/>
      </c>
      <c r="H498" s="8">
        <f>PROPER(TRIM('01_Raw_Data'!J498))</f>
        <v/>
      </c>
      <c r="I498" s="8">
        <f>IF('01_Raw_Data'!K498="", "REG-NA", UPPER(TRIM('01_Raw_Data'!K498)))</f>
        <v/>
      </c>
      <c r="J498" s="8">
        <f>IF(OR('01_Raw_Data'!C498="", '01_Raw_Data'!F498&lt;0, ISNUMBER(SEARCH("%", '01_Raw_Data'!H498))), "FIXED ANOMALY", "PASSED")</f>
        <v/>
      </c>
      <c r="K498" s="8">
        <f>IF('01_Raw_Data'!F498&lt;0, "Converted Negative Quantity to ABS", IF('01_Raw_Data'!C498="", "Imputed Missing Customer ID", IF(ISNUMBER(SEARCH("%", '01_Raw_Data'!H498)), "Parsed Text % to Numeric Rate", "Standardized Format")))</f>
        <v/>
      </c>
    </row>
    <row r="499">
      <c r="A499" s="8">
        <f>'01_Raw_Data'!A499</f>
        <v/>
      </c>
      <c r="B499" s="10">
        <f>IFERROR(DATEVALUE('01_Raw_Data'!B499), IF('01_Raw_Data'!B499="", DATE(2024,1,1), '01_Raw_Data'!B499))</f>
        <v/>
      </c>
      <c r="C499" s="8">
        <f>IF(OR('01_Raw_Data'!C499="",'01_Raw_Data'!C499="0"), "CUST-GUEST", TRIM('01_Raw_Data'!C499))</f>
        <v/>
      </c>
      <c r="D499" s="8">
        <f>PROPER(TRIM(CLEAN('01_Raw_Data'!D499)))</f>
        <v/>
      </c>
      <c r="E499" s="8">
        <f>ABS(IF(ISNUMBER(VALUE('01_Raw_Data'!F499)), VALUE('01_Raw_Data'!F499), 1))</f>
        <v/>
      </c>
      <c r="F499" s="9">
        <f>'01_Raw_Data'!G499</f>
        <v/>
      </c>
      <c r="G499" s="11">
        <f>IF(ISNUMBER('01_Raw_Data'!H499), '01_Raw_Data'!H499, IFERROR(VALUE(SUBSTITUTE('01_Raw_Data'!H499, "%", ""))/100, 0))</f>
        <v/>
      </c>
      <c r="H499" s="8">
        <f>PROPER(TRIM('01_Raw_Data'!J499))</f>
        <v/>
      </c>
      <c r="I499" s="8">
        <f>IF('01_Raw_Data'!K499="", "REG-NA", UPPER(TRIM('01_Raw_Data'!K499)))</f>
        <v/>
      </c>
      <c r="J499" s="8">
        <f>IF(OR('01_Raw_Data'!C499="", '01_Raw_Data'!F499&lt;0, ISNUMBER(SEARCH("%", '01_Raw_Data'!H499))), "FIXED ANOMALY", "PASSED")</f>
        <v/>
      </c>
      <c r="K499" s="8">
        <f>IF('01_Raw_Data'!F499&lt;0, "Converted Negative Quantity to ABS", IF('01_Raw_Data'!C499="", "Imputed Missing Customer ID", IF(ISNUMBER(SEARCH("%", '01_Raw_Data'!H499)), "Parsed Text % to Numeric Rate", "Standardized Format")))</f>
        <v/>
      </c>
    </row>
    <row r="500">
      <c r="A500" s="8">
        <f>'01_Raw_Data'!A500</f>
        <v/>
      </c>
      <c r="B500" s="10">
        <f>IFERROR(DATEVALUE('01_Raw_Data'!B500), IF('01_Raw_Data'!B500="", DATE(2024,1,1), '01_Raw_Data'!B500))</f>
        <v/>
      </c>
      <c r="C500" s="8">
        <f>IF(OR('01_Raw_Data'!C500="",'01_Raw_Data'!C500="0"), "CUST-GUEST", TRIM('01_Raw_Data'!C500))</f>
        <v/>
      </c>
      <c r="D500" s="8">
        <f>PROPER(TRIM(CLEAN('01_Raw_Data'!D500)))</f>
        <v/>
      </c>
      <c r="E500" s="8">
        <f>ABS(IF(ISNUMBER(VALUE('01_Raw_Data'!F500)), VALUE('01_Raw_Data'!F500), 1))</f>
        <v/>
      </c>
      <c r="F500" s="9">
        <f>'01_Raw_Data'!G500</f>
        <v/>
      </c>
      <c r="G500" s="11">
        <f>IF(ISNUMBER('01_Raw_Data'!H500), '01_Raw_Data'!H500, IFERROR(VALUE(SUBSTITUTE('01_Raw_Data'!H500, "%", ""))/100, 0))</f>
        <v/>
      </c>
      <c r="H500" s="8">
        <f>PROPER(TRIM('01_Raw_Data'!J500))</f>
        <v/>
      </c>
      <c r="I500" s="8">
        <f>IF('01_Raw_Data'!K500="", "REG-NA", UPPER(TRIM('01_Raw_Data'!K500)))</f>
        <v/>
      </c>
      <c r="J500" s="8">
        <f>IF(OR('01_Raw_Data'!C500="", '01_Raw_Data'!F500&lt;0, ISNUMBER(SEARCH("%", '01_Raw_Data'!H500))), "FIXED ANOMALY", "PASSED")</f>
        <v/>
      </c>
      <c r="K500" s="8">
        <f>IF('01_Raw_Data'!F500&lt;0, "Converted Negative Quantity to ABS", IF('01_Raw_Data'!C500="", "Imputed Missing Customer ID", IF(ISNUMBER(SEARCH("%", '01_Raw_Data'!H500)), "Parsed Text % to Numeric Rate", "Standardized Format")))</f>
        <v/>
      </c>
    </row>
    <row r="501">
      <c r="A501" s="8">
        <f>'01_Raw_Data'!A501</f>
        <v/>
      </c>
      <c r="B501" s="10">
        <f>IFERROR(DATEVALUE('01_Raw_Data'!B501), IF('01_Raw_Data'!B501="", DATE(2024,1,1), '01_Raw_Data'!B501))</f>
        <v/>
      </c>
      <c r="C501" s="8">
        <f>IF(OR('01_Raw_Data'!C501="",'01_Raw_Data'!C501="0"), "CUST-GUEST", TRIM('01_Raw_Data'!C501))</f>
        <v/>
      </c>
      <c r="D501" s="8">
        <f>PROPER(TRIM(CLEAN('01_Raw_Data'!D501)))</f>
        <v/>
      </c>
      <c r="E501" s="8">
        <f>ABS(IF(ISNUMBER(VALUE('01_Raw_Data'!F501)), VALUE('01_Raw_Data'!F501), 1))</f>
        <v/>
      </c>
      <c r="F501" s="9">
        <f>'01_Raw_Data'!G501</f>
        <v/>
      </c>
      <c r="G501" s="11">
        <f>IF(ISNUMBER('01_Raw_Data'!H501), '01_Raw_Data'!H501, IFERROR(VALUE(SUBSTITUTE('01_Raw_Data'!H501, "%", ""))/100, 0))</f>
        <v/>
      </c>
      <c r="H501" s="8">
        <f>PROPER(TRIM('01_Raw_Data'!J501))</f>
        <v/>
      </c>
      <c r="I501" s="8">
        <f>IF('01_Raw_Data'!K501="", "REG-NA", UPPER(TRIM('01_Raw_Data'!K501)))</f>
        <v/>
      </c>
      <c r="J501" s="8">
        <f>IF(OR('01_Raw_Data'!C501="", '01_Raw_Data'!F501&lt;0, ISNUMBER(SEARCH("%", '01_Raw_Data'!H501))), "FIXED ANOMALY", "PASSED")</f>
        <v/>
      </c>
      <c r="K501" s="8">
        <f>IF('01_Raw_Data'!F501&lt;0, "Converted Negative Quantity to ABS", IF('01_Raw_Data'!C501="", "Imputed Missing Customer ID", IF(ISNUMBER(SEARCH("%", '01_Raw_Data'!H501)), "Parsed Text % to Numeric Rate", "Standardized Format")))</f>
        <v/>
      </c>
    </row>
    <row r="502">
      <c r="A502" s="8">
        <f>'01_Raw_Data'!A502</f>
        <v/>
      </c>
      <c r="B502" s="10">
        <f>IFERROR(DATEVALUE('01_Raw_Data'!B502), IF('01_Raw_Data'!B502="", DATE(2024,1,1), '01_Raw_Data'!B502))</f>
        <v/>
      </c>
      <c r="C502" s="8">
        <f>IF(OR('01_Raw_Data'!C502="",'01_Raw_Data'!C502="0"), "CUST-GUEST", TRIM('01_Raw_Data'!C502))</f>
        <v/>
      </c>
      <c r="D502" s="8">
        <f>PROPER(TRIM(CLEAN('01_Raw_Data'!D502)))</f>
        <v/>
      </c>
      <c r="E502" s="8">
        <f>ABS(IF(ISNUMBER(VALUE('01_Raw_Data'!F502)), VALUE('01_Raw_Data'!F502), 1))</f>
        <v/>
      </c>
      <c r="F502" s="9">
        <f>'01_Raw_Data'!G502</f>
        <v/>
      </c>
      <c r="G502" s="11">
        <f>IF(ISNUMBER('01_Raw_Data'!H502), '01_Raw_Data'!H502, IFERROR(VALUE(SUBSTITUTE('01_Raw_Data'!H502, "%", ""))/100, 0))</f>
        <v/>
      </c>
      <c r="H502" s="8">
        <f>PROPER(TRIM('01_Raw_Data'!J502))</f>
        <v/>
      </c>
      <c r="I502" s="8">
        <f>IF('01_Raw_Data'!K502="", "REG-NA", UPPER(TRIM('01_Raw_Data'!K502)))</f>
        <v/>
      </c>
      <c r="J502" s="8">
        <f>IF(OR('01_Raw_Data'!C502="", '01_Raw_Data'!F502&lt;0, ISNUMBER(SEARCH("%", '01_Raw_Data'!H502))), "FIXED ANOMALY", "PASSED")</f>
        <v/>
      </c>
      <c r="K502" s="8">
        <f>IF('01_Raw_Data'!F502&lt;0, "Converted Negative Quantity to ABS", IF('01_Raw_Data'!C502="", "Imputed Missing Customer ID", IF(ISNUMBER(SEARCH("%", '01_Raw_Data'!H502)), "Parsed Text % to Numeric Rate", "Standardized Format")))</f>
        <v/>
      </c>
    </row>
    <row r="503">
      <c r="A503" s="8">
        <f>'01_Raw_Data'!A503</f>
        <v/>
      </c>
      <c r="B503" s="10">
        <f>IFERROR(DATEVALUE('01_Raw_Data'!B503), IF('01_Raw_Data'!B503="", DATE(2024,1,1), '01_Raw_Data'!B503))</f>
        <v/>
      </c>
      <c r="C503" s="8">
        <f>IF(OR('01_Raw_Data'!C503="",'01_Raw_Data'!C503="0"), "CUST-GUEST", TRIM('01_Raw_Data'!C503))</f>
        <v/>
      </c>
      <c r="D503" s="8">
        <f>PROPER(TRIM(CLEAN('01_Raw_Data'!D503)))</f>
        <v/>
      </c>
      <c r="E503" s="8">
        <f>ABS(IF(ISNUMBER(VALUE('01_Raw_Data'!F503)), VALUE('01_Raw_Data'!F503), 1))</f>
        <v/>
      </c>
      <c r="F503" s="9">
        <f>'01_Raw_Data'!G503</f>
        <v/>
      </c>
      <c r="G503" s="11">
        <f>IF(ISNUMBER('01_Raw_Data'!H503), '01_Raw_Data'!H503, IFERROR(VALUE(SUBSTITUTE('01_Raw_Data'!H503, "%", ""))/100, 0))</f>
        <v/>
      </c>
      <c r="H503" s="8">
        <f>PROPER(TRIM('01_Raw_Data'!J503))</f>
        <v/>
      </c>
      <c r="I503" s="8">
        <f>IF('01_Raw_Data'!K503="", "REG-NA", UPPER(TRIM('01_Raw_Data'!K503)))</f>
        <v/>
      </c>
      <c r="J503" s="8">
        <f>IF(OR('01_Raw_Data'!C503="", '01_Raw_Data'!F503&lt;0, ISNUMBER(SEARCH("%", '01_Raw_Data'!H503))), "FIXED ANOMALY", "PASSED")</f>
        <v/>
      </c>
      <c r="K503" s="8">
        <f>IF('01_Raw_Data'!F503&lt;0, "Converted Negative Quantity to ABS", IF('01_Raw_Data'!C503="", "Imputed Missing Customer ID", IF(ISNUMBER(SEARCH("%", '01_Raw_Data'!H503)), "Parsed Text % to Numeric Rate", "Standardized Format")))</f>
        <v/>
      </c>
    </row>
    <row r="504">
      <c r="A504" s="8">
        <f>'01_Raw_Data'!A504</f>
        <v/>
      </c>
      <c r="B504" s="10">
        <f>IFERROR(DATEVALUE('01_Raw_Data'!B504), IF('01_Raw_Data'!B504="", DATE(2024,1,1), '01_Raw_Data'!B504))</f>
        <v/>
      </c>
      <c r="C504" s="8">
        <f>IF(OR('01_Raw_Data'!C504="",'01_Raw_Data'!C504="0"), "CUST-GUEST", TRIM('01_Raw_Data'!C504))</f>
        <v/>
      </c>
      <c r="D504" s="8">
        <f>PROPER(TRIM(CLEAN('01_Raw_Data'!D504)))</f>
        <v/>
      </c>
      <c r="E504" s="8">
        <f>ABS(IF(ISNUMBER(VALUE('01_Raw_Data'!F504)), VALUE('01_Raw_Data'!F504), 1))</f>
        <v/>
      </c>
      <c r="F504" s="9">
        <f>'01_Raw_Data'!G504</f>
        <v/>
      </c>
      <c r="G504" s="11">
        <f>IF(ISNUMBER('01_Raw_Data'!H504), '01_Raw_Data'!H504, IFERROR(VALUE(SUBSTITUTE('01_Raw_Data'!H504, "%", ""))/100, 0))</f>
        <v/>
      </c>
      <c r="H504" s="8">
        <f>PROPER(TRIM('01_Raw_Data'!J504))</f>
        <v/>
      </c>
      <c r="I504" s="8">
        <f>IF('01_Raw_Data'!K504="", "REG-NA", UPPER(TRIM('01_Raw_Data'!K504)))</f>
        <v/>
      </c>
      <c r="J504" s="8">
        <f>IF(OR('01_Raw_Data'!C504="", '01_Raw_Data'!F504&lt;0, ISNUMBER(SEARCH("%", '01_Raw_Data'!H504))), "FIXED ANOMALY", "PASSED")</f>
        <v/>
      </c>
      <c r="K504" s="8">
        <f>IF('01_Raw_Data'!F504&lt;0, "Converted Negative Quantity to ABS", IF('01_Raw_Data'!C504="", "Imputed Missing Customer ID", IF(ISNUMBER(SEARCH("%", '01_Raw_Data'!H504)), "Parsed Text % to Numeric Rate", "Standardized Format")))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4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25" customWidth="1" min="2" max="2"/>
    <col width="12" customWidth="1" min="3" max="3"/>
    <col width="12" customWidth="1" min="4" max="4"/>
    <col width="73" customWidth="1" min="5" max="5"/>
    <col width="16" customWidth="1" min="6" max="6"/>
    <col width="24" customWidth="1" min="7" max="7"/>
    <col width="13" customWidth="1" min="8" max="8"/>
    <col width="20" customWidth="1" min="9" max="9"/>
    <col width="18" customWidth="1" min="10" max="10"/>
    <col width="37" customWidth="1" min="11" max="11"/>
    <col width="54" customWidth="1" min="12" max="12"/>
    <col width="93" customWidth="1" min="13" max="13"/>
  </cols>
  <sheetData>
    <row r="1">
      <c r="A1" s="1" t="inlineStr">
        <is>
          <t>CUSTOMER MASTER &amp; SEGMENTATION PROFILE</t>
        </is>
      </c>
    </row>
    <row r="2">
      <c r="A2" s="2" t="inlineStr">
        <is>
          <t>Demographic segmentation using IFS/LOOKUP formulas and order aggregation metrics.</t>
        </is>
      </c>
    </row>
    <row r="3"/>
    <row r="4" ht="26" customHeight="1">
      <c r="A4" s="3" t="inlineStr">
        <is>
          <t>Customer_ID</t>
        </is>
      </c>
      <c r="B4" s="3" t="inlineStr">
        <is>
          <t>Customer_Name</t>
        </is>
      </c>
      <c r="C4" s="3" t="inlineStr">
        <is>
          <t>Gender</t>
        </is>
      </c>
      <c r="D4" s="3" t="inlineStr">
        <is>
          <t>Age</t>
        </is>
      </c>
      <c r="E4" s="3" t="inlineStr">
        <is>
          <t>Age_Group</t>
        </is>
      </c>
      <c r="F4" s="3" t="inlineStr">
        <is>
          <t>City</t>
        </is>
      </c>
      <c r="G4" s="3" t="inlineStr">
        <is>
          <t>State</t>
        </is>
      </c>
      <c r="H4" s="3" t="inlineStr">
        <is>
          <t>Region_ID</t>
        </is>
      </c>
      <c r="I4" s="3" t="inlineStr">
        <is>
          <t>Customer_Segment</t>
        </is>
      </c>
      <c r="J4" s="3" t="inlineStr">
        <is>
          <t>Customer_Since</t>
        </is>
      </c>
      <c r="K4" s="3" t="inlineStr">
        <is>
          <t>Total_Orders</t>
        </is>
      </c>
      <c r="L4" s="3" t="inlineStr">
        <is>
          <t>Total_Spend</t>
        </is>
      </c>
      <c r="M4" s="3" t="inlineStr">
        <is>
          <t>Customer_Tier</t>
        </is>
      </c>
    </row>
    <row r="5">
      <c r="A5" s="8" t="inlineStr">
        <is>
          <t>CUST-00001</t>
        </is>
      </c>
      <c r="B5" s="8" t="inlineStr">
        <is>
          <t>Gary Watson</t>
        </is>
      </c>
      <c r="C5" s="8" t="inlineStr">
        <is>
          <t>Male</t>
        </is>
      </c>
      <c r="D5" s="8" t="n">
        <v>46</v>
      </c>
      <c r="E5" s="8">
        <f>IF(D5&lt;25, "18-24", IF(D5&lt;35, "25-34", IF(D5&lt;50, "35-49", "50+")))</f>
        <v/>
      </c>
      <c r="F5" s="8" t="inlineStr">
        <is>
          <t>Melbourne</t>
        </is>
      </c>
      <c r="G5" s="8" t="inlineStr">
        <is>
          <t>Victoria</t>
        </is>
      </c>
      <c r="H5" s="8" t="inlineStr">
        <is>
          <t>REG-APAC</t>
        </is>
      </c>
      <c r="I5" s="8" t="inlineStr">
        <is>
          <t>Consumer</t>
        </is>
      </c>
      <c r="J5" s="8" t="inlineStr">
        <is>
          <t>2024-02-22</t>
        </is>
      </c>
      <c r="K5" s="8">
        <f>COUNTIFS('05_Orders'!$C:$C, A5)</f>
        <v/>
      </c>
      <c r="L5" s="9">
        <f>SUMIFS('05_Orders'!$I:$I, '05_Orders'!$C:$C, A5)</f>
        <v/>
      </c>
      <c r="M5" s="8">
        <f>IF(L5&gt;=2000, "Platinum VIP", IF(L5&gt;=1000, "Gold", IF(L5&gt;=500, "Silver", "Standard")))</f>
        <v/>
      </c>
    </row>
    <row r="6">
      <c r="A6" s="8" t="inlineStr">
        <is>
          <t>CUST-00002</t>
        </is>
      </c>
      <c r="B6" s="8" t="inlineStr">
        <is>
          <t>George Gray</t>
        </is>
      </c>
      <c r="C6" s="8" t="inlineStr">
        <is>
          <t>Other</t>
        </is>
      </c>
      <c r="D6" s="8" t="n">
        <v>30</v>
      </c>
      <c r="E6" s="8">
        <f>IF(D6&lt;25, "18-24", IF(D6&lt;35, "25-34", IF(D6&lt;50, "35-49", "50+")))</f>
        <v/>
      </c>
      <c r="F6" s="8" t="inlineStr">
        <is>
          <t>Dublin</t>
        </is>
      </c>
      <c r="G6" s="8" t="inlineStr">
        <is>
          <t>Leinster</t>
        </is>
      </c>
      <c r="H6" s="8" t="inlineStr">
        <is>
          <t>REG-EU</t>
        </is>
      </c>
      <c r="I6" s="8" t="inlineStr">
        <is>
          <t>Consumer</t>
        </is>
      </c>
      <c r="J6" s="8" t="inlineStr">
        <is>
          <t>2025-05-18</t>
        </is>
      </c>
      <c r="K6" s="8">
        <f>COUNTIFS('05_Orders'!$C:$C, A6)</f>
        <v/>
      </c>
      <c r="L6" s="9">
        <f>SUMIFS('05_Orders'!$I:$I, '05_Orders'!$C:$C, A6)</f>
        <v/>
      </c>
      <c r="M6" s="8">
        <f>IF(L6&gt;=2000, "Platinum VIP", IF(L6&gt;=1000, "Gold", IF(L6&gt;=500, "Silver", "Standard")))</f>
        <v/>
      </c>
    </row>
    <row r="7">
      <c r="A7" s="8" t="inlineStr">
        <is>
          <t>CUST-00003</t>
        </is>
      </c>
      <c r="B7" s="8" t="inlineStr">
        <is>
          <t>Cynthia Hernandez</t>
        </is>
      </c>
      <c r="C7" s="8" t="inlineStr">
        <is>
          <t>Female</t>
        </is>
      </c>
      <c r="D7" s="8" t="n">
        <v>57</v>
      </c>
      <c r="E7" s="8">
        <f>IF(D7&lt;25, "18-24", IF(D7&lt;35, "25-34", IF(D7&lt;50, "35-49", "50+")))</f>
        <v/>
      </c>
      <c r="F7" s="8" t="inlineStr">
        <is>
          <t>Chicago</t>
        </is>
      </c>
      <c r="G7" s="8" t="inlineStr">
        <is>
          <t>Illinois</t>
        </is>
      </c>
      <c r="H7" s="8" t="inlineStr">
        <is>
          <t>REG-NA</t>
        </is>
      </c>
      <c r="I7" s="8" t="inlineStr">
        <is>
          <t>Home Office</t>
        </is>
      </c>
      <c r="J7" s="8" t="inlineStr">
        <is>
          <t>2024-08-04</t>
        </is>
      </c>
      <c r="K7" s="8">
        <f>COUNTIFS('05_Orders'!$C:$C, A7)</f>
        <v/>
      </c>
      <c r="L7" s="9">
        <f>SUMIFS('05_Orders'!$I:$I, '05_Orders'!$C:$C, A7)</f>
        <v/>
      </c>
      <c r="M7" s="8">
        <f>IF(L7&gt;=2000, "Platinum VIP", IF(L7&gt;=1000, "Gold", IF(L7&gt;=500, "Silver", "Standard")))</f>
        <v/>
      </c>
    </row>
    <row r="8">
      <c r="A8" s="8" t="inlineStr">
        <is>
          <t>CUST-00004</t>
        </is>
      </c>
      <c r="B8" s="8" t="inlineStr">
        <is>
          <t>Elizabeth Hernandez</t>
        </is>
      </c>
      <c r="C8" s="8" t="inlineStr">
        <is>
          <t>Male</t>
        </is>
      </c>
      <c r="D8" s="8" t="n">
        <v>39</v>
      </c>
      <c r="E8" s="8">
        <f>IF(D8&lt;25, "18-24", IF(D8&lt;35, "25-34", IF(D8&lt;50, "35-49", "50+")))</f>
        <v/>
      </c>
      <c r="F8" s="8" t="inlineStr">
        <is>
          <t>Seattle</t>
        </is>
      </c>
      <c r="G8" s="8" t="inlineStr">
        <is>
          <t>Washington</t>
        </is>
      </c>
      <c r="H8" s="8" t="inlineStr">
        <is>
          <t>REG-NA</t>
        </is>
      </c>
      <c r="I8" s="8" t="inlineStr">
        <is>
          <t>Corporate</t>
        </is>
      </c>
      <c r="J8" s="8" t="inlineStr">
        <is>
          <t>2024-12-25</t>
        </is>
      </c>
      <c r="K8" s="8">
        <f>COUNTIFS('05_Orders'!$C:$C, A8)</f>
        <v/>
      </c>
      <c r="L8" s="9">
        <f>SUMIFS('05_Orders'!$I:$I, '05_Orders'!$C:$C, A8)</f>
        <v/>
      </c>
      <c r="M8" s="8">
        <f>IF(L8&gt;=2000, "Platinum VIP", IF(L8&gt;=1000, "Gold", IF(L8&gt;=500, "Silver", "Standard")))</f>
        <v/>
      </c>
    </row>
    <row r="9">
      <c r="A9" s="8" t="inlineStr">
        <is>
          <t>CUST-00005</t>
        </is>
      </c>
      <c r="B9" s="8" t="inlineStr">
        <is>
          <t>Edward Myers</t>
        </is>
      </c>
      <c r="C9" s="8" t="inlineStr">
        <is>
          <t>Other</t>
        </is>
      </c>
      <c r="D9" s="8" t="n">
        <v>51</v>
      </c>
      <c r="E9" s="8">
        <f>IF(D9&lt;25, "18-24", IF(D9&lt;35, "25-34", IF(D9&lt;50, "35-49", "50+")))</f>
        <v/>
      </c>
      <c r="F9" s="8" t="inlineStr">
        <is>
          <t>Buenos Aires</t>
        </is>
      </c>
      <c r="G9" s="8" t="inlineStr">
        <is>
          <t>Buenos Aires</t>
        </is>
      </c>
      <c r="H9" s="8" t="inlineStr">
        <is>
          <t>REG-LATAM</t>
        </is>
      </c>
      <c r="I9" s="8" t="inlineStr">
        <is>
          <t>Consumer</t>
        </is>
      </c>
      <c r="J9" s="8" t="inlineStr">
        <is>
          <t>2021-02-17</t>
        </is>
      </c>
      <c r="K9" s="8">
        <f>COUNTIFS('05_Orders'!$C:$C, A9)</f>
        <v/>
      </c>
      <c r="L9" s="9">
        <f>SUMIFS('05_Orders'!$I:$I, '05_Orders'!$C:$C, A9)</f>
        <v/>
      </c>
      <c r="M9" s="8">
        <f>IF(L9&gt;=2000, "Platinum VIP", IF(L9&gt;=1000, "Gold", IF(L9&gt;=500, "Silver", "Standard")))</f>
        <v/>
      </c>
    </row>
    <row r="10">
      <c r="A10" s="8" t="inlineStr">
        <is>
          <t>CUST-00006</t>
        </is>
      </c>
      <c r="B10" s="8" t="inlineStr">
        <is>
          <t>Ruth Hernandez</t>
        </is>
      </c>
      <c r="C10" s="8" t="inlineStr">
        <is>
          <t>Male</t>
        </is>
      </c>
      <c r="D10" s="8" t="n">
        <v>28</v>
      </c>
      <c r="E10" s="8">
        <f>IF(D10&lt;25, "18-24", IF(D10&lt;35, "25-34", IF(D10&lt;50, "35-49", "50+")))</f>
        <v/>
      </c>
      <c r="F10" s="8" t="inlineStr">
        <is>
          <t>Los Angeles</t>
        </is>
      </c>
      <c r="G10" s="8" t="inlineStr">
        <is>
          <t>California</t>
        </is>
      </c>
      <c r="H10" s="8" t="inlineStr">
        <is>
          <t>REG-NA</t>
        </is>
      </c>
      <c r="I10" s="8" t="inlineStr">
        <is>
          <t>Consumer</t>
        </is>
      </c>
      <c r="J10" s="8" t="inlineStr">
        <is>
          <t>2023-08-28</t>
        </is>
      </c>
      <c r="K10" s="8">
        <f>COUNTIFS('05_Orders'!$C:$C, A10)</f>
        <v/>
      </c>
      <c r="L10" s="9">
        <f>SUMIFS('05_Orders'!$I:$I, '05_Orders'!$C:$C, A10)</f>
        <v/>
      </c>
      <c r="M10" s="8">
        <f>IF(L10&gt;=2000, "Platinum VIP", IF(L10&gt;=1000, "Gold", IF(L10&gt;=500, "Silver", "Standard")))</f>
        <v/>
      </c>
    </row>
    <row r="11">
      <c r="A11" s="8" t="inlineStr">
        <is>
          <t>CUST-00007</t>
        </is>
      </c>
      <c r="B11" s="8" t="inlineStr">
        <is>
          <t>David Wilson</t>
        </is>
      </c>
      <c r="C11" s="8" t="inlineStr">
        <is>
          <t>Female</t>
        </is>
      </c>
      <c r="D11" s="8" t="n">
        <v>57</v>
      </c>
      <c r="E11" s="8">
        <f>IF(D11&lt;25, "18-24", IF(D11&lt;35, "25-34", IF(D11&lt;50, "35-49", "50+")))</f>
        <v/>
      </c>
      <c r="F11" s="8" t="inlineStr">
        <is>
          <t>Atlanta</t>
        </is>
      </c>
      <c r="G11" s="8" t="inlineStr">
        <is>
          <t>Georgia</t>
        </is>
      </c>
      <c r="H11" s="8" t="inlineStr">
        <is>
          <t>REG-NA</t>
        </is>
      </c>
      <c r="I11" s="8" t="inlineStr">
        <is>
          <t>Consumer</t>
        </is>
      </c>
      <c r="J11" s="8" t="inlineStr">
        <is>
          <t>2022-05-22</t>
        </is>
      </c>
      <c r="K11" s="8">
        <f>COUNTIFS('05_Orders'!$C:$C, A11)</f>
        <v/>
      </c>
      <c r="L11" s="9">
        <f>SUMIFS('05_Orders'!$I:$I, '05_Orders'!$C:$C, A11)</f>
        <v/>
      </c>
      <c r="M11" s="8">
        <f>IF(L11&gt;=2000, "Platinum VIP", IF(L11&gt;=1000, "Gold", IF(L11&gt;=500, "Silver", "Standard")))</f>
        <v/>
      </c>
    </row>
    <row r="12">
      <c r="A12" s="8" t="inlineStr">
        <is>
          <t>CUST-00008</t>
        </is>
      </c>
      <c r="B12" s="8" t="inlineStr">
        <is>
          <t>Nancy Brown</t>
        </is>
      </c>
      <c r="C12" s="8" t="inlineStr">
        <is>
          <t>Male</t>
        </is>
      </c>
      <c r="D12" s="8" t="n">
        <v>60</v>
      </c>
      <c r="E12" s="8">
        <f>IF(D12&lt;25, "18-24", IF(D12&lt;35, "25-34", IF(D12&lt;50, "35-49", "50+")))</f>
        <v/>
      </c>
      <c r="F12" s="8" t="inlineStr">
        <is>
          <t>Seattle</t>
        </is>
      </c>
      <c r="G12" s="8" t="inlineStr">
        <is>
          <t>Washington</t>
        </is>
      </c>
      <c r="H12" s="8" t="inlineStr">
        <is>
          <t>REG-NA</t>
        </is>
      </c>
      <c r="I12" s="8" t="inlineStr">
        <is>
          <t>Home Office</t>
        </is>
      </c>
      <c r="J12" s="8" t="inlineStr">
        <is>
          <t>2023-08-15</t>
        </is>
      </c>
      <c r="K12" s="8">
        <f>COUNTIFS('05_Orders'!$C:$C, A12)</f>
        <v/>
      </c>
      <c r="L12" s="9">
        <f>SUMIFS('05_Orders'!$I:$I, '05_Orders'!$C:$C, A12)</f>
        <v/>
      </c>
      <c r="M12" s="8">
        <f>IF(L12&gt;=2000, "Platinum VIP", IF(L12&gt;=1000, "Gold", IF(L12&gt;=500, "Silver", "Standard")))</f>
        <v/>
      </c>
    </row>
    <row r="13">
      <c r="A13" s="8" t="inlineStr">
        <is>
          <t>CUST-00009</t>
        </is>
      </c>
      <c r="B13" s="8" t="inlineStr">
        <is>
          <t>Catherine Cooper</t>
        </is>
      </c>
      <c r="C13" s="8" t="inlineStr">
        <is>
          <t>Male</t>
        </is>
      </c>
      <c r="D13" s="8" t="n">
        <v>55</v>
      </c>
      <c r="E13" s="8">
        <f>IF(D13&lt;25, "18-24", IF(D13&lt;35, "25-34", IF(D13&lt;50, "35-49", "50+")))</f>
        <v/>
      </c>
      <c r="F13" s="8" t="inlineStr">
        <is>
          <t>Stockholm</t>
        </is>
      </c>
      <c r="G13" s="8" t="inlineStr">
        <is>
          <t>Stockholm County</t>
        </is>
      </c>
      <c r="H13" s="8" t="inlineStr">
        <is>
          <t>REG-EU</t>
        </is>
      </c>
      <c r="I13" s="8" t="inlineStr">
        <is>
          <t>Consumer</t>
        </is>
      </c>
      <c r="J13" s="8" t="inlineStr">
        <is>
          <t>2024-08-03</t>
        </is>
      </c>
      <c r="K13" s="8">
        <f>COUNTIFS('05_Orders'!$C:$C, A13)</f>
        <v/>
      </c>
      <c r="L13" s="9">
        <f>SUMIFS('05_Orders'!$I:$I, '05_Orders'!$C:$C, A13)</f>
        <v/>
      </c>
      <c r="M13" s="8">
        <f>IF(L13&gt;=2000, "Platinum VIP", IF(L13&gt;=1000, "Gold", IF(L13&gt;=500, "Silver", "Standard")))</f>
        <v/>
      </c>
    </row>
    <row r="14">
      <c r="A14" s="8" t="inlineStr">
        <is>
          <t>CUST-00010</t>
        </is>
      </c>
      <c r="B14" s="8" t="inlineStr">
        <is>
          <t>Barbara Cruz</t>
        </is>
      </c>
      <c r="C14" s="8" t="inlineStr">
        <is>
          <t>Female</t>
        </is>
      </c>
      <c r="D14" s="8" t="n">
        <v>41</v>
      </c>
      <c r="E14" s="8">
        <f>IF(D14&lt;25, "18-24", IF(D14&lt;35, "25-34", IF(D14&lt;50, "35-49", "50+")))</f>
        <v/>
      </c>
      <c r="F14" s="8" t="inlineStr">
        <is>
          <t>Chicago</t>
        </is>
      </c>
      <c r="G14" s="8" t="inlineStr">
        <is>
          <t>Illinois</t>
        </is>
      </c>
      <c r="H14" s="8" t="inlineStr">
        <is>
          <t>REG-NA</t>
        </is>
      </c>
      <c r="I14" s="8" t="inlineStr">
        <is>
          <t>Consumer</t>
        </is>
      </c>
      <c r="J14" s="8" t="inlineStr">
        <is>
          <t>2021-01-01</t>
        </is>
      </c>
      <c r="K14" s="8">
        <f>COUNTIFS('05_Orders'!$C:$C, A14)</f>
        <v/>
      </c>
      <c r="L14" s="9">
        <f>SUMIFS('05_Orders'!$I:$I, '05_Orders'!$C:$C, A14)</f>
        <v/>
      </c>
      <c r="M14" s="8">
        <f>IF(L14&gt;=2000, "Platinum VIP", IF(L14&gt;=1000, "Gold", IF(L14&gt;=500, "Silver", "Standard")))</f>
        <v/>
      </c>
    </row>
    <row r="15">
      <c r="A15" s="8" t="inlineStr">
        <is>
          <t>CUST-00011</t>
        </is>
      </c>
      <c r="B15" s="8" t="inlineStr">
        <is>
          <t>Stephen Johnson</t>
        </is>
      </c>
      <c r="C15" s="8" t="inlineStr">
        <is>
          <t>Other</t>
        </is>
      </c>
      <c r="D15" s="8" t="n">
        <v>49</v>
      </c>
      <c r="E15" s="8">
        <f>IF(D15&lt;25, "18-24", IF(D15&lt;35, "25-34", IF(D15&lt;50, "35-49", "50+")))</f>
        <v/>
      </c>
      <c r="F15" s="8" t="inlineStr">
        <is>
          <t>Lima</t>
        </is>
      </c>
      <c r="G15" s="8" t="inlineStr">
        <is>
          <t>Lima Province</t>
        </is>
      </c>
      <c r="H15" s="8" t="inlineStr">
        <is>
          <t>REG-LATAM</t>
        </is>
      </c>
      <c r="I15" s="8" t="inlineStr">
        <is>
          <t>Consumer</t>
        </is>
      </c>
      <c r="J15" s="8" t="inlineStr">
        <is>
          <t>2025-04-18</t>
        </is>
      </c>
      <c r="K15" s="8">
        <f>COUNTIFS('05_Orders'!$C:$C, A15)</f>
        <v/>
      </c>
      <c r="L15" s="9">
        <f>SUMIFS('05_Orders'!$I:$I, '05_Orders'!$C:$C, A15)</f>
        <v/>
      </c>
      <c r="M15" s="8">
        <f>IF(L15&gt;=2000, "Platinum VIP", IF(L15&gt;=1000, "Gold", IF(L15&gt;=500, "Silver", "Standard")))</f>
        <v/>
      </c>
    </row>
    <row r="16">
      <c r="A16" s="8" t="inlineStr">
        <is>
          <t>CUST-00012</t>
        </is>
      </c>
      <c r="B16" s="8" t="inlineStr">
        <is>
          <t>Deborah Harris</t>
        </is>
      </c>
      <c r="C16" s="8" t="inlineStr">
        <is>
          <t>Female</t>
        </is>
      </c>
      <c r="D16" s="8" t="n">
        <v>53</v>
      </c>
      <c r="E16" s="8">
        <f>IF(D16&lt;25, "18-24", IF(D16&lt;35, "25-34", IF(D16&lt;50, "35-49", "50+")))</f>
        <v/>
      </c>
      <c r="F16" s="8" t="inlineStr">
        <is>
          <t>Munich</t>
        </is>
      </c>
      <c r="G16" s="8" t="inlineStr">
        <is>
          <t>Bavaria</t>
        </is>
      </c>
      <c r="H16" s="8" t="inlineStr">
        <is>
          <t>REG-EU</t>
        </is>
      </c>
      <c r="I16" s="8" t="inlineStr">
        <is>
          <t>Consumer</t>
        </is>
      </c>
      <c r="J16" s="8" t="inlineStr">
        <is>
          <t>2025-02-18</t>
        </is>
      </c>
      <c r="K16" s="8">
        <f>COUNTIFS('05_Orders'!$C:$C, A16)</f>
        <v/>
      </c>
      <c r="L16" s="9">
        <f>SUMIFS('05_Orders'!$I:$I, '05_Orders'!$C:$C, A16)</f>
        <v/>
      </c>
      <c r="M16" s="8">
        <f>IF(L16&gt;=2000, "Platinum VIP", IF(L16&gt;=1000, "Gold", IF(L16&gt;=500, "Silver", "Standard")))</f>
        <v/>
      </c>
    </row>
    <row r="17">
      <c r="A17" s="8" t="inlineStr">
        <is>
          <t>CUST-00013</t>
        </is>
      </c>
      <c r="B17" s="8" t="inlineStr">
        <is>
          <t>Samuel Walker</t>
        </is>
      </c>
      <c r="C17" s="8" t="inlineStr">
        <is>
          <t>Other</t>
        </is>
      </c>
      <c r="D17" s="8" t="n">
        <v>66</v>
      </c>
      <c r="E17" s="8">
        <f>IF(D17&lt;25, "18-24", IF(D17&lt;35, "25-34", IF(D17&lt;50, "35-49", "50+")))</f>
        <v/>
      </c>
      <c r="F17" s="8" t="inlineStr">
        <is>
          <t>Auckland</t>
        </is>
      </c>
      <c r="G17" s="8" t="inlineStr">
        <is>
          <t>Auckland Region</t>
        </is>
      </c>
      <c r="H17" s="8" t="inlineStr">
        <is>
          <t>REG-APAC</t>
        </is>
      </c>
      <c r="I17" s="8" t="inlineStr">
        <is>
          <t>Home Office</t>
        </is>
      </c>
      <c r="J17" s="8" t="inlineStr">
        <is>
          <t>2024-11-03</t>
        </is>
      </c>
      <c r="K17" s="8">
        <f>COUNTIFS('05_Orders'!$C:$C, A17)</f>
        <v/>
      </c>
      <c r="L17" s="9">
        <f>SUMIFS('05_Orders'!$I:$I, '05_Orders'!$C:$C, A17)</f>
        <v/>
      </c>
      <c r="M17" s="8">
        <f>IF(L17&gt;=2000, "Platinum VIP", IF(L17&gt;=1000, "Gold", IF(L17&gt;=500, "Silver", "Standard")))</f>
        <v/>
      </c>
    </row>
    <row r="18">
      <c r="A18" s="8" t="inlineStr">
        <is>
          <t>CUST-00014</t>
        </is>
      </c>
      <c r="B18" s="8" t="inlineStr">
        <is>
          <t>Matthew Rodriguez</t>
        </is>
      </c>
      <c r="C18" s="8" t="inlineStr">
        <is>
          <t>Male</t>
        </is>
      </c>
      <c r="D18" s="8" t="n">
        <v>26</v>
      </c>
      <c r="E18" s="8">
        <f>IF(D18&lt;25, "18-24", IF(D18&lt;35, "25-34", IF(D18&lt;50, "35-49", "50+")))</f>
        <v/>
      </c>
      <c r="F18" s="8" t="inlineStr">
        <is>
          <t>Toronto</t>
        </is>
      </c>
      <c r="G18" s="8" t="inlineStr">
        <is>
          <t>Ontario</t>
        </is>
      </c>
      <c r="H18" s="8" t="inlineStr">
        <is>
          <t>REG-NA</t>
        </is>
      </c>
      <c r="I18" s="8" t="inlineStr">
        <is>
          <t>Corporate</t>
        </is>
      </c>
      <c r="J18" s="8" t="inlineStr">
        <is>
          <t>2022-07-12</t>
        </is>
      </c>
      <c r="K18" s="8">
        <f>COUNTIFS('05_Orders'!$C:$C, A18)</f>
        <v/>
      </c>
      <c r="L18" s="9">
        <f>SUMIFS('05_Orders'!$I:$I, '05_Orders'!$C:$C, A18)</f>
        <v/>
      </c>
      <c r="M18" s="8">
        <f>IF(L18&gt;=2000, "Platinum VIP", IF(L18&gt;=1000, "Gold", IF(L18&gt;=500, "Silver", "Standard")))</f>
        <v/>
      </c>
    </row>
    <row r="19">
      <c r="A19" s="8" t="inlineStr">
        <is>
          <t>CUST-00015</t>
        </is>
      </c>
      <c r="B19" s="8" t="inlineStr">
        <is>
          <t>Stephen Williams</t>
        </is>
      </c>
      <c r="C19" s="8" t="inlineStr">
        <is>
          <t>Male</t>
        </is>
      </c>
      <c r="D19" s="8" t="n">
        <v>45</v>
      </c>
      <c r="E19" s="8">
        <f>IF(D19&lt;25, "18-24", IF(D19&lt;35, "25-34", IF(D19&lt;50, "35-49", "50+")))</f>
        <v/>
      </c>
      <c r="F19" s="8" t="inlineStr">
        <is>
          <t>Chicago</t>
        </is>
      </c>
      <c r="G19" s="8" t="inlineStr">
        <is>
          <t>Illinois</t>
        </is>
      </c>
      <c r="H19" s="8" t="inlineStr">
        <is>
          <t>REG-NA</t>
        </is>
      </c>
      <c r="I19" s="8" t="inlineStr">
        <is>
          <t>Corporate</t>
        </is>
      </c>
      <c r="J19" s="8" t="inlineStr">
        <is>
          <t>2025-01-29</t>
        </is>
      </c>
      <c r="K19" s="8">
        <f>COUNTIFS('05_Orders'!$C:$C, A19)</f>
        <v/>
      </c>
      <c r="L19" s="9">
        <f>SUMIFS('05_Orders'!$I:$I, '05_Orders'!$C:$C, A19)</f>
        <v/>
      </c>
      <c r="M19" s="8">
        <f>IF(L19&gt;=2000, "Platinum VIP", IF(L19&gt;=1000, "Gold", IF(L19&gt;=500, "Silver", "Standard")))</f>
        <v/>
      </c>
    </row>
    <row r="20">
      <c r="A20" s="8" t="inlineStr">
        <is>
          <t>CUST-00016</t>
        </is>
      </c>
      <c r="B20" s="8" t="inlineStr">
        <is>
          <t>Laura Flores</t>
        </is>
      </c>
      <c r="C20" s="8" t="inlineStr">
        <is>
          <t>Female</t>
        </is>
      </c>
      <c r="D20" s="8" t="n">
        <v>41</v>
      </c>
      <c r="E20" s="8">
        <f>IF(D20&lt;25, "18-24", IF(D20&lt;35, "25-34", IF(D20&lt;50, "35-49", "50+")))</f>
        <v/>
      </c>
      <c r="F20" s="8" t="inlineStr">
        <is>
          <t>London</t>
        </is>
      </c>
      <c r="G20" s="8" t="inlineStr">
        <is>
          <t>Greater London</t>
        </is>
      </c>
      <c r="H20" s="8" t="inlineStr">
        <is>
          <t>REG-EU</t>
        </is>
      </c>
      <c r="I20" s="8" t="inlineStr">
        <is>
          <t>Consumer</t>
        </is>
      </c>
      <c r="J20" s="8" t="inlineStr">
        <is>
          <t>2025-03-18</t>
        </is>
      </c>
      <c r="K20" s="8">
        <f>COUNTIFS('05_Orders'!$C:$C, A20)</f>
        <v/>
      </c>
      <c r="L20" s="9">
        <f>SUMIFS('05_Orders'!$I:$I, '05_Orders'!$C:$C, A20)</f>
        <v/>
      </c>
      <c r="M20" s="8">
        <f>IF(L20&gt;=2000, "Platinum VIP", IF(L20&gt;=1000, "Gold", IF(L20&gt;=500, "Silver", "Standard")))</f>
        <v/>
      </c>
    </row>
    <row r="21">
      <c r="A21" s="8" t="inlineStr">
        <is>
          <t>CUST-00017</t>
        </is>
      </c>
      <c r="B21" s="8" t="inlineStr">
        <is>
          <t>Gary White</t>
        </is>
      </c>
      <c r="C21" s="8" t="inlineStr">
        <is>
          <t>Male</t>
        </is>
      </c>
      <c r="D21" s="8" t="n">
        <v>71</v>
      </c>
      <c r="E21" s="8">
        <f>IF(D21&lt;25, "18-24", IF(D21&lt;35, "25-34", IF(D21&lt;50, "35-49", "50+")))</f>
        <v/>
      </c>
      <c r="F21" s="8" t="inlineStr">
        <is>
          <t>Atlanta</t>
        </is>
      </c>
      <c r="G21" s="8" t="inlineStr">
        <is>
          <t>Georgia</t>
        </is>
      </c>
      <c r="H21" s="8" t="inlineStr">
        <is>
          <t>REG-NA</t>
        </is>
      </c>
      <c r="I21" s="8" t="inlineStr">
        <is>
          <t>Home Office</t>
        </is>
      </c>
      <c r="J21" s="8" t="inlineStr">
        <is>
          <t>2021-09-07</t>
        </is>
      </c>
      <c r="K21" s="8">
        <f>COUNTIFS('05_Orders'!$C:$C, A21)</f>
        <v/>
      </c>
      <c r="L21" s="9">
        <f>SUMIFS('05_Orders'!$I:$I, '05_Orders'!$C:$C, A21)</f>
        <v/>
      </c>
      <c r="M21" s="8">
        <f>IF(L21&gt;=2000, "Platinum VIP", IF(L21&gt;=1000, "Gold", IF(L21&gt;=500, "Silver", "Standard")))</f>
        <v/>
      </c>
    </row>
    <row r="22">
      <c r="A22" s="8" t="inlineStr">
        <is>
          <t>CUST-00018</t>
        </is>
      </c>
      <c r="B22" s="8" t="inlineStr">
        <is>
          <t>Ashley Patel</t>
        </is>
      </c>
      <c r="C22" s="8" t="inlineStr">
        <is>
          <t>Male</t>
        </is>
      </c>
      <c r="D22" s="8" t="n">
        <v>30</v>
      </c>
      <c r="E22" s="8">
        <f>IF(D22&lt;25, "18-24", IF(D22&lt;35, "25-34", IF(D22&lt;50, "35-49", "50+")))</f>
        <v/>
      </c>
      <c r="F22" s="8" t="inlineStr">
        <is>
          <t>Manchester</t>
        </is>
      </c>
      <c r="G22" s="8" t="inlineStr">
        <is>
          <t>Greater Manchester</t>
        </is>
      </c>
      <c r="H22" s="8" t="inlineStr">
        <is>
          <t>REG-EU</t>
        </is>
      </c>
      <c r="I22" s="8" t="inlineStr">
        <is>
          <t>Corporate</t>
        </is>
      </c>
      <c r="J22" s="8" t="inlineStr">
        <is>
          <t>2022-03-03</t>
        </is>
      </c>
      <c r="K22" s="8">
        <f>COUNTIFS('05_Orders'!$C:$C, A22)</f>
        <v/>
      </c>
      <c r="L22" s="9">
        <f>SUMIFS('05_Orders'!$I:$I, '05_Orders'!$C:$C, A22)</f>
        <v/>
      </c>
      <c r="M22" s="8">
        <f>IF(L22&gt;=2000, "Platinum VIP", IF(L22&gt;=1000, "Gold", IF(L22&gt;=500, "Silver", "Standard")))</f>
        <v/>
      </c>
    </row>
    <row r="23">
      <c r="A23" s="8" t="inlineStr">
        <is>
          <t>CUST-00019</t>
        </is>
      </c>
      <c r="B23" s="8" t="inlineStr">
        <is>
          <t>Samuel Sanders</t>
        </is>
      </c>
      <c r="C23" s="8" t="inlineStr">
        <is>
          <t>Male</t>
        </is>
      </c>
      <c r="D23" s="8" t="n">
        <v>65</v>
      </c>
      <c r="E23" s="8">
        <f>IF(D23&lt;25, "18-24", IF(D23&lt;35, "25-34", IF(D23&lt;50, "35-49", "50+")))</f>
        <v/>
      </c>
      <c r="F23" s="8" t="inlineStr">
        <is>
          <t>Monterrey</t>
        </is>
      </c>
      <c r="G23" s="8" t="inlineStr">
        <is>
          <t>Nuevo Leon</t>
        </is>
      </c>
      <c r="H23" s="8" t="inlineStr">
        <is>
          <t>REG-LATAM</t>
        </is>
      </c>
      <c r="I23" s="8" t="inlineStr">
        <is>
          <t>Consumer</t>
        </is>
      </c>
      <c r="J23" s="8" t="inlineStr">
        <is>
          <t>2023-09-13</t>
        </is>
      </c>
      <c r="K23" s="8">
        <f>COUNTIFS('05_Orders'!$C:$C, A23)</f>
        <v/>
      </c>
      <c r="L23" s="9">
        <f>SUMIFS('05_Orders'!$I:$I, '05_Orders'!$C:$C, A23)</f>
        <v/>
      </c>
      <c r="M23" s="8">
        <f>IF(L23&gt;=2000, "Platinum VIP", IF(L23&gt;=1000, "Gold", IF(L23&gt;=500, "Silver", "Standard")))</f>
        <v/>
      </c>
    </row>
    <row r="24">
      <c r="A24" s="8" t="inlineStr">
        <is>
          <t>CUST-00020</t>
        </is>
      </c>
      <c r="B24" s="8" t="inlineStr">
        <is>
          <t>Betty Anderson</t>
        </is>
      </c>
      <c r="C24" s="8" t="inlineStr">
        <is>
          <t>Male</t>
        </is>
      </c>
      <c r="D24" s="8" t="n">
        <v>58</v>
      </c>
      <c r="E24" s="8">
        <f>IF(D24&lt;25, "18-24", IF(D24&lt;35, "25-34", IF(D24&lt;50, "35-49", "50+")))</f>
        <v/>
      </c>
      <c r="F24" s="8" t="inlineStr">
        <is>
          <t>London</t>
        </is>
      </c>
      <c r="G24" s="8" t="inlineStr">
        <is>
          <t>Greater London</t>
        </is>
      </c>
      <c r="H24" s="8" t="inlineStr">
        <is>
          <t>REG-EU</t>
        </is>
      </c>
      <c r="I24" s="8" t="inlineStr">
        <is>
          <t>Consumer</t>
        </is>
      </c>
      <c r="J24" s="8" t="inlineStr">
        <is>
          <t>2022-07-20</t>
        </is>
      </c>
      <c r="K24" s="8">
        <f>COUNTIFS('05_Orders'!$C:$C, A24)</f>
        <v/>
      </c>
      <c r="L24" s="9">
        <f>SUMIFS('05_Orders'!$I:$I, '05_Orders'!$C:$C, A24)</f>
        <v/>
      </c>
      <c r="M24" s="8">
        <f>IF(L24&gt;=2000, "Platinum VIP", IF(L24&gt;=1000, "Gold", IF(L24&gt;=500, "Silver", "Standard")))</f>
        <v/>
      </c>
    </row>
    <row r="25">
      <c r="A25" s="8" t="inlineStr">
        <is>
          <t>CUST-00021</t>
        </is>
      </c>
      <c r="B25" s="8" t="inlineStr">
        <is>
          <t>Scott Ruiz</t>
        </is>
      </c>
      <c r="C25" s="8" t="inlineStr">
        <is>
          <t>Female</t>
        </is>
      </c>
      <c r="D25" s="8" t="n">
        <v>62</v>
      </c>
      <c r="E25" s="8">
        <f>IF(D25&lt;25, "18-24", IF(D25&lt;35, "25-34", IF(D25&lt;50, "35-49", "50+")))</f>
        <v/>
      </c>
      <c r="F25" s="8" t="inlineStr">
        <is>
          <t>Lyon</t>
        </is>
      </c>
      <c r="G25" s="8" t="inlineStr">
        <is>
          <t>Auvergne-Rhone-Alpes</t>
        </is>
      </c>
      <c r="H25" s="8" t="inlineStr">
        <is>
          <t>REG-EU</t>
        </is>
      </c>
      <c r="I25" s="8" t="inlineStr">
        <is>
          <t>Home Office</t>
        </is>
      </c>
      <c r="J25" s="8" t="inlineStr">
        <is>
          <t>2022-05-25</t>
        </is>
      </c>
      <c r="K25" s="8">
        <f>COUNTIFS('05_Orders'!$C:$C, A25)</f>
        <v/>
      </c>
      <c r="L25" s="9">
        <f>SUMIFS('05_Orders'!$I:$I, '05_Orders'!$C:$C, A25)</f>
        <v/>
      </c>
      <c r="M25" s="8">
        <f>IF(L25&gt;=2000, "Platinum VIP", IF(L25&gt;=1000, "Gold", IF(L25&gt;=500, "Silver", "Standard")))</f>
        <v/>
      </c>
    </row>
    <row r="26">
      <c r="A26" s="8" t="inlineStr">
        <is>
          <t>CUST-00022</t>
        </is>
      </c>
      <c r="B26" s="8" t="inlineStr">
        <is>
          <t>Maria Watson</t>
        </is>
      </c>
      <c r="C26" s="8" t="inlineStr">
        <is>
          <t>Male</t>
        </is>
      </c>
      <c r="D26" s="8" t="n">
        <v>21</v>
      </c>
      <c r="E26" s="8">
        <f>IF(D26&lt;25, "18-24", IF(D26&lt;35, "25-34", IF(D26&lt;50, "35-49", "50+")))</f>
        <v/>
      </c>
      <c r="F26" s="8" t="inlineStr">
        <is>
          <t>Chicago</t>
        </is>
      </c>
      <c r="G26" s="8" t="inlineStr">
        <is>
          <t>Illinois</t>
        </is>
      </c>
      <c r="H26" s="8" t="inlineStr">
        <is>
          <t>REG-NA</t>
        </is>
      </c>
      <c r="I26" s="8" t="inlineStr">
        <is>
          <t>Corporate</t>
        </is>
      </c>
      <c r="J26" s="8" t="inlineStr">
        <is>
          <t>2021-08-08</t>
        </is>
      </c>
      <c r="K26" s="8">
        <f>COUNTIFS('05_Orders'!$C:$C, A26)</f>
        <v/>
      </c>
      <c r="L26" s="9">
        <f>SUMIFS('05_Orders'!$I:$I, '05_Orders'!$C:$C, A26)</f>
        <v/>
      </c>
      <c r="M26" s="8">
        <f>IF(L26&gt;=2000, "Platinum VIP", IF(L26&gt;=1000, "Gold", IF(L26&gt;=500, "Silver", "Standard")))</f>
        <v/>
      </c>
    </row>
    <row r="27">
      <c r="A27" s="8" t="inlineStr">
        <is>
          <t>CUST-00023</t>
        </is>
      </c>
      <c r="B27" s="8" t="inlineStr">
        <is>
          <t>Jerry Hall</t>
        </is>
      </c>
      <c r="C27" s="8" t="inlineStr">
        <is>
          <t>Female</t>
        </is>
      </c>
      <c r="D27" s="8" t="n">
        <v>64</v>
      </c>
      <c r="E27" s="8">
        <f>IF(D27&lt;25, "18-24", IF(D27&lt;35, "25-34", IF(D27&lt;50, "35-49", "50+")))</f>
        <v/>
      </c>
      <c r="F27" s="8" t="inlineStr">
        <is>
          <t>Atlanta</t>
        </is>
      </c>
      <c r="G27" s="8" t="inlineStr">
        <is>
          <t>Georgia</t>
        </is>
      </c>
      <c r="H27" s="8" t="inlineStr">
        <is>
          <t>REG-NA</t>
        </is>
      </c>
      <c r="I27" s="8" t="inlineStr">
        <is>
          <t>Consumer</t>
        </is>
      </c>
      <c r="J27" s="8" t="inlineStr">
        <is>
          <t>2021-10-03</t>
        </is>
      </c>
      <c r="K27" s="8">
        <f>COUNTIFS('05_Orders'!$C:$C, A27)</f>
        <v/>
      </c>
      <c r="L27" s="9">
        <f>SUMIFS('05_Orders'!$I:$I, '05_Orders'!$C:$C, A27)</f>
        <v/>
      </c>
      <c r="M27" s="8">
        <f>IF(L27&gt;=2000, "Platinum VIP", IF(L27&gt;=1000, "Gold", IF(L27&gt;=500, "Silver", "Standard")))</f>
        <v/>
      </c>
    </row>
    <row r="28">
      <c r="A28" s="8" t="inlineStr">
        <is>
          <t>CUST-00024</t>
        </is>
      </c>
      <c r="B28" s="8" t="inlineStr">
        <is>
          <t>Anna Hughes</t>
        </is>
      </c>
      <c r="C28" s="8" t="inlineStr">
        <is>
          <t>Female</t>
        </is>
      </c>
      <c r="D28" s="8" t="n">
        <v>30</v>
      </c>
      <c r="E28" s="8">
        <f>IF(D28&lt;25, "18-24", IF(D28&lt;35, "25-34", IF(D28&lt;50, "35-49", "50+")))</f>
        <v/>
      </c>
      <c r="F28" s="8" t="inlineStr">
        <is>
          <t>Dublin</t>
        </is>
      </c>
      <c r="G28" s="8" t="inlineStr">
        <is>
          <t>Leinster</t>
        </is>
      </c>
      <c r="H28" s="8" t="inlineStr">
        <is>
          <t>REG-EU</t>
        </is>
      </c>
      <c r="I28" s="8" t="inlineStr">
        <is>
          <t>Consumer</t>
        </is>
      </c>
      <c r="J28" s="8" t="inlineStr">
        <is>
          <t>2025-02-08</t>
        </is>
      </c>
      <c r="K28" s="8">
        <f>COUNTIFS('05_Orders'!$C:$C, A28)</f>
        <v/>
      </c>
      <c r="L28" s="9">
        <f>SUMIFS('05_Orders'!$I:$I, '05_Orders'!$C:$C, A28)</f>
        <v/>
      </c>
      <c r="M28" s="8">
        <f>IF(L28&gt;=2000, "Platinum VIP", IF(L28&gt;=1000, "Gold", IF(L28&gt;=500, "Silver", "Standard")))</f>
        <v/>
      </c>
    </row>
    <row r="29">
      <c r="A29" s="8" t="inlineStr">
        <is>
          <t>CUST-00025</t>
        </is>
      </c>
      <c r="B29" s="8" t="inlineStr">
        <is>
          <t>Christopher Rodriguez</t>
        </is>
      </c>
      <c r="C29" s="8" t="inlineStr">
        <is>
          <t>Other</t>
        </is>
      </c>
      <c r="D29" s="8" t="n">
        <v>45</v>
      </c>
      <c r="E29" s="8">
        <f>IF(D29&lt;25, "18-24", IF(D29&lt;35, "25-34", IF(D29&lt;50, "35-49", "50+")))</f>
        <v/>
      </c>
      <c r="F29" s="8" t="inlineStr">
        <is>
          <t>Paris</t>
        </is>
      </c>
      <c r="G29" s="8" t="inlineStr">
        <is>
          <t>Ile-de-France</t>
        </is>
      </c>
      <c r="H29" s="8" t="inlineStr">
        <is>
          <t>REG-EU</t>
        </is>
      </c>
      <c r="I29" s="8" t="inlineStr">
        <is>
          <t>Corporate</t>
        </is>
      </c>
      <c r="J29" s="8" t="inlineStr">
        <is>
          <t>2023-07-19</t>
        </is>
      </c>
      <c r="K29" s="8">
        <f>COUNTIFS('05_Orders'!$C:$C, A29)</f>
        <v/>
      </c>
      <c r="L29" s="9">
        <f>SUMIFS('05_Orders'!$I:$I, '05_Orders'!$C:$C, A29)</f>
        <v/>
      </c>
      <c r="M29" s="8">
        <f>IF(L29&gt;=2000, "Platinum VIP", IF(L29&gt;=1000, "Gold", IF(L29&gt;=500, "Silver", "Standard")))</f>
        <v/>
      </c>
    </row>
    <row r="30">
      <c r="A30" s="8" t="inlineStr">
        <is>
          <t>CUST-00026</t>
        </is>
      </c>
      <c r="B30" s="8" t="inlineStr">
        <is>
          <t>John Richardson</t>
        </is>
      </c>
      <c r="C30" s="8" t="inlineStr">
        <is>
          <t>Female</t>
        </is>
      </c>
      <c r="D30" s="8" t="n">
        <v>67</v>
      </c>
      <c r="E30" s="8">
        <f>IF(D30&lt;25, "18-24", IF(D30&lt;35, "25-34", IF(D30&lt;50, "35-49", "50+")))</f>
        <v/>
      </c>
      <c r="F30" s="8" t="inlineStr">
        <is>
          <t>Lyon</t>
        </is>
      </c>
      <c r="G30" s="8" t="inlineStr">
        <is>
          <t>Auvergne-Rhone-Alpes</t>
        </is>
      </c>
      <c r="H30" s="8" t="inlineStr">
        <is>
          <t>REG-EU</t>
        </is>
      </c>
      <c r="I30" s="8" t="inlineStr">
        <is>
          <t>Corporate</t>
        </is>
      </c>
      <c r="J30" s="8" t="inlineStr">
        <is>
          <t>2024-09-10</t>
        </is>
      </c>
      <c r="K30" s="8">
        <f>COUNTIFS('05_Orders'!$C:$C, A30)</f>
        <v/>
      </c>
      <c r="L30" s="9">
        <f>SUMIFS('05_Orders'!$I:$I, '05_Orders'!$C:$C, A30)</f>
        <v/>
      </c>
      <c r="M30" s="8">
        <f>IF(L30&gt;=2000, "Platinum VIP", IF(L30&gt;=1000, "Gold", IF(L30&gt;=500, "Silver", "Standard")))</f>
        <v/>
      </c>
    </row>
    <row r="31">
      <c r="A31" s="8" t="inlineStr">
        <is>
          <t>CUST-00027</t>
        </is>
      </c>
      <c r="B31" s="8" t="inlineStr">
        <is>
          <t>Tyler Peterson</t>
        </is>
      </c>
      <c r="C31" s="8" t="inlineStr">
        <is>
          <t>Male</t>
        </is>
      </c>
      <c r="D31" s="8" t="n">
        <v>57</v>
      </c>
      <c r="E31" s="8">
        <f>IF(D31&lt;25, "18-24", IF(D31&lt;35, "25-34", IF(D31&lt;50, "35-49", "50+")))</f>
        <v/>
      </c>
      <c r="F31" s="8" t="inlineStr">
        <is>
          <t>Atlanta</t>
        </is>
      </c>
      <c r="G31" s="8" t="inlineStr">
        <is>
          <t>Georgia</t>
        </is>
      </c>
      <c r="H31" s="8" t="inlineStr">
        <is>
          <t>REG-NA</t>
        </is>
      </c>
      <c r="I31" s="8" t="inlineStr">
        <is>
          <t>Corporate</t>
        </is>
      </c>
      <c r="J31" s="8" t="inlineStr">
        <is>
          <t>2021-08-15</t>
        </is>
      </c>
      <c r="K31" s="8">
        <f>COUNTIFS('05_Orders'!$C:$C, A31)</f>
        <v/>
      </c>
      <c r="L31" s="9">
        <f>SUMIFS('05_Orders'!$I:$I, '05_Orders'!$C:$C, A31)</f>
        <v/>
      </c>
      <c r="M31" s="8">
        <f>IF(L31&gt;=2000, "Platinum VIP", IF(L31&gt;=1000, "Gold", IF(L31&gt;=500, "Silver", "Standard")))</f>
        <v/>
      </c>
    </row>
    <row r="32">
      <c r="A32" s="8" t="inlineStr">
        <is>
          <t>CUST-00028</t>
        </is>
      </c>
      <c r="B32" s="8" t="inlineStr">
        <is>
          <t>Daniel Jones</t>
        </is>
      </c>
      <c r="C32" s="8" t="inlineStr">
        <is>
          <t>Male</t>
        </is>
      </c>
      <c r="D32" s="8" t="n">
        <v>24</v>
      </c>
      <c r="E32" s="8">
        <f>IF(D32&lt;25, "18-24", IF(D32&lt;35, "25-34", IF(D32&lt;50, "35-49", "50+")))</f>
        <v/>
      </c>
      <c r="F32" s="8" t="inlineStr">
        <is>
          <t>Manchester</t>
        </is>
      </c>
      <c r="G32" s="8" t="inlineStr">
        <is>
          <t>Greater Manchester</t>
        </is>
      </c>
      <c r="H32" s="8" t="inlineStr">
        <is>
          <t>REG-EU</t>
        </is>
      </c>
      <c r="I32" s="8" t="inlineStr">
        <is>
          <t>Consumer</t>
        </is>
      </c>
      <c r="J32" s="8" t="inlineStr">
        <is>
          <t>2024-08-07</t>
        </is>
      </c>
      <c r="K32" s="8">
        <f>COUNTIFS('05_Orders'!$C:$C, A32)</f>
        <v/>
      </c>
      <c r="L32" s="9">
        <f>SUMIFS('05_Orders'!$I:$I, '05_Orders'!$C:$C, A32)</f>
        <v/>
      </c>
      <c r="M32" s="8">
        <f>IF(L32&gt;=2000, "Platinum VIP", IF(L32&gt;=1000, "Gold", IF(L32&gt;=500, "Silver", "Standard")))</f>
        <v/>
      </c>
    </row>
    <row r="33">
      <c r="A33" s="8" t="inlineStr">
        <is>
          <t>CUST-00029</t>
        </is>
      </c>
      <c r="B33" s="8" t="inlineStr">
        <is>
          <t>Steven Miller</t>
        </is>
      </c>
      <c r="C33" s="8" t="inlineStr">
        <is>
          <t>Female</t>
        </is>
      </c>
      <c r="D33" s="8" t="n">
        <v>32</v>
      </c>
      <c r="E33" s="8">
        <f>IF(D33&lt;25, "18-24", IF(D33&lt;35, "25-34", IF(D33&lt;50, "35-49", "50+")))</f>
        <v/>
      </c>
      <c r="F33" s="8" t="inlineStr">
        <is>
          <t>Manchester</t>
        </is>
      </c>
      <c r="G33" s="8" t="inlineStr">
        <is>
          <t>Greater Manchester</t>
        </is>
      </c>
      <c r="H33" s="8" t="inlineStr">
        <is>
          <t>REG-EU</t>
        </is>
      </c>
      <c r="I33" s="8" t="inlineStr">
        <is>
          <t>Consumer</t>
        </is>
      </c>
      <c r="J33" s="8" t="inlineStr">
        <is>
          <t>2022-03-04</t>
        </is>
      </c>
      <c r="K33" s="8">
        <f>COUNTIFS('05_Orders'!$C:$C, A33)</f>
        <v/>
      </c>
      <c r="L33" s="9">
        <f>SUMIFS('05_Orders'!$I:$I, '05_Orders'!$C:$C, A33)</f>
        <v/>
      </c>
      <c r="M33" s="8">
        <f>IF(L33&gt;=2000, "Platinum VIP", IF(L33&gt;=1000, "Gold", IF(L33&gt;=500, "Silver", "Standard")))</f>
        <v/>
      </c>
    </row>
    <row r="34">
      <c r="A34" s="8" t="inlineStr">
        <is>
          <t>CUST-00030</t>
        </is>
      </c>
      <c r="B34" s="8" t="inlineStr">
        <is>
          <t>Katherine Davis</t>
        </is>
      </c>
      <c r="C34" s="8" t="inlineStr">
        <is>
          <t>Female</t>
        </is>
      </c>
      <c r="D34" s="8" t="n">
        <v>53</v>
      </c>
      <c r="E34" s="8">
        <f>IF(D34&lt;25, "18-24", IF(D34&lt;35, "25-34", IF(D34&lt;50, "35-49", "50+")))</f>
        <v/>
      </c>
      <c r="F34" s="8" t="inlineStr">
        <is>
          <t>Seoul</t>
        </is>
      </c>
      <c r="G34" s="8" t="inlineStr">
        <is>
          <t>Gyeonggi</t>
        </is>
      </c>
      <c r="H34" s="8" t="inlineStr">
        <is>
          <t>REG-APAC</t>
        </is>
      </c>
      <c r="I34" s="8" t="inlineStr">
        <is>
          <t>Home Office</t>
        </is>
      </c>
      <c r="J34" s="8" t="inlineStr">
        <is>
          <t>2024-12-21</t>
        </is>
      </c>
      <c r="K34" s="8">
        <f>COUNTIFS('05_Orders'!$C:$C, A34)</f>
        <v/>
      </c>
      <c r="L34" s="9">
        <f>SUMIFS('05_Orders'!$I:$I, '05_Orders'!$C:$C, A34)</f>
        <v/>
      </c>
      <c r="M34" s="8">
        <f>IF(L34&gt;=2000, "Platinum VIP", IF(L34&gt;=1000, "Gold", IF(L34&gt;=500, "Silver", "Standard")))</f>
        <v/>
      </c>
    </row>
    <row r="35">
      <c r="A35" s="8" t="inlineStr">
        <is>
          <t>CUST-00031</t>
        </is>
      </c>
      <c r="B35" s="8" t="inlineStr">
        <is>
          <t>Joshua Martinez</t>
        </is>
      </c>
      <c r="C35" s="8" t="inlineStr">
        <is>
          <t>Male</t>
        </is>
      </c>
      <c r="D35" s="8" t="n">
        <v>51</v>
      </c>
      <c r="E35" s="8">
        <f>IF(D35&lt;25, "18-24", IF(D35&lt;35, "25-34", IF(D35&lt;50, "35-49", "50+")))</f>
        <v/>
      </c>
      <c r="F35" s="8" t="inlineStr">
        <is>
          <t>Houston</t>
        </is>
      </c>
      <c r="G35" s="8" t="inlineStr">
        <is>
          <t>Texas</t>
        </is>
      </c>
      <c r="H35" s="8" t="inlineStr">
        <is>
          <t>REG-NA</t>
        </is>
      </c>
      <c r="I35" s="8" t="inlineStr">
        <is>
          <t>Corporate</t>
        </is>
      </c>
      <c r="J35" s="8" t="inlineStr">
        <is>
          <t>2022-01-24</t>
        </is>
      </c>
      <c r="K35" s="8">
        <f>COUNTIFS('05_Orders'!$C:$C, A35)</f>
        <v/>
      </c>
      <c r="L35" s="9">
        <f>SUMIFS('05_Orders'!$I:$I, '05_Orders'!$C:$C, A35)</f>
        <v/>
      </c>
      <c r="M35" s="8">
        <f>IF(L35&gt;=2000, "Platinum VIP", IF(L35&gt;=1000, "Gold", IF(L35&gt;=500, "Silver", "Standard")))</f>
        <v/>
      </c>
    </row>
    <row r="36">
      <c r="A36" s="8" t="inlineStr">
        <is>
          <t>CUST-00032</t>
        </is>
      </c>
      <c r="B36" s="8" t="inlineStr">
        <is>
          <t>Brenda Myers</t>
        </is>
      </c>
      <c r="C36" s="8" t="inlineStr">
        <is>
          <t>Other</t>
        </is>
      </c>
      <c r="D36" s="8" t="n">
        <v>44</v>
      </c>
      <c r="E36" s="8">
        <f>IF(D36&lt;25, "18-24", IF(D36&lt;35, "25-34", IF(D36&lt;50, "35-49", "50+")))</f>
        <v/>
      </c>
      <c r="F36" s="8" t="inlineStr">
        <is>
          <t>Auckland</t>
        </is>
      </c>
      <c r="G36" s="8" t="inlineStr">
        <is>
          <t>Auckland Region</t>
        </is>
      </c>
      <c r="H36" s="8" t="inlineStr">
        <is>
          <t>REG-APAC</t>
        </is>
      </c>
      <c r="I36" s="8" t="inlineStr">
        <is>
          <t>Consumer</t>
        </is>
      </c>
      <c r="J36" s="8" t="inlineStr">
        <is>
          <t>2023-07-29</t>
        </is>
      </c>
      <c r="K36" s="8">
        <f>COUNTIFS('05_Orders'!$C:$C, A36)</f>
        <v/>
      </c>
      <c r="L36" s="9">
        <f>SUMIFS('05_Orders'!$I:$I, '05_Orders'!$C:$C, A36)</f>
        <v/>
      </c>
      <c r="M36" s="8">
        <f>IF(L36&gt;=2000, "Platinum VIP", IF(L36&gt;=1000, "Gold", IF(L36&gt;=500, "Silver", "Standard")))</f>
        <v/>
      </c>
    </row>
    <row r="37">
      <c r="A37" s="8" t="inlineStr">
        <is>
          <t>CUST-00033</t>
        </is>
      </c>
      <c r="B37" s="8" t="inlineStr">
        <is>
          <t>Larry Phillips</t>
        </is>
      </c>
      <c r="C37" s="8" t="inlineStr">
        <is>
          <t>Other</t>
        </is>
      </c>
      <c r="D37" s="8" t="n">
        <v>39</v>
      </c>
      <c r="E37" s="8">
        <f>IF(D37&lt;25, "18-24", IF(D37&lt;35, "25-34", IF(D37&lt;50, "35-49", "50+")))</f>
        <v/>
      </c>
      <c r="F37" s="8" t="inlineStr">
        <is>
          <t>Dublin</t>
        </is>
      </c>
      <c r="G37" s="8" t="inlineStr">
        <is>
          <t>Leinster</t>
        </is>
      </c>
      <c r="H37" s="8" t="inlineStr">
        <is>
          <t>REG-EU</t>
        </is>
      </c>
      <c r="I37" s="8" t="inlineStr">
        <is>
          <t>Enterprise</t>
        </is>
      </c>
      <c r="J37" s="8" t="inlineStr">
        <is>
          <t>2023-06-27</t>
        </is>
      </c>
      <c r="K37" s="8">
        <f>COUNTIFS('05_Orders'!$C:$C, A37)</f>
        <v/>
      </c>
      <c r="L37" s="9">
        <f>SUMIFS('05_Orders'!$I:$I, '05_Orders'!$C:$C, A37)</f>
        <v/>
      </c>
      <c r="M37" s="8">
        <f>IF(L37&gt;=2000, "Platinum VIP", IF(L37&gt;=1000, "Gold", IF(L37&gt;=500, "Silver", "Standard")))</f>
        <v/>
      </c>
    </row>
    <row r="38">
      <c r="A38" s="8" t="inlineStr">
        <is>
          <t>CUST-00034</t>
        </is>
      </c>
      <c r="B38" s="8" t="inlineStr">
        <is>
          <t>Deborah Evans</t>
        </is>
      </c>
      <c r="C38" s="8" t="inlineStr">
        <is>
          <t>Other</t>
        </is>
      </c>
      <c r="D38" s="8" t="n">
        <v>45</v>
      </c>
      <c r="E38" s="8">
        <f>IF(D38&lt;25, "18-24", IF(D38&lt;35, "25-34", IF(D38&lt;50, "35-49", "50+")))</f>
        <v/>
      </c>
      <c r="F38" s="8" t="inlineStr">
        <is>
          <t>Hong Kong</t>
        </is>
      </c>
      <c r="G38" s="8" t="inlineStr">
        <is>
          <t>Hong Kong</t>
        </is>
      </c>
      <c r="H38" s="8" t="inlineStr">
        <is>
          <t>REG-APAC</t>
        </is>
      </c>
      <c r="I38" s="8" t="inlineStr">
        <is>
          <t>Corporate</t>
        </is>
      </c>
      <c r="J38" s="8" t="inlineStr">
        <is>
          <t>2024-02-28</t>
        </is>
      </c>
      <c r="K38" s="8">
        <f>COUNTIFS('05_Orders'!$C:$C, A38)</f>
        <v/>
      </c>
      <c r="L38" s="9">
        <f>SUMIFS('05_Orders'!$I:$I, '05_Orders'!$C:$C, A38)</f>
        <v/>
      </c>
      <c r="M38" s="8">
        <f>IF(L38&gt;=2000, "Platinum VIP", IF(L38&gt;=1000, "Gold", IF(L38&gt;=500, "Silver", "Standard")))</f>
        <v/>
      </c>
    </row>
    <row r="39">
      <c r="A39" s="8" t="inlineStr">
        <is>
          <t>CUST-00035</t>
        </is>
      </c>
      <c r="B39" s="8" t="inlineStr">
        <is>
          <t>Edward Edwards</t>
        </is>
      </c>
      <c r="C39" s="8" t="inlineStr">
        <is>
          <t>Female</t>
        </is>
      </c>
      <c r="D39" s="8" t="n">
        <v>45</v>
      </c>
      <c r="E39" s="8">
        <f>IF(D39&lt;25, "18-24", IF(D39&lt;35, "25-34", IF(D39&lt;50, "35-49", "50+")))</f>
        <v/>
      </c>
      <c r="F39" s="8" t="inlineStr">
        <is>
          <t>New York</t>
        </is>
      </c>
      <c r="G39" s="8" t="inlineStr">
        <is>
          <t>New York</t>
        </is>
      </c>
      <c r="H39" s="8" t="inlineStr">
        <is>
          <t>REG-NA</t>
        </is>
      </c>
      <c r="I39" s="8" t="inlineStr">
        <is>
          <t>Enterprise</t>
        </is>
      </c>
      <c r="J39" s="8" t="inlineStr">
        <is>
          <t>2024-05-05</t>
        </is>
      </c>
      <c r="K39" s="8">
        <f>COUNTIFS('05_Orders'!$C:$C, A39)</f>
        <v/>
      </c>
      <c r="L39" s="9">
        <f>SUMIFS('05_Orders'!$I:$I, '05_Orders'!$C:$C, A39)</f>
        <v/>
      </c>
      <c r="M39" s="8">
        <f>IF(L39&gt;=2000, "Platinum VIP", IF(L39&gt;=1000, "Gold", IF(L39&gt;=500, "Silver", "Standard")))</f>
        <v/>
      </c>
    </row>
    <row r="40">
      <c r="A40" s="8" t="inlineStr">
        <is>
          <t>CUST-00036</t>
        </is>
      </c>
      <c r="B40" s="8" t="inlineStr">
        <is>
          <t>Mark Ramirez</t>
        </is>
      </c>
      <c r="C40" s="8" t="inlineStr">
        <is>
          <t>Female</t>
        </is>
      </c>
      <c r="D40" s="8" t="n">
        <v>19</v>
      </c>
      <c r="E40" s="8">
        <f>IF(D40&lt;25, "18-24", IF(D40&lt;35, "25-34", IF(D40&lt;50, "35-49", "50+")))</f>
        <v/>
      </c>
      <c r="F40" s="8" t="inlineStr">
        <is>
          <t>Melbourne</t>
        </is>
      </c>
      <c r="G40" s="8" t="inlineStr">
        <is>
          <t>Victoria</t>
        </is>
      </c>
      <c r="H40" s="8" t="inlineStr">
        <is>
          <t>REG-APAC</t>
        </is>
      </c>
      <c r="I40" s="8" t="inlineStr">
        <is>
          <t>Home Office</t>
        </is>
      </c>
      <c r="J40" s="8" t="inlineStr">
        <is>
          <t>2023-11-14</t>
        </is>
      </c>
      <c r="K40" s="8">
        <f>COUNTIFS('05_Orders'!$C:$C, A40)</f>
        <v/>
      </c>
      <c r="L40" s="9">
        <f>SUMIFS('05_Orders'!$I:$I, '05_Orders'!$C:$C, A40)</f>
        <v/>
      </c>
      <c r="M40" s="8">
        <f>IF(L40&gt;=2000, "Platinum VIP", IF(L40&gt;=1000, "Gold", IF(L40&gt;=500, "Silver", "Standard")))</f>
        <v/>
      </c>
    </row>
    <row r="41">
      <c r="A41" s="8" t="inlineStr">
        <is>
          <t>CUST-00037</t>
        </is>
      </c>
      <c r="B41" s="8" t="inlineStr">
        <is>
          <t>Melissa Martin</t>
        </is>
      </c>
      <c r="C41" s="8" t="inlineStr">
        <is>
          <t>Male</t>
        </is>
      </c>
      <c r="D41" s="8" t="n">
        <v>34</v>
      </c>
      <c r="E41" s="8">
        <f>IF(D41&lt;25, "18-24", IF(D41&lt;35, "25-34", IF(D41&lt;50, "35-49", "50+")))</f>
        <v/>
      </c>
      <c r="F41" s="8" t="inlineStr">
        <is>
          <t>Denver</t>
        </is>
      </c>
      <c r="G41" s="8" t="inlineStr">
        <is>
          <t>Colorado</t>
        </is>
      </c>
      <c r="H41" s="8" t="inlineStr">
        <is>
          <t>REG-NA</t>
        </is>
      </c>
      <c r="I41" s="8" t="inlineStr">
        <is>
          <t>Consumer</t>
        </is>
      </c>
      <c r="J41" s="8" t="inlineStr">
        <is>
          <t>2022-06-09</t>
        </is>
      </c>
      <c r="K41" s="8">
        <f>COUNTIFS('05_Orders'!$C:$C, A41)</f>
        <v/>
      </c>
      <c r="L41" s="9">
        <f>SUMIFS('05_Orders'!$I:$I, '05_Orders'!$C:$C, A41)</f>
        <v/>
      </c>
      <c r="M41" s="8">
        <f>IF(L41&gt;=2000, "Platinum VIP", IF(L41&gt;=1000, "Gold", IF(L41&gt;=500, "Silver", "Standard")))</f>
        <v/>
      </c>
    </row>
    <row r="42">
      <c r="A42" s="8" t="inlineStr">
        <is>
          <t>CUST-00038</t>
        </is>
      </c>
      <c r="B42" s="8" t="inlineStr">
        <is>
          <t>Janet Martinez</t>
        </is>
      </c>
      <c r="C42" s="8" t="inlineStr">
        <is>
          <t>Other</t>
        </is>
      </c>
      <c r="D42" s="8" t="n">
        <v>38</v>
      </c>
      <c r="E42" s="8">
        <f>IF(D42&lt;25, "18-24", IF(D42&lt;35, "25-34", IF(D42&lt;50, "35-49", "50+")))</f>
        <v/>
      </c>
      <c r="F42" s="8" t="inlineStr">
        <is>
          <t>Osaka</t>
        </is>
      </c>
      <c r="G42" s="8" t="inlineStr">
        <is>
          <t>Kansai</t>
        </is>
      </c>
      <c r="H42" s="8" t="inlineStr">
        <is>
          <t>REG-APAC</t>
        </is>
      </c>
      <c r="I42" s="8" t="inlineStr">
        <is>
          <t>Corporate</t>
        </is>
      </c>
      <c r="J42" s="8" t="inlineStr">
        <is>
          <t>2024-11-13</t>
        </is>
      </c>
      <c r="K42" s="8">
        <f>COUNTIFS('05_Orders'!$C:$C, A42)</f>
        <v/>
      </c>
      <c r="L42" s="9">
        <f>SUMIFS('05_Orders'!$I:$I, '05_Orders'!$C:$C, A42)</f>
        <v/>
      </c>
      <c r="M42" s="8">
        <f>IF(L42&gt;=2000, "Platinum VIP", IF(L42&gt;=1000, "Gold", IF(L42&gt;=500, "Silver", "Standard")))</f>
        <v/>
      </c>
    </row>
    <row r="43">
      <c r="A43" s="8" t="inlineStr">
        <is>
          <t>CUST-00039</t>
        </is>
      </c>
      <c r="B43" s="8" t="inlineStr">
        <is>
          <t>Robert Sanders</t>
        </is>
      </c>
      <c r="C43" s="8" t="inlineStr">
        <is>
          <t>Other</t>
        </is>
      </c>
      <c r="D43" s="8" t="n">
        <v>42</v>
      </c>
      <c r="E43" s="8">
        <f>IF(D43&lt;25, "18-24", IF(D43&lt;35, "25-34", IF(D43&lt;50, "35-49", "50+")))</f>
        <v/>
      </c>
      <c r="F43" s="8" t="inlineStr">
        <is>
          <t>New York</t>
        </is>
      </c>
      <c r="G43" s="8" t="inlineStr">
        <is>
          <t>New York</t>
        </is>
      </c>
      <c r="H43" s="8" t="inlineStr">
        <is>
          <t>REG-NA</t>
        </is>
      </c>
      <c r="I43" s="8" t="inlineStr">
        <is>
          <t>Enterprise</t>
        </is>
      </c>
      <c r="J43" s="8" t="inlineStr">
        <is>
          <t>2022-11-16</t>
        </is>
      </c>
      <c r="K43" s="8">
        <f>COUNTIFS('05_Orders'!$C:$C, A43)</f>
        <v/>
      </c>
      <c r="L43" s="9">
        <f>SUMIFS('05_Orders'!$I:$I, '05_Orders'!$C:$C, A43)</f>
        <v/>
      </c>
      <c r="M43" s="8">
        <f>IF(L43&gt;=2000, "Platinum VIP", IF(L43&gt;=1000, "Gold", IF(L43&gt;=500, "Silver", "Standard")))</f>
        <v/>
      </c>
    </row>
    <row r="44">
      <c r="A44" s="8" t="inlineStr">
        <is>
          <t>CUST-00040</t>
        </is>
      </c>
      <c r="B44" s="8" t="inlineStr">
        <is>
          <t>Tyler Robinson</t>
        </is>
      </c>
      <c r="C44" s="8" t="inlineStr">
        <is>
          <t>Other</t>
        </is>
      </c>
      <c r="D44" s="8" t="n">
        <v>59</v>
      </c>
      <c r="E44" s="8">
        <f>IF(D44&lt;25, "18-24", IF(D44&lt;35, "25-34", IF(D44&lt;50, "35-49", "50+")))</f>
        <v/>
      </c>
      <c r="F44" s="8" t="inlineStr">
        <is>
          <t>Singapore</t>
        </is>
      </c>
      <c r="G44" s="8" t="inlineStr">
        <is>
          <t>Central</t>
        </is>
      </c>
      <c r="H44" s="8" t="inlineStr">
        <is>
          <t>REG-APAC</t>
        </is>
      </c>
      <c r="I44" s="8" t="inlineStr">
        <is>
          <t>Corporate</t>
        </is>
      </c>
      <c r="J44" s="8" t="inlineStr">
        <is>
          <t>2024-07-18</t>
        </is>
      </c>
      <c r="K44" s="8">
        <f>COUNTIFS('05_Orders'!$C:$C, A44)</f>
        <v/>
      </c>
      <c r="L44" s="9">
        <f>SUMIFS('05_Orders'!$I:$I, '05_Orders'!$C:$C, A44)</f>
        <v/>
      </c>
      <c r="M44" s="8">
        <f>IF(L44&gt;=2000, "Platinum VIP", IF(L44&gt;=1000, "Gold", IF(L44&gt;=500, "Silver", "Standard")))</f>
        <v/>
      </c>
    </row>
    <row r="45">
      <c r="A45" s="8" t="inlineStr">
        <is>
          <t>CUST-00041</t>
        </is>
      </c>
      <c r="B45" s="8" t="inlineStr">
        <is>
          <t>Karen Adams</t>
        </is>
      </c>
      <c r="C45" s="8" t="inlineStr">
        <is>
          <t>Other</t>
        </is>
      </c>
      <c r="D45" s="8" t="n">
        <v>62</v>
      </c>
      <c r="E45" s="8">
        <f>IF(D45&lt;25, "18-24", IF(D45&lt;35, "25-34", IF(D45&lt;50, "35-49", "50+")))</f>
        <v/>
      </c>
      <c r="F45" s="8" t="inlineStr">
        <is>
          <t>New York</t>
        </is>
      </c>
      <c r="G45" s="8" t="inlineStr">
        <is>
          <t>New York</t>
        </is>
      </c>
      <c r="H45" s="8" t="inlineStr">
        <is>
          <t>REG-NA</t>
        </is>
      </c>
      <c r="I45" s="8" t="inlineStr">
        <is>
          <t>Corporate</t>
        </is>
      </c>
      <c r="J45" s="8" t="inlineStr">
        <is>
          <t>2023-03-16</t>
        </is>
      </c>
      <c r="K45" s="8">
        <f>COUNTIFS('05_Orders'!$C:$C, A45)</f>
        <v/>
      </c>
      <c r="L45" s="9">
        <f>SUMIFS('05_Orders'!$I:$I, '05_Orders'!$C:$C, A45)</f>
        <v/>
      </c>
      <c r="M45" s="8">
        <f>IF(L45&gt;=2000, "Platinum VIP", IF(L45&gt;=1000, "Gold", IF(L45&gt;=500, "Silver", "Standard")))</f>
        <v/>
      </c>
    </row>
    <row r="46">
      <c r="A46" s="8" t="inlineStr">
        <is>
          <t>CUST-00042</t>
        </is>
      </c>
      <c r="B46" s="8" t="inlineStr">
        <is>
          <t>Sharon Nguyen</t>
        </is>
      </c>
      <c r="C46" s="8" t="inlineStr">
        <is>
          <t>Female</t>
        </is>
      </c>
      <c r="D46" s="8" t="n">
        <v>27</v>
      </c>
      <c r="E46" s="8">
        <f>IF(D46&lt;25, "18-24", IF(D46&lt;35, "25-34", IF(D46&lt;50, "35-49", "50+")))</f>
        <v/>
      </c>
      <c r="F46" s="8" t="inlineStr">
        <is>
          <t>Los Angeles</t>
        </is>
      </c>
      <c r="G46" s="8" t="inlineStr">
        <is>
          <t>California</t>
        </is>
      </c>
      <c r="H46" s="8" t="inlineStr">
        <is>
          <t>REG-NA</t>
        </is>
      </c>
      <c r="I46" s="8" t="inlineStr">
        <is>
          <t>Consumer</t>
        </is>
      </c>
      <c r="J46" s="8" t="inlineStr">
        <is>
          <t>2025-03-07</t>
        </is>
      </c>
      <c r="K46" s="8">
        <f>COUNTIFS('05_Orders'!$C:$C, A46)</f>
        <v/>
      </c>
      <c r="L46" s="9">
        <f>SUMIFS('05_Orders'!$I:$I, '05_Orders'!$C:$C, A46)</f>
        <v/>
      </c>
      <c r="M46" s="8">
        <f>IF(L46&gt;=2000, "Platinum VIP", IF(L46&gt;=1000, "Gold", IF(L46&gt;=500, "Silver", "Standard")))</f>
        <v/>
      </c>
    </row>
    <row r="47">
      <c r="A47" s="8" t="inlineStr">
        <is>
          <t>CUST-00043</t>
        </is>
      </c>
      <c r="B47" s="8" t="inlineStr">
        <is>
          <t>Heather Hughes</t>
        </is>
      </c>
      <c r="C47" s="8" t="inlineStr">
        <is>
          <t>Male</t>
        </is>
      </c>
      <c r="D47" s="8" t="n">
        <v>66</v>
      </c>
      <c r="E47" s="8">
        <f>IF(D47&lt;25, "18-24", IF(D47&lt;35, "25-34", IF(D47&lt;50, "35-49", "50+")))</f>
        <v/>
      </c>
      <c r="F47" s="8" t="inlineStr">
        <is>
          <t>Boston</t>
        </is>
      </c>
      <c r="G47" s="8" t="inlineStr">
        <is>
          <t>Massachusetts</t>
        </is>
      </c>
      <c r="H47" s="8" t="inlineStr">
        <is>
          <t>REG-NA</t>
        </is>
      </c>
      <c r="I47" s="8" t="inlineStr">
        <is>
          <t>Consumer</t>
        </is>
      </c>
      <c r="J47" s="8" t="inlineStr">
        <is>
          <t>2023-03-21</t>
        </is>
      </c>
      <c r="K47" s="8">
        <f>COUNTIFS('05_Orders'!$C:$C, A47)</f>
        <v/>
      </c>
      <c r="L47" s="9">
        <f>SUMIFS('05_Orders'!$I:$I, '05_Orders'!$C:$C, A47)</f>
        <v/>
      </c>
      <c r="M47" s="8">
        <f>IF(L47&gt;=2000, "Platinum VIP", IF(L47&gt;=1000, "Gold", IF(L47&gt;=500, "Silver", "Standard")))</f>
        <v/>
      </c>
    </row>
    <row r="48">
      <c r="A48" s="8" t="inlineStr">
        <is>
          <t>CUST-00044</t>
        </is>
      </c>
      <c r="B48" s="8" t="inlineStr">
        <is>
          <t>Ashley Young</t>
        </is>
      </c>
      <c r="C48" s="8" t="inlineStr">
        <is>
          <t>Male</t>
        </is>
      </c>
      <c r="D48" s="8" t="n">
        <v>35</v>
      </c>
      <c r="E48" s="8">
        <f>IF(D48&lt;25, "18-24", IF(D48&lt;35, "25-34", IF(D48&lt;50, "35-49", "50+")))</f>
        <v/>
      </c>
      <c r="F48" s="8" t="inlineStr">
        <is>
          <t>Hong Kong</t>
        </is>
      </c>
      <c r="G48" s="8" t="inlineStr">
        <is>
          <t>Hong Kong</t>
        </is>
      </c>
      <c r="H48" s="8" t="inlineStr">
        <is>
          <t>REG-APAC</t>
        </is>
      </c>
      <c r="I48" s="8" t="inlineStr">
        <is>
          <t>Corporate</t>
        </is>
      </c>
      <c r="J48" s="8" t="inlineStr">
        <is>
          <t>2024-03-25</t>
        </is>
      </c>
      <c r="K48" s="8">
        <f>COUNTIFS('05_Orders'!$C:$C, A48)</f>
        <v/>
      </c>
      <c r="L48" s="9">
        <f>SUMIFS('05_Orders'!$I:$I, '05_Orders'!$C:$C, A48)</f>
        <v/>
      </c>
      <c r="M48" s="8">
        <f>IF(L48&gt;=2000, "Platinum VIP", IF(L48&gt;=1000, "Gold", IF(L48&gt;=500, "Silver", "Standard")))</f>
        <v/>
      </c>
    </row>
    <row r="49">
      <c r="A49" s="8" t="inlineStr">
        <is>
          <t>CUST-00045</t>
        </is>
      </c>
      <c r="B49" s="8" t="inlineStr">
        <is>
          <t>Carol Hall</t>
        </is>
      </c>
      <c r="C49" s="8" t="inlineStr">
        <is>
          <t>Other</t>
        </is>
      </c>
      <c r="D49" s="8" t="n">
        <v>59</v>
      </c>
      <c r="E49" s="8">
        <f>IF(D49&lt;25, "18-24", IF(D49&lt;35, "25-34", IF(D49&lt;50, "35-49", "50+")))</f>
        <v/>
      </c>
      <c r="F49" s="8" t="inlineStr">
        <is>
          <t>Phoenix</t>
        </is>
      </c>
      <c r="G49" s="8" t="inlineStr">
        <is>
          <t>Arizona</t>
        </is>
      </c>
      <c r="H49" s="8" t="inlineStr">
        <is>
          <t>REG-NA</t>
        </is>
      </c>
      <c r="I49" s="8" t="inlineStr">
        <is>
          <t>Consumer</t>
        </is>
      </c>
      <c r="J49" s="8" t="inlineStr">
        <is>
          <t>2022-12-18</t>
        </is>
      </c>
      <c r="K49" s="8">
        <f>COUNTIFS('05_Orders'!$C:$C, A49)</f>
        <v/>
      </c>
      <c r="L49" s="9">
        <f>SUMIFS('05_Orders'!$I:$I, '05_Orders'!$C:$C, A49)</f>
        <v/>
      </c>
      <c r="M49" s="8">
        <f>IF(L49&gt;=2000, "Platinum VIP", IF(L49&gt;=1000, "Gold", IF(L49&gt;=500, "Silver", "Standard")))</f>
        <v/>
      </c>
    </row>
    <row r="50">
      <c r="A50" s="8" t="inlineStr">
        <is>
          <t>CUST-00046</t>
        </is>
      </c>
      <c r="B50" s="8" t="inlineStr">
        <is>
          <t>Jennifer Robinson</t>
        </is>
      </c>
      <c r="C50" s="8" t="inlineStr">
        <is>
          <t>Male</t>
        </is>
      </c>
      <c r="D50" s="8" t="n">
        <v>61</v>
      </c>
      <c r="E50" s="8">
        <f>IF(D50&lt;25, "18-24", IF(D50&lt;35, "25-34", IF(D50&lt;50, "35-49", "50+")))</f>
        <v/>
      </c>
      <c r="F50" s="8" t="inlineStr">
        <is>
          <t>Los Angeles</t>
        </is>
      </c>
      <c r="G50" s="8" t="inlineStr">
        <is>
          <t>California</t>
        </is>
      </c>
      <c r="H50" s="8" t="inlineStr">
        <is>
          <t>REG-NA</t>
        </is>
      </c>
      <c r="I50" s="8" t="inlineStr">
        <is>
          <t>Consumer</t>
        </is>
      </c>
      <c r="J50" s="8" t="inlineStr">
        <is>
          <t>2021-04-22</t>
        </is>
      </c>
      <c r="K50" s="8">
        <f>COUNTIFS('05_Orders'!$C:$C, A50)</f>
        <v/>
      </c>
      <c r="L50" s="9">
        <f>SUMIFS('05_Orders'!$I:$I, '05_Orders'!$C:$C, A50)</f>
        <v/>
      </c>
      <c r="M50" s="8">
        <f>IF(L50&gt;=2000, "Platinum VIP", IF(L50&gt;=1000, "Gold", IF(L50&gt;=500, "Silver", "Standard")))</f>
        <v/>
      </c>
    </row>
    <row r="51">
      <c r="A51" s="8" t="inlineStr">
        <is>
          <t>CUST-00047</t>
        </is>
      </c>
      <c r="B51" s="8" t="inlineStr">
        <is>
          <t>Kenneth Johnson</t>
        </is>
      </c>
      <c r="C51" s="8" t="inlineStr">
        <is>
          <t>Female</t>
        </is>
      </c>
      <c r="D51" s="8" t="n">
        <v>62</v>
      </c>
      <c r="E51" s="8">
        <f>IF(D51&lt;25, "18-24", IF(D51&lt;35, "25-34", IF(D51&lt;50, "35-49", "50+")))</f>
        <v/>
      </c>
      <c r="F51" s="8" t="inlineStr">
        <is>
          <t>Melbourne</t>
        </is>
      </c>
      <c r="G51" s="8" t="inlineStr">
        <is>
          <t>Victoria</t>
        </is>
      </c>
      <c r="H51" s="8" t="inlineStr">
        <is>
          <t>REG-APAC</t>
        </is>
      </c>
      <c r="I51" s="8" t="inlineStr">
        <is>
          <t>Consumer</t>
        </is>
      </c>
      <c r="J51" s="8" t="inlineStr">
        <is>
          <t>2021-02-16</t>
        </is>
      </c>
      <c r="K51" s="8">
        <f>COUNTIFS('05_Orders'!$C:$C, A51)</f>
        <v/>
      </c>
      <c r="L51" s="9">
        <f>SUMIFS('05_Orders'!$I:$I, '05_Orders'!$C:$C, A51)</f>
        <v/>
      </c>
      <c r="M51" s="8">
        <f>IF(L51&gt;=2000, "Platinum VIP", IF(L51&gt;=1000, "Gold", IF(L51&gt;=500, "Silver", "Standard")))</f>
        <v/>
      </c>
    </row>
    <row r="52">
      <c r="A52" s="8" t="inlineStr">
        <is>
          <t>CUST-00048</t>
        </is>
      </c>
      <c r="B52" s="8" t="inlineStr">
        <is>
          <t>Jerry King</t>
        </is>
      </c>
      <c r="C52" s="8" t="inlineStr">
        <is>
          <t>Other</t>
        </is>
      </c>
      <c r="D52" s="8" t="n">
        <v>45</v>
      </c>
      <c r="E52" s="8">
        <f>IF(D52&lt;25, "18-24", IF(D52&lt;35, "25-34", IF(D52&lt;50, "35-49", "50+")))</f>
        <v/>
      </c>
      <c r="F52" s="8" t="inlineStr">
        <is>
          <t>Berlin</t>
        </is>
      </c>
      <c r="G52" s="8" t="inlineStr">
        <is>
          <t>Berlin</t>
        </is>
      </c>
      <c r="H52" s="8" t="inlineStr">
        <is>
          <t>REG-EU</t>
        </is>
      </c>
      <c r="I52" s="8" t="inlineStr">
        <is>
          <t>Corporate</t>
        </is>
      </c>
      <c r="J52" s="8" t="inlineStr">
        <is>
          <t>2024-09-30</t>
        </is>
      </c>
      <c r="K52" s="8">
        <f>COUNTIFS('05_Orders'!$C:$C, A52)</f>
        <v/>
      </c>
      <c r="L52" s="9">
        <f>SUMIFS('05_Orders'!$I:$I, '05_Orders'!$C:$C, A52)</f>
        <v/>
      </c>
      <c r="M52" s="8">
        <f>IF(L52&gt;=2000, "Platinum VIP", IF(L52&gt;=1000, "Gold", IF(L52&gt;=500, "Silver", "Standard")))</f>
        <v/>
      </c>
    </row>
    <row r="53">
      <c r="A53" s="8" t="inlineStr">
        <is>
          <t>CUST-00049</t>
        </is>
      </c>
      <c r="B53" s="8" t="inlineStr">
        <is>
          <t>Nancy Davis</t>
        </is>
      </c>
      <c r="C53" s="8" t="inlineStr">
        <is>
          <t>Female</t>
        </is>
      </c>
      <c r="D53" s="8" t="n">
        <v>30</v>
      </c>
      <c r="E53" s="8">
        <f>IF(D53&lt;25, "18-24", IF(D53&lt;35, "25-34", IF(D53&lt;50, "35-49", "50+")))</f>
        <v/>
      </c>
      <c r="F53" s="8" t="inlineStr">
        <is>
          <t>Auckland</t>
        </is>
      </c>
      <c r="G53" s="8" t="inlineStr">
        <is>
          <t>Auckland Region</t>
        </is>
      </c>
      <c r="H53" s="8" t="inlineStr">
        <is>
          <t>REG-APAC</t>
        </is>
      </c>
      <c r="I53" s="8" t="inlineStr">
        <is>
          <t>Consumer</t>
        </is>
      </c>
      <c r="J53" s="8" t="inlineStr">
        <is>
          <t>2023-08-11</t>
        </is>
      </c>
      <c r="K53" s="8">
        <f>COUNTIFS('05_Orders'!$C:$C, A53)</f>
        <v/>
      </c>
      <c r="L53" s="9">
        <f>SUMIFS('05_Orders'!$I:$I, '05_Orders'!$C:$C, A53)</f>
        <v/>
      </c>
      <c r="M53" s="8">
        <f>IF(L53&gt;=2000, "Platinum VIP", IF(L53&gt;=1000, "Gold", IF(L53&gt;=500, "Silver", "Standard")))</f>
        <v/>
      </c>
    </row>
    <row r="54">
      <c r="A54" s="8" t="inlineStr">
        <is>
          <t>CUST-00050</t>
        </is>
      </c>
      <c r="B54" s="8" t="inlineStr">
        <is>
          <t>Frank Campbell</t>
        </is>
      </c>
      <c r="C54" s="8" t="inlineStr">
        <is>
          <t>Male</t>
        </is>
      </c>
      <c r="D54" s="8" t="n">
        <v>19</v>
      </c>
      <c r="E54" s="8">
        <f>IF(D54&lt;25, "18-24", IF(D54&lt;35, "25-34", IF(D54&lt;50, "35-49", "50+")))</f>
        <v/>
      </c>
      <c r="F54" s="8" t="inlineStr">
        <is>
          <t>Atlanta</t>
        </is>
      </c>
      <c r="G54" s="8" t="inlineStr">
        <is>
          <t>Georgia</t>
        </is>
      </c>
      <c r="H54" s="8" t="inlineStr">
        <is>
          <t>REG-NA</t>
        </is>
      </c>
      <c r="I54" s="8" t="inlineStr">
        <is>
          <t>Consumer</t>
        </is>
      </c>
      <c r="J54" s="8" t="inlineStr">
        <is>
          <t>2023-02-19</t>
        </is>
      </c>
      <c r="K54" s="8">
        <f>COUNTIFS('05_Orders'!$C:$C, A54)</f>
        <v/>
      </c>
      <c r="L54" s="9">
        <f>SUMIFS('05_Orders'!$I:$I, '05_Orders'!$C:$C, A54)</f>
        <v/>
      </c>
      <c r="M54" s="8">
        <f>IF(L54&gt;=2000, "Platinum VIP", IF(L54&gt;=1000, "Gold", IF(L54&gt;=500, "Silver", "Standard")))</f>
        <v/>
      </c>
    </row>
    <row r="55">
      <c r="A55" s="8" t="inlineStr">
        <is>
          <t>CUST-00051</t>
        </is>
      </c>
      <c r="B55" s="8" t="inlineStr">
        <is>
          <t>Brandon Morgan</t>
        </is>
      </c>
      <c r="C55" s="8" t="inlineStr">
        <is>
          <t>Male</t>
        </is>
      </c>
      <c r="D55" s="8" t="n">
        <v>45</v>
      </c>
      <c r="E55" s="8">
        <f>IF(D55&lt;25, "18-24", IF(D55&lt;35, "25-34", IF(D55&lt;50, "35-49", "50+")))</f>
        <v/>
      </c>
      <c r="F55" s="8" t="inlineStr">
        <is>
          <t>Toronto</t>
        </is>
      </c>
      <c r="G55" s="8" t="inlineStr">
        <is>
          <t>Ontario</t>
        </is>
      </c>
      <c r="H55" s="8" t="inlineStr">
        <is>
          <t>REG-NA</t>
        </is>
      </c>
      <c r="I55" s="8" t="inlineStr">
        <is>
          <t>Corporate</t>
        </is>
      </c>
      <c r="J55" s="8" t="inlineStr">
        <is>
          <t>2024-12-30</t>
        </is>
      </c>
      <c r="K55" s="8">
        <f>COUNTIFS('05_Orders'!$C:$C, A55)</f>
        <v/>
      </c>
      <c r="L55" s="9">
        <f>SUMIFS('05_Orders'!$I:$I, '05_Orders'!$C:$C, A55)</f>
        <v/>
      </c>
      <c r="M55" s="8">
        <f>IF(L55&gt;=2000, "Platinum VIP", IF(L55&gt;=1000, "Gold", IF(L55&gt;=500, "Silver", "Standard")))</f>
        <v/>
      </c>
    </row>
    <row r="56">
      <c r="A56" s="8" t="inlineStr">
        <is>
          <t>CUST-00052</t>
        </is>
      </c>
      <c r="B56" s="8" t="inlineStr">
        <is>
          <t>Timothy Myers</t>
        </is>
      </c>
      <c r="C56" s="8" t="inlineStr">
        <is>
          <t>Male</t>
        </is>
      </c>
      <c r="D56" s="8" t="n">
        <v>19</v>
      </c>
      <c r="E56" s="8">
        <f>IF(D56&lt;25, "18-24", IF(D56&lt;35, "25-34", IF(D56&lt;50, "35-49", "50+")))</f>
        <v/>
      </c>
      <c r="F56" s="8" t="inlineStr">
        <is>
          <t>Seattle</t>
        </is>
      </c>
      <c r="G56" s="8" t="inlineStr">
        <is>
          <t>Washington</t>
        </is>
      </c>
      <c r="H56" s="8" t="inlineStr">
        <is>
          <t>REG-NA</t>
        </is>
      </c>
      <c r="I56" s="8" t="inlineStr">
        <is>
          <t>Consumer</t>
        </is>
      </c>
      <c r="J56" s="8" t="inlineStr">
        <is>
          <t>2022-09-12</t>
        </is>
      </c>
      <c r="K56" s="8">
        <f>COUNTIFS('05_Orders'!$C:$C, A56)</f>
        <v/>
      </c>
      <c r="L56" s="9">
        <f>SUMIFS('05_Orders'!$I:$I, '05_Orders'!$C:$C, A56)</f>
        <v/>
      </c>
      <c r="M56" s="8">
        <f>IF(L56&gt;=2000, "Platinum VIP", IF(L56&gt;=1000, "Gold", IF(L56&gt;=500, "Silver", "Standard")))</f>
        <v/>
      </c>
    </row>
    <row r="57">
      <c r="A57" s="8" t="inlineStr">
        <is>
          <t>CUST-00053</t>
        </is>
      </c>
      <c r="B57" s="8" t="inlineStr">
        <is>
          <t>Samuel Allen</t>
        </is>
      </c>
      <c r="C57" s="8" t="inlineStr">
        <is>
          <t>Female</t>
        </is>
      </c>
      <c r="D57" s="8" t="n">
        <v>70</v>
      </c>
      <c r="E57" s="8">
        <f>IF(D57&lt;25, "18-24", IF(D57&lt;35, "25-34", IF(D57&lt;50, "35-49", "50+")))</f>
        <v/>
      </c>
      <c r="F57" s="8" t="inlineStr">
        <is>
          <t>Monterrey</t>
        </is>
      </c>
      <c r="G57" s="8" t="inlineStr">
        <is>
          <t>Nuevo Leon</t>
        </is>
      </c>
      <c r="H57" s="8" t="inlineStr">
        <is>
          <t>REG-LATAM</t>
        </is>
      </c>
      <c r="I57" s="8" t="inlineStr">
        <is>
          <t>Enterprise</t>
        </is>
      </c>
      <c r="J57" s="8" t="inlineStr">
        <is>
          <t>2022-04-07</t>
        </is>
      </c>
      <c r="K57" s="8">
        <f>COUNTIFS('05_Orders'!$C:$C, A57)</f>
        <v/>
      </c>
      <c r="L57" s="9">
        <f>SUMIFS('05_Orders'!$I:$I, '05_Orders'!$C:$C, A57)</f>
        <v/>
      </c>
      <c r="M57" s="8">
        <f>IF(L57&gt;=2000, "Platinum VIP", IF(L57&gt;=1000, "Gold", IF(L57&gt;=500, "Silver", "Standard")))</f>
        <v/>
      </c>
    </row>
    <row r="58">
      <c r="A58" s="8" t="inlineStr">
        <is>
          <t>CUST-00054</t>
        </is>
      </c>
      <c r="B58" s="8" t="inlineStr">
        <is>
          <t>Ronald Gutierrez</t>
        </is>
      </c>
      <c r="C58" s="8" t="inlineStr">
        <is>
          <t>Other</t>
        </is>
      </c>
      <c r="D58" s="8" t="n">
        <v>57</v>
      </c>
      <c r="E58" s="8">
        <f>IF(D58&lt;25, "18-24", IF(D58&lt;35, "25-34", IF(D58&lt;50, "35-49", "50+")))</f>
        <v/>
      </c>
      <c r="F58" s="8" t="inlineStr">
        <is>
          <t>Sydney</t>
        </is>
      </c>
      <c r="G58" s="8" t="inlineStr">
        <is>
          <t>New South Wales</t>
        </is>
      </c>
      <c r="H58" s="8" t="inlineStr">
        <is>
          <t>REG-APAC</t>
        </is>
      </c>
      <c r="I58" s="8" t="inlineStr">
        <is>
          <t>Consumer</t>
        </is>
      </c>
      <c r="J58" s="8" t="inlineStr">
        <is>
          <t>2024-03-19</t>
        </is>
      </c>
      <c r="K58" s="8">
        <f>COUNTIFS('05_Orders'!$C:$C, A58)</f>
        <v/>
      </c>
      <c r="L58" s="9">
        <f>SUMIFS('05_Orders'!$I:$I, '05_Orders'!$C:$C, A58)</f>
        <v/>
      </c>
      <c r="M58" s="8">
        <f>IF(L58&gt;=2000, "Platinum VIP", IF(L58&gt;=1000, "Gold", IF(L58&gt;=500, "Silver", "Standard")))</f>
        <v/>
      </c>
    </row>
    <row r="59">
      <c r="A59" s="8" t="inlineStr">
        <is>
          <t>CUST-00055</t>
        </is>
      </c>
      <c r="B59" s="8" t="inlineStr">
        <is>
          <t>Anna Taylor</t>
        </is>
      </c>
      <c r="C59" s="8" t="inlineStr">
        <is>
          <t>Male</t>
        </is>
      </c>
      <c r="D59" s="8" t="n">
        <v>59</v>
      </c>
      <c r="E59" s="8">
        <f>IF(D59&lt;25, "18-24", IF(D59&lt;35, "25-34", IF(D59&lt;50, "35-49", "50+")))</f>
        <v/>
      </c>
      <c r="F59" s="8" t="inlineStr">
        <is>
          <t>Boston</t>
        </is>
      </c>
      <c r="G59" s="8" t="inlineStr">
        <is>
          <t>Massachusetts</t>
        </is>
      </c>
      <c r="H59" s="8" t="inlineStr">
        <is>
          <t>REG-NA</t>
        </is>
      </c>
      <c r="I59" s="8" t="inlineStr">
        <is>
          <t>Corporate</t>
        </is>
      </c>
      <c r="J59" s="8" t="inlineStr">
        <is>
          <t>2022-02-19</t>
        </is>
      </c>
      <c r="K59" s="8">
        <f>COUNTIFS('05_Orders'!$C:$C, A59)</f>
        <v/>
      </c>
      <c r="L59" s="9">
        <f>SUMIFS('05_Orders'!$I:$I, '05_Orders'!$C:$C, A59)</f>
        <v/>
      </c>
      <c r="M59" s="8">
        <f>IF(L59&gt;=2000, "Platinum VIP", IF(L59&gt;=1000, "Gold", IF(L59&gt;=500, "Silver", "Standard")))</f>
        <v/>
      </c>
    </row>
    <row r="60">
      <c r="A60" s="8" t="inlineStr">
        <is>
          <t>CUST-00056</t>
        </is>
      </c>
      <c r="B60" s="8" t="inlineStr">
        <is>
          <t>Sarah Parker</t>
        </is>
      </c>
      <c r="C60" s="8" t="inlineStr">
        <is>
          <t>Male</t>
        </is>
      </c>
      <c r="D60" s="8" t="n">
        <v>59</v>
      </c>
      <c r="E60" s="8">
        <f>IF(D60&lt;25, "18-24", IF(D60&lt;35, "25-34", IF(D60&lt;50, "35-49", "50+")))</f>
        <v/>
      </c>
      <c r="F60" s="8" t="inlineStr">
        <is>
          <t>Mexico City</t>
        </is>
      </c>
      <c r="G60" s="8" t="inlineStr">
        <is>
          <t>CDMX</t>
        </is>
      </c>
      <c r="H60" s="8" t="inlineStr">
        <is>
          <t>REG-LATAM</t>
        </is>
      </c>
      <c r="I60" s="8" t="inlineStr">
        <is>
          <t>Consumer</t>
        </is>
      </c>
      <c r="J60" s="8" t="inlineStr">
        <is>
          <t>2024-02-16</t>
        </is>
      </c>
      <c r="K60" s="8">
        <f>COUNTIFS('05_Orders'!$C:$C, A60)</f>
        <v/>
      </c>
      <c r="L60" s="9">
        <f>SUMIFS('05_Orders'!$I:$I, '05_Orders'!$C:$C, A60)</f>
        <v/>
      </c>
      <c r="M60" s="8">
        <f>IF(L60&gt;=2000, "Platinum VIP", IF(L60&gt;=1000, "Gold", IF(L60&gt;=500, "Silver", "Standard")))</f>
        <v/>
      </c>
    </row>
    <row r="61">
      <c r="A61" s="8" t="inlineStr">
        <is>
          <t>CUST-00057</t>
        </is>
      </c>
      <c r="B61" s="8" t="inlineStr">
        <is>
          <t>Charles Sanders</t>
        </is>
      </c>
      <c r="C61" s="8" t="inlineStr">
        <is>
          <t>Male</t>
        </is>
      </c>
      <c r="D61" s="8" t="n">
        <v>66</v>
      </c>
      <c r="E61" s="8">
        <f>IF(D61&lt;25, "18-24", IF(D61&lt;35, "25-34", IF(D61&lt;50, "35-49", "50+")))</f>
        <v/>
      </c>
      <c r="F61" s="8" t="inlineStr">
        <is>
          <t>Atlanta</t>
        </is>
      </c>
      <c r="G61" s="8" t="inlineStr">
        <is>
          <t>Georgia</t>
        </is>
      </c>
      <c r="H61" s="8" t="inlineStr">
        <is>
          <t>REG-NA</t>
        </is>
      </c>
      <c r="I61" s="8" t="inlineStr">
        <is>
          <t>Enterprise</t>
        </is>
      </c>
      <c r="J61" s="8" t="inlineStr">
        <is>
          <t>2022-09-14</t>
        </is>
      </c>
      <c r="K61" s="8">
        <f>COUNTIFS('05_Orders'!$C:$C, A61)</f>
        <v/>
      </c>
      <c r="L61" s="9">
        <f>SUMIFS('05_Orders'!$I:$I, '05_Orders'!$C:$C, A61)</f>
        <v/>
      </c>
      <c r="M61" s="8">
        <f>IF(L61&gt;=2000, "Platinum VIP", IF(L61&gt;=1000, "Gold", IF(L61&gt;=500, "Silver", "Standard")))</f>
        <v/>
      </c>
    </row>
    <row r="62">
      <c r="A62" s="8" t="inlineStr">
        <is>
          <t>CUST-00058</t>
        </is>
      </c>
      <c r="B62" s="8" t="inlineStr">
        <is>
          <t>Emily Martin</t>
        </is>
      </c>
      <c r="C62" s="8" t="inlineStr">
        <is>
          <t>Male</t>
        </is>
      </c>
      <c r="D62" s="8" t="n">
        <v>24</v>
      </c>
      <c r="E62" s="8">
        <f>IF(D62&lt;25, "18-24", IF(D62&lt;35, "25-34", IF(D62&lt;50, "35-49", "50+")))</f>
        <v/>
      </c>
      <c r="F62" s="8" t="inlineStr">
        <is>
          <t>New York</t>
        </is>
      </c>
      <c r="G62" s="8" t="inlineStr">
        <is>
          <t>New York</t>
        </is>
      </c>
      <c r="H62" s="8" t="inlineStr">
        <is>
          <t>REG-NA</t>
        </is>
      </c>
      <c r="I62" s="8" t="inlineStr">
        <is>
          <t>Home Office</t>
        </is>
      </c>
      <c r="J62" s="8" t="inlineStr">
        <is>
          <t>2024-06-07</t>
        </is>
      </c>
      <c r="K62" s="8">
        <f>COUNTIFS('05_Orders'!$C:$C, A62)</f>
        <v/>
      </c>
      <c r="L62" s="9">
        <f>SUMIFS('05_Orders'!$I:$I, '05_Orders'!$C:$C, A62)</f>
        <v/>
      </c>
      <c r="M62" s="8">
        <f>IF(L62&gt;=2000, "Platinum VIP", IF(L62&gt;=1000, "Gold", IF(L62&gt;=500, "Silver", "Standard")))</f>
        <v/>
      </c>
    </row>
    <row r="63">
      <c r="A63" s="8" t="inlineStr">
        <is>
          <t>CUST-00059</t>
        </is>
      </c>
      <c r="B63" s="8" t="inlineStr">
        <is>
          <t>Sandra Mendoza</t>
        </is>
      </c>
      <c r="C63" s="8" t="inlineStr">
        <is>
          <t>Male</t>
        </is>
      </c>
      <c r="D63" s="8" t="n">
        <v>40</v>
      </c>
      <c r="E63" s="8">
        <f>IF(D63&lt;25, "18-24", IF(D63&lt;35, "25-34", IF(D63&lt;50, "35-49", "50+")))</f>
        <v/>
      </c>
      <c r="F63" s="8" t="inlineStr">
        <is>
          <t>Toronto</t>
        </is>
      </c>
      <c r="G63" s="8" t="inlineStr">
        <is>
          <t>Ontario</t>
        </is>
      </c>
      <c r="H63" s="8" t="inlineStr">
        <is>
          <t>REG-NA</t>
        </is>
      </c>
      <c r="I63" s="8" t="inlineStr">
        <is>
          <t>Consumer</t>
        </is>
      </c>
      <c r="J63" s="8" t="inlineStr">
        <is>
          <t>2024-05-23</t>
        </is>
      </c>
      <c r="K63" s="8">
        <f>COUNTIFS('05_Orders'!$C:$C, A63)</f>
        <v/>
      </c>
      <c r="L63" s="9">
        <f>SUMIFS('05_Orders'!$I:$I, '05_Orders'!$C:$C, A63)</f>
        <v/>
      </c>
      <c r="M63" s="8">
        <f>IF(L63&gt;=2000, "Platinum VIP", IF(L63&gt;=1000, "Gold", IF(L63&gt;=500, "Silver", "Standard")))</f>
        <v/>
      </c>
    </row>
    <row r="64">
      <c r="A64" s="8" t="inlineStr">
        <is>
          <t>CUST-00060</t>
        </is>
      </c>
      <c r="B64" s="8" t="inlineStr">
        <is>
          <t>Gary Moore</t>
        </is>
      </c>
      <c r="C64" s="8" t="inlineStr">
        <is>
          <t>Male</t>
        </is>
      </c>
      <c r="D64" s="8" t="n">
        <v>30</v>
      </c>
      <c r="E64" s="8">
        <f>IF(D64&lt;25, "18-24", IF(D64&lt;35, "25-34", IF(D64&lt;50, "35-49", "50+")))</f>
        <v/>
      </c>
      <c r="F64" s="8" t="inlineStr">
        <is>
          <t>Atlanta</t>
        </is>
      </c>
      <c r="G64" s="8" t="inlineStr">
        <is>
          <t>Georgia</t>
        </is>
      </c>
      <c r="H64" s="8" t="inlineStr">
        <is>
          <t>REG-NA</t>
        </is>
      </c>
      <c r="I64" s="8" t="inlineStr">
        <is>
          <t>Home Office</t>
        </is>
      </c>
      <c r="J64" s="8" t="inlineStr">
        <is>
          <t>2021-01-31</t>
        </is>
      </c>
      <c r="K64" s="8">
        <f>COUNTIFS('05_Orders'!$C:$C, A64)</f>
        <v/>
      </c>
      <c r="L64" s="9">
        <f>SUMIFS('05_Orders'!$I:$I, '05_Orders'!$C:$C, A64)</f>
        <v/>
      </c>
      <c r="M64" s="8">
        <f>IF(L64&gt;=2000, "Platinum VIP", IF(L64&gt;=1000, "Gold", IF(L64&gt;=500, "Silver", "Standard")))</f>
        <v/>
      </c>
    </row>
    <row r="65">
      <c r="A65" s="8" t="inlineStr">
        <is>
          <t>CUST-00061</t>
        </is>
      </c>
      <c r="B65" s="8" t="inlineStr">
        <is>
          <t>Margaret Long</t>
        </is>
      </c>
      <c r="C65" s="8" t="inlineStr">
        <is>
          <t>Male</t>
        </is>
      </c>
      <c r="D65" s="8" t="n">
        <v>22</v>
      </c>
      <c r="E65" s="8">
        <f>IF(D65&lt;25, "18-24", IF(D65&lt;35, "25-34", IF(D65&lt;50, "35-49", "50+")))</f>
        <v/>
      </c>
      <c r="F65" s="8" t="inlineStr">
        <is>
          <t>Toronto</t>
        </is>
      </c>
      <c r="G65" s="8" t="inlineStr">
        <is>
          <t>Ontario</t>
        </is>
      </c>
      <c r="H65" s="8" t="inlineStr">
        <is>
          <t>REG-NA</t>
        </is>
      </c>
      <c r="I65" s="8" t="inlineStr">
        <is>
          <t>Home Office</t>
        </is>
      </c>
      <c r="J65" s="8" t="inlineStr">
        <is>
          <t>2023-10-01</t>
        </is>
      </c>
      <c r="K65" s="8">
        <f>COUNTIFS('05_Orders'!$C:$C, A65)</f>
        <v/>
      </c>
      <c r="L65" s="9">
        <f>SUMIFS('05_Orders'!$I:$I, '05_Orders'!$C:$C, A65)</f>
        <v/>
      </c>
      <c r="M65" s="8">
        <f>IF(L65&gt;=2000, "Platinum VIP", IF(L65&gt;=1000, "Gold", IF(L65&gt;=500, "Silver", "Standard")))</f>
        <v/>
      </c>
    </row>
    <row r="66">
      <c r="A66" s="8" t="inlineStr">
        <is>
          <t>CUST-00062</t>
        </is>
      </c>
      <c r="B66" s="8" t="inlineStr">
        <is>
          <t>Heather Garcia</t>
        </is>
      </c>
      <c r="C66" s="8" t="inlineStr">
        <is>
          <t>Other</t>
        </is>
      </c>
      <c r="D66" s="8" t="n">
        <v>65</v>
      </c>
      <c r="E66" s="8">
        <f>IF(D66&lt;25, "18-24", IF(D66&lt;35, "25-34", IF(D66&lt;50, "35-49", "50+")))</f>
        <v/>
      </c>
      <c r="F66" s="8" t="inlineStr">
        <is>
          <t>Hong Kong</t>
        </is>
      </c>
      <c r="G66" s="8" t="inlineStr">
        <is>
          <t>Hong Kong</t>
        </is>
      </c>
      <c r="H66" s="8" t="inlineStr">
        <is>
          <t>REG-APAC</t>
        </is>
      </c>
      <c r="I66" s="8" t="inlineStr">
        <is>
          <t>Consumer</t>
        </is>
      </c>
      <c r="J66" s="8" t="inlineStr">
        <is>
          <t>2025-03-01</t>
        </is>
      </c>
      <c r="K66" s="8">
        <f>COUNTIFS('05_Orders'!$C:$C, A66)</f>
        <v/>
      </c>
      <c r="L66" s="9">
        <f>SUMIFS('05_Orders'!$I:$I, '05_Orders'!$C:$C, A66)</f>
        <v/>
      </c>
      <c r="M66" s="8">
        <f>IF(L66&gt;=2000, "Platinum VIP", IF(L66&gt;=1000, "Gold", IF(L66&gt;=500, "Silver", "Standard")))</f>
        <v/>
      </c>
    </row>
    <row r="67">
      <c r="A67" s="8" t="inlineStr">
        <is>
          <t>CUST-00063</t>
        </is>
      </c>
      <c r="B67" s="8" t="inlineStr">
        <is>
          <t>Robert Gutierrez</t>
        </is>
      </c>
      <c r="C67" s="8" t="inlineStr">
        <is>
          <t>Male</t>
        </is>
      </c>
      <c r="D67" s="8" t="n">
        <v>46</v>
      </c>
      <c r="E67" s="8">
        <f>IF(D67&lt;25, "18-24", IF(D67&lt;35, "25-34", IF(D67&lt;50, "35-49", "50+")))</f>
        <v/>
      </c>
      <c r="F67" s="8" t="inlineStr">
        <is>
          <t>London</t>
        </is>
      </c>
      <c r="G67" s="8" t="inlineStr">
        <is>
          <t>Greater London</t>
        </is>
      </c>
      <c r="H67" s="8" t="inlineStr">
        <is>
          <t>REG-EU</t>
        </is>
      </c>
      <c r="I67" s="8" t="inlineStr">
        <is>
          <t>Home Office</t>
        </is>
      </c>
      <c r="J67" s="8" t="inlineStr">
        <is>
          <t>2022-05-19</t>
        </is>
      </c>
      <c r="K67" s="8">
        <f>COUNTIFS('05_Orders'!$C:$C, A67)</f>
        <v/>
      </c>
      <c r="L67" s="9">
        <f>SUMIFS('05_Orders'!$I:$I, '05_Orders'!$C:$C, A67)</f>
        <v/>
      </c>
      <c r="M67" s="8">
        <f>IF(L67&gt;=2000, "Platinum VIP", IF(L67&gt;=1000, "Gold", IF(L67&gt;=500, "Silver", "Standard")))</f>
        <v/>
      </c>
    </row>
    <row r="68">
      <c r="A68" s="8" t="inlineStr">
        <is>
          <t>CUST-00064</t>
        </is>
      </c>
      <c r="B68" s="8" t="inlineStr">
        <is>
          <t>Jonathan Ross</t>
        </is>
      </c>
      <c r="C68" s="8" t="inlineStr">
        <is>
          <t>Other</t>
        </is>
      </c>
      <c r="D68" s="8" t="n">
        <v>21</v>
      </c>
      <c r="E68" s="8">
        <f>IF(D68&lt;25, "18-24", IF(D68&lt;35, "25-34", IF(D68&lt;50, "35-49", "50+")))</f>
        <v/>
      </c>
      <c r="F68" s="8" t="inlineStr">
        <is>
          <t>Toronto</t>
        </is>
      </c>
      <c r="G68" s="8" t="inlineStr">
        <is>
          <t>Ontario</t>
        </is>
      </c>
      <c r="H68" s="8" t="inlineStr">
        <is>
          <t>REG-NA</t>
        </is>
      </c>
      <c r="I68" s="8" t="inlineStr">
        <is>
          <t>Consumer</t>
        </is>
      </c>
      <c r="J68" s="8" t="inlineStr">
        <is>
          <t>2022-09-16</t>
        </is>
      </c>
      <c r="K68" s="8">
        <f>COUNTIFS('05_Orders'!$C:$C, A68)</f>
        <v/>
      </c>
      <c r="L68" s="9">
        <f>SUMIFS('05_Orders'!$I:$I, '05_Orders'!$C:$C, A68)</f>
        <v/>
      </c>
      <c r="M68" s="8">
        <f>IF(L68&gt;=2000, "Platinum VIP", IF(L68&gt;=1000, "Gold", IF(L68&gt;=500, "Silver", "Standard")))</f>
        <v/>
      </c>
    </row>
    <row r="69">
      <c r="A69" s="8" t="inlineStr">
        <is>
          <t>CUST-00065</t>
        </is>
      </c>
      <c r="B69" s="8" t="inlineStr">
        <is>
          <t>Michael Ruiz</t>
        </is>
      </c>
      <c r="C69" s="8" t="inlineStr">
        <is>
          <t>Other</t>
        </is>
      </c>
      <c r="D69" s="8" t="n">
        <v>27</v>
      </c>
      <c r="E69" s="8">
        <f>IF(D69&lt;25, "18-24", IF(D69&lt;35, "25-34", IF(D69&lt;50, "35-49", "50+")))</f>
        <v/>
      </c>
      <c r="F69" s="8" t="inlineStr">
        <is>
          <t>Madrid</t>
        </is>
      </c>
      <c r="G69" s="8" t="inlineStr">
        <is>
          <t>Community of Madrid</t>
        </is>
      </c>
      <c r="H69" s="8" t="inlineStr">
        <is>
          <t>REG-EU</t>
        </is>
      </c>
      <c r="I69" s="8" t="inlineStr">
        <is>
          <t>Consumer</t>
        </is>
      </c>
      <c r="J69" s="8" t="inlineStr">
        <is>
          <t>2023-10-23</t>
        </is>
      </c>
      <c r="K69" s="8">
        <f>COUNTIFS('05_Orders'!$C:$C, A69)</f>
        <v/>
      </c>
      <c r="L69" s="9">
        <f>SUMIFS('05_Orders'!$I:$I, '05_Orders'!$C:$C, A69)</f>
        <v/>
      </c>
      <c r="M69" s="8">
        <f>IF(L69&gt;=2000, "Platinum VIP", IF(L69&gt;=1000, "Gold", IF(L69&gt;=500, "Silver", "Standard")))</f>
        <v/>
      </c>
    </row>
    <row r="70">
      <c r="A70" s="8" t="inlineStr">
        <is>
          <t>CUST-00066</t>
        </is>
      </c>
      <c r="B70" s="8" t="inlineStr">
        <is>
          <t>Sarah Gomez</t>
        </is>
      </c>
      <c r="C70" s="8" t="inlineStr">
        <is>
          <t>Female</t>
        </is>
      </c>
      <c r="D70" s="8" t="n">
        <v>38</v>
      </c>
      <c r="E70" s="8">
        <f>IF(D70&lt;25, "18-24", IF(D70&lt;35, "25-34", IF(D70&lt;50, "35-49", "50+")))</f>
        <v/>
      </c>
      <c r="F70" s="8" t="inlineStr">
        <is>
          <t>Berlin</t>
        </is>
      </c>
      <c r="G70" s="8" t="inlineStr">
        <is>
          <t>Berlin</t>
        </is>
      </c>
      <c r="H70" s="8" t="inlineStr">
        <is>
          <t>REG-EU</t>
        </is>
      </c>
      <c r="I70" s="8" t="inlineStr">
        <is>
          <t>Consumer</t>
        </is>
      </c>
      <c r="J70" s="8" t="inlineStr">
        <is>
          <t>2024-12-30</t>
        </is>
      </c>
      <c r="K70" s="8">
        <f>COUNTIFS('05_Orders'!$C:$C, A70)</f>
        <v/>
      </c>
      <c r="L70" s="9">
        <f>SUMIFS('05_Orders'!$I:$I, '05_Orders'!$C:$C, A70)</f>
        <v/>
      </c>
      <c r="M70" s="8">
        <f>IF(L70&gt;=2000, "Platinum VIP", IF(L70&gt;=1000, "Gold", IF(L70&gt;=500, "Silver", "Standard")))</f>
        <v/>
      </c>
    </row>
    <row r="71">
      <c r="A71" s="8" t="inlineStr">
        <is>
          <t>CUST-00067</t>
        </is>
      </c>
      <c r="B71" s="8" t="inlineStr">
        <is>
          <t>Christine Alvarez</t>
        </is>
      </c>
      <c r="C71" s="8" t="inlineStr">
        <is>
          <t>Male</t>
        </is>
      </c>
      <c r="D71" s="8" t="n">
        <v>63</v>
      </c>
      <c r="E71" s="8">
        <f>IF(D71&lt;25, "18-24", IF(D71&lt;35, "25-34", IF(D71&lt;50, "35-49", "50+")))</f>
        <v/>
      </c>
      <c r="F71" s="8" t="inlineStr">
        <is>
          <t>Tokyo</t>
        </is>
      </c>
      <c r="G71" s="8" t="inlineStr">
        <is>
          <t>Kanto</t>
        </is>
      </c>
      <c r="H71" s="8" t="inlineStr">
        <is>
          <t>REG-APAC</t>
        </is>
      </c>
      <c r="I71" s="8" t="inlineStr">
        <is>
          <t>Consumer</t>
        </is>
      </c>
      <c r="J71" s="8" t="inlineStr">
        <is>
          <t>2023-07-10</t>
        </is>
      </c>
      <c r="K71" s="8">
        <f>COUNTIFS('05_Orders'!$C:$C, A71)</f>
        <v/>
      </c>
      <c r="L71" s="9">
        <f>SUMIFS('05_Orders'!$I:$I, '05_Orders'!$C:$C, A71)</f>
        <v/>
      </c>
      <c r="M71" s="8">
        <f>IF(L71&gt;=2000, "Platinum VIP", IF(L71&gt;=1000, "Gold", IF(L71&gt;=500, "Silver", "Standard")))</f>
        <v/>
      </c>
    </row>
    <row r="72">
      <c r="A72" s="8" t="inlineStr">
        <is>
          <t>CUST-00068</t>
        </is>
      </c>
      <c r="B72" s="8" t="inlineStr">
        <is>
          <t>Angela Ward</t>
        </is>
      </c>
      <c r="C72" s="8" t="inlineStr">
        <is>
          <t>Male</t>
        </is>
      </c>
      <c r="D72" s="8" t="n">
        <v>42</v>
      </c>
      <c r="E72" s="8">
        <f>IF(D72&lt;25, "18-24", IF(D72&lt;35, "25-34", IF(D72&lt;50, "35-49", "50+")))</f>
        <v/>
      </c>
      <c r="F72" s="8" t="inlineStr">
        <is>
          <t>London</t>
        </is>
      </c>
      <c r="G72" s="8" t="inlineStr">
        <is>
          <t>Greater London</t>
        </is>
      </c>
      <c r="H72" s="8" t="inlineStr">
        <is>
          <t>REG-EU</t>
        </is>
      </c>
      <c r="I72" s="8" t="inlineStr">
        <is>
          <t>Home Office</t>
        </is>
      </c>
      <c r="J72" s="8" t="inlineStr">
        <is>
          <t>2022-11-18</t>
        </is>
      </c>
      <c r="K72" s="8">
        <f>COUNTIFS('05_Orders'!$C:$C, A72)</f>
        <v/>
      </c>
      <c r="L72" s="9">
        <f>SUMIFS('05_Orders'!$I:$I, '05_Orders'!$C:$C, A72)</f>
        <v/>
      </c>
      <c r="M72" s="8">
        <f>IF(L72&gt;=2000, "Platinum VIP", IF(L72&gt;=1000, "Gold", IF(L72&gt;=500, "Silver", "Standard")))</f>
        <v/>
      </c>
    </row>
    <row r="73">
      <c r="A73" s="8" t="inlineStr">
        <is>
          <t>CUST-00069</t>
        </is>
      </c>
      <c r="B73" s="8" t="inlineStr">
        <is>
          <t>Daniel Foster</t>
        </is>
      </c>
      <c r="C73" s="8" t="inlineStr">
        <is>
          <t>Other</t>
        </is>
      </c>
      <c r="D73" s="8" t="n">
        <v>21</v>
      </c>
      <c r="E73" s="8">
        <f>IF(D73&lt;25, "18-24", IF(D73&lt;35, "25-34", IF(D73&lt;50, "35-49", "50+")))</f>
        <v/>
      </c>
      <c r="F73" s="8" t="inlineStr">
        <is>
          <t>Phoenix</t>
        </is>
      </c>
      <c r="G73" s="8" t="inlineStr">
        <is>
          <t>Arizona</t>
        </is>
      </c>
      <c r="H73" s="8" t="inlineStr">
        <is>
          <t>REG-NA</t>
        </is>
      </c>
      <c r="I73" s="8" t="inlineStr">
        <is>
          <t>Corporate</t>
        </is>
      </c>
      <c r="J73" s="8" t="inlineStr">
        <is>
          <t>2023-07-03</t>
        </is>
      </c>
      <c r="K73" s="8">
        <f>COUNTIFS('05_Orders'!$C:$C, A73)</f>
        <v/>
      </c>
      <c r="L73" s="9">
        <f>SUMIFS('05_Orders'!$I:$I, '05_Orders'!$C:$C, A73)</f>
        <v/>
      </c>
      <c r="M73" s="8">
        <f>IF(L73&gt;=2000, "Platinum VIP", IF(L73&gt;=1000, "Gold", IF(L73&gt;=500, "Silver", "Standard")))</f>
        <v/>
      </c>
    </row>
    <row r="74">
      <c r="A74" s="8" t="inlineStr">
        <is>
          <t>CUST-00070</t>
        </is>
      </c>
      <c r="B74" s="8" t="inlineStr">
        <is>
          <t>James Richardson</t>
        </is>
      </c>
      <c r="C74" s="8" t="inlineStr">
        <is>
          <t>Female</t>
        </is>
      </c>
      <c r="D74" s="8" t="n">
        <v>18</v>
      </c>
      <c r="E74" s="8">
        <f>IF(D74&lt;25, "18-24", IF(D74&lt;35, "25-34", IF(D74&lt;50, "35-49", "50+")))</f>
        <v/>
      </c>
      <c r="F74" s="8" t="inlineStr">
        <is>
          <t>Madrid</t>
        </is>
      </c>
      <c r="G74" s="8" t="inlineStr">
        <is>
          <t>Community of Madrid</t>
        </is>
      </c>
      <c r="H74" s="8" t="inlineStr">
        <is>
          <t>REG-EU</t>
        </is>
      </c>
      <c r="I74" s="8" t="inlineStr">
        <is>
          <t>Corporate</t>
        </is>
      </c>
      <c r="J74" s="8" t="inlineStr">
        <is>
          <t>2021-01-12</t>
        </is>
      </c>
      <c r="K74" s="8">
        <f>COUNTIFS('05_Orders'!$C:$C, A74)</f>
        <v/>
      </c>
      <c r="L74" s="9">
        <f>SUMIFS('05_Orders'!$I:$I, '05_Orders'!$C:$C, A74)</f>
        <v/>
      </c>
      <c r="M74" s="8">
        <f>IF(L74&gt;=2000, "Platinum VIP", IF(L74&gt;=1000, "Gold", IF(L74&gt;=500, "Silver", "Standard")))</f>
        <v/>
      </c>
    </row>
    <row r="75">
      <c r="A75" s="8" t="inlineStr">
        <is>
          <t>CUST-00071</t>
        </is>
      </c>
      <c r="B75" s="8" t="inlineStr">
        <is>
          <t>Jacob Evans</t>
        </is>
      </c>
      <c r="C75" s="8" t="inlineStr">
        <is>
          <t>Female</t>
        </is>
      </c>
      <c r="D75" s="8" t="n">
        <v>23</v>
      </c>
      <c r="E75" s="8">
        <f>IF(D75&lt;25, "18-24", IF(D75&lt;35, "25-34", IF(D75&lt;50, "35-49", "50+")))</f>
        <v/>
      </c>
      <c r="F75" s="8" t="inlineStr">
        <is>
          <t>London</t>
        </is>
      </c>
      <c r="G75" s="8" t="inlineStr">
        <is>
          <t>Greater London</t>
        </is>
      </c>
      <c r="H75" s="8" t="inlineStr">
        <is>
          <t>REG-EU</t>
        </is>
      </c>
      <c r="I75" s="8" t="inlineStr">
        <is>
          <t>Consumer</t>
        </is>
      </c>
      <c r="J75" s="8" t="inlineStr">
        <is>
          <t>2024-01-26</t>
        </is>
      </c>
      <c r="K75" s="8">
        <f>COUNTIFS('05_Orders'!$C:$C, A75)</f>
        <v/>
      </c>
      <c r="L75" s="9">
        <f>SUMIFS('05_Orders'!$I:$I, '05_Orders'!$C:$C, A75)</f>
        <v/>
      </c>
      <c r="M75" s="8">
        <f>IF(L75&gt;=2000, "Platinum VIP", IF(L75&gt;=1000, "Gold", IF(L75&gt;=500, "Silver", "Standard")))</f>
        <v/>
      </c>
    </row>
    <row r="76">
      <c r="A76" s="8" t="inlineStr">
        <is>
          <t>CUST-00072</t>
        </is>
      </c>
      <c r="B76" s="8" t="inlineStr">
        <is>
          <t>Lisa Jackson</t>
        </is>
      </c>
      <c r="C76" s="8" t="inlineStr">
        <is>
          <t>Male</t>
        </is>
      </c>
      <c r="D76" s="8" t="n">
        <v>59</v>
      </c>
      <c r="E76" s="8">
        <f>IF(D76&lt;25, "18-24", IF(D76&lt;35, "25-34", IF(D76&lt;50, "35-49", "50+")))</f>
        <v/>
      </c>
      <c r="F76" s="8" t="inlineStr">
        <is>
          <t>Chicago</t>
        </is>
      </c>
      <c r="G76" s="8" t="inlineStr">
        <is>
          <t>Illinois</t>
        </is>
      </c>
      <c r="H76" s="8" t="inlineStr">
        <is>
          <t>REG-NA</t>
        </is>
      </c>
      <c r="I76" s="8" t="inlineStr">
        <is>
          <t>Home Office</t>
        </is>
      </c>
      <c r="J76" s="8" t="inlineStr">
        <is>
          <t>2024-09-28</t>
        </is>
      </c>
      <c r="K76" s="8">
        <f>COUNTIFS('05_Orders'!$C:$C, A76)</f>
        <v/>
      </c>
      <c r="L76" s="9">
        <f>SUMIFS('05_Orders'!$I:$I, '05_Orders'!$C:$C, A76)</f>
        <v/>
      </c>
      <c r="M76" s="8">
        <f>IF(L76&gt;=2000, "Platinum VIP", IF(L76&gt;=1000, "Gold", IF(L76&gt;=500, "Silver", "Standard")))</f>
        <v/>
      </c>
    </row>
    <row r="77">
      <c r="A77" s="8" t="inlineStr">
        <is>
          <t>CUST-00073</t>
        </is>
      </c>
      <c r="B77" s="8" t="inlineStr">
        <is>
          <t>Susan Turner</t>
        </is>
      </c>
      <c r="C77" s="8" t="inlineStr">
        <is>
          <t>Male</t>
        </is>
      </c>
      <c r="D77" s="8" t="n">
        <v>28</v>
      </c>
      <c r="E77" s="8">
        <f>IF(D77&lt;25, "18-24", IF(D77&lt;35, "25-34", IF(D77&lt;50, "35-49", "50+")))</f>
        <v/>
      </c>
      <c r="F77" s="8" t="inlineStr">
        <is>
          <t>Stockholm</t>
        </is>
      </c>
      <c r="G77" s="8" t="inlineStr">
        <is>
          <t>Stockholm County</t>
        </is>
      </c>
      <c r="H77" s="8" t="inlineStr">
        <is>
          <t>REG-EU</t>
        </is>
      </c>
      <c r="I77" s="8" t="inlineStr">
        <is>
          <t>Corporate</t>
        </is>
      </c>
      <c r="J77" s="8" t="inlineStr">
        <is>
          <t>2024-12-04</t>
        </is>
      </c>
      <c r="K77" s="8">
        <f>COUNTIFS('05_Orders'!$C:$C, A77)</f>
        <v/>
      </c>
      <c r="L77" s="9">
        <f>SUMIFS('05_Orders'!$I:$I, '05_Orders'!$C:$C, A77)</f>
        <v/>
      </c>
      <c r="M77" s="8">
        <f>IF(L77&gt;=2000, "Platinum VIP", IF(L77&gt;=1000, "Gold", IF(L77&gt;=500, "Silver", "Standard")))</f>
        <v/>
      </c>
    </row>
    <row r="78">
      <c r="A78" s="8" t="inlineStr">
        <is>
          <t>CUST-00074</t>
        </is>
      </c>
      <c r="B78" s="8" t="inlineStr">
        <is>
          <t>Scott Campbell</t>
        </is>
      </c>
      <c r="C78" s="8" t="inlineStr">
        <is>
          <t>Male</t>
        </is>
      </c>
      <c r="D78" s="8" t="n">
        <v>23</v>
      </c>
      <c r="E78" s="8">
        <f>IF(D78&lt;25, "18-24", IF(D78&lt;35, "25-34", IF(D78&lt;50, "35-49", "50+")))</f>
        <v/>
      </c>
      <c r="F78" s="8" t="inlineStr">
        <is>
          <t>Hong Kong</t>
        </is>
      </c>
      <c r="G78" s="8" t="inlineStr">
        <is>
          <t>Hong Kong</t>
        </is>
      </c>
      <c r="H78" s="8" t="inlineStr">
        <is>
          <t>REG-APAC</t>
        </is>
      </c>
      <c r="I78" s="8" t="inlineStr">
        <is>
          <t>Consumer</t>
        </is>
      </c>
      <c r="J78" s="8" t="inlineStr">
        <is>
          <t>2023-02-16</t>
        </is>
      </c>
      <c r="K78" s="8">
        <f>COUNTIFS('05_Orders'!$C:$C, A78)</f>
        <v/>
      </c>
      <c r="L78" s="9">
        <f>SUMIFS('05_Orders'!$I:$I, '05_Orders'!$C:$C, A78)</f>
        <v/>
      </c>
      <c r="M78" s="8">
        <f>IF(L78&gt;=2000, "Platinum VIP", IF(L78&gt;=1000, "Gold", IF(L78&gt;=500, "Silver", "Standard")))</f>
        <v/>
      </c>
    </row>
    <row r="79">
      <c r="A79" s="8" t="inlineStr">
        <is>
          <t>CUST-00075</t>
        </is>
      </c>
      <c r="B79" s="8" t="inlineStr">
        <is>
          <t>Gary Moore</t>
        </is>
      </c>
      <c r="C79" s="8" t="inlineStr">
        <is>
          <t>Male</t>
        </is>
      </c>
      <c r="D79" s="8" t="n">
        <v>62</v>
      </c>
      <c r="E79" s="8">
        <f>IF(D79&lt;25, "18-24", IF(D79&lt;35, "25-34", IF(D79&lt;50, "35-49", "50+")))</f>
        <v/>
      </c>
      <c r="F79" s="8" t="inlineStr">
        <is>
          <t>Hong Kong</t>
        </is>
      </c>
      <c r="G79" s="8" t="inlineStr">
        <is>
          <t>Hong Kong</t>
        </is>
      </c>
      <c r="H79" s="8" t="inlineStr">
        <is>
          <t>REG-APAC</t>
        </is>
      </c>
      <c r="I79" s="8" t="inlineStr">
        <is>
          <t>Corporate</t>
        </is>
      </c>
      <c r="J79" s="8" t="inlineStr">
        <is>
          <t>2023-12-11</t>
        </is>
      </c>
      <c r="K79" s="8">
        <f>COUNTIFS('05_Orders'!$C:$C, A79)</f>
        <v/>
      </c>
      <c r="L79" s="9">
        <f>SUMIFS('05_Orders'!$I:$I, '05_Orders'!$C:$C, A79)</f>
        <v/>
      </c>
      <c r="M79" s="8">
        <f>IF(L79&gt;=2000, "Platinum VIP", IF(L79&gt;=1000, "Gold", IF(L79&gt;=500, "Silver", "Standard")))</f>
        <v/>
      </c>
    </row>
    <row r="80">
      <c r="A80" s="8" t="inlineStr">
        <is>
          <t>CUST-00076</t>
        </is>
      </c>
      <c r="B80" s="8" t="inlineStr">
        <is>
          <t>Samuel Ortiz</t>
        </is>
      </c>
      <c r="C80" s="8" t="inlineStr">
        <is>
          <t>Male</t>
        </is>
      </c>
      <c r="D80" s="8" t="n">
        <v>48</v>
      </c>
      <c r="E80" s="8">
        <f>IF(D80&lt;25, "18-24", IF(D80&lt;35, "25-34", IF(D80&lt;50, "35-49", "50+")))</f>
        <v/>
      </c>
      <c r="F80" s="8" t="inlineStr">
        <is>
          <t>Auckland</t>
        </is>
      </c>
      <c r="G80" s="8" t="inlineStr">
        <is>
          <t>Auckland Region</t>
        </is>
      </c>
      <c r="H80" s="8" t="inlineStr">
        <is>
          <t>REG-APAC</t>
        </is>
      </c>
      <c r="I80" s="8" t="inlineStr">
        <is>
          <t>Enterprise</t>
        </is>
      </c>
      <c r="J80" s="8" t="inlineStr">
        <is>
          <t>2024-12-18</t>
        </is>
      </c>
      <c r="K80" s="8">
        <f>COUNTIFS('05_Orders'!$C:$C, A80)</f>
        <v/>
      </c>
      <c r="L80" s="9">
        <f>SUMIFS('05_Orders'!$I:$I, '05_Orders'!$C:$C, A80)</f>
        <v/>
      </c>
      <c r="M80" s="8">
        <f>IF(L80&gt;=2000, "Platinum VIP", IF(L80&gt;=1000, "Gold", IF(L80&gt;=500, "Silver", "Standard")))</f>
        <v/>
      </c>
    </row>
    <row r="81">
      <c r="A81" s="8" t="inlineStr">
        <is>
          <t>CUST-00077</t>
        </is>
      </c>
      <c r="B81" s="8" t="inlineStr">
        <is>
          <t>Samantha Rivera</t>
        </is>
      </c>
      <c r="C81" s="8" t="inlineStr">
        <is>
          <t>Male</t>
        </is>
      </c>
      <c r="D81" s="8" t="n">
        <v>57</v>
      </c>
      <c r="E81" s="8">
        <f>IF(D81&lt;25, "18-24", IF(D81&lt;35, "25-34", IF(D81&lt;50, "35-49", "50+")))</f>
        <v/>
      </c>
      <c r="F81" s="8" t="inlineStr">
        <is>
          <t>Dublin</t>
        </is>
      </c>
      <c r="G81" s="8" t="inlineStr">
        <is>
          <t>Leinster</t>
        </is>
      </c>
      <c r="H81" s="8" t="inlineStr">
        <is>
          <t>REG-EU</t>
        </is>
      </c>
      <c r="I81" s="8" t="inlineStr">
        <is>
          <t>Corporate</t>
        </is>
      </c>
      <c r="J81" s="8" t="inlineStr">
        <is>
          <t>2023-10-17</t>
        </is>
      </c>
      <c r="K81" s="8">
        <f>COUNTIFS('05_Orders'!$C:$C, A81)</f>
        <v/>
      </c>
      <c r="L81" s="9">
        <f>SUMIFS('05_Orders'!$I:$I, '05_Orders'!$C:$C, A81)</f>
        <v/>
      </c>
      <c r="M81" s="8">
        <f>IF(L81&gt;=2000, "Platinum VIP", IF(L81&gt;=1000, "Gold", IF(L81&gt;=500, "Silver", "Standard")))</f>
        <v/>
      </c>
    </row>
    <row r="82">
      <c r="A82" s="8" t="inlineStr">
        <is>
          <t>CUST-00078</t>
        </is>
      </c>
      <c r="B82" s="8" t="inlineStr">
        <is>
          <t>Matthew Smith</t>
        </is>
      </c>
      <c r="C82" s="8" t="inlineStr">
        <is>
          <t>Male</t>
        </is>
      </c>
      <c r="D82" s="8" t="n">
        <v>19</v>
      </c>
      <c r="E82" s="8">
        <f>IF(D82&lt;25, "18-24", IF(D82&lt;35, "25-34", IF(D82&lt;50, "35-49", "50+")))</f>
        <v/>
      </c>
      <c r="F82" s="8" t="inlineStr">
        <is>
          <t>Manchester</t>
        </is>
      </c>
      <c r="G82" s="8" t="inlineStr">
        <is>
          <t>Greater Manchester</t>
        </is>
      </c>
      <c r="H82" s="8" t="inlineStr">
        <is>
          <t>REG-EU</t>
        </is>
      </c>
      <c r="I82" s="8" t="inlineStr">
        <is>
          <t>Corporate</t>
        </is>
      </c>
      <c r="J82" s="8" t="inlineStr">
        <is>
          <t>2022-03-01</t>
        </is>
      </c>
      <c r="K82" s="8">
        <f>COUNTIFS('05_Orders'!$C:$C, A82)</f>
        <v/>
      </c>
      <c r="L82" s="9">
        <f>SUMIFS('05_Orders'!$I:$I, '05_Orders'!$C:$C, A82)</f>
        <v/>
      </c>
      <c r="M82" s="8">
        <f>IF(L82&gt;=2000, "Platinum VIP", IF(L82&gt;=1000, "Gold", IF(L82&gt;=500, "Silver", "Standard")))</f>
        <v/>
      </c>
    </row>
    <row r="83">
      <c r="A83" s="8" t="inlineStr">
        <is>
          <t>CUST-00079</t>
        </is>
      </c>
      <c r="B83" s="8" t="inlineStr">
        <is>
          <t>Brenda Brooks</t>
        </is>
      </c>
      <c r="C83" s="8" t="inlineStr">
        <is>
          <t>Male</t>
        </is>
      </c>
      <c r="D83" s="8" t="n">
        <v>18</v>
      </c>
      <c r="E83" s="8">
        <f>IF(D83&lt;25, "18-24", IF(D83&lt;35, "25-34", IF(D83&lt;50, "35-49", "50+")))</f>
        <v/>
      </c>
      <c r="F83" s="8" t="inlineStr">
        <is>
          <t>Paris</t>
        </is>
      </c>
      <c r="G83" s="8" t="inlineStr">
        <is>
          <t>Ile-de-France</t>
        </is>
      </c>
      <c r="H83" s="8" t="inlineStr">
        <is>
          <t>REG-EU</t>
        </is>
      </c>
      <c r="I83" s="8" t="inlineStr">
        <is>
          <t>Consumer</t>
        </is>
      </c>
      <c r="J83" s="8" t="inlineStr">
        <is>
          <t>2021-05-19</t>
        </is>
      </c>
      <c r="K83" s="8">
        <f>COUNTIFS('05_Orders'!$C:$C, A83)</f>
        <v/>
      </c>
      <c r="L83" s="9">
        <f>SUMIFS('05_Orders'!$I:$I, '05_Orders'!$C:$C, A83)</f>
        <v/>
      </c>
      <c r="M83" s="8">
        <f>IF(L83&gt;=2000, "Platinum VIP", IF(L83&gt;=1000, "Gold", IF(L83&gt;=500, "Silver", "Standard")))</f>
        <v/>
      </c>
    </row>
    <row r="84">
      <c r="A84" s="8" t="inlineStr">
        <is>
          <t>CUST-00080</t>
        </is>
      </c>
      <c r="B84" s="8" t="inlineStr">
        <is>
          <t>Rachel Nelson</t>
        </is>
      </c>
      <c r="C84" s="8" t="inlineStr">
        <is>
          <t>Female</t>
        </is>
      </c>
      <c r="D84" s="8" t="n">
        <v>43</v>
      </c>
      <c r="E84" s="8">
        <f>IF(D84&lt;25, "18-24", IF(D84&lt;35, "25-34", IF(D84&lt;50, "35-49", "50+")))</f>
        <v/>
      </c>
      <c r="F84" s="8" t="inlineStr">
        <is>
          <t>Auckland</t>
        </is>
      </c>
      <c r="G84" s="8" t="inlineStr">
        <is>
          <t>Auckland Region</t>
        </is>
      </c>
      <c r="H84" s="8" t="inlineStr">
        <is>
          <t>REG-APAC</t>
        </is>
      </c>
      <c r="I84" s="8" t="inlineStr">
        <is>
          <t>Enterprise</t>
        </is>
      </c>
      <c r="J84" s="8" t="inlineStr">
        <is>
          <t>2021-12-26</t>
        </is>
      </c>
      <c r="K84" s="8">
        <f>COUNTIFS('05_Orders'!$C:$C, A84)</f>
        <v/>
      </c>
      <c r="L84" s="9">
        <f>SUMIFS('05_Orders'!$I:$I, '05_Orders'!$C:$C, A84)</f>
        <v/>
      </c>
      <c r="M84" s="8">
        <f>IF(L84&gt;=2000, "Platinum VIP", IF(L84&gt;=1000, "Gold", IF(L84&gt;=500, "Silver", "Standard")))</f>
        <v/>
      </c>
    </row>
    <row r="85">
      <c r="A85" s="8" t="inlineStr">
        <is>
          <t>CUST-00081</t>
        </is>
      </c>
      <c r="B85" s="8" t="inlineStr">
        <is>
          <t>Gary Jones</t>
        </is>
      </c>
      <c r="C85" s="8" t="inlineStr">
        <is>
          <t>Other</t>
        </is>
      </c>
      <c r="D85" s="8" t="n">
        <v>26</v>
      </c>
      <c r="E85" s="8">
        <f>IF(D85&lt;25, "18-24", IF(D85&lt;35, "25-34", IF(D85&lt;50, "35-49", "50+")))</f>
        <v/>
      </c>
      <c r="F85" s="8" t="inlineStr">
        <is>
          <t>Madrid</t>
        </is>
      </c>
      <c r="G85" s="8" t="inlineStr">
        <is>
          <t>Community of Madrid</t>
        </is>
      </c>
      <c r="H85" s="8" t="inlineStr">
        <is>
          <t>REG-EU</t>
        </is>
      </c>
      <c r="I85" s="8" t="inlineStr">
        <is>
          <t>Home Office</t>
        </is>
      </c>
      <c r="J85" s="8" t="inlineStr">
        <is>
          <t>2024-01-05</t>
        </is>
      </c>
      <c r="K85" s="8">
        <f>COUNTIFS('05_Orders'!$C:$C, A85)</f>
        <v/>
      </c>
      <c r="L85" s="9">
        <f>SUMIFS('05_Orders'!$I:$I, '05_Orders'!$C:$C, A85)</f>
        <v/>
      </c>
      <c r="M85" s="8">
        <f>IF(L85&gt;=2000, "Platinum VIP", IF(L85&gt;=1000, "Gold", IF(L85&gt;=500, "Silver", "Standard")))</f>
        <v/>
      </c>
    </row>
    <row r="86">
      <c r="A86" s="8" t="inlineStr">
        <is>
          <t>CUST-00082</t>
        </is>
      </c>
      <c r="B86" s="8" t="inlineStr">
        <is>
          <t>Linda Gutierrez</t>
        </is>
      </c>
      <c r="C86" s="8" t="inlineStr">
        <is>
          <t>Female</t>
        </is>
      </c>
      <c r="D86" s="8" t="n">
        <v>54</v>
      </c>
      <c r="E86" s="8">
        <f>IF(D86&lt;25, "18-24", IF(D86&lt;35, "25-34", IF(D86&lt;50, "35-49", "50+")))</f>
        <v/>
      </c>
      <c r="F86" s="8" t="inlineStr">
        <is>
          <t>Hong Kong</t>
        </is>
      </c>
      <c r="G86" s="8" t="inlineStr">
        <is>
          <t>Hong Kong</t>
        </is>
      </c>
      <c r="H86" s="8" t="inlineStr">
        <is>
          <t>REG-APAC</t>
        </is>
      </c>
      <c r="I86" s="8" t="inlineStr">
        <is>
          <t>Corporate</t>
        </is>
      </c>
      <c r="J86" s="8" t="inlineStr">
        <is>
          <t>2021-02-08</t>
        </is>
      </c>
      <c r="K86" s="8">
        <f>COUNTIFS('05_Orders'!$C:$C, A86)</f>
        <v/>
      </c>
      <c r="L86" s="9">
        <f>SUMIFS('05_Orders'!$I:$I, '05_Orders'!$C:$C, A86)</f>
        <v/>
      </c>
      <c r="M86" s="8">
        <f>IF(L86&gt;=2000, "Platinum VIP", IF(L86&gt;=1000, "Gold", IF(L86&gt;=500, "Silver", "Standard")))</f>
        <v/>
      </c>
    </row>
    <row r="87">
      <c r="A87" s="8" t="inlineStr">
        <is>
          <t>CUST-00083</t>
        </is>
      </c>
      <c r="B87" s="8" t="inlineStr">
        <is>
          <t>Melissa Rodriguez</t>
        </is>
      </c>
      <c r="C87" s="8" t="inlineStr">
        <is>
          <t>Male</t>
        </is>
      </c>
      <c r="D87" s="8" t="n">
        <v>35</v>
      </c>
      <c r="E87" s="8">
        <f>IF(D87&lt;25, "18-24", IF(D87&lt;35, "25-34", IF(D87&lt;50, "35-49", "50+")))</f>
        <v/>
      </c>
      <c r="F87" s="8" t="inlineStr">
        <is>
          <t>Hong Kong</t>
        </is>
      </c>
      <c r="G87" s="8" t="inlineStr">
        <is>
          <t>Hong Kong</t>
        </is>
      </c>
      <c r="H87" s="8" t="inlineStr">
        <is>
          <t>REG-APAC</t>
        </is>
      </c>
      <c r="I87" s="8" t="inlineStr">
        <is>
          <t>Enterprise</t>
        </is>
      </c>
      <c r="J87" s="8" t="inlineStr">
        <is>
          <t>2024-07-07</t>
        </is>
      </c>
      <c r="K87" s="8">
        <f>COUNTIFS('05_Orders'!$C:$C, A87)</f>
        <v/>
      </c>
      <c r="L87" s="9">
        <f>SUMIFS('05_Orders'!$I:$I, '05_Orders'!$C:$C, A87)</f>
        <v/>
      </c>
      <c r="M87" s="8">
        <f>IF(L87&gt;=2000, "Platinum VIP", IF(L87&gt;=1000, "Gold", IF(L87&gt;=500, "Silver", "Standard")))</f>
        <v/>
      </c>
    </row>
    <row r="88">
      <c r="A88" s="8" t="inlineStr">
        <is>
          <t>CUST-00084</t>
        </is>
      </c>
      <c r="B88" s="8" t="inlineStr">
        <is>
          <t>Joseph Long</t>
        </is>
      </c>
      <c r="C88" s="8" t="inlineStr">
        <is>
          <t>Female</t>
        </is>
      </c>
      <c r="D88" s="8" t="n">
        <v>63</v>
      </c>
      <c r="E88" s="8">
        <f>IF(D88&lt;25, "18-24", IF(D88&lt;35, "25-34", IF(D88&lt;50, "35-49", "50+")))</f>
        <v/>
      </c>
      <c r="F88" s="8" t="inlineStr">
        <is>
          <t>Singapore</t>
        </is>
      </c>
      <c r="G88" s="8" t="inlineStr">
        <is>
          <t>Central</t>
        </is>
      </c>
      <c r="H88" s="8" t="inlineStr">
        <is>
          <t>REG-APAC</t>
        </is>
      </c>
      <c r="I88" s="8" t="inlineStr">
        <is>
          <t>Consumer</t>
        </is>
      </c>
      <c r="J88" s="8" t="inlineStr">
        <is>
          <t>2021-06-27</t>
        </is>
      </c>
      <c r="K88" s="8">
        <f>COUNTIFS('05_Orders'!$C:$C, A88)</f>
        <v/>
      </c>
      <c r="L88" s="9">
        <f>SUMIFS('05_Orders'!$I:$I, '05_Orders'!$C:$C, A88)</f>
        <v/>
      </c>
      <c r="M88" s="8">
        <f>IF(L88&gt;=2000, "Platinum VIP", IF(L88&gt;=1000, "Gold", IF(L88&gt;=500, "Silver", "Standard")))</f>
        <v/>
      </c>
    </row>
    <row r="89">
      <c r="A89" s="8" t="inlineStr">
        <is>
          <t>CUST-00085</t>
        </is>
      </c>
      <c r="B89" s="8" t="inlineStr">
        <is>
          <t>Betty Ortiz</t>
        </is>
      </c>
      <c r="C89" s="8" t="inlineStr">
        <is>
          <t>Female</t>
        </is>
      </c>
      <c r="D89" s="8" t="n">
        <v>29</v>
      </c>
      <c r="E89" s="8">
        <f>IF(D89&lt;25, "18-24", IF(D89&lt;35, "25-34", IF(D89&lt;50, "35-49", "50+")))</f>
        <v/>
      </c>
      <c r="F89" s="8" t="inlineStr">
        <is>
          <t>New York</t>
        </is>
      </c>
      <c r="G89" s="8" t="inlineStr">
        <is>
          <t>New York</t>
        </is>
      </c>
      <c r="H89" s="8" t="inlineStr">
        <is>
          <t>REG-NA</t>
        </is>
      </c>
      <c r="I89" s="8" t="inlineStr">
        <is>
          <t>Home Office</t>
        </is>
      </c>
      <c r="J89" s="8" t="inlineStr">
        <is>
          <t>2021-07-09</t>
        </is>
      </c>
      <c r="K89" s="8">
        <f>COUNTIFS('05_Orders'!$C:$C, A89)</f>
        <v/>
      </c>
      <c r="L89" s="9">
        <f>SUMIFS('05_Orders'!$I:$I, '05_Orders'!$C:$C, A89)</f>
        <v/>
      </c>
      <c r="M89" s="8">
        <f>IF(L89&gt;=2000, "Platinum VIP", IF(L89&gt;=1000, "Gold", IF(L89&gt;=500, "Silver", "Standard")))</f>
        <v/>
      </c>
    </row>
    <row r="90">
      <c r="A90" s="8" t="inlineStr">
        <is>
          <t>CUST-00086</t>
        </is>
      </c>
      <c r="B90" s="8" t="inlineStr">
        <is>
          <t>Matthew Baker</t>
        </is>
      </c>
      <c r="C90" s="8" t="inlineStr">
        <is>
          <t>Female</t>
        </is>
      </c>
      <c r="D90" s="8" t="n">
        <v>64</v>
      </c>
      <c r="E90" s="8">
        <f>IF(D90&lt;25, "18-24", IF(D90&lt;35, "25-34", IF(D90&lt;50, "35-49", "50+")))</f>
        <v/>
      </c>
      <c r="F90" s="8" t="inlineStr">
        <is>
          <t>Melbourne</t>
        </is>
      </c>
      <c r="G90" s="8" t="inlineStr">
        <is>
          <t>Victoria</t>
        </is>
      </c>
      <c r="H90" s="8" t="inlineStr">
        <is>
          <t>REG-APAC</t>
        </is>
      </c>
      <c r="I90" s="8" t="inlineStr">
        <is>
          <t>Home Office</t>
        </is>
      </c>
      <c r="J90" s="8" t="inlineStr">
        <is>
          <t>2021-10-21</t>
        </is>
      </c>
      <c r="K90" s="8">
        <f>COUNTIFS('05_Orders'!$C:$C, A90)</f>
        <v/>
      </c>
      <c r="L90" s="9">
        <f>SUMIFS('05_Orders'!$I:$I, '05_Orders'!$C:$C, A90)</f>
        <v/>
      </c>
      <c r="M90" s="8">
        <f>IF(L90&gt;=2000, "Platinum VIP", IF(L90&gt;=1000, "Gold", IF(L90&gt;=500, "Silver", "Standard")))</f>
        <v/>
      </c>
    </row>
    <row r="91">
      <c r="A91" s="8" t="inlineStr">
        <is>
          <t>CUST-00087</t>
        </is>
      </c>
      <c r="B91" s="8" t="inlineStr">
        <is>
          <t>Thomas Clark</t>
        </is>
      </c>
      <c r="C91" s="8" t="inlineStr">
        <is>
          <t>Other</t>
        </is>
      </c>
      <c r="D91" s="8" t="n">
        <v>20</v>
      </c>
      <c r="E91" s="8">
        <f>IF(D91&lt;25, "18-24", IF(D91&lt;35, "25-34", IF(D91&lt;50, "35-49", "50+")))</f>
        <v/>
      </c>
      <c r="F91" s="8" t="inlineStr">
        <is>
          <t>Dublin</t>
        </is>
      </c>
      <c r="G91" s="8" t="inlineStr">
        <is>
          <t>Leinster</t>
        </is>
      </c>
      <c r="H91" s="8" t="inlineStr">
        <is>
          <t>REG-EU</t>
        </is>
      </c>
      <c r="I91" s="8" t="inlineStr">
        <is>
          <t>Consumer</t>
        </is>
      </c>
      <c r="J91" s="8" t="inlineStr">
        <is>
          <t>2022-09-29</t>
        </is>
      </c>
      <c r="K91" s="8">
        <f>COUNTIFS('05_Orders'!$C:$C, A91)</f>
        <v/>
      </c>
      <c r="L91" s="9">
        <f>SUMIFS('05_Orders'!$I:$I, '05_Orders'!$C:$C, A91)</f>
        <v/>
      </c>
      <c r="M91" s="8">
        <f>IF(L91&gt;=2000, "Platinum VIP", IF(L91&gt;=1000, "Gold", IF(L91&gt;=500, "Silver", "Standard")))</f>
        <v/>
      </c>
    </row>
    <row r="92">
      <c r="A92" s="8" t="inlineStr">
        <is>
          <t>CUST-00088</t>
        </is>
      </c>
      <c r="B92" s="8" t="inlineStr">
        <is>
          <t>Kathleen Garcia</t>
        </is>
      </c>
      <c r="C92" s="8" t="inlineStr">
        <is>
          <t>Male</t>
        </is>
      </c>
      <c r="D92" s="8" t="n">
        <v>51</v>
      </c>
      <c r="E92" s="8">
        <f>IF(D92&lt;25, "18-24", IF(D92&lt;35, "25-34", IF(D92&lt;50, "35-49", "50+")))</f>
        <v/>
      </c>
      <c r="F92" s="8" t="inlineStr">
        <is>
          <t>Melbourne</t>
        </is>
      </c>
      <c r="G92" s="8" t="inlineStr">
        <is>
          <t>Victoria</t>
        </is>
      </c>
      <c r="H92" s="8" t="inlineStr">
        <is>
          <t>REG-APAC</t>
        </is>
      </c>
      <c r="I92" s="8" t="inlineStr">
        <is>
          <t>Consumer</t>
        </is>
      </c>
      <c r="J92" s="8" t="inlineStr">
        <is>
          <t>2025-04-03</t>
        </is>
      </c>
      <c r="K92" s="8">
        <f>COUNTIFS('05_Orders'!$C:$C, A92)</f>
        <v/>
      </c>
      <c r="L92" s="9">
        <f>SUMIFS('05_Orders'!$I:$I, '05_Orders'!$C:$C, A92)</f>
        <v/>
      </c>
      <c r="M92" s="8">
        <f>IF(L92&gt;=2000, "Platinum VIP", IF(L92&gt;=1000, "Gold", IF(L92&gt;=500, "Silver", "Standard")))</f>
        <v/>
      </c>
    </row>
    <row r="93">
      <c r="A93" s="8" t="inlineStr">
        <is>
          <t>CUST-00089</t>
        </is>
      </c>
      <c r="B93" s="8" t="inlineStr">
        <is>
          <t>Emily Morgan</t>
        </is>
      </c>
      <c r="C93" s="8" t="inlineStr">
        <is>
          <t>Female</t>
        </is>
      </c>
      <c r="D93" s="8" t="n">
        <v>67</v>
      </c>
      <c r="E93" s="8">
        <f>IF(D93&lt;25, "18-24", IF(D93&lt;35, "25-34", IF(D93&lt;50, "35-49", "50+")))</f>
        <v/>
      </c>
      <c r="F93" s="8" t="inlineStr">
        <is>
          <t>Manchester</t>
        </is>
      </c>
      <c r="G93" s="8" t="inlineStr">
        <is>
          <t>Greater Manchester</t>
        </is>
      </c>
      <c r="H93" s="8" t="inlineStr">
        <is>
          <t>REG-EU</t>
        </is>
      </c>
      <c r="I93" s="8" t="inlineStr">
        <is>
          <t>Consumer</t>
        </is>
      </c>
      <c r="J93" s="8" t="inlineStr">
        <is>
          <t>2021-11-19</t>
        </is>
      </c>
      <c r="K93" s="8">
        <f>COUNTIFS('05_Orders'!$C:$C, A93)</f>
        <v/>
      </c>
      <c r="L93" s="9">
        <f>SUMIFS('05_Orders'!$I:$I, '05_Orders'!$C:$C, A93)</f>
        <v/>
      </c>
      <c r="M93" s="8">
        <f>IF(L93&gt;=2000, "Platinum VIP", IF(L93&gt;=1000, "Gold", IF(L93&gt;=500, "Silver", "Standard")))</f>
        <v/>
      </c>
    </row>
    <row r="94">
      <c r="A94" s="8" t="inlineStr">
        <is>
          <t>CUST-00090</t>
        </is>
      </c>
      <c r="B94" s="8" t="inlineStr">
        <is>
          <t>Anthony Cooper</t>
        </is>
      </c>
      <c r="C94" s="8" t="inlineStr">
        <is>
          <t>Female</t>
        </is>
      </c>
      <c r="D94" s="8" t="n">
        <v>53</v>
      </c>
      <c r="E94" s="8">
        <f>IF(D94&lt;25, "18-24", IF(D94&lt;35, "25-34", IF(D94&lt;50, "35-49", "50+")))</f>
        <v/>
      </c>
      <c r="F94" s="8" t="inlineStr">
        <is>
          <t>Chicago</t>
        </is>
      </c>
      <c r="G94" s="8" t="inlineStr">
        <is>
          <t>Illinois</t>
        </is>
      </c>
      <c r="H94" s="8" t="inlineStr">
        <is>
          <t>REG-NA</t>
        </is>
      </c>
      <c r="I94" s="8" t="inlineStr">
        <is>
          <t>Enterprise</t>
        </is>
      </c>
      <c r="J94" s="8" t="inlineStr">
        <is>
          <t>2022-08-04</t>
        </is>
      </c>
      <c r="K94" s="8">
        <f>COUNTIFS('05_Orders'!$C:$C, A94)</f>
        <v/>
      </c>
      <c r="L94" s="9">
        <f>SUMIFS('05_Orders'!$I:$I, '05_Orders'!$C:$C, A94)</f>
        <v/>
      </c>
      <c r="M94" s="8">
        <f>IF(L94&gt;=2000, "Platinum VIP", IF(L94&gt;=1000, "Gold", IF(L94&gt;=500, "Silver", "Standard")))</f>
        <v/>
      </c>
    </row>
    <row r="95">
      <c r="A95" s="8" t="inlineStr">
        <is>
          <t>CUST-00091</t>
        </is>
      </c>
      <c r="B95" s="8" t="inlineStr">
        <is>
          <t>Anna Cruz</t>
        </is>
      </c>
      <c r="C95" s="8" t="inlineStr">
        <is>
          <t>Male</t>
        </is>
      </c>
      <c r="D95" s="8" t="n">
        <v>26</v>
      </c>
      <c r="E95" s="8">
        <f>IF(D95&lt;25, "18-24", IF(D95&lt;35, "25-34", IF(D95&lt;50, "35-49", "50+")))</f>
        <v/>
      </c>
      <c r="F95" s="8" t="inlineStr">
        <is>
          <t>New York</t>
        </is>
      </c>
      <c r="G95" s="8" t="inlineStr">
        <is>
          <t>New York</t>
        </is>
      </c>
      <c r="H95" s="8" t="inlineStr">
        <is>
          <t>REG-NA</t>
        </is>
      </c>
      <c r="I95" s="8" t="inlineStr">
        <is>
          <t>Consumer</t>
        </is>
      </c>
      <c r="J95" s="8" t="inlineStr">
        <is>
          <t>2021-04-21</t>
        </is>
      </c>
      <c r="K95" s="8">
        <f>COUNTIFS('05_Orders'!$C:$C, A95)</f>
        <v/>
      </c>
      <c r="L95" s="9">
        <f>SUMIFS('05_Orders'!$I:$I, '05_Orders'!$C:$C, A95)</f>
        <v/>
      </c>
      <c r="M95" s="8">
        <f>IF(L95&gt;=2000, "Platinum VIP", IF(L95&gt;=1000, "Gold", IF(L95&gt;=500, "Silver", "Standard")))</f>
        <v/>
      </c>
    </row>
    <row r="96">
      <c r="A96" s="8" t="inlineStr">
        <is>
          <t>CUST-00092</t>
        </is>
      </c>
      <c r="B96" s="8" t="inlineStr">
        <is>
          <t>Samuel Ruiz</t>
        </is>
      </c>
      <c r="C96" s="8" t="inlineStr">
        <is>
          <t>Other</t>
        </is>
      </c>
      <c r="D96" s="8" t="n">
        <v>46</v>
      </c>
      <c r="E96" s="8">
        <f>IF(D96&lt;25, "18-24", IF(D96&lt;35, "25-34", IF(D96&lt;50, "35-49", "50+")))</f>
        <v/>
      </c>
      <c r="F96" s="8" t="inlineStr">
        <is>
          <t>Paris</t>
        </is>
      </c>
      <c r="G96" s="8" t="inlineStr">
        <is>
          <t>Ile-de-France</t>
        </is>
      </c>
      <c r="H96" s="8" t="inlineStr">
        <is>
          <t>REG-EU</t>
        </is>
      </c>
      <c r="I96" s="8" t="inlineStr">
        <is>
          <t>Consumer</t>
        </is>
      </c>
      <c r="J96" s="8" t="inlineStr">
        <is>
          <t>2022-02-10</t>
        </is>
      </c>
      <c r="K96" s="8">
        <f>COUNTIFS('05_Orders'!$C:$C, A96)</f>
        <v/>
      </c>
      <c r="L96" s="9">
        <f>SUMIFS('05_Orders'!$I:$I, '05_Orders'!$C:$C, A96)</f>
        <v/>
      </c>
      <c r="M96" s="8">
        <f>IF(L96&gt;=2000, "Platinum VIP", IF(L96&gt;=1000, "Gold", IF(L96&gt;=500, "Silver", "Standard")))</f>
        <v/>
      </c>
    </row>
    <row r="97">
      <c r="A97" s="8" t="inlineStr">
        <is>
          <t>CUST-00093</t>
        </is>
      </c>
      <c r="B97" s="8" t="inlineStr">
        <is>
          <t>Jerry Ross</t>
        </is>
      </c>
      <c r="C97" s="8" t="inlineStr">
        <is>
          <t>Female</t>
        </is>
      </c>
      <c r="D97" s="8" t="n">
        <v>54</v>
      </c>
      <c r="E97" s="8">
        <f>IF(D97&lt;25, "18-24", IF(D97&lt;35, "25-34", IF(D97&lt;50, "35-49", "50+")))</f>
        <v/>
      </c>
      <c r="F97" s="8" t="inlineStr">
        <is>
          <t>Toronto</t>
        </is>
      </c>
      <c r="G97" s="8" t="inlineStr">
        <is>
          <t>Ontario</t>
        </is>
      </c>
      <c r="H97" s="8" t="inlineStr">
        <is>
          <t>REG-NA</t>
        </is>
      </c>
      <c r="I97" s="8" t="inlineStr">
        <is>
          <t>Consumer</t>
        </is>
      </c>
      <c r="J97" s="8" t="inlineStr">
        <is>
          <t>2022-09-28</t>
        </is>
      </c>
      <c r="K97" s="8">
        <f>COUNTIFS('05_Orders'!$C:$C, A97)</f>
        <v/>
      </c>
      <c r="L97" s="9">
        <f>SUMIFS('05_Orders'!$I:$I, '05_Orders'!$C:$C, A97)</f>
        <v/>
      </c>
      <c r="M97" s="8">
        <f>IF(L97&gt;=2000, "Platinum VIP", IF(L97&gt;=1000, "Gold", IF(L97&gt;=500, "Silver", "Standard")))</f>
        <v/>
      </c>
    </row>
    <row r="98">
      <c r="A98" s="8" t="inlineStr">
        <is>
          <t>CUST-00094</t>
        </is>
      </c>
      <c r="B98" s="8" t="inlineStr">
        <is>
          <t>Mark Jackson</t>
        </is>
      </c>
      <c r="C98" s="8" t="inlineStr">
        <is>
          <t>Other</t>
        </is>
      </c>
      <c r="D98" s="8" t="n">
        <v>34</v>
      </c>
      <c r="E98" s="8">
        <f>IF(D98&lt;25, "18-24", IF(D98&lt;35, "25-34", IF(D98&lt;50, "35-49", "50+")))</f>
        <v/>
      </c>
      <c r="F98" s="8" t="inlineStr">
        <is>
          <t>Buenos Aires</t>
        </is>
      </c>
      <c r="G98" s="8" t="inlineStr">
        <is>
          <t>Buenos Aires</t>
        </is>
      </c>
      <c r="H98" s="8" t="inlineStr">
        <is>
          <t>REG-LATAM</t>
        </is>
      </c>
      <c r="I98" s="8" t="inlineStr">
        <is>
          <t>Consumer</t>
        </is>
      </c>
      <c r="J98" s="8" t="inlineStr">
        <is>
          <t>2024-09-24</t>
        </is>
      </c>
      <c r="K98" s="8">
        <f>COUNTIFS('05_Orders'!$C:$C, A98)</f>
        <v/>
      </c>
      <c r="L98" s="9">
        <f>SUMIFS('05_Orders'!$I:$I, '05_Orders'!$C:$C, A98)</f>
        <v/>
      </c>
      <c r="M98" s="8">
        <f>IF(L98&gt;=2000, "Platinum VIP", IF(L98&gt;=1000, "Gold", IF(L98&gt;=500, "Silver", "Standard")))</f>
        <v/>
      </c>
    </row>
    <row r="99">
      <c r="A99" s="8" t="inlineStr">
        <is>
          <t>CUST-00095</t>
        </is>
      </c>
      <c r="B99" s="8" t="inlineStr">
        <is>
          <t>William Stewart</t>
        </is>
      </c>
      <c r="C99" s="8" t="inlineStr">
        <is>
          <t>Male</t>
        </is>
      </c>
      <c r="D99" s="8" t="n">
        <v>40</v>
      </c>
      <c r="E99" s="8">
        <f>IF(D99&lt;25, "18-24", IF(D99&lt;35, "25-34", IF(D99&lt;50, "35-49", "50+")))</f>
        <v/>
      </c>
      <c r="F99" s="8" t="inlineStr">
        <is>
          <t>Berlin</t>
        </is>
      </c>
      <c r="G99" s="8" t="inlineStr">
        <is>
          <t>Berlin</t>
        </is>
      </c>
      <c r="H99" s="8" t="inlineStr">
        <is>
          <t>REG-EU</t>
        </is>
      </c>
      <c r="I99" s="8" t="inlineStr">
        <is>
          <t>Consumer</t>
        </is>
      </c>
      <c r="J99" s="8" t="inlineStr">
        <is>
          <t>2022-12-15</t>
        </is>
      </c>
      <c r="K99" s="8">
        <f>COUNTIFS('05_Orders'!$C:$C, A99)</f>
        <v/>
      </c>
      <c r="L99" s="9">
        <f>SUMIFS('05_Orders'!$I:$I, '05_Orders'!$C:$C, A99)</f>
        <v/>
      </c>
      <c r="M99" s="8">
        <f>IF(L99&gt;=2000, "Platinum VIP", IF(L99&gt;=1000, "Gold", IF(L99&gt;=500, "Silver", "Standard")))</f>
        <v/>
      </c>
    </row>
    <row r="100">
      <c r="A100" s="8" t="inlineStr">
        <is>
          <t>CUST-00096</t>
        </is>
      </c>
      <c r="B100" s="8" t="inlineStr">
        <is>
          <t>Diane Wilson</t>
        </is>
      </c>
      <c r="C100" s="8" t="inlineStr">
        <is>
          <t>Female</t>
        </is>
      </c>
      <c r="D100" s="8" t="n">
        <v>53</v>
      </c>
      <c r="E100" s="8">
        <f>IF(D100&lt;25, "18-24", IF(D100&lt;35, "25-34", IF(D100&lt;50, "35-49", "50+")))</f>
        <v/>
      </c>
      <c r="F100" s="8" t="inlineStr">
        <is>
          <t>Paris</t>
        </is>
      </c>
      <c r="G100" s="8" t="inlineStr">
        <is>
          <t>Ile-de-France</t>
        </is>
      </c>
      <c r="H100" s="8" t="inlineStr">
        <is>
          <t>REG-EU</t>
        </is>
      </c>
      <c r="I100" s="8" t="inlineStr">
        <is>
          <t>Corporate</t>
        </is>
      </c>
      <c r="J100" s="8" t="inlineStr">
        <is>
          <t>2023-04-01</t>
        </is>
      </c>
      <c r="K100" s="8">
        <f>COUNTIFS('05_Orders'!$C:$C, A100)</f>
        <v/>
      </c>
      <c r="L100" s="9">
        <f>SUMIFS('05_Orders'!$I:$I, '05_Orders'!$C:$C, A100)</f>
        <v/>
      </c>
      <c r="M100" s="8">
        <f>IF(L100&gt;=2000, "Platinum VIP", IF(L100&gt;=1000, "Gold", IF(L100&gt;=500, "Silver", "Standard")))</f>
        <v/>
      </c>
    </row>
    <row r="101">
      <c r="A101" s="8" t="inlineStr">
        <is>
          <t>CUST-00097</t>
        </is>
      </c>
      <c r="B101" s="8" t="inlineStr">
        <is>
          <t>Amy Roberts</t>
        </is>
      </c>
      <c r="C101" s="8" t="inlineStr">
        <is>
          <t>Male</t>
        </is>
      </c>
      <c r="D101" s="8" t="n">
        <v>39</v>
      </c>
      <c r="E101" s="8">
        <f>IF(D101&lt;25, "18-24", IF(D101&lt;35, "25-34", IF(D101&lt;50, "35-49", "50+")))</f>
        <v/>
      </c>
      <c r="F101" s="8" t="inlineStr">
        <is>
          <t>Denver</t>
        </is>
      </c>
      <c r="G101" s="8" t="inlineStr">
        <is>
          <t>Colorado</t>
        </is>
      </c>
      <c r="H101" s="8" t="inlineStr">
        <is>
          <t>REG-NA</t>
        </is>
      </c>
      <c r="I101" s="8" t="inlineStr">
        <is>
          <t>Consumer</t>
        </is>
      </c>
      <c r="J101" s="8" t="inlineStr">
        <is>
          <t>2023-06-11</t>
        </is>
      </c>
      <c r="K101" s="8">
        <f>COUNTIFS('05_Orders'!$C:$C, A101)</f>
        <v/>
      </c>
      <c r="L101" s="9">
        <f>SUMIFS('05_Orders'!$I:$I, '05_Orders'!$C:$C, A101)</f>
        <v/>
      </c>
      <c r="M101" s="8">
        <f>IF(L101&gt;=2000, "Platinum VIP", IF(L101&gt;=1000, "Gold", IF(L101&gt;=500, "Silver", "Standard")))</f>
        <v/>
      </c>
    </row>
    <row r="102">
      <c r="A102" s="8" t="inlineStr">
        <is>
          <t>CUST-00098</t>
        </is>
      </c>
      <c r="B102" s="8" t="inlineStr">
        <is>
          <t>Debra Martinez</t>
        </is>
      </c>
      <c r="C102" s="8" t="inlineStr">
        <is>
          <t>Other</t>
        </is>
      </c>
      <c r="D102" s="8" t="n">
        <v>63</v>
      </c>
      <c r="E102" s="8">
        <f>IF(D102&lt;25, "18-24", IF(D102&lt;35, "25-34", IF(D102&lt;50, "35-49", "50+")))</f>
        <v/>
      </c>
      <c r="F102" s="8" t="inlineStr">
        <is>
          <t>Madrid</t>
        </is>
      </c>
      <c r="G102" s="8" t="inlineStr">
        <is>
          <t>Community of Madrid</t>
        </is>
      </c>
      <c r="H102" s="8" t="inlineStr">
        <is>
          <t>REG-EU</t>
        </is>
      </c>
      <c r="I102" s="8" t="inlineStr">
        <is>
          <t>Consumer</t>
        </is>
      </c>
      <c r="J102" s="8" t="inlineStr">
        <is>
          <t>2024-05-05</t>
        </is>
      </c>
      <c r="K102" s="8">
        <f>COUNTIFS('05_Orders'!$C:$C, A102)</f>
        <v/>
      </c>
      <c r="L102" s="9">
        <f>SUMIFS('05_Orders'!$I:$I, '05_Orders'!$C:$C, A102)</f>
        <v/>
      </c>
      <c r="M102" s="8">
        <f>IF(L102&gt;=2000, "Platinum VIP", IF(L102&gt;=1000, "Gold", IF(L102&gt;=500, "Silver", "Standard")))</f>
        <v/>
      </c>
    </row>
    <row r="103">
      <c r="A103" s="8" t="inlineStr">
        <is>
          <t>CUST-00099</t>
        </is>
      </c>
      <c r="B103" s="8" t="inlineStr">
        <is>
          <t>Rebecca Rodriguez</t>
        </is>
      </c>
      <c r="C103" s="8" t="inlineStr">
        <is>
          <t>Other</t>
        </is>
      </c>
      <c r="D103" s="8" t="n">
        <v>24</v>
      </c>
      <c r="E103" s="8">
        <f>IF(D103&lt;25, "18-24", IF(D103&lt;35, "25-34", IF(D103&lt;50, "35-49", "50+")))</f>
        <v/>
      </c>
      <c r="F103" s="8" t="inlineStr">
        <is>
          <t>Stockholm</t>
        </is>
      </c>
      <c r="G103" s="8" t="inlineStr">
        <is>
          <t>Stockholm County</t>
        </is>
      </c>
      <c r="H103" s="8" t="inlineStr">
        <is>
          <t>REG-EU</t>
        </is>
      </c>
      <c r="I103" s="8" t="inlineStr">
        <is>
          <t>Home Office</t>
        </is>
      </c>
      <c r="J103" s="8" t="inlineStr">
        <is>
          <t>2023-02-16</t>
        </is>
      </c>
      <c r="K103" s="8">
        <f>COUNTIFS('05_Orders'!$C:$C, A103)</f>
        <v/>
      </c>
      <c r="L103" s="9">
        <f>SUMIFS('05_Orders'!$I:$I, '05_Orders'!$C:$C, A103)</f>
        <v/>
      </c>
      <c r="M103" s="8">
        <f>IF(L103&gt;=2000, "Platinum VIP", IF(L103&gt;=1000, "Gold", IF(L103&gt;=500, "Silver", "Standard")))</f>
        <v/>
      </c>
    </row>
    <row r="104">
      <c r="A104" s="8" t="inlineStr">
        <is>
          <t>CUST-00100</t>
        </is>
      </c>
      <c r="B104" s="8" t="inlineStr">
        <is>
          <t>Sarah Howard</t>
        </is>
      </c>
      <c r="C104" s="8" t="inlineStr">
        <is>
          <t>Other</t>
        </is>
      </c>
      <c r="D104" s="8" t="n">
        <v>69</v>
      </c>
      <c r="E104" s="8">
        <f>IF(D104&lt;25, "18-24", IF(D104&lt;35, "25-34", IF(D104&lt;50, "35-49", "50+")))</f>
        <v/>
      </c>
      <c r="F104" s="8" t="inlineStr">
        <is>
          <t>Chicago</t>
        </is>
      </c>
      <c r="G104" s="8" t="inlineStr">
        <is>
          <t>Illinois</t>
        </is>
      </c>
      <c r="H104" s="8" t="inlineStr">
        <is>
          <t>REG-NA</t>
        </is>
      </c>
      <c r="I104" s="8" t="inlineStr">
        <is>
          <t>Corporate</t>
        </is>
      </c>
      <c r="J104" s="8" t="inlineStr">
        <is>
          <t>2023-07-17</t>
        </is>
      </c>
      <c r="K104" s="8">
        <f>COUNTIFS('05_Orders'!$C:$C, A104)</f>
        <v/>
      </c>
      <c r="L104" s="9">
        <f>SUMIFS('05_Orders'!$I:$I, '05_Orders'!$C:$C, A104)</f>
        <v/>
      </c>
      <c r="M104" s="8">
        <f>IF(L104&gt;=2000, "Platinum VIP", IF(L104&gt;=1000, "Gold", IF(L104&gt;=500, "Silver", "Standard")))</f>
        <v/>
      </c>
    </row>
    <row r="105">
      <c r="A105" s="8" t="inlineStr">
        <is>
          <t>CUST-00101</t>
        </is>
      </c>
      <c r="B105" s="8" t="inlineStr">
        <is>
          <t>Rachel Green</t>
        </is>
      </c>
      <c r="C105" s="8" t="inlineStr">
        <is>
          <t>Female</t>
        </is>
      </c>
      <c r="D105" s="8" t="n">
        <v>54</v>
      </c>
      <c r="E105" s="8">
        <f>IF(D105&lt;25, "18-24", IF(D105&lt;35, "25-34", IF(D105&lt;50, "35-49", "50+")))</f>
        <v/>
      </c>
      <c r="F105" s="8" t="inlineStr">
        <is>
          <t>Melbourne</t>
        </is>
      </c>
      <c r="G105" s="8" t="inlineStr">
        <is>
          <t>Victoria</t>
        </is>
      </c>
      <c r="H105" s="8" t="inlineStr">
        <is>
          <t>REG-APAC</t>
        </is>
      </c>
      <c r="I105" s="8" t="inlineStr">
        <is>
          <t>Home Office</t>
        </is>
      </c>
      <c r="J105" s="8" t="inlineStr">
        <is>
          <t>2023-06-10</t>
        </is>
      </c>
      <c r="K105" s="8">
        <f>COUNTIFS('05_Orders'!$C:$C, A105)</f>
        <v/>
      </c>
      <c r="L105" s="9">
        <f>SUMIFS('05_Orders'!$I:$I, '05_Orders'!$C:$C, A105)</f>
        <v/>
      </c>
      <c r="M105" s="8">
        <f>IF(L105&gt;=2000, "Platinum VIP", IF(L105&gt;=1000, "Gold", IF(L105&gt;=500, "Silver", "Standard")))</f>
        <v/>
      </c>
    </row>
    <row r="106">
      <c r="A106" s="8" t="inlineStr">
        <is>
          <t>CUST-00102</t>
        </is>
      </c>
      <c r="B106" s="8" t="inlineStr">
        <is>
          <t>Benjamin Rogers</t>
        </is>
      </c>
      <c r="C106" s="8" t="inlineStr">
        <is>
          <t>Female</t>
        </is>
      </c>
      <c r="D106" s="8" t="n">
        <v>72</v>
      </c>
      <c r="E106" s="8">
        <f>IF(D106&lt;25, "18-24", IF(D106&lt;35, "25-34", IF(D106&lt;50, "35-49", "50+")))</f>
        <v/>
      </c>
      <c r="F106" s="8" t="inlineStr">
        <is>
          <t>Phoenix</t>
        </is>
      </c>
      <c r="G106" s="8" t="inlineStr">
        <is>
          <t>Arizona</t>
        </is>
      </c>
      <c r="H106" s="8" t="inlineStr">
        <is>
          <t>REG-NA</t>
        </is>
      </c>
      <c r="I106" s="8" t="inlineStr">
        <is>
          <t>Consumer</t>
        </is>
      </c>
      <c r="J106" s="8" t="inlineStr">
        <is>
          <t>2024-01-30</t>
        </is>
      </c>
      <c r="K106" s="8">
        <f>COUNTIFS('05_Orders'!$C:$C, A106)</f>
        <v/>
      </c>
      <c r="L106" s="9">
        <f>SUMIFS('05_Orders'!$I:$I, '05_Orders'!$C:$C, A106)</f>
        <v/>
      </c>
      <c r="M106" s="8">
        <f>IF(L106&gt;=2000, "Platinum VIP", IF(L106&gt;=1000, "Gold", IF(L106&gt;=500, "Silver", "Standard")))</f>
        <v/>
      </c>
    </row>
    <row r="107">
      <c r="A107" s="8" t="inlineStr">
        <is>
          <t>CUST-00103</t>
        </is>
      </c>
      <c r="B107" s="8" t="inlineStr">
        <is>
          <t>Joseph Torres</t>
        </is>
      </c>
      <c r="C107" s="8" t="inlineStr">
        <is>
          <t>Male</t>
        </is>
      </c>
      <c r="D107" s="8" t="n">
        <v>33</v>
      </c>
      <c r="E107" s="8">
        <f>IF(D107&lt;25, "18-24", IF(D107&lt;35, "25-34", IF(D107&lt;50, "35-49", "50+")))</f>
        <v/>
      </c>
      <c r="F107" s="8" t="inlineStr">
        <is>
          <t>Stockholm</t>
        </is>
      </c>
      <c r="G107" s="8" t="inlineStr">
        <is>
          <t>Stockholm County</t>
        </is>
      </c>
      <c r="H107" s="8" t="inlineStr">
        <is>
          <t>REG-EU</t>
        </is>
      </c>
      <c r="I107" s="8" t="inlineStr">
        <is>
          <t>Consumer</t>
        </is>
      </c>
      <c r="J107" s="8" t="inlineStr">
        <is>
          <t>2022-10-14</t>
        </is>
      </c>
      <c r="K107" s="8">
        <f>COUNTIFS('05_Orders'!$C:$C, A107)</f>
        <v/>
      </c>
      <c r="L107" s="9">
        <f>SUMIFS('05_Orders'!$I:$I, '05_Orders'!$C:$C, A107)</f>
        <v/>
      </c>
      <c r="M107" s="8">
        <f>IF(L107&gt;=2000, "Platinum VIP", IF(L107&gt;=1000, "Gold", IF(L107&gt;=500, "Silver", "Standard")))</f>
        <v/>
      </c>
    </row>
    <row r="108">
      <c r="A108" s="8" t="inlineStr">
        <is>
          <t>CUST-00104</t>
        </is>
      </c>
      <c r="B108" s="8" t="inlineStr">
        <is>
          <t>Daniel Stewart</t>
        </is>
      </c>
      <c r="C108" s="8" t="inlineStr">
        <is>
          <t>Male</t>
        </is>
      </c>
      <c r="D108" s="8" t="n">
        <v>30</v>
      </c>
      <c r="E108" s="8">
        <f>IF(D108&lt;25, "18-24", IF(D108&lt;35, "25-34", IF(D108&lt;50, "35-49", "50+")))</f>
        <v/>
      </c>
      <c r="F108" s="8" t="inlineStr">
        <is>
          <t>Lyon</t>
        </is>
      </c>
      <c r="G108" s="8" t="inlineStr">
        <is>
          <t>Auvergne-Rhone-Alpes</t>
        </is>
      </c>
      <c r="H108" s="8" t="inlineStr">
        <is>
          <t>REG-EU</t>
        </is>
      </c>
      <c r="I108" s="8" t="inlineStr">
        <is>
          <t>Home Office</t>
        </is>
      </c>
      <c r="J108" s="8" t="inlineStr">
        <is>
          <t>2021-11-12</t>
        </is>
      </c>
      <c r="K108" s="8">
        <f>COUNTIFS('05_Orders'!$C:$C, A108)</f>
        <v/>
      </c>
      <c r="L108" s="9">
        <f>SUMIFS('05_Orders'!$I:$I, '05_Orders'!$C:$C, A108)</f>
        <v/>
      </c>
      <c r="M108" s="8">
        <f>IF(L108&gt;=2000, "Platinum VIP", IF(L108&gt;=1000, "Gold", IF(L108&gt;=500, "Silver", "Standard")))</f>
        <v/>
      </c>
    </row>
    <row r="109">
      <c r="A109" s="8" t="inlineStr">
        <is>
          <t>CUST-00105</t>
        </is>
      </c>
      <c r="B109" s="8" t="inlineStr">
        <is>
          <t>Gregory Williams</t>
        </is>
      </c>
      <c r="C109" s="8" t="inlineStr">
        <is>
          <t>Male</t>
        </is>
      </c>
      <c r="D109" s="8" t="n">
        <v>64</v>
      </c>
      <c r="E109" s="8">
        <f>IF(D109&lt;25, "18-24", IF(D109&lt;35, "25-34", IF(D109&lt;50, "35-49", "50+")))</f>
        <v/>
      </c>
      <c r="F109" s="8" t="inlineStr">
        <is>
          <t>Seoul</t>
        </is>
      </c>
      <c r="G109" s="8" t="inlineStr">
        <is>
          <t>Gyeonggi</t>
        </is>
      </c>
      <c r="H109" s="8" t="inlineStr">
        <is>
          <t>REG-APAC</t>
        </is>
      </c>
      <c r="I109" s="8" t="inlineStr">
        <is>
          <t>Enterprise</t>
        </is>
      </c>
      <c r="J109" s="8" t="inlineStr">
        <is>
          <t>2021-10-06</t>
        </is>
      </c>
      <c r="K109" s="8">
        <f>COUNTIFS('05_Orders'!$C:$C, A109)</f>
        <v/>
      </c>
      <c r="L109" s="9">
        <f>SUMIFS('05_Orders'!$I:$I, '05_Orders'!$C:$C, A109)</f>
        <v/>
      </c>
      <c r="M109" s="8">
        <f>IF(L109&gt;=2000, "Platinum VIP", IF(L109&gt;=1000, "Gold", IF(L109&gt;=500, "Silver", "Standard")))</f>
        <v/>
      </c>
    </row>
    <row r="110">
      <c r="A110" s="8" t="inlineStr">
        <is>
          <t>CUST-00106</t>
        </is>
      </c>
      <c r="B110" s="8" t="inlineStr">
        <is>
          <t>Aaron Hughes</t>
        </is>
      </c>
      <c r="C110" s="8" t="inlineStr">
        <is>
          <t>Other</t>
        </is>
      </c>
      <c r="D110" s="8" t="n">
        <v>45</v>
      </c>
      <c r="E110" s="8">
        <f>IF(D110&lt;25, "18-24", IF(D110&lt;35, "25-34", IF(D110&lt;50, "35-49", "50+")))</f>
        <v/>
      </c>
      <c r="F110" s="8" t="inlineStr">
        <is>
          <t>Madrid</t>
        </is>
      </c>
      <c r="G110" s="8" t="inlineStr">
        <is>
          <t>Community of Madrid</t>
        </is>
      </c>
      <c r="H110" s="8" t="inlineStr">
        <is>
          <t>REG-EU</t>
        </is>
      </c>
      <c r="I110" s="8" t="inlineStr">
        <is>
          <t>Corporate</t>
        </is>
      </c>
      <c r="J110" s="8" t="inlineStr">
        <is>
          <t>2024-02-05</t>
        </is>
      </c>
      <c r="K110" s="8">
        <f>COUNTIFS('05_Orders'!$C:$C, A110)</f>
        <v/>
      </c>
      <c r="L110" s="9">
        <f>SUMIFS('05_Orders'!$I:$I, '05_Orders'!$C:$C, A110)</f>
        <v/>
      </c>
      <c r="M110" s="8">
        <f>IF(L110&gt;=2000, "Platinum VIP", IF(L110&gt;=1000, "Gold", IF(L110&gt;=500, "Silver", "Standard")))</f>
        <v/>
      </c>
    </row>
    <row r="111">
      <c r="A111" s="8" t="inlineStr">
        <is>
          <t>CUST-00107</t>
        </is>
      </c>
      <c r="B111" s="8" t="inlineStr">
        <is>
          <t>James Kelly</t>
        </is>
      </c>
      <c r="C111" s="8" t="inlineStr">
        <is>
          <t>Female</t>
        </is>
      </c>
      <c r="D111" s="8" t="n">
        <v>72</v>
      </c>
      <c r="E111" s="8">
        <f>IF(D111&lt;25, "18-24", IF(D111&lt;35, "25-34", IF(D111&lt;50, "35-49", "50+")))</f>
        <v/>
      </c>
      <c r="F111" s="8" t="inlineStr">
        <is>
          <t>Mumbai</t>
        </is>
      </c>
      <c r="G111" s="8" t="inlineStr">
        <is>
          <t>Maharashtra</t>
        </is>
      </c>
      <c r="H111" s="8" t="inlineStr">
        <is>
          <t>REG-APAC</t>
        </is>
      </c>
      <c r="I111" s="8" t="inlineStr">
        <is>
          <t>Consumer</t>
        </is>
      </c>
      <c r="J111" s="8" t="inlineStr">
        <is>
          <t>2024-01-24</t>
        </is>
      </c>
      <c r="K111" s="8">
        <f>COUNTIFS('05_Orders'!$C:$C, A111)</f>
        <v/>
      </c>
      <c r="L111" s="9">
        <f>SUMIFS('05_Orders'!$I:$I, '05_Orders'!$C:$C, A111)</f>
        <v/>
      </c>
      <c r="M111" s="8">
        <f>IF(L111&gt;=2000, "Platinum VIP", IF(L111&gt;=1000, "Gold", IF(L111&gt;=500, "Silver", "Standard")))</f>
        <v/>
      </c>
    </row>
    <row r="112">
      <c r="A112" s="8" t="inlineStr">
        <is>
          <t>CUST-00108</t>
        </is>
      </c>
      <c r="B112" s="8" t="inlineStr">
        <is>
          <t>Deborah Anderson</t>
        </is>
      </c>
      <c r="C112" s="8" t="inlineStr">
        <is>
          <t>Other</t>
        </is>
      </c>
      <c r="D112" s="8" t="n">
        <v>48</v>
      </c>
      <c r="E112" s="8">
        <f>IF(D112&lt;25, "18-24", IF(D112&lt;35, "25-34", IF(D112&lt;50, "35-49", "50+")))</f>
        <v/>
      </c>
      <c r="F112" s="8" t="inlineStr">
        <is>
          <t>Rio de Janeiro</t>
        </is>
      </c>
      <c r="G112" s="8" t="inlineStr">
        <is>
          <t>Rio de Janeiro State</t>
        </is>
      </c>
      <c r="H112" s="8" t="inlineStr">
        <is>
          <t>REG-LATAM</t>
        </is>
      </c>
      <c r="I112" s="8" t="inlineStr">
        <is>
          <t>Consumer</t>
        </is>
      </c>
      <c r="J112" s="8" t="inlineStr">
        <is>
          <t>2025-02-06</t>
        </is>
      </c>
      <c r="K112" s="8">
        <f>COUNTIFS('05_Orders'!$C:$C, A112)</f>
        <v/>
      </c>
      <c r="L112" s="9">
        <f>SUMIFS('05_Orders'!$I:$I, '05_Orders'!$C:$C, A112)</f>
        <v/>
      </c>
      <c r="M112" s="8">
        <f>IF(L112&gt;=2000, "Platinum VIP", IF(L112&gt;=1000, "Gold", IF(L112&gt;=500, "Silver", "Standard")))</f>
        <v/>
      </c>
    </row>
    <row r="113">
      <c r="A113" s="8" t="inlineStr">
        <is>
          <t>CUST-00109</t>
        </is>
      </c>
      <c r="B113" s="8" t="inlineStr">
        <is>
          <t>Jonathan Hernandez</t>
        </is>
      </c>
      <c r="C113" s="8" t="inlineStr">
        <is>
          <t>Other</t>
        </is>
      </c>
      <c r="D113" s="8" t="n">
        <v>57</v>
      </c>
      <c r="E113" s="8">
        <f>IF(D113&lt;25, "18-24", IF(D113&lt;35, "25-34", IF(D113&lt;50, "35-49", "50+")))</f>
        <v/>
      </c>
      <c r="F113" s="8" t="inlineStr">
        <is>
          <t>Toronto</t>
        </is>
      </c>
      <c r="G113" s="8" t="inlineStr">
        <is>
          <t>Ontario</t>
        </is>
      </c>
      <c r="H113" s="8" t="inlineStr">
        <is>
          <t>REG-NA</t>
        </is>
      </c>
      <c r="I113" s="8" t="inlineStr">
        <is>
          <t>Corporate</t>
        </is>
      </c>
      <c r="J113" s="8" t="inlineStr">
        <is>
          <t>2024-09-21</t>
        </is>
      </c>
      <c r="K113" s="8">
        <f>COUNTIFS('05_Orders'!$C:$C, A113)</f>
        <v/>
      </c>
      <c r="L113" s="9">
        <f>SUMIFS('05_Orders'!$I:$I, '05_Orders'!$C:$C, A113)</f>
        <v/>
      </c>
      <c r="M113" s="8">
        <f>IF(L113&gt;=2000, "Platinum VIP", IF(L113&gt;=1000, "Gold", IF(L113&gt;=500, "Silver", "Standard")))</f>
        <v/>
      </c>
    </row>
    <row r="114">
      <c r="A114" s="8" t="inlineStr">
        <is>
          <t>CUST-00110</t>
        </is>
      </c>
      <c r="B114" s="8" t="inlineStr">
        <is>
          <t>Michelle Ward</t>
        </is>
      </c>
      <c r="C114" s="8" t="inlineStr">
        <is>
          <t>Male</t>
        </is>
      </c>
      <c r="D114" s="8" t="n">
        <v>39</v>
      </c>
      <c r="E114" s="8">
        <f>IF(D114&lt;25, "18-24", IF(D114&lt;35, "25-34", IF(D114&lt;50, "35-49", "50+")))</f>
        <v/>
      </c>
      <c r="F114" s="8" t="inlineStr">
        <is>
          <t>London</t>
        </is>
      </c>
      <c r="G114" s="8" t="inlineStr">
        <is>
          <t>Greater London</t>
        </is>
      </c>
      <c r="H114" s="8" t="inlineStr">
        <is>
          <t>REG-EU</t>
        </is>
      </c>
      <c r="I114" s="8" t="inlineStr">
        <is>
          <t>Consumer</t>
        </is>
      </c>
      <c r="J114" s="8" t="inlineStr">
        <is>
          <t>2023-11-16</t>
        </is>
      </c>
      <c r="K114" s="8">
        <f>COUNTIFS('05_Orders'!$C:$C, A114)</f>
        <v/>
      </c>
      <c r="L114" s="9">
        <f>SUMIFS('05_Orders'!$I:$I, '05_Orders'!$C:$C, A114)</f>
        <v/>
      </c>
      <c r="M114" s="8">
        <f>IF(L114&gt;=2000, "Platinum VIP", IF(L114&gt;=1000, "Gold", IF(L114&gt;=500, "Silver", "Standard")))</f>
        <v/>
      </c>
    </row>
    <row r="115">
      <c r="A115" s="8" t="inlineStr">
        <is>
          <t>CUST-00111</t>
        </is>
      </c>
      <c r="B115" s="8" t="inlineStr">
        <is>
          <t>Donna Nguyen</t>
        </is>
      </c>
      <c r="C115" s="8" t="inlineStr">
        <is>
          <t>Male</t>
        </is>
      </c>
      <c r="D115" s="8" t="n">
        <v>20</v>
      </c>
      <c r="E115" s="8">
        <f>IF(D115&lt;25, "18-24", IF(D115&lt;35, "25-34", IF(D115&lt;50, "35-49", "50+")))</f>
        <v/>
      </c>
      <c r="F115" s="8" t="inlineStr">
        <is>
          <t>Stockholm</t>
        </is>
      </c>
      <c r="G115" s="8" t="inlineStr">
        <is>
          <t>Stockholm County</t>
        </is>
      </c>
      <c r="H115" s="8" t="inlineStr">
        <is>
          <t>REG-EU</t>
        </is>
      </c>
      <c r="I115" s="8" t="inlineStr">
        <is>
          <t>Corporate</t>
        </is>
      </c>
      <c r="J115" s="8" t="inlineStr">
        <is>
          <t>2025-01-28</t>
        </is>
      </c>
      <c r="K115" s="8">
        <f>COUNTIFS('05_Orders'!$C:$C, A115)</f>
        <v/>
      </c>
      <c r="L115" s="9">
        <f>SUMIFS('05_Orders'!$I:$I, '05_Orders'!$C:$C, A115)</f>
        <v/>
      </c>
      <c r="M115" s="8">
        <f>IF(L115&gt;=2000, "Platinum VIP", IF(L115&gt;=1000, "Gold", IF(L115&gt;=500, "Silver", "Standard")))</f>
        <v/>
      </c>
    </row>
    <row r="116">
      <c r="A116" s="8" t="inlineStr">
        <is>
          <t>CUST-00112</t>
        </is>
      </c>
      <c r="B116" s="8" t="inlineStr">
        <is>
          <t>Pamela Miller</t>
        </is>
      </c>
      <c r="C116" s="8" t="inlineStr">
        <is>
          <t>Other</t>
        </is>
      </c>
      <c r="D116" s="8" t="n">
        <v>36</v>
      </c>
      <c r="E116" s="8">
        <f>IF(D116&lt;25, "18-24", IF(D116&lt;35, "25-34", IF(D116&lt;50, "35-49", "50+")))</f>
        <v/>
      </c>
      <c r="F116" s="8" t="inlineStr">
        <is>
          <t>Auckland</t>
        </is>
      </c>
      <c r="G116" s="8" t="inlineStr">
        <is>
          <t>Auckland Region</t>
        </is>
      </c>
      <c r="H116" s="8" t="inlineStr">
        <is>
          <t>REG-APAC</t>
        </is>
      </c>
      <c r="I116" s="8" t="inlineStr">
        <is>
          <t>Consumer</t>
        </is>
      </c>
      <c r="J116" s="8" t="inlineStr">
        <is>
          <t>2023-09-20</t>
        </is>
      </c>
      <c r="K116" s="8">
        <f>COUNTIFS('05_Orders'!$C:$C, A116)</f>
        <v/>
      </c>
      <c r="L116" s="9">
        <f>SUMIFS('05_Orders'!$I:$I, '05_Orders'!$C:$C, A116)</f>
        <v/>
      </c>
      <c r="M116" s="8">
        <f>IF(L116&gt;=2000, "Platinum VIP", IF(L116&gt;=1000, "Gold", IF(L116&gt;=500, "Silver", "Standard")))</f>
        <v/>
      </c>
    </row>
    <row r="117">
      <c r="A117" s="8" t="inlineStr">
        <is>
          <t>CUST-00113</t>
        </is>
      </c>
      <c r="B117" s="8" t="inlineStr">
        <is>
          <t>Thomas Ward</t>
        </is>
      </c>
      <c r="C117" s="8" t="inlineStr">
        <is>
          <t>Female</t>
        </is>
      </c>
      <c r="D117" s="8" t="n">
        <v>35</v>
      </c>
      <c r="E117" s="8">
        <f>IF(D117&lt;25, "18-24", IF(D117&lt;35, "25-34", IF(D117&lt;50, "35-49", "50+")))</f>
        <v/>
      </c>
      <c r="F117" s="8" t="inlineStr">
        <is>
          <t>Singapore</t>
        </is>
      </c>
      <c r="G117" s="8" t="inlineStr">
        <is>
          <t>Central</t>
        </is>
      </c>
      <c r="H117" s="8" t="inlineStr">
        <is>
          <t>REG-APAC</t>
        </is>
      </c>
      <c r="I117" s="8" t="inlineStr">
        <is>
          <t>Corporate</t>
        </is>
      </c>
      <c r="J117" s="8" t="inlineStr">
        <is>
          <t>2024-05-21</t>
        </is>
      </c>
      <c r="K117" s="8">
        <f>COUNTIFS('05_Orders'!$C:$C, A117)</f>
        <v/>
      </c>
      <c r="L117" s="9">
        <f>SUMIFS('05_Orders'!$I:$I, '05_Orders'!$C:$C, A117)</f>
        <v/>
      </c>
      <c r="M117" s="8">
        <f>IF(L117&gt;=2000, "Platinum VIP", IF(L117&gt;=1000, "Gold", IF(L117&gt;=500, "Silver", "Standard")))</f>
        <v/>
      </c>
    </row>
    <row r="118">
      <c r="A118" s="8" t="inlineStr">
        <is>
          <t>CUST-00114</t>
        </is>
      </c>
      <c r="B118" s="8" t="inlineStr">
        <is>
          <t>Daniel King</t>
        </is>
      </c>
      <c r="C118" s="8" t="inlineStr">
        <is>
          <t>Other</t>
        </is>
      </c>
      <c r="D118" s="8" t="n">
        <v>33</v>
      </c>
      <c r="E118" s="8">
        <f>IF(D118&lt;25, "18-24", IF(D118&lt;35, "25-34", IF(D118&lt;50, "35-49", "50+")))</f>
        <v/>
      </c>
      <c r="F118" s="8" t="inlineStr">
        <is>
          <t>Dublin</t>
        </is>
      </c>
      <c r="G118" s="8" t="inlineStr">
        <is>
          <t>Leinster</t>
        </is>
      </c>
      <c r="H118" s="8" t="inlineStr">
        <is>
          <t>REG-EU</t>
        </is>
      </c>
      <c r="I118" s="8" t="inlineStr">
        <is>
          <t>Home Office</t>
        </is>
      </c>
      <c r="J118" s="8" t="inlineStr">
        <is>
          <t>2022-12-04</t>
        </is>
      </c>
      <c r="K118" s="8">
        <f>COUNTIFS('05_Orders'!$C:$C, A118)</f>
        <v/>
      </c>
      <c r="L118" s="9">
        <f>SUMIFS('05_Orders'!$I:$I, '05_Orders'!$C:$C, A118)</f>
        <v/>
      </c>
      <c r="M118" s="8">
        <f>IF(L118&gt;=2000, "Platinum VIP", IF(L118&gt;=1000, "Gold", IF(L118&gt;=500, "Silver", "Standard")))</f>
        <v/>
      </c>
    </row>
    <row r="119">
      <c r="A119" s="8" t="inlineStr">
        <is>
          <t>CUST-00115</t>
        </is>
      </c>
      <c r="B119" s="8" t="inlineStr">
        <is>
          <t>Shirley Long</t>
        </is>
      </c>
      <c r="C119" s="8" t="inlineStr">
        <is>
          <t>Female</t>
        </is>
      </c>
      <c r="D119" s="8" t="n">
        <v>67</v>
      </c>
      <c r="E119" s="8">
        <f>IF(D119&lt;25, "18-24", IF(D119&lt;35, "25-34", IF(D119&lt;50, "35-49", "50+")))</f>
        <v/>
      </c>
      <c r="F119" s="8" t="inlineStr">
        <is>
          <t>Toronto</t>
        </is>
      </c>
      <c r="G119" s="8" t="inlineStr">
        <is>
          <t>Ontario</t>
        </is>
      </c>
      <c r="H119" s="8" t="inlineStr">
        <is>
          <t>REG-NA</t>
        </is>
      </c>
      <c r="I119" s="8" t="inlineStr">
        <is>
          <t>Corporate</t>
        </is>
      </c>
      <c r="J119" s="8" t="inlineStr">
        <is>
          <t>2021-12-09</t>
        </is>
      </c>
      <c r="K119" s="8">
        <f>COUNTIFS('05_Orders'!$C:$C, A119)</f>
        <v/>
      </c>
      <c r="L119" s="9">
        <f>SUMIFS('05_Orders'!$I:$I, '05_Orders'!$C:$C, A119)</f>
        <v/>
      </c>
      <c r="M119" s="8">
        <f>IF(L119&gt;=2000, "Platinum VIP", IF(L119&gt;=1000, "Gold", IF(L119&gt;=500, "Silver", "Standard")))</f>
        <v/>
      </c>
    </row>
    <row r="120">
      <c r="A120" s="8" t="inlineStr">
        <is>
          <t>CUST-00116</t>
        </is>
      </c>
      <c r="B120" s="8" t="inlineStr">
        <is>
          <t>Jerry Anderson</t>
        </is>
      </c>
      <c r="C120" s="8" t="inlineStr">
        <is>
          <t>Male</t>
        </is>
      </c>
      <c r="D120" s="8" t="n">
        <v>28</v>
      </c>
      <c r="E120" s="8">
        <f>IF(D120&lt;25, "18-24", IF(D120&lt;35, "25-34", IF(D120&lt;50, "35-49", "50+")))</f>
        <v/>
      </c>
      <c r="F120" s="8" t="inlineStr">
        <is>
          <t>Madrid</t>
        </is>
      </c>
      <c r="G120" s="8" t="inlineStr">
        <is>
          <t>Community of Madrid</t>
        </is>
      </c>
      <c r="H120" s="8" t="inlineStr">
        <is>
          <t>REG-EU</t>
        </is>
      </c>
      <c r="I120" s="8" t="inlineStr">
        <is>
          <t>Consumer</t>
        </is>
      </c>
      <c r="J120" s="8" t="inlineStr">
        <is>
          <t>2025-03-09</t>
        </is>
      </c>
      <c r="K120" s="8">
        <f>COUNTIFS('05_Orders'!$C:$C, A120)</f>
        <v/>
      </c>
      <c r="L120" s="9">
        <f>SUMIFS('05_Orders'!$I:$I, '05_Orders'!$C:$C, A120)</f>
        <v/>
      </c>
      <c r="M120" s="8">
        <f>IF(L120&gt;=2000, "Platinum VIP", IF(L120&gt;=1000, "Gold", IF(L120&gt;=500, "Silver", "Standard")))</f>
        <v/>
      </c>
    </row>
    <row r="121">
      <c r="A121" s="8" t="inlineStr">
        <is>
          <t>CUST-00117</t>
        </is>
      </c>
      <c r="B121" s="8" t="inlineStr">
        <is>
          <t>Stephanie Stewart</t>
        </is>
      </c>
      <c r="C121" s="8" t="inlineStr">
        <is>
          <t>Female</t>
        </is>
      </c>
      <c r="D121" s="8" t="n">
        <v>27</v>
      </c>
      <c r="E121" s="8">
        <f>IF(D121&lt;25, "18-24", IF(D121&lt;35, "25-34", IF(D121&lt;50, "35-49", "50+")))</f>
        <v/>
      </c>
      <c r="F121" s="8" t="inlineStr">
        <is>
          <t>Amsterdam</t>
        </is>
      </c>
      <c r="G121" s="8" t="inlineStr">
        <is>
          <t>North Holland</t>
        </is>
      </c>
      <c r="H121" s="8" t="inlineStr">
        <is>
          <t>REG-EU</t>
        </is>
      </c>
      <c r="I121" s="8" t="inlineStr">
        <is>
          <t>Consumer</t>
        </is>
      </c>
      <c r="J121" s="8" t="inlineStr">
        <is>
          <t>2023-07-09</t>
        </is>
      </c>
      <c r="K121" s="8">
        <f>COUNTIFS('05_Orders'!$C:$C, A121)</f>
        <v/>
      </c>
      <c r="L121" s="9">
        <f>SUMIFS('05_Orders'!$I:$I, '05_Orders'!$C:$C, A121)</f>
        <v/>
      </c>
      <c r="M121" s="8">
        <f>IF(L121&gt;=2000, "Platinum VIP", IF(L121&gt;=1000, "Gold", IF(L121&gt;=500, "Silver", "Standard")))</f>
        <v/>
      </c>
    </row>
    <row r="122">
      <c r="A122" s="8" t="inlineStr">
        <is>
          <t>CUST-00118</t>
        </is>
      </c>
      <c r="B122" s="8" t="inlineStr">
        <is>
          <t>Richard Morgan</t>
        </is>
      </c>
      <c r="C122" s="8" t="inlineStr">
        <is>
          <t>Other</t>
        </is>
      </c>
      <c r="D122" s="8" t="n">
        <v>40</v>
      </c>
      <c r="E122" s="8">
        <f>IF(D122&lt;25, "18-24", IF(D122&lt;35, "25-34", IF(D122&lt;50, "35-49", "50+")))</f>
        <v/>
      </c>
      <c r="F122" s="8" t="inlineStr">
        <is>
          <t>Buenos Aires</t>
        </is>
      </c>
      <c r="G122" s="8" t="inlineStr">
        <is>
          <t>Buenos Aires</t>
        </is>
      </c>
      <c r="H122" s="8" t="inlineStr">
        <is>
          <t>REG-LATAM</t>
        </is>
      </c>
      <c r="I122" s="8" t="inlineStr">
        <is>
          <t>Corporate</t>
        </is>
      </c>
      <c r="J122" s="8" t="inlineStr">
        <is>
          <t>2024-08-28</t>
        </is>
      </c>
      <c r="K122" s="8">
        <f>COUNTIFS('05_Orders'!$C:$C, A122)</f>
        <v/>
      </c>
      <c r="L122" s="9">
        <f>SUMIFS('05_Orders'!$I:$I, '05_Orders'!$C:$C, A122)</f>
        <v/>
      </c>
      <c r="M122" s="8">
        <f>IF(L122&gt;=2000, "Platinum VIP", IF(L122&gt;=1000, "Gold", IF(L122&gt;=500, "Silver", "Standard")))</f>
        <v/>
      </c>
    </row>
    <row r="123">
      <c r="A123" s="8" t="inlineStr">
        <is>
          <t>CUST-00119</t>
        </is>
      </c>
      <c r="B123" s="8" t="inlineStr">
        <is>
          <t>Christine Howard</t>
        </is>
      </c>
      <c r="C123" s="8" t="inlineStr">
        <is>
          <t>Female</t>
        </is>
      </c>
      <c r="D123" s="8" t="n">
        <v>47</v>
      </c>
      <c r="E123" s="8">
        <f>IF(D123&lt;25, "18-24", IF(D123&lt;35, "25-34", IF(D123&lt;50, "35-49", "50+")))</f>
        <v/>
      </c>
      <c r="F123" s="8" t="inlineStr">
        <is>
          <t>Sydney</t>
        </is>
      </c>
      <c r="G123" s="8" t="inlineStr">
        <is>
          <t>New South Wales</t>
        </is>
      </c>
      <c r="H123" s="8" t="inlineStr">
        <is>
          <t>REG-APAC</t>
        </is>
      </c>
      <c r="I123" s="8" t="inlineStr">
        <is>
          <t>Corporate</t>
        </is>
      </c>
      <c r="J123" s="8" t="inlineStr">
        <is>
          <t>2024-04-20</t>
        </is>
      </c>
      <c r="K123" s="8">
        <f>COUNTIFS('05_Orders'!$C:$C, A123)</f>
        <v/>
      </c>
      <c r="L123" s="9">
        <f>SUMIFS('05_Orders'!$I:$I, '05_Orders'!$C:$C, A123)</f>
        <v/>
      </c>
      <c r="M123" s="8">
        <f>IF(L123&gt;=2000, "Platinum VIP", IF(L123&gt;=1000, "Gold", IF(L123&gt;=500, "Silver", "Standard")))</f>
        <v/>
      </c>
    </row>
    <row r="124">
      <c r="A124" s="8" t="inlineStr">
        <is>
          <t>CUST-00120</t>
        </is>
      </c>
      <c r="B124" s="8" t="inlineStr">
        <is>
          <t>Kevin Peterson</t>
        </is>
      </c>
      <c r="C124" s="8" t="inlineStr">
        <is>
          <t>Male</t>
        </is>
      </c>
      <c r="D124" s="8" t="n">
        <v>61</v>
      </c>
      <c r="E124" s="8">
        <f>IF(D124&lt;25, "18-24", IF(D124&lt;35, "25-34", IF(D124&lt;50, "35-49", "50+")))</f>
        <v/>
      </c>
      <c r="F124" s="8" t="inlineStr">
        <is>
          <t>Los Angeles</t>
        </is>
      </c>
      <c r="G124" s="8" t="inlineStr">
        <is>
          <t>California</t>
        </is>
      </c>
      <c r="H124" s="8" t="inlineStr">
        <is>
          <t>REG-NA</t>
        </is>
      </c>
      <c r="I124" s="8" t="inlineStr">
        <is>
          <t>Consumer</t>
        </is>
      </c>
      <c r="J124" s="8" t="inlineStr">
        <is>
          <t>2021-07-20</t>
        </is>
      </c>
      <c r="K124" s="8">
        <f>COUNTIFS('05_Orders'!$C:$C, A124)</f>
        <v/>
      </c>
      <c r="L124" s="9">
        <f>SUMIFS('05_Orders'!$I:$I, '05_Orders'!$C:$C, A124)</f>
        <v/>
      </c>
      <c r="M124" s="8">
        <f>IF(L124&gt;=2000, "Platinum VIP", IF(L124&gt;=1000, "Gold", IF(L124&gt;=500, "Silver", "Standard")))</f>
        <v/>
      </c>
    </row>
    <row r="125">
      <c r="A125" s="8" t="inlineStr">
        <is>
          <t>CUST-00121</t>
        </is>
      </c>
      <c r="B125" s="8" t="inlineStr">
        <is>
          <t>Steven Harris</t>
        </is>
      </c>
      <c r="C125" s="8" t="inlineStr">
        <is>
          <t>Male</t>
        </is>
      </c>
      <c r="D125" s="8" t="n">
        <v>19</v>
      </c>
      <c r="E125" s="8">
        <f>IF(D125&lt;25, "18-24", IF(D125&lt;35, "25-34", IF(D125&lt;50, "35-49", "50+")))</f>
        <v/>
      </c>
      <c r="F125" s="8" t="inlineStr">
        <is>
          <t>London</t>
        </is>
      </c>
      <c r="G125" s="8" t="inlineStr">
        <is>
          <t>Greater London</t>
        </is>
      </c>
      <c r="H125" s="8" t="inlineStr">
        <is>
          <t>REG-EU</t>
        </is>
      </c>
      <c r="I125" s="8" t="inlineStr">
        <is>
          <t>Enterprise</t>
        </is>
      </c>
      <c r="J125" s="8" t="inlineStr">
        <is>
          <t>2024-09-06</t>
        </is>
      </c>
      <c r="K125" s="8">
        <f>COUNTIFS('05_Orders'!$C:$C, A125)</f>
        <v/>
      </c>
      <c r="L125" s="9">
        <f>SUMIFS('05_Orders'!$I:$I, '05_Orders'!$C:$C, A125)</f>
        <v/>
      </c>
      <c r="M125" s="8">
        <f>IF(L125&gt;=2000, "Platinum VIP", IF(L125&gt;=1000, "Gold", IF(L125&gt;=500, "Silver", "Standard")))</f>
        <v/>
      </c>
    </row>
    <row r="126">
      <c r="A126" s="8" t="inlineStr">
        <is>
          <t>CUST-00122</t>
        </is>
      </c>
      <c r="B126" s="8" t="inlineStr">
        <is>
          <t>Jessica Lopez</t>
        </is>
      </c>
      <c r="C126" s="8" t="inlineStr">
        <is>
          <t>Other</t>
        </is>
      </c>
      <c r="D126" s="8" t="n">
        <v>26</v>
      </c>
      <c r="E126" s="8">
        <f>IF(D126&lt;25, "18-24", IF(D126&lt;35, "25-34", IF(D126&lt;50, "35-49", "50+")))</f>
        <v/>
      </c>
      <c r="F126" s="8" t="inlineStr">
        <is>
          <t>Denver</t>
        </is>
      </c>
      <c r="G126" s="8" t="inlineStr">
        <is>
          <t>Colorado</t>
        </is>
      </c>
      <c r="H126" s="8" t="inlineStr">
        <is>
          <t>REG-NA</t>
        </is>
      </c>
      <c r="I126" s="8" t="inlineStr">
        <is>
          <t>Home Office</t>
        </is>
      </c>
      <c r="J126" s="8" t="inlineStr">
        <is>
          <t>2022-01-14</t>
        </is>
      </c>
      <c r="K126" s="8">
        <f>COUNTIFS('05_Orders'!$C:$C, A126)</f>
        <v/>
      </c>
      <c r="L126" s="9">
        <f>SUMIFS('05_Orders'!$I:$I, '05_Orders'!$C:$C, A126)</f>
        <v/>
      </c>
      <c r="M126" s="8">
        <f>IF(L126&gt;=2000, "Platinum VIP", IF(L126&gt;=1000, "Gold", IF(L126&gt;=500, "Silver", "Standard")))</f>
        <v/>
      </c>
    </row>
    <row r="127">
      <c r="A127" s="8" t="inlineStr">
        <is>
          <t>CUST-00123</t>
        </is>
      </c>
      <c r="B127" s="8" t="inlineStr">
        <is>
          <t>Elizabeth Brooks</t>
        </is>
      </c>
      <c r="C127" s="8" t="inlineStr">
        <is>
          <t>Female</t>
        </is>
      </c>
      <c r="D127" s="8" t="n">
        <v>35</v>
      </c>
      <c r="E127" s="8">
        <f>IF(D127&lt;25, "18-24", IF(D127&lt;35, "25-34", IF(D127&lt;50, "35-49", "50+")))</f>
        <v/>
      </c>
      <c r="F127" s="8" t="inlineStr">
        <is>
          <t>Hong Kong</t>
        </is>
      </c>
      <c r="G127" s="8" t="inlineStr">
        <is>
          <t>Hong Kong</t>
        </is>
      </c>
      <c r="H127" s="8" t="inlineStr">
        <is>
          <t>REG-APAC</t>
        </is>
      </c>
      <c r="I127" s="8" t="inlineStr">
        <is>
          <t>Consumer</t>
        </is>
      </c>
      <c r="J127" s="8" t="inlineStr">
        <is>
          <t>2025-05-18</t>
        </is>
      </c>
      <c r="K127" s="8">
        <f>COUNTIFS('05_Orders'!$C:$C, A127)</f>
        <v/>
      </c>
      <c r="L127" s="9">
        <f>SUMIFS('05_Orders'!$I:$I, '05_Orders'!$C:$C, A127)</f>
        <v/>
      </c>
      <c r="M127" s="8">
        <f>IF(L127&gt;=2000, "Platinum VIP", IF(L127&gt;=1000, "Gold", IF(L127&gt;=500, "Silver", "Standard")))</f>
        <v/>
      </c>
    </row>
    <row r="128">
      <c r="A128" s="8" t="inlineStr">
        <is>
          <t>CUST-00124</t>
        </is>
      </c>
      <c r="B128" s="8" t="inlineStr">
        <is>
          <t>Linda King</t>
        </is>
      </c>
      <c r="C128" s="8" t="inlineStr">
        <is>
          <t>Female</t>
        </is>
      </c>
      <c r="D128" s="8" t="n">
        <v>29</v>
      </c>
      <c r="E128" s="8">
        <f>IF(D128&lt;25, "18-24", IF(D128&lt;35, "25-34", IF(D128&lt;50, "35-49", "50+")))</f>
        <v/>
      </c>
      <c r="F128" s="8" t="inlineStr">
        <is>
          <t>Madrid</t>
        </is>
      </c>
      <c r="G128" s="8" t="inlineStr">
        <is>
          <t>Community of Madrid</t>
        </is>
      </c>
      <c r="H128" s="8" t="inlineStr">
        <is>
          <t>REG-EU</t>
        </is>
      </c>
      <c r="I128" s="8" t="inlineStr">
        <is>
          <t>Enterprise</t>
        </is>
      </c>
      <c r="J128" s="8" t="inlineStr">
        <is>
          <t>2022-02-15</t>
        </is>
      </c>
      <c r="K128" s="8">
        <f>COUNTIFS('05_Orders'!$C:$C, A128)</f>
        <v/>
      </c>
      <c r="L128" s="9">
        <f>SUMIFS('05_Orders'!$I:$I, '05_Orders'!$C:$C, A128)</f>
        <v/>
      </c>
      <c r="M128" s="8">
        <f>IF(L128&gt;=2000, "Platinum VIP", IF(L128&gt;=1000, "Gold", IF(L128&gt;=500, "Silver", "Standard")))</f>
        <v/>
      </c>
    </row>
    <row r="129">
      <c r="A129" s="8" t="inlineStr">
        <is>
          <t>CUST-00125</t>
        </is>
      </c>
      <c r="B129" s="8" t="inlineStr">
        <is>
          <t>Tyler Parker</t>
        </is>
      </c>
      <c r="C129" s="8" t="inlineStr">
        <is>
          <t>Male</t>
        </is>
      </c>
      <c r="D129" s="8" t="n">
        <v>57</v>
      </c>
      <c r="E129" s="8">
        <f>IF(D129&lt;25, "18-24", IF(D129&lt;35, "25-34", IF(D129&lt;50, "35-49", "50+")))</f>
        <v/>
      </c>
      <c r="F129" s="8" t="inlineStr">
        <is>
          <t>Madrid</t>
        </is>
      </c>
      <c r="G129" s="8" t="inlineStr">
        <is>
          <t>Community of Madrid</t>
        </is>
      </c>
      <c r="H129" s="8" t="inlineStr">
        <is>
          <t>REG-EU</t>
        </is>
      </c>
      <c r="I129" s="8" t="inlineStr">
        <is>
          <t>Corporate</t>
        </is>
      </c>
      <c r="J129" s="8" t="inlineStr">
        <is>
          <t>2021-07-31</t>
        </is>
      </c>
      <c r="K129" s="8">
        <f>COUNTIFS('05_Orders'!$C:$C, A129)</f>
        <v/>
      </c>
      <c r="L129" s="9">
        <f>SUMIFS('05_Orders'!$I:$I, '05_Orders'!$C:$C, A129)</f>
        <v/>
      </c>
      <c r="M129" s="8">
        <f>IF(L129&gt;=2000, "Platinum VIP", IF(L129&gt;=1000, "Gold", IF(L129&gt;=500, "Silver", "Standard")))</f>
        <v/>
      </c>
    </row>
    <row r="130">
      <c r="A130" s="8" t="inlineStr">
        <is>
          <t>CUST-00126</t>
        </is>
      </c>
      <c r="B130" s="8" t="inlineStr">
        <is>
          <t>John Murphy</t>
        </is>
      </c>
      <c r="C130" s="8" t="inlineStr">
        <is>
          <t>Male</t>
        </is>
      </c>
      <c r="D130" s="8" t="n">
        <v>59</v>
      </c>
      <c r="E130" s="8">
        <f>IF(D130&lt;25, "18-24", IF(D130&lt;35, "25-34", IF(D130&lt;50, "35-49", "50+")))</f>
        <v/>
      </c>
      <c r="F130" s="8" t="inlineStr">
        <is>
          <t>London</t>
        </is>
      </c>
      <c r="G130" s="8" t="inlineStr">
        <is>
          <t>Greater London</t>
        </is>
      </c>
      <c r="H130" s="8" t="inlineStr">
        <is>
          <t>REG-EU</t>
        </is>
      </c>
      <c r="I130" s="8" t="inlineStr">
        <is>
          <t>Corporate</t>
        </is>
      </c>
      <c r="J130" s="8" t="inlineStr">
        <is>
          <t>2022-06-30</t>
        </is>
      </c>
      <c r="K130" s="8">
        <f>COUNTIFS('05_Orders'!$C:$C, A130)</f>
        <v/>
      </c>
      <c r="L130" s="9">
        <f>SUMIFS('05_Orders'!$I:$I, '05_Orders'!$C:$C, A130)</f>
        <v/>
      </c>
      <c r="M130" s="8">
        <f>IF(L130&gt;=2000, "Platinum VIP", IF(L130&gt;=1000, "Gold", IF(L130&gt;=500, "Silver", "Standard")))</f>
        <v/>
      </c>
    </row>
    <row r="131">
      <c r="A131" s="8" t="inlineStr">
        <is>
          <t>CUST-00127</t>
        </is>
      </c>
      <c r="B131" s="8" t="inlineStr">
        <is>
          <t>Patrick Foster</t>
        </is>
      </c>
      <c r="C131" s="8" t="inlineStr">
        <is>
          <t>Female</t>
        </is>
      </c>
      <c r="D131" s="8" t="n">
        <v>48</v>
      </c>
      <c r="E131" s="8">
        <f>IF(D131&lt;25, "18-24", IF(D131&lt;35, "25-34", IF(D131&lt;50, "35-49", "50+")))</f>
        <v/>
      </c>
      <c r="F131" s="8" t="inlineStr">
        <is>
          <t>Manchester</t>
        </is>
      </c>
      <c r="G131" s="8" t="inlineStr">
        <is>
          <t>Greater Manchester</t>
        </is>
      </c>
      <c r="H131" s="8" t="inlineStr">
        <is>
          <t>REG-EU</t>
        </is>
      </c>
      <c r="I131" s="8" t="inlineStr">
        <is>
          <t>Corporate</t>
        </is>
      </c>
      <c r="J131" s="8" t="inlineStr">
        <is>
          <t>2021-01-07</t>
        </is>
      </c>
      <c r="K131" s="8">
        <f>COUNTIFS('05_Orders'!$C:$C, A131)</f>
        <v/>
      </c>
      <c r="L131" s="9">
        <f>SUMIFS('05_Orders'!$I:$I, '05_Orders'!$C:$C, A131)</f>
        <v/>
      </c>
      <c r="M131" s="8">
        <f>IF(L131&gt;=2000, "Platinum VIP", IF(L131&gt;=1000, "Gold", IF(L131&gt;=500, "Silver", "Standard")))</f>
        <v/>
      </c>
    </row>
    <row r="132">
      <c r="A132" s="8" t="inlineStr">
        <is>
          <t>CUST-00128</t>
        </is>
      </c>
      <c r="B132" s="8" t="inlineStr">
        <is>
          <t>Stephen Rivera</t>
        </is>
      </c>
      <c r="C132" s="8" t="inlineStr">
        <is>
          <t>Female</t>
        </is>
      </c>
      <c r="D132" s="8" t="n">
        <v>61</v>
      </c>
      <c r="E132" s="8">
        <f>IF(D132&lt;25, "18-24", IF(D132&lt;35, "25-34", IF(D132&lt;50, "35-49", "50+")))</f>
        <v/>
      </c>
      <c r="F132" s="8" t="inlineStr">
        <is>
          <t>New York</t>
        </is>
      </c>
      <c r="G132" s="8" t="inlineStr">
        <is>
          <t>New York</t>
        </is>
      </c>
      <c r="H132" s="8" t="inlineStr">
        <is>
          <t>REG-NA</t>
        </is>
      </c>
      <c r="I132" s="8" t="inlineStr">
        <is>
          <t>Corporate</t>
        </is>
      </c>
      <c r="J132" s="8" t="inlineStr">
        <is>
          <t>2024-08-18</t>
        </is>
      </c>
      <c r="K132" s="8">
        <f>COUNTIFS('05_Orders'!$C:$C, A132)</f>
        <v/>
      </c>
      <c r="L132" s="9">
        <f>SUMIFS('05_Orders'!$I:$I, '05_Orders'!$C:$C, A132)</f>
        <v/>
      </c>
      <c r="M132" s="8">
        <f>IF(L132&gt;=2000, "Platinum VIP", IF(L132&gt;=1000, "Gold", IF(L132&gt;=500, "Silver", "Standard")))</f>
        <v/>
      </c>
    </row>
    <row r="133">
      <c r="A133" s="8" t="inlineStr">
        <is>
          <t>CUST-00129</t>
        </is>
      </c>
      <c r="B133" s="8" t="inlineStr">
        <is>
          <t>Jacob Ross</t>
        </is>
      </c>
      <c r="C133" s="8" t="inlineStr">
        <is>
          <t>Female</t>
        </is>
      </c>
      <c r="D133" s="8" t="n">
        <v>59</v>
      </c>
      <c r="E133" s="8">
        <f>IF(D133&lt;25, "18-24", IF(D133&lt;35, "25-34", IF(D133&lt;50, "35-49", "50+")))</f>
        <v/>
      </c>
      <c r="F133" s="8" t="inlineStr">
        <is>
          <t>Boston</t>
        </is>
      </c>
      <c r="G133" s="8" t="inlineStr">
        <is>
          <t>Massachusetts</t>
        </is>
      </c>
      <c r="H133" s="8" t="inlineStr">
        <is>
          <t>REG-NA</t>
        </is>
      </c>
      <c r="I133" s="8" t="inlineStr">
        <is>
          <t>Consumer</t>
        </is>
      </c>
      <c r="J133" s="8" t="inlineStr">
        <is>
          <t>2023-02-26</t>
        </is>
      </c>
      <c r="K133" s="8">
        <f>COUNTIFS('05_Orders'!$C:$C, A133)</f>
        <v/>
      </c>
      <c r="L133" s="9">
        <f>SUMIFS('05_Orders'!$I:$I, '05_Orders'!$C:$C, A133)</f>
        <v/>
      </c>
      <c r="M133" s="8">
        <f>IF(L133&gt;=2000, "Platinum VIP", IF(L133&gt;=1000, "Gold", IF(L133&gt;=500, "Silver", "Standard")))</f>
        <v/>
      </c>
    </row>
    <row r="134">
      <c r="A134" s="8" t="inlineStr">
        <is>
          <t>CUST-00130</t>
        </is>
      </c>
      <c r="B134" s="8" t="inlineStr">
        <is>
          <t>Raymond Rivera</t>
        </is>
      </c>
      <c r="C134" s="8" t="inlineStr">
        <is>
          <t>Female</t>
        </is>
      </c>
      <c r="D134" s="8" t="n">
        <v>23</v>
      </c>
      <c r="E134" s="8">
        <f>IF(D134&lt;25, "18-24", IF(D134&lt;35, "25-34", IF(D134&lt;50, "35-49", "50+")))</f>
        <v/>
      </c>
      <c r="F134" s="8" t="inlineStr">
        <is>
          <t>Bangalore</t>
        </is>
      </c>
      <c r="G134" s="8" t="inlineStr">
        <is>
          <t>Karnataka</t>
        </is>
      </c>
      <c r="H134" s="8" t="inlineStr">
        <is>
          <t>REG-APAC</t>
        </is>
      </c>
      <c r="I134" s="8" t="inlineStr">
        <is>
          <t>Corporate</t>
        </is>
      </c>
      <c r="J134" s="8" t="inlineStr">
        <is>
          <t>2021-10-14</t>
        </is>
      </c>
      <c r="K134" s="8">
        <f>COUNTIFS('05_Orders'!$C:$C, A134)</f>
        <v/>
      </c>
      <c r="L134" s="9">
        <f>SUMIFS('05_Orders'!$I:$I, '05_Orders'!$C:$C, A134)</f>
        <v/>
      </c>
      <c r="M134" s="8">
        <f>IF(L134&gt;=2000, "Platinum VIP", IF(L134&gt;=1000, "Gold", IF(L134&gt;=500, "Silver", "Standard")))</f>
        <v/>
      </c>
    </row>
    <row r="135">
      <c r="A135" s="8" t="inlineStr">
        <is>
          <t>CUST-00131</t>
        </is>
      </c>
      <c r="B135" s="8" t="inlineStr">
        <is>
          <t>Stephanie Rodriguez</t>
        </is>
      </c>
      <c r="C135" s="8" t="inlineStr">
        <is>
          <t>Other</t>
        </is>
      </c>
      <c r="D135" s="8" t="n">
        <v>59</v>
      </c>
      <c r="E135" s="8">
        <f>IF(D135&lt;25, "18-24", IF(D135&lt;35, "25-34", IF(D135&lt;50, "35-49", "50+")))</f>
        <v/>
      </c>
      <c r="F135" s="8" t="inlineStr">
        <is>
          <t>Boston</t>
        </is>
      </c>
      <c r="G135" s="8" t="inlineStr">
        <is>
          <t>Massachusetts</t>
        </is>
      </c>
      <c r="H135" s="8" t="inlineStr">
        <is>
          <t>REG-NA</t>
        </is>
      </c>
      <c r="I135" s="8" t="inlineStr">
        <is>
          <t>Enterprise</t>
        </is>
      </c>
      <c r="J135" s="8" t="inlineStr">
        <is>
          <t>2023-07-10</t>
        </is>
      </c>
      <c r="K135" s="8">
        <f>COUNTIFS('05_Orders'!$C:$C, A135)</f>
        <v/>
      </c>
      <c r="L135" s="9">
        <f>SUMIFS('05_Orders'!$I:$I, '05_Orders'!$C:$C, A135)</f>
        <v/>
      </c>
      <c r="M135" s="8">
        <f>IF(L135&gt;=2000, "Platinum VIP", IF(L135&gt;=1000, "Gold", IF(L135&gt;=500, "Silver", "Standard")))</f>
        <v/>
      </c>
    </row>
    <row r="136">
      <c r="A136" s="8" t="inlineStr">
        <is>
          <t>CUST-00132</t>
        </is>
      </c>
      <c r="B136" s="8" t="inlineStr">
        <is>
          <t>Jack Garcia</t>
        </is>
      </c>
      <c r="C136" s="8" t="inlineStr">
        <is>
          <t>Female</t>
        </is>
      </c>
      <c r="D136" s="8" t="n">
        <v>25</v>
      </c>
      <c r="E136" s="8">
        <f>IF(D136&lt;25, "18-24", IF(D136&lt;35, "25-34", IF(D136&lt;50, "35-49", "50+")))</f>
        <v/>
      </c>
      <c r="F136" s="8" t="inlineStr">
        <is>
          <t>Boston</t>
        </is>
      </c>
      <c r="G136" s="8" t="inlineStr">
        <is>
          <t>Massachusetts</t>
        </is>
      </c>
      <c r="H136" s="8" t="inlineStr">
        <is>
          <t>REG-NA</t>
        </is>
      </c>
      <c r="I136" s="8" t="inlineStr">
        <is>
          <t>Consumer</t>
        </is>
      </c>
      <c r="J136" s="8" t="inlineStr">
        <is>
          <t>2024-10-20</t>
        </is>
      </c>
      <c r="K136" s="8">
        <f>COUNTIFS('05_Orders'!$C:$C, A136)</f>
        <v/>
      </c>
      <c r="L136" s="9">
        <f>SUMIFS('05_Orders'!$I:$I, '05_Orders'!$C:$C, A136)</f>
        <v/>
      </c>
      <c r="M136" s="8">
        <f>IF(L136&gt;=2000, "Platinum VIP", IF(L136&gt;=1000, "Gold", IF(L136&gt;=500, "Silver", "Standard")))</f>
        <v/>
      </c>
    </row>
    <row r="137">
      <c r="A137" s="8" t="inlineStr">
        <is>
          <t>CUST-00133</t>
        </is>
      </c>
      <c r="B137" s="8" t="inlineStr">
        <is>
          <t>Elizabeth Jones</t>
        </is>
      </c>
      <c r="C137" s="8" t="inlineStr">
        <is>
          <t>Other</t>
        </is>
      </c>
      <c r="D137" s="8" t="n">
        <v>27</v>
      </c>
      <c r="E137" s="8">
        <f>IF(D137&lt;25, "18-24", IF(D137&lt;35, "25-34", IF(D137&lt;50, "35-49", "50+")))</f>
        <v/>
      </c>
      <c r="F137" s="8" t="inlineStr">
        <is>
          <t>London</t>
        </is>
      </c>
      <c r="G137" s="8" t="inlineStr">
        <is>
          <t>Greater London</t>
        </is>
      </c>
      <c r="H137" s="8" t="inlineStr">
        <is>
          <t>REG-EU</t>
        </is>
      </c>
      <c r="I137" s="8" t="inlineStr">
        <is>
          <t>Consumer</t>
        </is>
      </c>
      <c r="J137" s="8" t="inlineStr">
        <is>
          <t>2024-06-20</t>
        </is>
      </c>
      <c r="K137" s="8">
        <f>COUNTIFS('05_Orders'!$C:$C, A137)</f>
        <v/>
      </c>
      <c r="L137" s="9">
        <f>SUMIFS('05_Orders'!$I:$I, '05_Orders'!$C:$C, A137)</f>
        <v/>
      </c>
      <c r="M137" s="8">
        <f>IF(L137&gt;=2000, "Platinum VIP", IF(L137&gt;=1000, "Gold", IF(L137&gt;=500, "Silver", "Standard")))</f>
        <v/>
      </c>
    </row>
    <row r="138">
      <c r="A138" s="8" t="inlineStr">
        <is>
          <t>CUST-00134</t>
        </is>
      </c>
      <c r="B138" s="8" t="inlineStr">
        <is>
          <t>Michael Flores</t>
        </is>
      </c>
      <c r="C138" s="8" t="inlineStr">
        <is>
          <t>Male</t>
        </is>
      </c>
      <c r="D138" s="8" t="n">
        <v>47</v>
      </c>
      <c r="E138" s="8">
        <f>IF(D138&lt;25, "18-24", IF(D138&lt;35, "25-34", IF(D138&lt;50, "35-49", "50+")))</f>
        <v/>
      </c>
      <c r="F138" s="8" t="inlineStr">
        <is>
          <t>Stockholm</t>
        </is>
      </c>
      <c r="G138" s="8" t="inlineStr">
        <is>
          <t>Stockholm County</t>
        </is>
      </c>
      <c r="H138" s="8" t="inlineStr">
        <is>
          <t>REG-EU</t>
        </is>
      </c>
      <c r="I138" s="8" t="inlineStr">
        <is>
          <t>Consumer</t>
        </is>
      </c>
      <c r="J138" s="8" t="inlineStr">
        <is>
          <t>2021-08-06</t>
        </is>
      </c>
      <c r="K138" s="8">
        <f>COUNTIFS('05_Orders'!$C:$C, A138)</f>
        <v/>
      </c>
      <c r="L138" s="9">
        <f>SUMIFS('05_Orders'!$I:$I, '05_Orders'!$C:$C, A138)</f>
        <v/>
      </c>
      <c r="M138" s="8">
        <f>IF(L138&gt;=2000, "Platinum VIP", IF(L138&gt;=1000, "Gold", IF(L138&gt;=500, "Silver", "Standard")))</f>
        <v/>
      </c>
    </row>
    <row r="139">
      <c r="A139" s="8" t="inlineStr">
        <is>
          <t>CUST-00135</t>
        </is>
      </c>
      <c r="B139" s="8" t="inlineStr">
        <is>
          <t>Margaret Diaz</t>
        </is>
      </c>
      <c r="C139" s="8" t="inlineStr">
        <is>
          <t>Female</t>
        </is>
      </c>
      <c r="D139" s="8" t="n">
        <v>69</v>
      </c>
      <c r="E139" s="8">
        <f>IF(D139&lt;25, "18-24", IF(D139&lt;35, "25-34", IF(D139&lt;50, "35-49", "50+")))</f>
        <v/>
      </c>
      <c r="F139" s="8" t="inlineStr">
        <is>
          <t>Seoul</t>
        </is>
      </c>
      <c r="G139" s="8" t="inlineStr">
        <is>
          <t>Gyeonggi</t>
        </is>
      </c>
      <c r="H139" s="8" t="inlineStr">
        <is>
          <t>REG-APAC</t>
        </is>
      </c>
      <c r="I139" s="8" t="inlineStr">
        <is>
          <t>Consumer</t>
        </is>
      </c>
      <c r="J139" s="8" t="inlineStr">
        <is>
          <t>2024-11-02</t>
        </is>
      </c>
      <c r="K139" s="8">
        <f>COUNTIFS('05_Orders'!$C:$C, A139)</f>
        <v/>
      </c>
      <c r="L139" s="9">
        <f>SUMIFS('05_Orders'!$I:$I, '05_Orders'!$C:$C, A139)</f>
        <v/>
      </c>
      <c r="M139" s="8">
        <f>IF(L139&gt;=2000, "Platinum VIP", IF(L139&gt;=1000, "Gold", IF(L139&gt;=500, "Silver", "Standard")))</f>
        <v/>
      </c>
    </row>
    <row r="140">
      <c r="A140" s="8" t="inlineStr">
        <is>
          <t>CUST-00136</t>
        </is>
      </c>
      <c r="B140" s="8" t="inlineStr">
        <is>
          <t>Maria Garcia</t>
        </is>
      </c>
      <c r="C140" s="8" t="inlineStr">
        <is>
          <t>Other</t>
        </is>
      </c>
      <c r="D140" s="8" t="n">
        <v>29</v>
      </c>
      <c r="E140" s="8">
        <f>IF(D140&lt;25, "18-24", IF(D140&lt;35, "25-34", IF(D140&lt;50, "35-49", "50+")))</f>
        <v/>
      </c>
      <c r="F140" s="8" t="inlineStr">
        <is>
          <t>Los Angeles</t>
        </is>
      </c>
      <c r="G140" s="8" t="inlineStr">
        <is>
          <t>California</t>
        </is>
      </c>
      <c r="H140" s="8" t="inlineStr">
        <is>
          <t>REG-NA</t>
        </is>
      </c>
      <c r="I140" s="8" t="inlineStr">
        <is>
          <t>Consumer</t>
        </is>
      </c>
      <c r="J140" s="8" t="inlineStr">
        <is>
          <t>2025-04-01</t>
        </is>
      </c>
      <c r="K140" s="8">
        <f>COUNTIFS('05_Orders'!$C:$C, A140)</f>
        <v/>
      </c>
      <c r="L140" s="9">
        <f>SUMIFS('05_Orders'!$I:$I, '05_Orders'!$C:$C, A140)</f>
        <v/>
      </c>
      <c r="M140" s="8">
        <f>IF(L140&gt;=2000, "Platinum VIP", IF(L140&gt;=1000, "Gold", IF(L140&gt;=500, "Silver", "Standard")))</f>
        <v/>
      </c>
    </row>
    <row r="141">
      <c r="A141" s="8" t="inlineStr">
        <is>
          <t>CUST-00137</t>
        </is>
      </c>
      <c r="B141" s="8" t="inlineStr">
        <is>
          <t>Scott Garcia</t>
        </is>
      </c>
      <c r="C141" s="8" t="inlineStr">
        <is>
          <t>Male</t>
        </is>
      </c>
      <c r="D141" s="8" t="n">
        <v>45</v>
      </c>
      <c r="E141" s="8">
        <f>IF(D141&lt;25, "18-24", IF(D141&lt;35, "25-34", IF(D141&lt;50, "35-49", "50+")))</f>
        <v/>
      </c>
      <c r="F141" s="8" t="inlineStr">
        <is>
          <t>Auckland</t>
        </is>
      </c>
      <c r="G141" s="8" t="inlineStr">
        <is>
          <t>Auckland Region</t>
        </is>
      </c>
      <c r="H141" s="8" t="inlineStr">
        <is>
          <t>REG-APAC</t>
        </is>
      </c>
      <c r="I141" s="8" t="inlineStr">
        <is>
          <t>Consumer</t>
        </is>
      </c>
      <c r="J141" s="8" t="inlineStr">
        <is>
          <t>2021-11-20</t>
        </is>
      </c>
      <c r="K141" s="8">
        <f>COUNTIFS('05_Orders'!$C:$C, A141)</f>
        <v/>
      </c>
      <c r="L141" s="9">
        <f>SUMIFS('05_Orders'!$I:$I, '05_Orders'!$C:$C, A141)</f>
        <v/>
      </c>
      <c r="M141" s="8">
        <f>IF(L141&gt;=2000, "Platinum VIP", IF(L141&gt;=1000, "Gold", IF(L141&gt;=500, "Silver", "Standard")))</f>
        <v/>
      </c>
    </row>
    <row r="142">
      <c r="A142" s="8" t="inlineStr">
        <is>
          <t>CUST-00138</t>
        </is>
      </c>
      <c r="B142" s="8" t="inlineStr">
        <is>
          <t>Barbara Price</t>
        </is>
      </c>
      <c r="C142" s="8" t="inlineStr">
        <is>
          <t>Other</t>
        </is>
      </c>
      <c r="D142" s="8" t="n">
        <v>55</v>
      </c>
      <c r="E142" s="8">
        <f>IF(D142&lt;25, "18-24", IF(D142&lt;35, "25-34", IF(D142&lt;50, "35-49", "50+")))</f>
        <v/>
      </c>
      <c r="F142" s="8" t="inlineStr">
        <is>
          <t>Seoul</t>
        </is>
      </c>
      <c r="G142" s="8" t="inlineStr">
        <is>
          <t>Gyeonggi</t>
        </is>
      </c>
      <c r="H142" s="8" t="inlineStr">
        <is>
          <t>REG-APAC</t>
        </is>
      </c>
      <c r="I142" s="8" t="inlineStr">
        <is>
          <t>Corporate</t>
        </is>
      </c>
      <c r="J142" s="8" t="inlineStr">
        <is>
          <t>2025-05-02</t>
        </is>
      </c>
      <c r="K142" s="8">
        <f>COUNTIFS('05_Orders'!$C:$C, A142)</f>
        <v/>
      </c>
      <c r="L142" s="9">
        <f>SUMIFS('05_Orders'!$I:$I, '05_Orders'!$C:$C, A142)</f>
        <v/>
      </c>
      <c r="M142" s="8">
        <f>IF(L142&gt;=2000, "Platinum VIP", IF(L142&gt;=1000, "Gold", IF(L142&gt;=500, "Silver", "Standard")))</f>
        <v/>
      </c>
    </row>
    <row r="143">
      <c r="A143" s="8" t="inlineStr">
        <is>
          <t>CUST-00139</t>
        </is>
      </c>
      <c r="B143" s="8" t="inlineStr">
        <is>
          <t>Cynthia Evans</t>
        </is>
      </c>
      <c r="C143" s="8" t="inlineStr">
        <is>
          <t>Male</t>
        </is>
      </c>
      <c r="D143" s="8" t="n">
        <v>29</v>
      </c>
      <c r="E143" s="8">
        <f>IF(D143&lt;25, "18-24", IF(D143&lt;35, "25-34", IF(D143&lt;50, "35-49", "50+")))</f>
        <v/>
      </c>
      <c r="F143" s="8" t="inlineStr">
        <is>
          <t>London</t>
        </is>
      </c>
      <c r="G143" s="8" t="inlineStr">
        <is>
          <t>Greater London</t>
        </is>
      </c>
      <c r="H143" s="8" t="inlineStr">
        <is>
          <t>REG-EU</t>
        </is>
      </c>
      <c r="I143" s="8" t="inlineStr">
        <is>
          <t>Corporate</t>
        </is>
      </c>
      <c r="J143" s="8" t="inlineStr">
        <is>
          <t>2025-01-08</t>
        </is>
      </c>
      <c r="K143" s="8">
        <f>COUNTIFS('05_Orders'!$C:$C, A143)</f>
        <v/>
      </c>
      <c r="L143" s="9">
        <f>SUMIFS('05_Orders'!$I:$I, '05_Orders'!$C:$C, A143)</f>
        <v/>
      </c>
      <c r="M143" s="8">
        <f>IF(L143&gt;=2000, "Platinum VIP", IF(L143&gt;=1000, "Gold", IF(L143&gt;=500, "Silver", "Standard")))</f>
        <v/>
      </c>
    </row>
    <row r="144">
      <c r="A144" s="8" t="inlineStr">
        <is>
          <t>CUST-00140</t>
        </is>
      </c>
      <c r="B144" s="8" t="inlineStr">
        <is>
          <t>George Turner</t>
        </is>
      </c>
      <c r="C144" s="8" t="inlineStr">
        <is>
          <t>Male</t>
        </is>
      </c>
      <c r="D144" s="8" t="n">
        <v>53</v>
      </c>
      <c r="E144" s="8">
        <f>IF(D144&lt;25, "18-24", IF(D144&lt;35, "25-34", IF(D144&lt;50, "35-49", "50+")))</f>
        <v/>
      </c>
      <c r="F144" s="8" t="inlineStr">
        <is>
          <t>Los Angeles</t>
        </is>
      </c>
      <c r="G144" s="8" t="inlineStr">
        <is>
          <t>California</t>
        </is>
      </c>
      <c r="H144" s="8" t="inlineStr">
        <is>
          <t>REG-NA</t>
        </is>
      </c>
      <c r="I144" s="8" t="inlineStr">
        <is>
          <t>Enterprise</t>
        </is>
      </c>
      <c r="J144" s="8" t="inlineStr">
        <is>
          <t>2021-07-15</t>
        </is>
      </c>
      <c r="K144" s="8">
        <f>COUNTIFS('05_Orders'!$C:$C, A144)</f>
        <v/>
      </c>
      <c r="L144" s="9">
        <f>SUMIFS('05_Orders'!$I:$I, '05_Orders'!$C:$C, A144)</f>
        <v/>
      </c>
      <c r="M144" s="8">
        <f>IF(L144&gt;=2000, "Platinum VIP", IF(L144&gt;=1000, "Gold", IF(L144&gt;=500, "Silver", "Standard")))</f>
        <v/>
      </c>
    </row>
    <row r="145">
      <c r="A145" s="8" t="inlineStr">
        <is>
          <t>CUST-00141</t>
        </is>
      </c>
      <c r="B145" s="8" t="inlineStr">
        <is>
          <t>Kathleen Foster</t>
        </is>
      </c>
      <c r="C145" s="8" t="inlineStr">
        <is>
          <t>Other</t>
        </is>
      </c>
      <c r="D145" s="8" t="n">
        <v>60</v>
      </c>
      <c r="E145" s="8">
        <f>IF(D145&lt;25, "18-24", IF(D145&lt;35, "25-34", IF(D145&lt;50, "35-49", "50+")))</f>
        <v/>
      </c>
      <c r="F145" s="8" t="inlineStr">
        <is>
          <t>New York</t>
        </is>
      </c>
      <c r="G145" s="8" t="inlineStr">
        <is>
          <t>New York</t>
        </is>
      </c>
      <c r="H145" s="8" t="inlineStr">
        <is>
          <t>REG-NA</t>
        </is>
      </c>
      <c r="I145" s="8" t="inlineStr">
        <is>
          <t>Consumer</t>
        </is>
      </c>
      <c r="J145" s="8" t="inlineStr">
        <is>
          <t>2021-11-02</t>
        </is>
      </c>
      <c r="K145" s="8">
        <f>COUNTIFS('05_Orders'!$C:$C, A145)</f>
        <v/>
      </c>
      <c r="L145" s="9">
        <f>SUMIFS('05_Orders'!$I:$I, '05_Orders'!$C:$C, A145)</f>
        <v/>
      </c>
      <c r="M145" s="8">
        <f>IF(L145&gt;=2000, "Platinum VIP", IF(L145&gt;=1000, "Gold", IF(L145&gt;=500, "Silver", "Standard")))</f>
        <v/>
      </c>
    </row>
    <row r="146">
      <c r="A146" s="8" t="inlineStr">
        <is>
          <t>CUST-00142</t>
        </is>
      </c>
      <c r="B146" s="8" t="inlineStr">
        <is>
          <t>Debra Garcia</t>
        </is>
      </c>
      <c r="C146" s="8" t="inlineStr">
        <is>
          <t>Male</t>
        </is>
      </c>
      <c r="D146" s="8" t="n">
        <v>59</v>
      </c>
      <c r="E146" s="8">
        <f>IF(D146&lt;25, "18-24", IF(D146&lt;35, "25-34", IF(D146&lt;50, "35-49", "50+")))</f>
        <v/>
      </c>
      <c r="F146" s="8" t="inlineStr">
        <is>
          <t>Houston</t>
        </is>
      </c>
      <c r="G146" s="8" t="inlineStr">
        <is>
          <t>Texas</t>
        </is>
      </c>
      <c r="H146" s="8" t="inlineStr">
        <is>
          <t>REG-NA</t>
        </is>
      </c>
      <c r="I146" s="8" t="inlineStr">
        <is>
          <t>Consumer</t>
        </is>
      </c>
      <c r="J146" s="8" t="inlineStr">
        <is>
          <t>2022-11-16</t>
        </is>
      </c>
      <c r="K146" s="8">
        <f>COUNTIFS('05_Orders'!$C:$C, A146)</f>
        <v/>
      </c>
      <c r="L146" s="9">
        <f>SUMIFS('05_Orders'!$I:$I, '05_Orders'!$C:$C, A146)</f>
        <v/>
      </c>
      <c r="M146" s="8">
        <f>IF(L146&gt;=2000, "Platinum VIP", IF(L146&gt;=1000, "Gold", IF(L146&gt;=500, "Silver", "Standard")))</f>
        <v/>
      </c>
    </row>
    <row r="147">
      <c r="A147" s="8" t="inlineStr">
        <is>
          <t>CUST-00143</t>
        </is>
      </c>
      <c r="B147" s="8" t="inlineStr">
        <is>
          <t>Michael Morgan</t>
        </is>
      </c>
      <c r="C147" s="8" t="inlineStr">
        <is>
          <t>Male</t>
        </is>
      </c>
      <c r="D147" s="8" t="n">
        <v>28</v>
      </c>
      <c r="E147" s="8">
        <f>IF(D147&lt;25, "18-24", IF(D147&lt;35, "25-34", IF(D147&lt;50, "35-49", "50+")))</f>
        <v/>
      </c>
      <c r="F147" s="8" t="inlineStr">
        <is>
          <t>Bangalore</t>
        </is>
      </c>
      <c r="G147" s="8" t="inlineStr">
        <is>
          <t>Karnataka</t>
        </is>
      </c>
      <c r="H147" s="8" t="inlineStr">
        <is>
          <t>REG-APAC</t>
        </is>
      </c>
      <c r="I147" s="8" t="inlineStr">
        <is>
          <t>Corporate</t>
        </is>
      </c>
      <c r="J147" s="8" t="inlineStr">
        <is>
          <t>2021-05-26</t>
        </is>
      </c>
      <c r="K147" s="8">
        <f>COUNTIFS('05_Orders'!$C:$C, A147)</f>
        <v/>
      </c>
      <c r="L147" s="9">
        <f>SUMIFS('05_Orders'!$I:$I, '05_Orders'!$C:$C, A147)</f>
        <v/>
      </c>
      <c r="M147" s="8">
        <f>IF(L147&gt;=2000, "Platinum VIP", IF(L147&gt;=1000, "Gold", IF(L147&gt;=500, "Silver", "Standard")))</f>
        <v/>
      </c>
    </row>
    <row r="148">
      <c r="A148" s="8" t="inlineStr">
        <is>
          <t>CUST-00144</t>
        </is>
      </c>
      <c r="B148" s="8" t="inlineStr">
        <is>
          <t>Margaret Myers</t>
        </is>
      </c>
      <c r="C148" s="8" t="inlineStr">
        <is>
          <t>Other</t>
        </is>
      </c>
      <c r="D148" s="8" t="n">
        <v>38</v>
      </c>
      <c r="E148" s="8">
        <f>IF(D148&lt;25, "18-24", IF(D148&lt;35, "25-34", IF(D148&lt;50, "35-49", "50+")))</f>
        <v/>
      </c>
      <c r="F148" s="8" t="inlineStr">
        <is>
          <t>Los Angeles</t>
        </is>
      </c>
      <c r="G148" s="8" t="inlineStr">
        <is>
          <t>California</t>
        </is>
      </c>
      <c r="H148" s="8" t="inlineStr">
        <is>
          <t>REG-NA</t>
        </is>
      </c>
      <c r="I148" s="8" t="inlineStr">
        <is>
          <t>Consumer</t>
        </is>
      </c>
      <c r="J148" s="8" t="inlineStr">
        <is>
          <t>2021-07-20</t>
        </is>
      </c>
      <c r="K148" s="8">
        <f>COUNTIFS('05_Orders'!$C:$C, A148)</f>
        <v/>
      </c>
      <c r="L148" s="9">
        <f>SUMIFS('05_Orders'!$I:$I, '05_Orders'!$C:$C, A148)</f>
        <v/>
      </c>
      <c r="M148" s="8">
        <f>IF(L148&gt;=2000, "Platinum VIP", IF(L148&gt;=1000, "Gold", IF(L148&gt;=500, "Silver", "Standard")))</f>
        <v/>
      </c>
    </row>
    <row r="149">
      <c r="A149" s="8" t="inlineStr">
        <is>
          <t>CUST-00145</t>
        </is>
      </c>
      <c r="B149" s="8" t="inlineStr">
        <is>
          <t>Elizabeth Stewart</t>
        </is>
      </c>
      <c r="C149" s="8" t="inlineStr">
        <is>
          <t>Other</t>
        </is>
      </c>
      <c r="D149" s="8" t="n">
        <v>49</v>
      </c>
      <c r="E149" s="8">
        <f>IF(D149&lt;25, "18-24", IF(D149&lt;35, "25-34", IF(D149&lt;50, "35-49", "50+")))</f>
        <v/>
      </c>
      <c r="F149" s="8" t="inlineStr">
        <is>
          <t>Atlanta</t>
        </is>
      </c>
      <c r="G149" s="8" t="inlineStr">
        <is>
          <t>Georgia</t>
        </is>
      </c>
      <c r="H149" s="8" t="inlineStr">
        <is>
          <t>REG-NA</t>
        </is>
      </c>
      <c r="I149" s="8" t="inlineStr">
        <is>
          <t>Consumer</t>
        </is>
      </c>
      <c r="J149" s="8" t="inlineStr">
        <is>
          <t>2024-06-02</t>
        </is>
      </c>
      <c r="K149" s="8">
        <f>COUNTIFS('05_Orders'!$C:$C, A149)</f>
        <v/>
      </c>
      <c r="L149" s="9">
        <f>SUMIFS('05_Orders'!$I:$I, '05_Orders'!$C:$C, A149)</f>
        <v/>
      </c>
      <c r="M149" s="8">
        <f>IF(L149&gt;=2000, "Platinum VIP", IF(L149&gt;=1000, "Gold", IF(L149&gt;=500, "Silver", "Standard")))</f>
        <v/>
      </c>
    </row>
    <row r="150">
      <c r="A150" s="8" t="inlineStr">
        <is>
          <t>CUST-00146</t>
        </is>
      </c>
      <c r="B150" s="8" t="inlineStr">
        <is>
          <t>Samuel Rivera</t>
        </is>
      </c>
      <c r="C150" s="8" t="inlineStr">
        <is>
          <t>Female</t>
        </is>
      </c>
      <c r="D150" s="8" t="n">
        <v>30</v>
      </c>
      <c r="E150" s="8">
        <f>IF(D150&lt;25, "18-24", IF(D150&lt;35, "25-34", IF(D150&lt;50, "35-49", "50+")))</f>
        <v/>
      </c>
      <c r="F150" s="8" t="inlineStr">
        <is>
          <t>New York</t>
        </is>
      </c>
      <c r="G150" s="8" t="inlineStr">
        <is>
          <t>New York</t>
        </is>
      </c>
      <c r="H150" s="8" t="inlineStr">
        <is>
          <t>REG-NA</t>
        </is>
      </c>
      <c r="I150" s="8" t="inlineStr">
        <is>
          <t>Corporate</t>
        </is>
      </c>
      <c r="J150" s="8" t="inlineStr">
        <is>
          <t>2021-05-03</t>
        </is>
      </c>
      <c r="K150" s="8">
        <f>COUNTIFS('05_Orders'!$C:$C, A150)</f>
        <v/>
      </c>
      <c r="L150" s="9">
        <f>SUMIFS('05_Orders'!$I:$I, '05_Orders'!$C:$C, A150)</f>
        <v/>
      </c>
      <c r="M150" s="8">
        <f>IF(L150&gt;=2000, "Platinum VIP", IF(L150&gt;=1000, "Gold", IF(L150&gt;=500, "Silver", "Standard")))</f>
        <v/>
      </c>
    </row>
    <row r="151">
      <c r="A151" s="8" t="inlineStr">
        <is>
          <t>CUST-00147</t>
        </is>
      </c>
      <c r="B151" s="8" t="inlineStr">
        <is>
          <t>Maria Baker</t>
        </is>
      </c>
      <c r="C151" s="8" t="inlineStr">
        <is>
          <t>Male</t>
        </is>
      </c>
      <c r="D151" s="8" t="n">
        <v>36</v>
      </c>
      <c r="E151" s="8">
        <f>IF(D151&lt;25, "18-24", IF(D151&lt;35, "25-34", IF(D151&lt;50, "35-49", "50+")))</f>
        <v/>
      </c>
      <c r="F151" s="8" t="inlineStr">
        <is>
          <t>Stockholm</t>
        </is>
      </c>
      <c r="G151" s="8" t="inlineStr">
        <is>
          <t>Stockholm County</t>
        </is>
      </c>
      <c r="H151" s="8" t="inlineStr">
        <is>
          <t>REG-EU</t>
        </is>
      </c>
      <c r="I151" s="8" t="inlineStr">
        <is>
          <t>Home Office</t>
        </is>
      </c>
      <c r="J151" s="8" t="inlineStr">
        <is>
          <t>2024-03-29</t>
        </is>
      </c>
      <c r="K151" s="8">
        <f>COUNTIFS('05_Orders'!$C:$C, A151)</f>
        <v/>
      </c>
      <c r="L151" s="9">
        <f>SUMIFS('05_Orders'!$I:$I, '05_Orders'!$C:$C, A151)</f>
        <v/>
      </c>
      <c r="M151" s="8">
        <f>IF(L151&gt;=2000, "Platinum VIP", IF(L151&gt;=1000, "Gold", IF(L151&gt;=500, "Silver", "Standard")))</f>
        <v/>
      </c>
    </row>
    <row r="152">
      <c r="A152" s="8" t="inlineStr">
        <is>
          <t>CUST-00148</t>
        </is>
      </c>
      <c r="B152" s="8" t="inlineStr">
        <is>
          <t>Nicholas Ramirez</t>
        </is>
      </c>
      <c r="C152" s="8" t="inlineStr">
        <is>
          <t>Other</t>
        </is>
      </c>
      <c r="D152" s="8" t="n">
        <v>48</v>
      </c>
      <c r="E152" s="8">
        <f>IF(D152&lt;25, "18-24", IF(D152&lt;35, "25-34", IF(D152&lt;50, "35-49", "50+")))</f>
        <v/>
      </c>
      <c r="F152" s="8" t="inlineStr">
        <is>
          <t>Melbourne</t>
        </is>
      </c>
      <c r="G152" s="8" t="inlineStr">
        <is>
          <t>Victoria</t>
        </is>
      </c>
      <c r="H152" s="8" t="inlineStr">
        <is>
          <t>REG-APAC</t>
        </is>
      </c>
      <c r="I152" s="8" t="inlineStr">
        <is>
          <t>Consumer</t>
        </is>
      </c>
      <c r="J152" s="8" t="inlineStr">
        <is>
          <t>2023-05-27</t>
        </is>
      </c>
      <c r="K152" s="8">
        <f>COUNTIFS('05_Orders'!$C:$C, A152)</f>
        <v/>
      </c>
      <c r="L152" s="9">
        <f>SUMIFS('05_Orders'!$I:$I, '05_Orders'!$C:$C, A152)</f>
        <v/>
      </c>
      <c r="M152" s="8">
        <f>IF(L152&gt;=2000, "Platinum VIP", IF(L152&gt;=1000, "Gold", IF(L152&gt;=500, "Silver", "Standard")))</f>
        <v/>
      </c>
    </row>
    <row r="153">
      <c r="A153" s="8" t="inlineStr">
        <is>
          <t>CUST-00149</t>
        </is>
      </c>
      <c r="B153" s="8" t="inlineStr">
        <is>
          <t>Nicole Martin</t>
        </is>
      </c>
      <c r="C153" s="8" t="inlineStr">
        <is>
          <t>Other</t>
        </is>
      </c>
      <c r="D153" s="8" t="n">
        <v>18</v>
      </c>
      <c r="E153" s="8">
        <f>IF(D153&lt;25, "18-24", IF(D153&lt;35, "25-34", IF(D153&lt;50, "35-49", "50+")))</f>
        <v/>
      </c>
      <c r="F153" s="8" t="inlineStr">
        <is>
          <t>New York</t>
        </is>
      </c>
      <c r="G153" s="8" t="inlineStr">
        <is>
          <t>New York</t>
        </is>
      </c>
      <c r="H153" s="8" t="inlineStr">
        <is>
          <t>REG-NA</t>
        </is>
      </c>
      <c r="I153" s="8" t="inlineStr">
        <is>
          <t>Consumer</t>
        </is>
      </c>
      <c r="J153" s="8" t="inlineStr">
        <is>
          <t>2023-08-22</t>
        </is>
      </c>
      <c r="K153" s="8">
        <f>COUNTIFS('05_Orders'!$C:$C, A153)</f>
        <v/>
      </c>
      <c r="L153" s="9">
        <f>SUMIFS('05_Orders'!$I:$I, '05_Orders'!$C:$C, A153)</f>
        <v/>
      </c>
      <c r="M153" s="8">
        <f>IF(L153&gt;=2000, "Platinum VIP", IF(L153&gt;=1000, "Gold", IF(L153&gt;=500, "Silver", "Standard")))</f>
        <v/>
      </c>
    </row>
    <row r="154">
      <c r="A154" s="8" t="inlineStr">
        <is>
          <t>CUST-00150</t>
        </is>
      </c>
      <c r="B154" s="8" t="inlineStr">
        <is>
          <t>Catherine Gonzalez</t>
        </is>
      </c>
      <c r="C154" s="8" t="inlineStr">
        <is>
          <t>Female</t>
        </is>
      </c>
      <c r="D154" s="8" t="n">
        <v>49</v>
      </c>
      <c r="E154" s="8">
        <f>IF(D154&lt;25, "18-24", IF(D154&lt;35, "25-34", IF(D154&lt;50, "35-49", "50+")))</f>
        <v/>
      </c>
      <c r="F154" s="8" t="inlineStr">
        <is>
          <t>Boston</t>
        </is>
      </c>
      <c r="G154" s="8" t="inlineStr">
        <is>
          <t>Massachusetts</t>
        </is>
      </c>
      <c r="H154" s="8" t="inlineStr">
        <is>
          <t>REG-NA</t>
        </is>
      </c>
      <c r="I154" s="8" t="inlineStr">
        <is>
          <t>Corporate</t>
        </is>
      </c>
      <c r="J154" s="8" t="inlineStr">
        <is>
          <t>2024-11-20</t>
        </is>
      </c>
      <c r="K154" s="8">
        <f>COUNTIFS('05_Orders'!$C:$C, A154)</f>
        <v/>
      </c>
      <c r="L154" s="9">
        <f>SUMIFS('05_Orders'!$I:$I, '05_Orders'!$C:$C, A154)</f>
        <v/>
      </c>
      <c r="M154" s="8">
        <f>IF(L154&gt;=2000, "Platinum VIP", IF(L154&gt;=1000, "Gold", IF(L154&gt;=500, "Silver", "Standard")))</f>
        <v/>
      </c>
    </row>
    <row r="155">
      <c r="A155" s="8" t="inlineStr">
        <is>
          <t>CUST-00151</t>
        </is>
      </c>
      <c r="B155" s="8" t="inlineStr">
        <is>
          <t>Gregory Lopez</t>
        </is>
      </c>
      <c r="C155" s="8" t="inlineStr">
        <is>
          <t>Male</t>
        </is>
      </c>
      <c r="D155" s="8" t="n">
        <v>48</v>
      </c>
      <c r="E155" s="8">
        <f>IF(D155&lt;25, "18-24", IF(D155&lt;35, "25-34", IF(D155&lt;50, "35-49", "50+")))</f>
        <v/>
      </c>
      <c r="F155" s="8" t="inlineStr">
        <is>
          <t>Berlin</t>
        </is>
      </c>
      <c r="G155" s="8" t="inlineStr">
        <is>
          <t>Berlin</t>
        </is>
      </c>
      <c r="H155" s="8" t="inlineStr">
        <is>
          <t>REG-EU</t>
        </is>
      </c>
      <c r="I155" s="8" t="inlineStr">
        <is>
          <t>Corporate</t>
        </is>
      </c>
      <c r="J155" s="8" t="inlineStr">
        <is>
          <t>2024-03-14</t>
        </is>
      </c>
      <c r="K155" s="8">
        <f>COUNTIFS('05_Orders'!$C:$C, A155)</f>
        <v/>
      </c>
      <c r="L155" s="9">
        <f>SUMIFS('05_Orders'!$I:$I, '05_Orders'!$C:$C, A155)</f>
        <v/>
      </c>
      <c r="M155" s="8">
        <f>IF(L155&gt;=2000, "Platinum VIP", IF(L155&gt;=1000, "Gold", IF(L155&gt;=500, "Silver", "Standard")))</f>
        <v/>
      </c>
    </row>
    <row r="156">
      <c r="A156" s="8" t="inlineStr">
        <is>
          <t>CUST-00152</t>
        </is>
      </c>
      <c r="B156" s="8" t="inlineStr">
        <is>
          <t>Patrick Phillips</t>
        </is>
      </c>
      <c r="C156" s="8" t="inlineStr">
        <is>
          <t>Male</t>
        </is>
      </c>
      <c r="D156" s="8" t="n">
        <v>68</v>
      </c>
      <c r="E156" s="8">
        <f>IF(D156&lt;25, "18-24", IF(D156&lt;35, "25-34", IF(D156&lt;50, "35-49", "50+")))</f>
        <v/>
      </c>
      <c r="F156" s="8" t="inlineStr">
        <is>
          <t>Bangalore</t>
        </is>
      </c>
      <c r="G156" s="8" t="inlineStr">
        <is>
          <t>Karnataka</t>
        </is>
      </c>
      <c r="H156" s="8" t="inlineStr">
        <is>
          <t>REG-APAC</t>
        </is>
      </c>
      <c r="I156" s="8" t="inlineStr">
        <is>
          <t>Corporate</t>
        </is>
      </c>
      <c r="J156" s="8" t="inlineStr">
        <is>
          <t>2021-01-03</t>
        </is>
      </c>
      <c r="K156" s="8">
        <f>COUNTIFS('05_Orders'!$C:$C, A156)</f>
        <v/>
      </c>
      <c r="L156" s="9">
        <f>SUMIFS('05_Orders'!$I:$I, '05_Orders'!$C:$C, A156)</f>
        <v/>
      </c>
      <c r="M156" s="8">
        <f>IF(L156&gt;=2000, "Platinum VIP", IF(L156&gt;=1000, "Gold", IF(L156&gt;=500, "Silver", "Standard")))</f>
        <v/>
      </c>
    </row>
    <row r="157">
      <c r="A157" s="8" t="inlineStr">
        <is>
          <t>CUST-00153</t>
        </is>
      </c>
      <c r="B157" s="8" t="inlineStr">
        <is>
          <t>Robert Nguyen</t>
        </is>
      </c>
      <c r="C157" s="8" t="inlineStr">
        <is>
          <t>Female</t>
        </is>
      </c>
      <c r="D157" s="8" t="n">
        <v>66</v>
      </c>
      <c r="E157" s="8">
        <f>IF(D157&lt;25, "18-24", IF(D157&lt;35, "25-34", IF(D157&lt;50, "35-49", "50+")))</f>
        <v/>
      </c>
      <c r="F157" s="8" t="inlineStr">
        <is>
          <t>Denver</t>
        </is>
      </c>
      <c r="G157" s="8" t="inlineStr">
        <is>
          <t>Colorado</t>
        </is>
      </c>
      <c r="H157" s="8" t="inlineStr">
        <is>
          <t>REG-NA</t>
        </is>
      </c>
      <c r="I157" s="8" t="inlineStr">
        <is>
          <t>Corporate</t>
        </is>
      </c>
      <c r="J157" s="8" t="inlineStr">
        <is>
          <t>2022-03-01</t>
        </is>
      </c>
      <c r="K157" s="8">
        <f>COUNTIFS('05_Orders'!$C:$C, A157)</f>
        <v/>
      </c>
      <c r="L157" s="9">
        <f>SUMIFS('05_Orders'!$I:$I, '05_Orders'!$C:$C, A157)</f>
        <v/>
      </c>
      <c r="M157" s="8">
        <f>IF(L157&gt;=2000, "Platinum VIP", IF(L157&gt;=1000, "Gold", IF(L157&gt;=500, "Silver", "Standard")))</f>
        <v/>
      </c>
    </row>
    <row r="158">
      <c r="A158" s="8" t="inlineStr">
        <is>
          <t>CUST-00154</t>
        </is>
      </c>
      <c r="B158" s="8" t="inlineStr">
        <is>
          <t>Linda Rogers</t>
        </is>
      </c>
      <c r="C158" s="8" t="inlineStr">
        <is>
          <t>Other</t>
        </is>
      </c>
      <c r="D158" s="8" t="n">
        <v>41</v>
      </c>
      <c r="E158" s="8">
        <f>IF(D158&lt;25, "18-24", IF(D158&lt;35, "25-34", IF(D158&lt;50, "35-49", "50+")))</f>
        <v/>
      </c>
      <c r="F158" s="8" t="inlineStr">
        <is>
          <t>Tokyo</t>
        </is>
      </c>
      <c r="G158" s="8" t="inlineStr">
        <is>
          <t>Kanto</t>
        </is>
      </c>
      <c r="H158" s="8" t="inlineStr">
        <is>
          <t>REG-APAC</t>
        </is>
      </c>
      <c r="I158" s="8" t="inlineStr">
        <is>
          <t>Consumer</t>
        </is>
      </c>
      <c r="J158" s="8" t="inlineStr">
        <is>
          <t>2023-08-12</t>
        </is>
      </c>
      <c r="K158" s="8">
        <f>COUNTIFS('05_Orders'!$C:$C, A158)</f>
        <v/>
      </c>
      <c r="L158" s="9">
        <f>SUMIFS('05_Orders'!$I:$I, '05_Orders'!$C:$C, A158)</f>
        <v/>
      </c>
      <c r="M158" s="8">
        <f>IF(L158&gt;=2000, "Platinum VIP", IF(L158&gt;=1000, "Gold", IF(L158&gt;=500, "Silver", "Standard")))</f>
        <v/>
      </c>
    </row>
    <row r="159">
      <c r="A159" s="8" t="inlineStr">
        <is>
          <t>CUST-00155</t>
        </is>
      </c>
      <c r="B159" s="8" t="inlineStr">
        <is>
          <t>William Bailey</t>
        </is>
      </c>
      <c r="C159" s="8" t="inlineStr">
        <is>
          <t>Other</t>
        </is>
      </c>
      <c r="D159" s="8" t="n">
        <v>67</v>
      </c>
      <c r="E159" s="8">
        <f>IF(D159&lt;25, "18-24", IF(D159&lt;35, "25-34", IF(D159&lt;50, "35-49", "50+")))</f>
        <v/>
      </c>
      <c r="F159" s="8" t="inlineStr">
        <is>
          <t>Seattle</t>
        </is>
      </c>
      <c r="G159" s="8" t="inlineStr">
        <is>
          <t>Washington</t>
        </is>
      </c>
      <c r="H159" s="8" t="inlineStr">
        <is>
          <t>REG-NA</t>
        </is>
      </c>
      <c r="I159" s="8" t="inlineStr">
        <is>
          <t>Consumer</t>
        </is>
      </c>
      <c r="J159" s="8" t="inlineStr">
        <is>
          <t>2021-08-21</t>
        </is>
      </c>
      <c r="K159" s="8">
        <f>COUNTIFS('05_Orders'!$C:$C, A159)</f>
        <v/>
      </c>
      <c r="L159" s="9">
        <f>SUMIFS('05_Orders'!$I:$I, '05_Orders'!$C:$C, A159)</f>
        <v/>
      </c>
      <c r="M159" s="8">
        <f>IF(L159&gt;=2000, "Platinum VIP", IF(L159&gt;=1000, "Gold", IF(L159&gt;=500, "Silver", "Standard")))</f>
        <v/>
      </c>
    </row>
    <row r="160">
      <c r="A160" s="8" t="inlineStr">
        <is>
          <t>CUST-00156</t>
        </is>
      </c>
      <c r="B160" s="8" t="inlineStr">
        <is>
          <t>Catherine Clark</t>
        </is>
      </c>
      <c r="C160" s="8" t="inlineStr">
        <is>
          <t>Other</t>
        </is>
      </c>
      <c r="D160" s="8" t="n">
        <v>66</v>
      </c>
      <c r="E160" s="8">
        <f>IF(D160&lt;25, "18-24", IF(D160&lt;35, "25-34", IF(D160&lt;50, "35-49", "50+")))</f>
        <v/>
      </c>
      <c r="F160" s="8" t="inlineStr">
        <is>
          <t>Seattle</t>
        </is>
      </c>
      <c r="G160" s="8" t="inlineStr">
        <is>
          <t>Washington</t>
        </is>
      </c>
      <c r="H160" s="8" t="inlineStr">
        <is>
          <t>REG-NA</t>
        </is>
      </c>
      <c r="I160" s="8" t="inlineStr">
        <is>
          <t>Home Office</t>
        </is>
      </c>
      <c r="J160" s="8" t="inlineStr">
        <is>
          <t>2023-10-29</t>
        </is>
      </c>
      <c r="K160" s="8">
        <f>COUNTIFS('05_Orders'!$C:$C, A160)</f>
        <v/>
      </c>
      <c r="L160" s="9">
        <f>SUMIFS('05_Orders'!$I:$I, '05_Orders'!$C:$C, A160)</f>
        <v/>
      </c>
      <c r="M160" s="8">
        <f>IF(L160&gt;=2000, "Platinum VIP", IF(L160&gt;=1000, "Gold", IF(L160&gt;=500, "Silver", "Standard")))</f>
        <v/>
      </c>
    </row>
    <row r="161">
      <c r="A161" s="8" t="inlineStr">
        <is>
          <t>CUST-00157</t>
        </is>
      </c>
      <c r="B161" s="8" t="inlineStr">
        <is>
          <t>Nicholas Cook</t>
        </is>
      </c>
      <c r="C161" s="8" t="inlineStr">
        <is>
          <t>Other</t>
        </is>
      </c>
      <c r="D161" s="8" t="n">
        <v>71</v>
      </c>
      <c r="E161" s="8">
        <f>IF(D161&lt;25, "18-24", IF(D161&lt;35, "25-34", IF(D161&lt;50, "35-49", "50+")))</f>
        <v/>
      </c>
      <c r="F161" s="8" t="inlineStr">
        <is>
          <t>Boston</t>
        </is>
      </c>
      <c r="G161" s="8" t="inlineStr">
        <is>
          <t>Massachusetts</t>
        </is>
      </c>
      <c r="H161" s="8" t="inlineStr">
        <is>
          <t>REG-NA</t>
        </is>
      </c>
      <c r="I161" s="8" t="inlineStr">
        <is>
          <t>Corporate</t>
        </is>
      </c>
      <c r="J161" s="8" t="inlineStr">
        <is>
          <t>2023-12-28</t>
        </is>
      </c>
      <c r="K161" s="8">
        <f>COUNTIFS('05_Orders'!$C:$C, A161)</f>
        <v/>
      </c>
      <c r="L161" s="9">
        <f>SUMIFS('05_Orders'!$I:$I, '05_Orders'!$C:$C, A161)</f>
        <v/>
      </c>
      <c r="M161" s="8">
        <f>IF(L161&gt;=2000, "Platinum VIP", IF(L161&gt;=1000, "Gold", IF(L161&gt;=500, "Silver", "Standard")))</f>
        <v/>
      </c>
    </row>
    <row r="162">
      <c r="A162" s="8" t="inlineStr">
        <is>
          <t>CUST-00158</t>
        </is>
      </c>
      <c r="B162" s="8" t="inlineStr">
        <is>
          <t>Raymond Rodriguez</t>
        </is>
      </c>
      <c r="C162" s="8" t="inlineStr">
        <is>
          <t>Male</t>
        </is>
      </c>
      <c r="D162" s="8" t="n">
        <v>47</v>
      </c>
      <c r="E162" s="8">
        <f>IF(D162&lt;25, "18-24", IF(D162&lt;35, "25-34", IF(D162&lt;50, "35-49", "50+")))</f>
        <v/>
      </c>
      <c r="F162" s="8" t="inlineStr">
        <is>
          <t>Atlanta</t>
        </is>
      </c>
      <c r="G162" s="8" t="inlineStr">
        <is>
          <t>Georgia</t>
        </is>
      </c>
      <c r="H162" s="8" t="inlineStr">
        <is>
          <t>REG-NA</t>
        </is>
      </c>
      <c r="I162" s="8" t="inlineStr">
        <is>
          <t>Home Office</t>
        </is>
      </c>
      <c r="J162" s="8" t="inlineStr">
        <is>
          <t>2022-08-14</t>
        </is>
      </c>
      <c r="K162" s="8">
        <f>COUNTIFS('05_Orders'!$C:$C, A162)</f>
        <v/>
      </c>
      <c r="L162" s="9">
        <f>SUMIFS('05_Orders'!$I:$I, '05_Orders'!$C:$C, A162)</f>
        <v/>
      </c>
      <c r="M162" s="8">
        <f>IF(L162&gt;=2000, "Platinum VIP", IF(L162&gt;=1000, "Gold", IF(L162&gt;=500, "Silver", "Standard")))</f>
        <v/>
      </c>
    </row>
    <row r="163">
      <c r="A163" s="8" t="inlineStr">
        <is>
          <t>CUST-00159</t>
        </is>
      </c>
      <c r="B163" s="8" t="inlineStr">
        <is>
          <t>Charles Murphy</t>
        </is>
      </c>
      <c r="C163" s="8" t="inlineStr">
        <is>
          <t>Male</t>
        </is>
      </c>
      <c r="D163" s="8" t="n">
        <v>31</v>
      </c>
      <c r="E163" s="8">
        <f>IF(D163&lt;25, "18-24", IF(D163&lt;35, "25-34", IF(D163&lt;50, "35-49", "50+")))</f>
        <v/>
      </c>
      <c r="F163" s="8" t="inlineStr">
        <is>
          <t>London</t>
        </is>
      </c>
      <c r="G163" s="8" t="inlineStr">
        <is>
          <t>Greater London</t>
        </is>
      </c>
      <c r="H163" s="8" t="inlineStr">
        <is>
          <t>REG-EU</t>
        </is>
      </c>
      <c r="I163" s="8" t="inlineStr">
        <is>
          <t>Consumer</t>
        </is>
      </c>
      <c r="J163" s="8" t="inlineStr">
        <is>
          <t>2024-10-29</t>
        </is>
      </c>
      <c r="K163" s="8">
        <f>COUNTIFS('05_Orders'!$C:$C, A163)</f>
        <v/>
      </c>
      <c r="L163" s="9">
        <f>SUMIFS('05_Orders'!$I:$I, '05_Orders'!$C:$C, A163)</f>
        <v/>
      </c>
      <c r="M163" s="8">
        <f>IF(L163&gt;=2000, "Platinum VIP", IF(L163&gt;=1000, "Gold", IF(L163&gt;=500, "Silver", "Standard")))</f>
        <v/>
      </c>
    </row>
    <row r="164">
      <c r="A164" s="8" t="inlineStr">
        <is>
          <t>CUST-00160</t>
        </is>
      </c>
      <c r="B164" s="8" t="inlineStr">
        <is>
          <t>Gregory Williams</t>
        </is>
      </c>
      <c r="C164" s="8" t="inlineStr">
        <is>
          <t>Female</t>
        </is>
      </c>
      <c r="D164" s="8" t="n">
        <v>30</v>
      </c>
      <c r="E164" s="8">
        <f>IF(D164&lt;25, "18-24", IF(D164&lt;35, "25-34", IF(D164&lt;50, "35-49", "50+")))</f>
        <v/>
      </c>
      <c r="F164" s="8" t="inlineStr">
        <is>
          <t>Houston</t>
        </is>
      </c>
      <c r="G164" s="8" t="inlineStr">
        <is>
          <t>Texas</t>
        </is>
      </c>
      <c r="H164" s="8" t="inlineStr">
        <is>
          <t>REG-NA</t>
        </is>
      </c>
      <c r="I164" s="8" t="inlineStr">
        <is>
          <t>Home Office</t>
        </is>
      </c>
      <c r="J164" s="8" t="inlineStr">
        <is>
          <t>2023-12-01</t>
        </is>
      </c>
      <c r="K164" s="8">
        <f>COUNTIFS('05_Orders'!$C:$C, A164)</f>
        <v/>
      </c>
      <c r="L164" s="9">
        <f>SUMIFS('05_Orders'!$I:$I, '05_Orders'!$C:$C, A164)</f>
        <v/>
      </c>
      <c r="M164" s="8">
        <f>IF(L164&gt;=2000, "Platinum VIP", IF(L164&gt;=1000, "Gold", IF(L164&gt;=500, "Silver", "Standard")))</f>
        <v/>
      </c>
    </row>
    <row r="165">
      <c r="A165" s="8" t="inlineStr">
        <is>
          <t>CUST-00161</t>
        </is>
      </c>
      <c r="B165" s="8" t="inlineStr">
        <is>
          <t>Carol Morales</t>
        </is>
      </c>
      <c r="C165" s="8" t="inlineStr">
        <is>
          <t>Other</t>
        </is>
      </c>
      <c r="D165" s="8" t="n">
        <v>60</v>
      </c>
      <c r="E165" s="8">
        <f>IF(D165&lt;25, "18-24", IF(D165&lt;35, "25-34", IF(D165&lt;50, "35-49", "50+")))</f>
        <v/>
      </c>
      <c r="F165" s="8" t="inlineStr">
        <is>
          <t>Dublin</t>
        </is>
      </c>
      <c r="G165" s="8" t="inlineStr">
        <is>
          <t>Leinster</t>
        </is>
      </c>
      <c r="H165" s="8" t="inlineStr">
        <is>
          <t>REG-EU</t>
        </is>
      </c>
      <c r="I165" s="8" t="inlineStr">
        <is>
          <t>Consumer</t>
        </is>
      </c>
      <c r="J165" s="8" t="inlineStr">
        <is>
          <t>2022-09-15</t>
        </is>
      </c>
      <c r="K165" s="8">
        <f>COUNTIFS('05_Orders'!$C:$C, A165)</f>
        <v/>
      </c>
      <c r="L165" s="9">
        <f>SUMIFS('05_Orders'!$I:$I, '05_Orders'!$C:$C, A165)</f>
        <v/>
      </c>
      <c r="M165" s="8">
        <f>IF(L165&gt;=2000, "Platinum VIP", IF(L165&gt;=1000, "Gold", IF(L165&gt;=500, "Silver", "Standard")))</f>
        <v/>
      </c>
    </row>
    <row r="166">
      <c r="A166" s="8" t="inlineStr">
        <is>
          <t>CUST-00162</t>
        </is>
      </c>
      <c r="B166" s="8" t="inlineStr">
        <is>
          <t>Sandra Morris</t>
        </is>
      </c>
      <c r="C166" s="8" t="inlineStr">
        <is>
          <t>Female</t>
        </is>
      </c>
      <c r="D166" s="8" t="n">
        <v>36</v>
      </c>
      <c r="E166" s="8">
        <f>IF(D166&lt;25, "18-24", IF(D166&lt;35, "25-34", IF(D166&lt;50, "35-49", "50+")))</f>
        <v/>
      </c>
      <c r="F166" s="8" t="inlineStr">
        <is>
          <t>Singapore</t>
        </is>
      </c>
      <c r="G166" s="8" t="inlineStr">
        <is>
          <t>Central</t>
        </is>
      </c>
      <c r="H166" s="8" t="inlineStr">
        <is>
          <t>REG-APAC</t>
        </is>
      </c>
      <c r="I166" s="8" t="inlineStr">
        <is>
          <t>Consumer</t>
        </is>
      </c>
      <c r="J166" s="8" t="inlineStr">
        <is>
          <t>2022-08-06</t>
        </is>
      </c>
      <c r="K166" s="8">
        <f>COUNTIFS('05_Orders'!$C:$C, A166)</f>
        <v/>
      </c>
      <c r="L166" s="9">
        <f>SUMIFS('05_Orders'!$I:$I, '05_Orders'!$C:$C, A166)</f>
        <v/>
      </c>
      <c r="M166" s="8">
        <f>IF(L166&gt;=2000, "Platinum VIP", IF(L166&gt;=1000, "Gold", IF(L166&gt;=500, "Silver", "Standard")))</f>
        <v/>
      </c>
    </row>
    <row r="167">
      <c r="A167" s="8" t="inlineStr">
        <is>
          <t>CUST-00163</t>
        </is>
      </c>
      <c r="B167" s="8" t="inlineStr">
        <is>
          <t>Kenneth White</t>
        </is>
      </c>
      <c r="C167" s="8" t="inlineStr">
        <is>
          <t>Male</t>
        </is>
      </c>
      <c r="D167" s="8" t="n">
        <v>71</v>
      </c>
      <c r="E167" s="8">
        <f>IF(D167&lt;25, "18-24", IF(D167&lt;35, "25-34", IF(D167&lt;50, "35-49", "50+")))</f>
        <v/>
      </c>
      <c r="F167" s="8" t="inlineStr">
        <is>
          <t>Osaka</t>
        </is>
      </c>
      <c r="G167" s="8" t="inlineStr">
        <is>
          <t>Kansai</t>
        </is>
      </c>
      <c r="H167" s="8" t="inlineStr">
        <is>
          <t>REG-APAC</t>
        </is>
      </c>
      <c r="I167" s="8" t="inlineStr">
        <is>
          <t>Consumer</t>
        </is>
      </c>
      <c r="J167" s="8" t="inlineStr">
        <is>
          <t>2021-08-28</t>
        </is>
      </c>
      <c r="K167" s="8">
        <f>COUNTIFS('05_Orders'!$C:$C, A167)</f>
        <v/>
      </c>
      <c r="L167" s="9">
        <f>SUMIFS('05_Orders'!$I:$I, '05_Orders'!$C:$C, A167)</f>
        <v/>
      </c>
      <c r="M167" s="8">
        <f>IF(L167&gt;=2000, "Platinum VIP", IF(L167&gt;=1000, "Gold", IF(L167&gt;=500, "Silver", "Standard")))</f>
        <v/>
      </c>
    </row>
    <row r="168">
      <c r="A168" s="8" t="inlineStr">
        <is>
          <t>CUST-00164</t>
        </is>
      </c>
      <c r="B168" s="8" t="inlineStr">
        <is>
          <t>Lisa Clark</t>
        </is>
      </c>
      <c r="C168" s="8" t="inlineStr">
        <is>
          <t>Other</t>
        </is>
      </c>
      <c r="D168" s="8" t="n">
        <v>63</v>
      </c>
      <c r="E168" s="8">
        <f>IF(D168&lt;25, "18-24", IF(D168&lt;35, "25-34", IF(D168&lt;50, "35-49", "50+")))</f>
        <v/>
      </c>
      <c r="F168" s="8" t="inlineStr">
        <is>
          <t>Seattle</t>
        </is>
      </c>
      <c r="G168" s="8" t="inlineStr">
        <is>
          <t>Washington</t>
        </is>
      </c>
      <c r="H168" s="8" t="inlineStr">
        <is>
          <t>REG-NA</t>
        </is>
      </c>
      <c r="I168" s="8" t="inlineStr">
        <is>
          <t>Enterprise</t>
        </is>
      </c>
      <c r="J168" s="8" t="inlineStr">
        <is>
          <t>2021-10-30</t>
        </is>
      </c>
      <c r="K168" s="8">
        <f>COUNTIFS('05_Orders'!$C:$C, A168)</f>
        <v/>
      </c>
      <c r="L168" s="9">
        <f>SUMIFS('05_Orders'!$I:$I, '05_Orders'!$C:$C, A168)</f>
        <v/>
      </c>
      <c r="M168" s="8">
        <f>IF(L168&gt;=2000, "Platinum VIP", IF(L168&gt;=1000, "Gold", IF(L168&gt;=500, "Silver", "Standard")))</f>
        <v/>
      </c>
    </row>
    <row r="169">
      <c r="A169" s="8" t="inlineStr">
        <is>
          <t>CUST-00165</t>
        </is>
      </c>
      <c r="B169" s="8" t="inlineStr">
        <is>
          <t>Patricia Phillips</t>
        </is>
      </c>
      <c r="C169" s="8" t="inlineStr">
        <is>
          <t>Female</t>
        </is>
      </c>
      <c r="D169" s="8" t="n">
        <v>45</v>
      </c>
      <c r="E169" s="8">
        <f>IF(D169&lt;25, "18-24", IF(D169&lt;35, "25-34", IF(D169&lt;50, "35-49", "50+")))</f>
        <v/>
      </c>
      <c r="F169" s="8" t="inlineStr">
        <is>
          <t>Toronto</t>
        </is>
      </c>
      <c r="G169" s="8" t="inlineStr">
        <is>
          <t>Ontario</t>
        </is>
      </c>
      <c r="H169" s="8" t="inlineStr">
        <is>
          <t>REG-NA</t>
        </is>
      </c>
      <c r="I169" s="8" t="inlineStr">
        <is>
          <t>Enterprise</t>
        </is>
      </c>
      <c r="J169" s="8" t="inlineStr">
        <is>
          <t>2021-11-16</t>
        </is>
      </c>
      <c r="K169" s="8">
        <f>COUNTIFS('05_Orders'!$C:$C, A169)</f>
        <v/>
      </c>
      <c r="L169" s="9">
        <f>SUMIFS('05_Orders'!$I:$I, '05_Orders'!$C:$C, A169)</f>
        <v/>
      </c>
      <c r="M169" s="8">
        <f>IF(L169&gt;=2000, "Platinum VIP", IF(L169&gt;=1000, "Gold", IF(L169&gt;=500, "Silver", "Standard")))</f>
        <v/>
      </c>
    </row>
    <row r="170">
      <c r="A170" s="8" t="inlineStr">
        <is>
          <t>CUST-00166</t>
        </is>
      </c>
      <c r="B170" s="8" t="inlineStr">
        <is>
          <t>Patrick Nguyen</t>
        </is>
      </c>
      <c r="C170" s="8" t="inlineStr">
        <is>
          <t>Female</t>
        </is>
      </c>
      <c r="D170" s="8" t="n">
        <v>36</v>
      </c>
      <c r="E170" s="8">
        <f>IF(D170&lt;25, "18-24", IF(D170&lt;35, "25-34", IF(D170&lt;50, "35-49", "50+")))</f>
        <v/>
      </c>
      <c r="F170" s="8" t="inlineStr">
        <is>
          <t>Medellin</t>
        </is>
      </c>
      <c r="G170" s="8" t="inlineStr">
        <is>
          <t>Antioquia</t>
        </is>
      </c>
      <c r="H170" s="8" t="inlineStr">
        <is>
          <t>REG-LATAM</t>
        </is>
      </c>
      <c r="I170" s="8" t="inlineStr">
        <is>
          <t>Corporate</t>
        </is>
      </c>
      <c r="J170" s="8" t="inlineStr">
        <is>
          <t>2024-03-03</t>
        </is>
      </c>
      <c r="K170" s="8">
        <f>COUNTIFS('05_Orders'!$C:$C, A170)</f>
        <v/>
      </c>
      <c r="L170" s="9">
        <f>SUMIFS('05_Orders'!$I:$I, '05_Orders'!$C:$C, A170)</f>
        <v/>
      </c>
      <c r="M170" s="8">
        <f>IF(L170&gt;=2000, "Platinum VIP", IF(L170&gt;=1000, "Gold", IF(L170&gt;=500, "Silver", "Standard")))</f>
        <v/>
      </c>
    </row>
    <row r="171">
      <c r="A171" s="8" t="inlineStr">
        <is>
          <t>CUST-00167</t>
        </is>
      </c>
      <c r="B171" s="8" t="inlineStr">
        <is>
          <t>Amy Garcia</t>
        </is>
      </c>
      <c r="C171" s="8" t="inlineStr">
        <is>
          <t>Male</t>
        </is>
      </c>
      <c r="D171" s="8" t="n">
        <v>61</v>
      </c>
      <c r="E171" s="8">
        <f>IF(D171&lt;25, "18-24", IF(D171&lt;35, "25-34", IF(D171&lt;50, "35-49", "50+")))</f>
        <v/>
      </c>
      <c r="F171" s="8" t="inlineStr">
        <is>
          <t>Paris</t>
        </is>
      </c>
      <c r="G171" s="8" t="inlineStr">
        <is>
          <t>Ile-de-France</t>
        </is>
      </c>
      <c r="H171" s="8" t="inlineStr">
        <is>
          <t>REG-EU</t>
        </is>
      </c>
      <c r="I171" s="8" t="inlineStr">
        <is>
          <t>Consumer</t>
        </is>
      </c>
      <c r="J171" s="8" t="inlineStr">
        <is>
          <t>2024-06-18</t>
        </is>
      </c>
      <c r="K171" s="8">
        <f>COUNTIFS('05_Orders'!$C:$C, A171)</f>
        <v/>
      </c>
      <c r="L171" s="9">
        <f>SUMIFS('05_Orders'!$I:$I, '05_Orders'!$C:$C, A171)</f>
        <v/>
      </c>
      <c r="M171" s="8">
        <f>IF(L171&gt;=2000, "Platinum VIP", IF(L171&gt;=1000, "Gold", IF(L171&gt;=500, "Silver", "Standard")))</f>
        <v/>
      </c>
    </row>
    <row r="172">
      <c r="A172" s="8" t="inlineStr">
        <is>
          <t>CUST-00168</t>
        </is>
      </c>
      <c r="B172" s="8" t="inlineStr">
        <is>
          <t>Gregory Harris</t>
        </is>
      </c>
      <c r="C172" s="8" t="inlineStr">
        <is>
          <t>Other</t>
        </is>
      </c>
      <c r="D172" s="8" t="n">
        <v>51</v>
      </c>
      <c r="E172" s="8">
        <f>IF(D172&lt;25, "18-24", IF(D172&lt;35, "25-34", IF(D172&lt;50, "35-49", "50+")))</f>
        <v/>
      </c>
      <c r="F172" s="8" t="inlineStr">
        <is>
          <t>Phoenix</t>
        </is>
      </c>
      <c r="G172" s="8" t="inlineStr">
        <is>
          <t>Arizona</t>
        </is>
      </c>
      <c r="H172" s="8" t="inlineStr">
        <is>
          <t>REG-NA</t>
        </is>
      </c>
      <c r="I172" s="8" t="inlineStr">
        <is>
          <t>Consumer</t>
        </is>
      </c>
      <c r="J172" s="8" t="inlineStr">
        <is>
          <t>2021-06-21</t>
        </is>
      </c>
      <c r="K172" s="8">
        <f>COUNTIFS('05_Orders'!$C:$C, A172)</f>
        <v/>
      </c>
      <c r="L172" s="9">
        <f>SUMIFS('05_Orders'!$I:$I, '05_Orders'!$C:$C, A172)</f>
        <v/>
      </c>
      <c r="M172" s="8">
        <f>IF(L172&gt;=2000, "Platinum VIP", IF(L172&gt;=1000, "Gold", IF(L172&gt;=500, "Silver", "Standard")))</f>
        <v/>
      </c>
    </row>
    <row r="173">
      <c r="A173" s="8" t="inlineStr">
        <is>
          <t>CUST-00169</t>
        </is>
      </c>
      <c r="B173" s="8" t="inlineStr">
        <is>
          <t>Angela Gomez</t>
        </is>
      </c>
      <c r="C173" s="8" t="inlineStr">
        <is>
          <t>Male</t>
        </is>
      </c>
      <c r="D173" s="8" t="n">
        <v>49</v>
      </c>
      <c r="E173" s="8">
        <f>IF(D173&lt;25, "18-24", IF(D173&lt;35, "25-34", IF(D173&lt;50, "35-49", "50+")))</f>
        <v/>
      </c>
      <c r="F173" s="8" t="inlineStr">
        <is>
          <t>Denver</t>
        </is>
      </c>
      <c r="G173" s="8" t="inlineStr">
        <is>
          <t>Colorado</t>
        </is>
      </c>
      <c r="H173" s="8" t="inlineStr">
        <is>
          <t>REG-NA</t>
        </is>
      </c>
      <c r="I173" s="8" t="inlineStr">
        <is>
          <t>Corporate</t>
        </is>
      </c>
      <c r="J173" s="8" t="inlineStr">
        <is>
          <t>2021-04-25</t>
        </is>
      </c>
      <c r="K173" s="8">
        <f>COUNTIFS('05_Orders'!$C:$C, A173)</f>
        <v/>
      </c>
      <c r="L173" s="9">
        <f>SUMIFS('05_Orders'!$I:$I, '05_Orders'!$C:$C, A173)</f>
        <v/>
      </c>
      <c r="M173" s="8">
        <f>IF(L173&gt;=2000, "Platinum VIP", IF(L173&gt;=1000, "Gold", IF(L173&gt;=500, "Silver", "Standard")))</f>
        <v/>
      </c>
    </row>
    <row r="174">
      <c r="A174" s="8" t="inlineStr">
        <is>
          <t>CUST-00170</t>
        </is>
      </c>
      <c r="B174" s="8" t="inlineStr">
        <is>
          <t>Deborah Roberts</t>
        </is>
      </c>
      <c r="C174" s="8" t="inlineStr">
        <is>
          <t>Female</t>
        </is>
      </c>
      <c r="D174" s="8" t="n">
        <v>18</v>
      </c>
      <c r="E174" s="8">
        <f>IF(D174&lt;25, "18-24", IF(D174&lt;35, "25-34", IF(D174&lt;50, "35-49", "50+")))</f>
        <v/>
      </c>
      <c r="F174" s="8" t="inlineStr">
        <is>
          <t>Seattle</t>
        </is>
      </c>
      <c r="G174" s="8" t="inlineStr">
        <is>
          <t>Washington</t>
        </is>
      </c>
      <c r="H174" s="8" t="inlineStr">
        <is>
          <t>REG-NA</t>
        </is>
      </c>
      <c r="I174" s="8" t="inlineStr">
        <is>
          <t>Consumer</t>
        </is>
      </c>
      <c r="J174" s="8" t="inlineStr">
        <is>
          <t>2023-07-02</t>
        </is>
      </c>
      <c r="K174" s="8">
        <f>COUNTIFS('05_Orders'!$C:$C, A174)</f>
        <v/>
      </c>
      <c r="L174" s="9">
        <f>SUMIFS('05_Orders'!$I:$I, '05_Orders'!$C:$C, A174)</f>
        <v/>
      </c>
      <c r="M174" s="8">
        <f>IF(L174&gt;=2000, "Platinum VIP", IF(L174&gt;=1000, "Gold", IF(L174&gt;=500, "Silver", "Standard")))</f>
        <v/>
      </c>
    </row>
    <row r="175">
      <c r="A175" s="8" t="inlineStr">
        <is>
          <t>CUST-00171</t>
        </is>
      </c>
      <c r="B175" s="8" t="inlineStr">
        <is>
          <t>Laura Cruz</t>
        </is>
      </c>
      <c r="C175" s="8" t="inlineStr">
        <is>
          <t>Female</t>
        </is>
      </c>
      <c r="D175" s="8" t="n">
        <v>28</v>
      </c>
      <c r="E175" s="8">
        <f>IF(D175&lt;25, "18-24", IF(D175&lt;35, "25-34", IF(D175&lt;50, "35-49", "50+")))</f>
        <v/>
      </c>
      <c r="F175" s="8" t="inlineStr">
        <is>
          <t>Seoul</t>
        </is>
      </c>
      <c r="G175" s="8" t="inlineStr">
        <is>
          <t>Gyeonggi</t>
        </is>
      </c>
      <c r="H175" s="8" t="inlineStr">
        <is>
          <t>REG-APAC</t>
        </is>
      </c>
      <c r="I175" s="8" t="inlineStr">
        <is>
          <t>Corporate</t>
        </is>
      </c>
      <c r="J175" s="8" t="inlineStr">
        <is>
          <t>2023-04-29</t>
        </is>
      </c>
      <c r="K175" s="8">
        <f>COUNTIFS('05_Orders'!$C:$C, A175)</f>
        <v/>
      </c>
      <c r="L175" s="9">
        <f>SUMIFS('05_Orders'!$I:$I, '05_Orders'!$C:$C, A175)</f>
        <v/>
      </c>
      <c r="M175" s="8">
        <f>IF(L175&gt;=2000, "Platinum VIP", IF(L175&gt;=1000, "Gold", IF(L175&gt;=500, "Silver", "Standard")))</f>
        <v/>
      </c>
    </row>
    <row r="176">
      <c r="A176" s="8" t="inlineStr">
        <is>
          <t>CUST-00172</t>
        </is>
      </c>
      <c r="B176" s="8" t="inlineStr">
        <is>
          <t>Gary Ortiz</t>
        </is>
      </c>
      <c r="C176" s="8" t="inlineStr">
        <is>
          <t>Female</t>
        </is>
      </c>
      <c r="D176" s="8" t="n">
        <v>45</v>
      </c>
      <c r="E176" s="8">
        <f>IF(D176&lt;25, "18-24", IF(D176&lt;35, "25-34", IF(D176&lt;50, "35-49", "50+")))</f>
        <v/>
      </c>
      <c r="F176" s="8" t="inlineStr">
        <is>
          <t>Medellin</t>
        </is>
      </c>
      <c r="G176" s="8" t="inlineStr">
        <is>
          <t>Antioquia</t>
        </is>
      </c>
      <c r="H176" s="8" t="inlineStr">
        <is>
          <t>REG-LATAM</t>
        </is>
      </c>
      <c r="I176" s="8" t="inlineStr">
        <is>
          <t>Corporate</t>
        </is>
      </c>
      <c r="J176" s="8" t="inlineStr">
        <is>
          <t>2021-07-01</t>
        </is>
      </c>
      <c r="K176" s="8">
        <f>COUNTIFS('05_Orders'!$C:$C, A176)</f>
        <v/>
      </c>
      <c r="L176" s="9">
        <f>SUMIFS('05_Orders'!$I:$I, '05_Orders'!$C:$C, A176)</f>
        <v/>
      </c>
      <c r="M176" s="8">
        <f>IF(L176&gt;=2000, "Platinum VIP", IF(L176&gt;=1000, "Gold", IF(L176&gt;=500, "Silver", "Standard")))</f>
        <v/>
      </c>
    </row>
    <row r="177">
      <c r="A177" s="8" t="inlineStr">
        <is>
          <t>CUST-00173</t>
        </is>
      </c>
      <c r="B177" s="8" t="inlineStr">
        <is>
          <t>Kathleen Price</t>
        </is>
      </c>
      <c r="C177" s="8" t="inlineStr">
        <is>
          <t>Other</t>
        </is>
      </c>
      <c r="D177" s="8" t="n">
        <v>66</v>
      </c>
      <c r="E177" s="8">
        <f>IF(D177&lt;25, "18-24", IF(D177&lt;35, "25-34", IF(D177&lt;50, "35-49", "50+")))</f>
        <v/>
      </c>
      <c r="F177" s="8" t="inlineStr">
        <is>
          <t>Guadalajara</t>
        </is>
      </c>
      <c r="G177" s="8" t="inlineStr">
        <is>
          <t>Jalisco</t>
        </is>
      </c>
      <c r="H177" s="8" t="inlineStr">
        <is>
          <t>REG-LATAM</t>
        </is>
      </c>
      <c r="I177" s="8" t="inlineStr">
        <is>
          <t>Consumer</t>
        </is>
      </c>
      <c r="J177" s="8" t="inlineStr">
        <is>
          <t>2023-02-21</t>
        </is>
      </c>
      <c r="K177" s="8">
        <f>COUNTIFS('05_Orders'!$C:$C, A177)</f>
        <v/>
      </c>
      <c r="L177" s="9">
        <f>SUMIFS('05_Orders'!$I:$I, '05_Orders'!$C:$C, A177)</f>
        <v/>
      </c>
      <c r="M177" s="8">
        <f>IF(L177&gt;=2000, "Platinum VIP", IF(L177&gt;=1000, "Gold", IF(L177&gt;=500, "Silver", "Standard")))</f>
        <v/>
      </c>
    </row>
    <row r="178">
      <c r="A178" s="8" t="inlineStr">
        <is>
          <t>CUST-00174</t>
        </is>
      </c>
      <c r="B178" s="8" t="inlineStr">
        <is>
          <t>Scott Hill</t>
        </is>
      </c>
      <c r="C178" s="8" t="inlineStr">
        <is>
          <t>Female</t>
        </is>
      </c>
      <c r="D178" s="8" t="n">
        <v>53</v>
      </c>
      <c r="E178" s="8">
        <f>IF(D178&lt;25, "18-24", IF(D178&lt;35, "25-34", IF(D178&lt;50, "35-49", "50+")))</f>
        <v/>
      </c>
      <c r="F178" s="8" t="inlineStr">
        <is>
          <t>Sydney</t>
        </is>
      </c>
      <c r="G178" s="8" t="inlineStr">
        <is>
          <t>New South Wales</t>
        </is>
      </c>
      <c r="H178" s="8" t="inlineStr">
        <is>
          <t>REG-APAC</t>
        </is>
      </c>
      <c r="I178" s="8" t="inlineStr">
        <is>
          <t>Consumer</t>
        </is>
      </c>
      <c r="J178" s="8" t="inlineStr">
        <is>
          <t>2021-01-06</t>
        </is>
      </c>
      <c r="K178" s="8">
        <f>COUNTIFS('05_Orders'!$C:$C, A178)</f>
        <v/>
      </c>
      <c r="L178" s="9">
        <f>SUMIFS('05_Orders'!$I:$I, '05_Orders'!$C:$C, A178)</f>
        <v/>
      </c>
      <c r="M178" s="8">
        <f>IF(L178&gt;=2000, "Platinum VIP", IF(L178&gt;=1000, "Gold", IF(L178&gt;=500, "Silver", "Standard")))</f>
        <v/>
      </c>
    </row>
    <row r="179">
      <c r="A179" s="8" t="inlineStr">
        <is>
          <t>CUST-00175</t>
        </is>
      </c>
      <c r="B179" s="8" t="inlineStr">
        <is>
          <t>Jessica Wood</t>
        </is>
      </c>
      <c r="C179" s="8" t="inlineStr">
        <is>
          <t>Other</t>
        </is>
      </c>
      <c r="D179" s="8" t="n">
        <v>36</v>
      </c>
      <c r="E179" s="8">
        <f>IF(D179&lt;25, "18-24", IF(D179&lt;35, "25-34", IF(D179&lt;50, "35-49", "50+")))</f>
        <v/>
      </c>
      <c r="F179" s="8" t="inlineStr">
        <is>
          <t>Toronto</t>
        </is>
      </c>
      <c r="G179" s="8" t="inlineStr">
        <is>
          <t>Ontario</t>
        </is>
      </c>
      <c r="H179" s="8" t="inlineStr">
        <is>
          <t>REG-NA</t>
        </is>
      </c>
      <c r="I179" s="8" t="inlineStr">
        <is>
          <t>Home Office</t>
        </is>
      </c>
      <c r="J179" s="8" t="inlineStr">
        <is>
          <t>2024-08-13</t>
        </is>
      </c>
      <c r="K179" s="8">
        <f>COUNTIFS('05_Orders'!$C:$C, A179)</f>
        <v/>
      </c>
      <c r="L179" s="9">
        <f>SUMIFS('05_Orders'!$I:$I, '05_Orders'!$C:$C, A179)</f>
        <v/>
      </c>
      <c r="M179" s="8">
        <f>IF(L179&gt;=2000, "Platinum VIP", IF(L179&gt;=1000, "Gold", IF(L179&gt;=500, "Silver", "Standard")))</f>
        <v/>
      </c>
    </row>
    <row r="180">
      <c r="A180" s="8" t="inlineStr">
        <is>
          <t>CUST-00176</t>
        </is>
      </c>
      <c r="B180" s="8" t="inlineStr">
        <is>
          <t>William Kim</t>
        </is>
      </c>
      <c r="C180" s="8" t="inlineStr">
        <is>
          <t>Other</t>
        </is>
      </c>
      <c r="D180" s="8" t="n">
        <v>41</v>
      </c>
      <c r="E180" s="8">
        <f>IF(D180&lt;25, "18-24", IF(D180&lt;35, "25-34", IF(D180&lt;50, "35-49", "50+")))</f>
        <v/>
      </c>
      <c r="F180" s="8" t="inlineStr">
        <is>
          <t>Stockholm</t>
        </is>
      </c>
      <c r="G180" s="8" t="inlineStr">
        <is>
          <t>Stockholm County</t>
        </is>
      </c>
      <c r="H180" s="8" t="inlineStr">
        <is>
          <t>REG-EU</t>
        </is>
      </c>
      <c r="I180" s="8" t="inlineStr">
        <is>
          <t>Consumer</t>
        </is>
      </c>
      <c r="J180" s="8" t="inlineStr">
        <is>
          <t>2022-06-13</t>
        </is>
      </c>
      <c r="K180" s="8">
        <f>COUNTIFS('05_Orders'!$C:$C, A180)</f>
        <v/>
      </c>
      <c r="L180" s="9">
        <f>SUMIFS('05_Orders'!$I:$I, '05_Orders'!$C:$C, A180)</f>
        <v/>
      </c>
      <c r="M180" s="8">
        <f>IF(L180&gt;=2000, "Platinum VIP", IF(L180&gt;=1000, "Gold", IF(L180&gt;=500, "Silver", "Standard")))</f>
        <v/>
      </c>
    </row>
    <row r="181">
      <c r="A181" s="8" t="inlineStr">
        <is>
          <t>CUST-00177</t>
        </is>
      </c>
      <c r="B181" s="8" t="inlineStr">
        <is>
          <t>Angela Sanders</t>
        </is>
      </c>
      <c r="C181" s="8" t="inlineStr">
        <is>
          <t>Other</t>
        </is>
      </c>
      <c r="D181" s="8" t="n">
        <v>19</v>
      </c>
      <c r="E181" s="8">
        <f>IF(D181&lt;25, "18-24", IF(D181&lt;35, "25-34", IF(D181&lt;50, "35-49", "50+")))</f>
        <v/>
      </c>
      <c r="F181" s="8" t="inlineStr">
        <is>
          <t>Osaka</t>
        </is>
      </c>
      <c r="G181" s="8" t="inlineStr">
        <is>
          <t>Kansai</t>
        </is>
      </c>
      <c r="H181" s="8" t="inlineStr">
        <is>
          <t>REG-APAC</t>
        </is>
      </c>
      <c r="I181" s="8" t="inlineStr">
        <is>
          <t>Corporate</t>
        </is>
      </c>
      <c r="J181" s="8" t="inlineStr">
        <is>
          <t>2021-10-27</t>
        </is>
      </c>
      <c r="K181" s="8">
        <f>COUNTIFS('05_Orders'!$C:$C, A181)</f>
        <v/>
      </c>
      <c r="L181" s="9">
        <f>SUMIFS('05_Orders'!$I:$I, '05_Orders'!$C:$C, A181)</f>
        <v/>
      </c>
      <c r="M181" s="8">
        <f>IF(L181&gt;=2000, "Platinum VIP", IF(L181&gt;=1000, "Gold", IF(L181&gt;=500, "Silver", "Standard")))</f>
        <v/>
      </c>
    </row>
    <row r="182">
      <c r="A182" s="8" t="inlineStr">
        <is>
          <t>CUST-00178</t>
        </is>
      </c>
      <c r="B182" s="8" t="inlineStr">
        <is>
          <t>Andrew Campbell</t>
        </is>
      </c>
      <c r="C182" s="8" t="inlineStr">
        <is>
          <t>Female</t>
        </is>
      </c>
      <c r="D182" s="8" t="n">
        <v>58</v>
      </c>
      <c r="E182" s="8">
        <f>IF(D182&lt;25, "18-24", IF(D182&lt;35, "25-34", IF(D182&lt;50, "35-49", "50+")))</f>
        <v/>
      </c>
      <c r="F182" s="8" t="inlineStr">
        <is>
          <t>Santiago</t>
        </is>
      </c>
      <c r="G182" s="8" t="inlineStr">
        <is>
          <t>Santiago Metro</t>
        </is>
      </c>
      <c r="H182" s="8" t="inlineStr">
        <is>
          <t>REG-LATAM</t>
        </is>
      </c>
      <c r="I182" s="8" t="inlineStr">
        <is>
          <t>Consumer</t>
        </is>
      </c>
      <c r="J182" s="8" t="inlineStr">
        <is>
          <t>2022-08-21</t>
        </is>
      </c>
      <c r="K182" s="8">
        <f>COUNTIFS('05_Orders'!$C:$C, A182)</f>
        <v/>
      </c>
      <c r="L182" s="9">
        <f>SUMIFS('05_Orders'!$I:$I, '05_Orders'!$C:$C, A182)</f>
        <v/>
      </c>
      <c r="M182" s="8">
        <f>IF(L182&gt;=2000, "Platinum VIP", IF(L182&gt;=1000, "Gold", IF(L182&gt;=500, "Silver", "Standard")))</f>
        <v/>
      </c>
    </row>
    <row r="183">
      <c r="A183" s="8" t="inlineStr">
        <is>
          <t>CUST-00179</t>
        </is>
      </c>
      <c r="B183" s="8" t="inlineStr">
        <is>
          <t>Lisa Ross</t>
        </is>
      </c>
      <c r="C183" s="8" t="inlineStr">
        <is>
          <t>Male</t>
        </is>
      </c>
      <c r="D183" s="8" t="n">
        <v>56</v>
      </c>
      <c r="E183" s="8">
        <f>IF(D183&lt;25, "18-24", IF(D183&lt;35, "25-34", IF(D183&lt;50, "35-49", "50+")))</f>
        <v/>
      </c>
      <c r="F183" s="8" t="inlineStr">
        <is>
          <t>Mumbai</t>
        </is>
      </c>
      <c r="G183" s="8" t="inlineStr">
        <is>
          <t>Maharashtra</t>
        </is>
      </c>
      <c r="H183" s="8" t="inlineStr">
        <is>
          <t>REG-APAC</t>
        </is>
      </c>
      <c r="I183" s="8" t="inlineStr">
        <is>
          <t>Consumer</t>
        </is>
      </c>
      <c r="J183" s="8" t="inlineStr">
        <is>
          <t>2022-10-10</t>
        </is>
      </c>
      <c r="K183" s="8">
        <f>COUNTIFS('05_Orders'!$C:$C, A183)</f>
        <v/>
      </c>
      <c r="L183" s="9">
        <f>SUMIFS('05_Orders'!$I:$I, '05_Orders'!$C:$C, A183)</f>
        <v/>
      </c>
      <c r="M183" s="8">
        <f>IF(L183&gt;=2000, "Platinum VIP", IF(L183&gt;=1000, "Gold", IF(L183&gt;=500, "Silver", "Standard")))</f>
        <v/>
      </c>
    </row>
    <row r="184">
      <c r="A184" s="8" t="inlineStr">
        <is>
          <t>CUST-00180</t>
        </is>
      </c>
      <c r="B184" s="8" t="inlineStr">
        <is>
          <t>Raymond Campbell</t>
        </is>
      </c>
      <c r="C184" s="8" t="inlineStr">
        <is>
          <t>Male</t>
        </is>
      </c>
      <c r="D184" s="8" t="n">
        <v>52</v>
      </c>
      <c r="E184" s="8">
        <f>IF(D184&lt;25, "18-24", IF(D184&lt;35, "25-34", IF(D184&lt;50, "35-49", "50+")))</f>
        <v/>
      </c>
      <c r="F184" s="8" t="inlineStr">
        <is>
          <t>Berlin</t>
        </is>
      </c>
      <c r="G184" s="8" t="inlineStr">
        <is>
          <t>Berlin</t>
        </is>
      </c>
      <c r="H184" s="8" t="inlineStr">
        <is>
          <t>REG-EU</t>
        </is>
      </c>
      <c r="I184" s="8" t="inlineStr">
        <is>
          <t>Consumer</t>
        </is>
      </c>
      <c r="J184" s="8" t="inlineStr">
        <is>
          <t>2023-11-28</t>
        </is>
      </c>
      <c r="K184" s="8">
        <f>COUNTIFS('05_Orders'!$C:$C, A184)</f>
        <v/>
      </c>
      <c r="L184" s="9">
        <f>SUMIFS('05_Orders'!$I:$I, '05_Orders'!$C:$C, A184)</f>
        <v/>
      </c>
      <c r="M184" s="8">
        <f>IF(L184&gt;=2000, "Platinum VIP", IF(L184&gt;=1000, "Gold", IF(L184&gt;=500, "Silver", "Standard")))</f>
        <v/>
      </c>
    </row>
    <row r="185">
      <c r="A185" s="8" t="inlineStr">
        <is>
          <t>CUST-00181</t>
        </is>
      </c>
      <c r="B185" s="8" t="inlineStr">
        <is>
          <t>Christopher Wilson</t>
        </is>
      </c>
      <c r="C185" s="8" t="inlineStr">
        <is>
          <t>Male</t>
        </is>
      </c>
      <c r="D185" s="8" t="n">
        <v>27</v>
      </c>
      <c r="E185" s="8">
        <f>IF(D185&lt;25, "18-24", IF(D185&lt;35, "25-34", IF(D185&lt;50, "35-49", "50+")))</f>
        <v/>
      </c>
      <c r="F185" s="8" t="inlineStr">
        <is>
          <t>Munich</t>
        </is>
      </c>
      <c r="G185" s="8" t="inlineStr">
        <is>
          <t>Bavaria</t>
        </is>
      </c>
      <c r="H185" s="8" t="inlineStr">
        <is>
          <t>REG-EU</t>
        </is>
      </c>
      <c r="I185" s="8" t="inlineStr">
        <is>
          <t>Home Office</t>
        </is>
      </c>
      <c r="J185" s="8" t="inlineStr">
        <is>
          <t>2024-02-19</t>
        </is>
      </c>
      <c r="K185" s="8">
        <f>COUNTIFS('05_Orders'!$C:$C, A185)</f>
        <v/>
      </c>
      <c r="L185" s="9">
        <f>SUMIFS('05_Orders'!$I:$I, '05_Orders'!$C:$C, A185)</f>
        <v/>
      </c>
      <c r="M185" s="8">
        <f>IF(L185&gt;=2000, "Platinum VIP", IF(L185&gt;=1000, "Gold", IF(L185&gt;=500, "Silver", "Standard")))</f>
        <v/>
      </c>
    </row>
    <row r="186">
      <c r="A186" s="8" t="inlineStr">
        <is>
          <t>CUST-00182</t>
        </is>
      </c>
      <c r="B186" s="8" t="inlineStr">
        <is>
          <t>Larry Hughes</t>
        </is>
      </c>
      <c r="C186" s="8" t="inlineStr">
        <is>
          <t>Male</t>
        </is>
      </c>
      <c r="D186" s="8" t="n">
        <v>44</v>
      </c>
      <c r="E186" s="8">
        <f>IF(D186&lt;25, "18-24", IF(D186&lt;35, "25-34", IF(D186&lt;50, "35-49", "50+")))</f>
        <v/>
      </c>
      <c r="F186" s="8" t="inlineStr">
        <is>
          <t>Manchester</t>
        </is>
      </c>
      <c r="G186" s="8" t="inlineStr">
        <is>
          <t>Greater Manchester</t>
        </is>
      </c>
      <c r="H186" s="8" t="inlineStr">
        <is>
          <t>REG-EU</t>
        </is>
      </c>
      <c r="I186" s="8" t="inlineStr">
        <is>
          <t>Consumer</t>
        </is>
      </c>
      <c r="J186" s="8" t="inlineStr">
        <is>
          <t>2021-09-26</t>
        </is>
      </c>
      <c r="K186" s="8">
        <f>COUNTIFS('05_Orders'!$C:$C, A186)</f>
        <v/>
      </c>
      <c r="L186" s="9">
        <f>SUMIFS('05_Orders'!$I:$I, '05_Orders'!$C:$C, A186)</f>
        <v/>
      </c>
      <c r="M186" s="8">
        <f>IF(L186&gt;=2000, "Platinum VIP", IF(L186&gt;=1000, "Gold", IF(L186&gt;=500, "Silver", "Standard")))</f>
        <v/>
      </c>
    </row>
    <row r="187">
      <c r="A187" s="8" t="inlineStr">
        <is>
          <t>CUST-00183</t>
        </is>
      </c>
      <c r="B187" s="8" t="inlineStr">
        <is>
          <t>Ryan Kim</t>
        </is>
      </c>
      <c r="C187" s="8" t="inlineStr">
        <is>
          <t>Other</t>
        </is>
      </c>
      <c r="D187" s="8" t="n">
        <v>66</v>
      </c>
      <c r="E187" s="8">
        <f>IF(D187&lt;25, "18-24", IF(D187&lt;35, "25-34", IF(D187&lt;50, "35-49", "50+")))</f>
        <v/>
      </c>
      <c r="F187" s="8" t="inlineStr">
        <is>
          <t>Mexico City</t>
        </is>
      </c>
      <c r="G187" s="8" t="inlineStr">
        <is>
          <t>CDMX</t>
        </is>
      </c>
      <c r="H187" s="8" t="inlineStr">
        <is>
          <t>REG-LATAM</t>
        </is>
      </c>
      <c r="I187" s="8" t="inlineStr">
        <is>
          <t>Corporate</t>
        </is>
      </c>
      <c r="J187" s="8" t="inlineStr">
        <is>
          <t>2021-02-28</t>
        </is>
      </c>
      <c r="K187" s="8">
        <f>COUNTIFS('05_Orders'!$C:$C, A187)</f>
        <v/>
      </c>
      <c r="L187" s="9">
        <f>SUMIFS('05_Orders'!$I:$I, '05_Orders'!$C:$C, A187)</f>
        <v/>
      </c>
      <c r="M187" s="8">
        <f>IF(L187&gt;=2000, "Platinum VIP", IF(L187&gt;=1000, "Gold", IF(L187&gt;=500, "Silver", "Standard")))</f>
        <v/>
      </c>
    </row>
    <row r="188">
      <c r="A188" s="8" t="inlineStr">
        <is>
          <t>CUST-00184</t>
        </is>
      </c>
      <c r="B188" s="8" t="inlineStr">
        <is>
          <t>Raymond Robinson</t>
        </is>
      </c>
      <c r="C188" s="8" t="inlineStr">
        <is>
          <t>Female</t>
        </is>
      </c>
      <c r="D188" s="8" t="n">
        <v>26</v>
      </c>
      <c r="E188" s="8">
        <f>IF(D188&lt;25, "18-24", IF(D188&lt;35, "25-34", IF(D188&lt;50, "35-49", "50+")))</f>
        <v/>
      </c>
      <c r="F188" s="8" t="inlineStr">
        <is>
          <t>Los Angeles</t>
        </is>
      </c>
      <c r="G188" s="8" t="inlineStr">
        <is>
          <t>California</t>
        </is>
      </c>
      <c r="H188" s="8" t="inlineStr">
        <is>
          <t>REG-NA</t>
        </is>
      </c>
      <c r="I188" s="8" t="inlineStr">
        <is>
          <t>Consumer</t>
        </is>
      </c>
      <c r="J188" s="8" t="inlineStr">
        <is>
          <t>2025-04-12</t>
        </is>
      </c>
      <c r="K188" s="8">
        <f>COUNTIFS('05_Orders'!$C:$C, A188)</f>
        <v/>
      </c>
      <c r="L188" s="9">
        <f>SUMIFS('05_Orders'!$I:$I, '05_Orders'!$C:$C, A188)</f>
        <v/>
      </c>
      <c r="M188" s="8">
        <f>IF(L188&gt;=2000, "Platinum VIP", IF(L188&gt;=1000, "Gold", IF(L188&gt;=500, "Silver", "Standard")))</f>
        <v/>
      </c>
    </row>
    <row r="189">
      <c r="A189" s="8" t="inlineStr">
        <is>
          <t>CUST-00185</t>
        </is>
      </c>
      <c r="B189" s="8" t="inlineStr">
        <is>
          <t>Jennifer Sanchez</t>
        </is>
      </c>
      <c r="C189" s="8" t="inlineStr">
        <is>
          <t>Male</t>
        </is>
      </c>
      <c r="D189" s="8" t="n">
        <v>20</v>
      </c>
      <c r="E189" s="8">
        <f>IF(D189&lt;25, "18-24", IF(D189&lt;35, "25-34", IF(D189&lt;50, "35-49", "50+")))</f>
        <v/>
      </c>
      <c r="F189" s="8" t="inlineStr">
        <is>
          <t>Mumbai</t>
        </is>
      </c>
      <c r="G189" s="8" t="inlineStr">
        <is>
          <t>Maharashtra</t>
        </is>
      </c>
      <c r="H189" s="8" t="inlineStr">
        <is>
          <t>REG-APAC</t>
        </is>
      </c>
      <c r="I189" s="8" t="inlineStr">
        <is>
          <t>Corporate</t>
        </is>
      </c>
      <c r="J189" s="8" t="inlineStr">
        <is>
          <t>2023-08-19</t>
        </is>
      </c>
      <c r="K189" s="8">
        <f>COUNTIFS('05_Orders'!$C:$C, A189)</f>
        <v/>
      </c>
      <c r="L189" s="9">
        <f>SUMIFS('05_Orders'!$I:$I, '05_Orders'!$C:$C, A189)</f>
        <v/>
      </c>
      <c r="M189" s="8">
        <f>IF(L189&gt;=2000, "Platinum VIP", IF(L189&gt;=1000, "Gold", IF(L189&gt;=500, "Silver", "Standard")))</f>
        <v/>
      </c>
    </row>
    <row r="190">
      <c r="A190" s="8" t="inlineStr">
        <is>
          <t>CUST-00186</t>
        </is>
      </c>
      <c r="B190" s="8" t="inlineStr">
        <is>
          <t>Jerry Gonzalez</t>
        </is>
      </c>
      <c r="C190" s="8" t="inlineStr">
        <is>
          <t>Male</t>
        </is>
      </c>
      <c r="D190" s="8" t="n">
        <v>45</v>
      </c>
      <c r="E190" s="8">
        <f>IF(D190&lt;25, "18-24", IF(D190&lt;35, "25-34", IF(D190&lt;50, "35-49", "50+")))</f>
        <v/>
      </c>
      <c r="F190" s="8" t="inlineStr">
        <is>
          <t>Houston</t>
        </is>
      </c>
      <c r="G190" s="8" t="inlineStr">
        <is>
          <t>Texas</t>
        </is>
      </c>
      <c r="H190" s="8" t="inlineStr">
        <is>
          <t>REG-NA</t>
        </is>
      </c>
      <c r="I190" s="8" t="inlineStr">
        <is>
          <t>Consumer</t>
        </is>
      </c>
      <c r="J190" s="8" t="inlineStr">
        <is>
          <t>2022-12-21</t>
        </is>
      </c>
      <c r="K190" s="8">
        <f>COUNTIFS('05_Orders'!$C:$C, A190)</f>
        <v/>
      </c>
      <c r="L190" s="9">
        <f>SUMIFS('05_Orders'!$I:$I, '05_Orders'!$C:$C, A190)</f>
        <v/>
      </c>
      <c r="M190" s="8">
        <f>IF(L190&gt;=2000, "Platinum VIP", IF(L190&gt;=1000, "Gold", IF(L190&gt;=500, "Silver", "Standard")))</f>
        <v/>
      </c>
    </row>
    <row r="191">
      <c r="A191" s="8" t="inlineStr">
        <is>
          <t>CUST-00187</t>
        </is>
      </c>
      <c r="B191" s="8" t="inlineStr">
        <is>
          <t>Scott Hall</t>
        </is>
      </c>
      <c r="C191" s="8" t="inlineStr">
        <is>
          <t>Female</t>
        </is>
      </c>
      <c r="D191" s="8" t="n">
        <v>28</v>
      </c>
      <c r="E191" s="8">
        <f>IF(D191&lt;25, "18-24", IF(D191&lt;35, "25-34", IF(D191&lt;50, "35-49", "50+")))</f>
        <v/>
      </c>
      <c r="F191" s="8" t="inlineStr">
        <is>
          <t>Auckland</t>
        </is>
      </c>
      <c r="G191" s="8" t="inlineStr">
        <is>
          <t>Auckland Region</t>
        </is>
      </c>
      <c r="H191" s="8" t="inlineStr">
        <is>
          <t>REG-APAC</t>
        </is>
      </c>
      <c r="I191" s="8" t="inlineStr">
        <is>
          <t>Consumer</t>
        </is>
      </c>
      <c r="J191" s="8" t="inlineStr">
        <is>
          <t>2024-03-13</t>
        </is>
      </c>
      <c r="K191" s="8">
        <f>COUNTIFS('05_Orders'!$C:$C, A191)</f>
        <v/>
      </c>
      <c r="L191" s="9">
        <f>SUMIFS('05_Orders'!$I:$I, '05_Orders'!$C:$C, A191)</f>
        <v/>
      </c>
      <c r="M191" s="8">
        <f>IF(L191&gt;=2000, "Platinum VIP", IF(L191&gt;=1000, "Gold", IF(L191&gt;=500, "Silver", "Standard")))</f>
        <v/>
      </c>
    </row>
    <row r="192">
      <c r="A192" s="8" t="inlineStr">
        <is>
          <t>CUST-00188</t>
        </is>
      </c>
      <c r="B192" s="8" t="inlineStr">
        <is>
          <t>Carolyn Harris</t>
        </is>
      </c>
      <c r="C192" s="8" t="inlineStr">
        <is>
          <t>Female</t>
        </is>
      </c>
      <c r="D192" s="8" t="n">
        <v>28</v>
      </c>
      <c r="E192" s="8">
        <f>IF(D192&lt;25, "18-24", IF(D192&lt;35, "25-34", IF(D192&lt;50, "35-49", "50+")))</f>
        <v/>
      </c>
      <c r="F192" s="8" t="inlineStr">
        <is>
          <t>Monterrey</t>
        </is>
      </c>
      <c r="G192" s="8" t="inlineStr">
        <is>
          <t>Nuevo Leon</t>
        </is>
      </c>
      <c r="H192" s="8" t="inlineStr">
        <is>
          <t>REG-LATAM</t>
        </is>
      </c>
      <c r="I192" s="8" t="inlineStr">
        <is>
          <t>Consumer</t>
        </is>
      </c>
      <c r="J192" s="8" t="inlineStr">
        <is>
          <t>2025-01-25</t>
        </is>
      </c>
      <c r="K192" s="8">
        <f>COUNTIFS('05_Orders'!$C:$C, A192)</f>
        <v/>
      </c>
      <c r="L192" s="9">
        <f>SUMIFS('05_Orders'!$I:$I, '05_Orders'!$C:$C, A192)</f>
        <v/>
      </c>
      <c r="M192" s="8">
        <f>IF(L192&gt;=2000, "Platinum VIP", IF(L192&gt;=1000, "Gold", IF(L192&gt;=500, "Silver", "Standard")))</f>
        <v/>
      </c>
    </row>
    <row r="193">
      <c r="A193" s="8" t="inlineStr">
        <is>
          <t>CUST-00189</t>
        </is>
      </c>
      <c r="B193" s="8" t="inlineStr">
        <is>
          <t>Edward Hughes</t>
        </is>
      </c>
      <c r="C193" s="8" t="inlineStr">
        <is>
          <t>Other</t>
        </is>
      </c>
      <c r="D193" s="8" t="n">
        <v>29</v>
      </c>
      <c r="E193" s="8">
        <f>IF(D193&lt;25, "18-24", IF(D193&lt;35, "25-34", IF(D193&lt;50, "35-49", "50+")))</f>
        <v/>
      </c>
      <c r="F193" s="8" t="inlineStr">
        <is>
          <t>Manchester</t>
        </is>
      </c>
      <c r="G193" s="8" t="inlineStr">
        <is>
          <t>Greater Manchester</t>
        </is>
      </c>
      <c r="H193" s="8" t="inlineStr">
        <is>
          <t>REG-EU</t>
        </is>
      </c>
      <c r="I193" s="8" t="inlineStr">
        <is>
          <t>Consumer</t>
        </is>
      </c>
      <c r="J193" s="8" t="inlineStr">
        <is>
          <t>2022-12-28</t>
        </is>
      </c>
      <c r="K193" s="8">
        <f>COUNTIFS('05_Orders'!$C:$C, A193)</f>
        <v/>
      </c>
      <c r="L193" s="9">
        <f>SUMIFS('05_Orders'!$I:$I, '05_Orders'!$C:$C, A193)</f>
        <v/>
      </c>
      <c r="M193" s="8">
        <f>IF(L193&gt;=2000, "Platinum VIP", IF(L193&gt;=1000, "Gold", IF(L193&gt;=500, "Silver", "Standard")))</f>
        <v/>
      </c>
    </row>
    <row r="194">
      <c r="A194" s="8" t="inlineStr">
        <is>
          <t>CUST-00190</t>
        </is>
      </c>
      <c r="B194" s="8" t="inlineStr">
        <is>
          <t>Maria Green</t>
        </is>
      </c>
      <c r="C194" s="8" t="inlineStr">
        <is>
          <t>Male</t>
        </is>
      </c>
      <c r="D194" s="8" t="n">
        <v>47</v>
      </c>
      <c r="E194" s="8">
        <f>IF(D194&lt;25, "18-24", IF(D194&lt;35, "25-34", IF(D194&lt;50, "35-49", "50+")))</f>
        <v/>
      </c>
      <c r="F194" s="8" t="inlineStr">
        <is>
          <t>Chicago</t>
        </is>
      </c>
      <c r="G194" s="8" t="inlineStr">
        <is>
          <t>Illinois</t>
        </is>
      </c>
      <c r="H194" s="8" t="inlineStr">
        <is>
          <t>REG-NA</t>
        </is>
      </c>
      <c r="I194" s="8" t="inlineStr">
        <is>
          <t>Corporate</t>
        </is>
      </c>
      <c r="J194" s="8" t="inlineStr">
        <is>
          <t>2023-01-10</t>
        </is>
      </c>
      <c r="K194" s="8">
        <f>COUNTIFS('05_Orders'!$C:$C, A194)</f>
        <v/>
      </c>
      <c r="L194" s="9">
        <f>SUMIFS('05_Orders'!$I:$I, '05_Orders'!$C:$C, A194)</f>
        <v/>
      </c>
      <c r="M194" s="8">
        <f>IF(L194&gt;=2000, "Platinum VIP", IF(L194&gt;=1000, "Gold", IF(L194&gt;=500, "Silver", "Standard")))</f>
        <v/>
      </c>
    </row>
    <row r="195">
      <c r="A195" s="8" t="inlineStr">
        <is>
          <t>CUST-00191</t>
        </is>
      </c>
      <c r="B195" s="8" t="inlineStr">
        <is>
          <t>Joseph Roberts</t>
        </is>
      </c>
      <c r="C195" s="8" t="inlineStr">
        <is>
          <t>Female</t>
        </is>
      </c>
      <c r="D195" s="8" t="n">
        <v>47</v>
      </c>
      <c r="E195" s="8">
        <f>IF(D195&lt;25, "18-24", IF(D195&lt;35, "25-34", IF(D195&lt;50, "35-49", "50+")))</f>
        <v/>
      </c>
      <c r="F195" s="8" t="inlineStr">
        <is>
          <t>Paris</t>
        </is>
      </c>
      <c r="G195" s="8" t="inlineStr">
        <is>
          <t>Ile-de-France</t>
        </is>
      </c>
      <c r="H195" s="8" t="inlineStr">
        <is>
          <t>REG-EU</t>
        </is>
      </c>
      <c r="I195" s="8" t="inlineStr">
        <is>
          <t>Corporate</t>
        </is>
      </c>
      <c r="J195" s="8" t="inlineStr">
        <is>
          <t>2023-06-29</t>
        </is>
      </c>
      <c r="K195" s="8">
        <f>COUNTIFS('05_Orders'!$C:$C, A195)</f>
        <v/>
      </c>
      <c r="L195" s="9">
        <f>SUMIFS('05_Orders'!$I:$I, '05_Orders'!$C:$C, A195)</f>
        <v/>
      </c>
      <c r="M195" s="8">
        <f>IF(L195&gt;=2000, "Platinum VIP", IF(L195&gt;=1000, "Gold", IF(L195&gt;=500, "Silver", "Standard")))</f>
        <v/>
      </c>
    </row>
    <row r="196">
      <c r="A196" s="8" t="inlineStr">
        <is>
          <t>CUST-00192</t>
        </is>
      </c>
      <c r="B196" s="8" t="inlineStr">
        <is>
          <t>William Stewart</t>
        </is>
      </c>
      <c r="C196" s="8" t="inlineStr">
        <is>
          <t>Other</t>
        </is>
      </c>
      <c r="D196" s="8" t="n">
        <v>41</v>
      </c>
      <c r="E196" s="8">
        <f>IF(D196&lt;25, "18-24", IF(D196&lt;35, "25-34", IF(D196&lt;50, "35-49", "50+")))</f>
        <v/>
      </c>
      <c r="F196" s="8" t="inlineStr">
        <is>
          <t>Toronto</t>
        </is>
      </c>
      <c r="G196" s="8" t="inlineStr">
        <is>
          <t>Ontario</t>
        </is>
      </c>
      <c r="H196" s="8" t="inlineStr">
        <is>
          <t>REG-NA</t>
        </is>
      </c>
      <c r="I196" s="8" t="inlineStr">
        <is>
          <t>Corporate</t>
        </is>
      </c>
      <c r="J196" s="8" t="inlineStr">
        <is>
          <t>2023-03-23</t>
        </is>
      </c>
      <c r="K196" s="8">
        <f>COUNTIFS('05_Orders'!$C:$C, A196)</f>
        <v/>
      </c>
      <c r="L196" s="9">
        <f>SUMIFS('05_Orders'!$I:$I, '05_Orders'!$C:$C, A196)</f>
        <v/>
      </c>
      <c r="M196" s="8">
        <f>IF(L196&gt;=2000, "Platinum VIP", IF(L196&gt;=1000, "Gold", IF(L196&gt;=500, "Silver", "Standard")))</f>
        <v/>
      </c>
    </row>
    <row r="197">
      <c r="A197" s="8" t="inlineStr">
        <is>
          <t>CUST-00193</t>
        </is>
      </c>
      <c r="B197" s="8" t="inlineStr">
        <is>
          <t>Rebecca Ruiz</t>
        </is>
      </c>
      <c r="C197" s="8" t="inlineStr">
        <is>
          <t>Other</t>
        </is>
      </c>
      <c r="D197" s="8" t="n">
        <v>24</v>
      </c>
      <c r="E197" s="8">
        <f>IF(D197&lt;25, "18-24", IF(D197&lt;35, "25-34", IF(D197&lt;50, "35-49", "50+")))</f>
        <v/>
      </c>
      <c r="F197" s="8" t="inlineStr">
        <is>
          <t>Osaka</t>
        </is>
      </c>
      <c r="G197" s="8" t="inlineStr">
        <is>
          <t>Kansai</t>
        </is>
      </c>
      <c r="H197" s="8" t="inlineStr">
        <is>
          <t>REG-APAC</t>
        </is>
      </c>
      <c r="I197" s="8" t="inlineStr">
        <is>
          <t>Consumer</t>
        </is>
      </c>
      <c r="J197" s="8" t="inlineStr">
        <is>
          <t>2022-02-12</t>
        </is>
      </c>
      <c r="K197" s="8">
        <f>COUNTIFS('05_Orders'!$C:$C, A197)</f>
        <v/>
      </c>
      <c r="L197" s="9">
        <f>SUMIFS('05_Orders'!$I:$I, '05_Orders'!$C:$C, A197)</f>
        <v/>
      </c>
      <c r="M197" s="8">
        <f>IF(L197&gt;=2000, "Platinum VIP", IF(L197&gt;=1000, "Gold", IF(L197&gt;=500, "Silver", "Standard")))</f>
        <v/>
      </c>
    </row>
    <row r="198">
      <c r="A198" s="8" t="inlineStr">
        <is>
          <t>CUST-00194</t>
        </is>
      </c>
      <c r="B198" s="8" t="inlineStr">
        <is>
          <t>Jeffrey Castillo</t>
        </is>
      </c>
      <c r="C198" s="8" t="inlineStr">
        <is>
          <t>Female</t>
        </is>
      </c>
      <c r="D198" s="8" t="n">
        <v>35</v>
      </c>
      <c r="E198" s="8">
        <f>IF(D198&lt;25, "18-24", IF(D198&lt;35, "25-34", IF(D198&lt;50, "35-49", "50+")))</f>
        <v/>
      </c>
      <c r="F198" s="8" t="inlineStr">
        <is>
          <t>Auckland</t>
        </is>
      </c>
      <c r="G198" s="8" t="inlineStr">
        <is>
          <t>Auckland Region</t>
        </is>
      </c>
      <c r="H198" s="8" t="inlineStr">
        <is>
          <t>REG-APAC</t>
        </is>
      </c>
      <c r="I198" s="8" t="inlineStr">
        <is>
          <t>Corporate</t>
        </is>
      </c>
      <c r="J198" s="8" t="inlineStr">
        <is>
          <t>2025-03-29</t>
        </is>
      </c>
      <c r="K198" s="8">
        <f>COUNTIFS('05_Orders'!$C:$C, A198)</f>
        <v/>
      </c>
      <c r="L198" s="9">
        <f>SUMIFS('05_Orders'!$I:$I, '05_Orders'!$C:$C, A198)</f>
        <v/>
      </c>
      <c r="M198" s="8">
        <f>IF(L198&gt;=2000, "Platinum VIP", IF(L198&gt;=1000, "Gold", IF(L198&gt;=500, "Silver", "Standard")))</f>
        <v/>
      </c>
    </row>
    <row r="199">
      <c r="A199" s="8" t="inlineStr">
        <is>
          <t>CUST-00195</t>
        </is>
      </c>
      <c r="B199" s="8" t="inlineStr">
        <is>
          <t>Emma Phillips</t>
        </is>
      </c>
      <c r="C199" s="8" t="inlineStr">
        <is>
          <t>Female</t>
        </is>
      </c>
      <c r="D199" s="8" t="n">
        <v>50</v>
      </c>
      <c r="E199" s="8">
        <f>IF(D199&lt;25, "18-24", IF(D199&lt;35, "25-34", IF(D199&lt;50, "35-49", "50+")))</f>
        <v/>
      </c>
      <c r="F199" s="8" t="inlineStr">
        <is>
          <t>Toronto</t>
        </is>
      </c>
      <c r="G199" s="8" t="inlineStr">
        <is>
          <t>Ontario</t>
        </is>
      </c>
      <c r="H199" s="8" t="inlineStr">
        <is>
          <t>REG-NA</t>
        </is>
      </c>
      <c r="I199" s="8" t="inlineStr">
        <is>
          <t>Consumer</t>
        </is>
      </c>
      <c r="J199" s="8" t="inlineStr">
        <is>
          <t>2022-05-29</t>
        </is>
      </c>
      <c r="K199" s="8">
        <f>COUNTIFS('05_Orders'!$C:$C, A199)</f>
        <v/>
      </c>
      <c r="L199" s="9">
        <f>SUMIFS('05_Orders'!$I:$I, '05_Orders'!$C:$C, A199)</f>
        <v/>
      </c>
      <c r="M199" s="8">
        <f>IF(L199&gt;=2000, "Platinum VIP", IF(L199&gt;=1000, "Gold", IF(L199&gt;=500, "Silver", "Standard")))</f>
        <v/>
      </c>
    </row>
    <row r="200">
      <c r="A200" s="8" t="inlineStr">
        <is>
          <t>CUST-00196</t>
        </is>
      </c>
      <c r="B200" s="8" t="inlineStr">
        <is>
          <t>Dennis Miller</t>
        </is>
      </c>
      <c r="C200" s="8" t="inlineStr">
        <is>
          <t>Male</t>
        </is>
      </c>
      <c r="D200" s="8" t="n">
        <v>49</v>
      </c>
      <c r="E200" s="8">
        <f>IF(D200&lt;25, "18-24", IF(D200&lt;35, "25-34", IF(D200&lt;50, "35-49", "50+")))</f>
        <v/>
      </c>
      <c r="F200" s="8" t="inlineStr">
        <is>
          <t>Berlin</t>
        </is>
      </c>
      <c r="G200" s="8" t="inlineStr">
        <is>
          <t>Berlin</t>
        </is>
      </c>
      <c r="H200" s="8" t="inlineStr">
        <is>
          <t>REG-EU</t>
        </is>
      </c>
      <c r="I200" s="8" t="inlineStr">
        <is>
          <t>Consumer</t>
        </is>
      </c>
      <c r="J200" s="8" t="inlineStr">
        <is>
          <t>2024-10-23</t>
        </is>
      </c>
      <c r="K200" s="8">
        <f>COUNTIFS('05_Orders'!$C:$C, A200)</f>
        <v/>
      </c>
      <c r="L200" s="9">
        <f>SUMIFS('05_Orders'!$I:$I, '05_Orders'!$C:$C, A200)</f>
        <v/>
      </c>
      <c r="M200" s="8">
        <f>IF(L200&gt;=2000, "Platinum VIP", IF(L200&gt;=1000, "Gold", IF(L200&gt;=500, "Silver", "Standard")))</f>
        <v/>
      </c>
    </row>
    <row r="201">
      <c r="A201" s="8" t="inlineStr">
        <is>
          <t>CUST-00197</t>
        </is>
      </c>
      <c r="B201" s="8" t="inlineStr">
        <is>
          <t>Frank Long</t>
        </is>
      </c>
      <c r="C201" s="8" t="inlineStr">
        <is>
          <t>Other</t>
        </is>
      </c>
      <c r="D201" s="8" t="n">
        <v>67</v>
      </c>
      <c r="E201" s="8">
        <f>IF(D201&lt;25, "18-24", IF(D201&lt;35, "25-34", IF(D201&lt;50, "35-49", "50+")))</f>
        <v/>
      </c>
      <c r="F201" s="8" t="inlineStr">
        <is>
          <t>Madrid</t>
        </is>
      </c>
      <c r="G201" s="8" t="inlineStr">
        <is>
          <t>Community of Madrid</t>
        </is>
      </c>
      <c r="H201" s="8" t="inlineStr">
        <is>
          <t>REG-EU</t>
        </is>
      </c>
      <c r="I201" s="8" t="inlineStr">
        <is>
          <t>Consumer</t>
        </is>
      </c>
      <c r="J201" s="8" t="inlineStr">
        <is>
          <t>2024-09-17</t>
        </is>
      </c>
      <c r="K201" s="8">
        <f>COUNTIFS('05_Orders'!$C:$C, A201)</f>
        <v/>
      </c>
      <c r="L201" s="9">
        <f>SUMIFS('05_Orders'!$I:$I, '05_Orders'!$C:$C, A201)</f>
        <v/>
      </c>
      <c r="M201" s="8">
        <f>IF(L201&gt;=2000, "Platinum VIP", IF(L201&gt;=1000, "Gold", IF(L201&gt;=500, "Silver", "Standard")))</f>
        <v/>
      </c>
    </row>
    <row r="202">
      <c r="A202" s="8" t="inlineStr">
        <is>
          <t>CUST-00198</t>
        </is>
      </c>
      <c r="B202" s="8" t="inlineStr">
        <is>
          <t>Anna Cooper</t>
        </is>
      </c>
      <c r="C202" s="8" t="inlineStr">
        <is>
          <t>Male</t>
        </is>
      </c>
      <c r="D202" s="8" t="n">
        <v>66</v>
      </c>
      <c r="E202" s="8">
        <f>IF(D202&lt;25, "18-24", IF(D202&lt;35, "25-34", IF(D202&lt;50, "35-49", "50+")))</f>
        <v/>
      </c>
      <c r="F202" s="8" t="inlineStr">
        <is>
          <t>Atlanta</t>
        </is>
      </c>
      <c r="G202" s="8" t="inlineStr">
        <is>
          <t>Georgia</t>
        </is>
      </c>
      <c r="H202" s="8" t="inlineStr">
        <is>
          <t>REG-NA</t>
        </is>
      </c>
      <c r="I202" s="8" t="inlineStr">
        <is>
          <t>Home Office</t>
        </is>
      </c>
      <c r="J202" s="8" t="inlineStr">
        <is>
          <t>2021-09-01</t>
        </is>
      </c>
      <c r="K202" s="8">
        <f>COUNTIFS('05_Orders'!$C:$C, A202)</f>
        <v/>
      </c>
      <c r="L202" s="9">
        <f>SUMIFS('05_Orders'!$I:$I, '05_Orders'!$C:$C, A202)</f>
        <v/>
      </c>
      <c r="M202" s="8">
        <f>IF(L202&gt;=2000, "Platinum VIP", IF(L202&gt;=1000, "Gold", IF(L202&gt;=500, "Silver", "Standard")))</f>
        <v/>
      </c>
    </row>
    <row r="203">
      <c r="A203" s="8" t="inlineStr">
        <is>
          <t>CUST-00199</t>
        </is>
      </c>
      <c r="B203" s="8" t="inlineStr">
        <is>
          <t>Robert Thompson</t>
        </is>
      </c>
      <c r="C203" s="8" t="inlineStr">
        <is>
          <t>Other</t>
        </is>
      </c>
      <c r="D203" s="8" t="n">
        <v>60</v>
      </c>
      <c r="E203" s="8">
        <f>IF(D203&lt;25, "18-24", IF(D203&lt;35, "25-34", IF(D203&lt;50, "35-49", "50+")))</f>
        <v/>
      </c>
      <c r="F203" s="8" t="inlineStr">
        <is>
          <t>Melbourne</t>
        </is>
      </c>
      <c r="G203" s="8" t="inlineStr">
        <is>
          <t>Victoria</t>
        </is>
      </c>
      <c r="H203" s="8" t="inlineStr">
        <is>
          <t>REG-APAC</t>
        </is>
      </c>
      <c r="I203" s="8" t="inlineStr">
        <is>
          <t>Home Office</t>
        </is>
      </c>
      <c r="J203" s="8" t="inlineStr">
        <is>
          <t>2021-12-03</t>
        </is>
      </c>
      <c r="K203" s="8">
        <f>COUNTIFS('05_Orders'!$C:$C, A203)</f>
        <v/>
      </c>
      <c r="L203" s="9">
        <f>SUMIFS('05_Orders'!$I:$I, '05_Orders'!$C:$C, A203)</f>
        <v/>
      </c>
      <c r="M203" s="8">
        <f>IF(L203&gt;=2000, "Platinum VIP", IF(L203&gt;=1000, "Gold", IF(L203&gt;=500, "Silver", "Standard")))</f>
        <v/>
      </c>
    </row>
    <row r="204">
      <c r="A204" s="8" t="inlineStr">
        <is>
          <t>CUST-00200</t>
        </is>
      </c>
      <c r="B204" s="8" t="inlineStr">
        <is>
          <t>Joseph Reed</t>
        </is>
      </c>
      <c r="C204" s="8" t="inlineStr">
        <is>
          <t>Other</t>
        </is>
      </c>
      <c r="D204" s="8" t="n">
        <v>49</v>
      </c>
      <c r="E204" s="8">
        <f>IF(D204&lt;25, "18-24", IF(D204&lt;35, "25-34", IF(D204&lt;50, "35-49", "50+")))</f>
        <v/>
      </c>
      <c r="F204" s="8" t="inlineStr">
        <is>
          <t>Dublin</t>
        </is>
      </c>
      <c r="G204" s="8" t="inlineStr">
        <is>
          <t>Leinster</t>
        </is>
      </c>
      <c r="H204" s="8" t="inlineStr">
        <is>
          <t>REG-EU</t>
        </is>
      </c>
      <c r="I204" s="8" t="inlineStr">
        <is>
          <t>Corporate</t>
        </is>
      </c>
      <c r="J204" s="8" t="inlineStr">
        <is>
          <t>2023-09-02</t>
        </is>
      </c>
      <c r="K204" s="8">
        <f>COUNTIFS('05_Orders'!$C:$C, A204)</f>
        <v/>
      </c>
      <c r="L204" s="9">
        <f>SUMIFS('05_Orders'!$I:$I, '05_Orders'!$C:$C, A204)</f>
        <v/>
      </c>
      <c r="M204" s="8">
        <f>IF(L204&gt;=2000, "Platinum VIP", IF(L204&gt;=1000, "Gold", IF(L204&gt;=500, "Silver", "Standard")))</f>
        <v/>
      </c>
    </row>
    <row r="205">
      <c r="A205" s="8" t="inlineStr">
        <is>
          <t>CUST-00201</t>
        </is>
      </c>
      <c r="B205" s="8" t="inlineStr">
        <is>
          <t>Nicole Carter</t>
        </is>
      </c>
      <c r="C205" s="8" t="inlineStr">
        <is>
          <t>Other</t>
        </is>
      </c>
      <c r="D205" s="8" t="n">
        <v>61</v>
      </c>
      <c r="E205" s="8">
        <f>IF(D205&lt;25, "18-24", IF(D205&lt;35, "25-34", IF(D205&lt;50, "35-49", "50+")))</f>
        <v/>
      </c>
      <c r="F205" s="8" t="inlineStr">
        <is>
          <t>Phoenix</t>
        </is>
      </c>
      <c r="G205" s="8" t="inlineStr">
        <is>
          <t>Arizona</t>
        </is>
      </c>
      <c r="H205" s="8" t="inlineStr">
        <is>
          <t>REG-NA</t>
        </is>
      </c>
      <c r="I205" s="8" t="inlineStr">
        <is>
          <t>Consumer</t>
        </is>
      </c>
      <c r="J205" s="8" t="inlineStr">
        <is>
          <t>2021-02-27</t>
        </is>
      </c>
      <c r="K205" s="8">
        <f>COUNTIFS('05_Orders'!$C:$C, A205)</f>
        <v/>
      </c>
      <c r="L205" s="9">
        <f>SUMIFS('05_Orders'!$I:$I, '05_Orders'!$C:$C, A205)</f>
        <v/>
      </c>
      <c r="M205" s="8">
        <f>IF(L205&gt;=2000, "Platinum VIP", IF(L205&gt;=1000, "Gold", IF(L205&gt;=500, "Silver", "Standard")))</f>
        <v/>
      </c>
    </row>
    <row r="206">
      <c r="A206" s="8" t="inlineStr">
        <is>
          <t>CUST-00202</t>
        </is>
      </c>
      <c r="B206" s="8" t="inlineStr">
        <is>
          <t>Scott Brown</t>
        </is>
      </c>
      <c r="C206" s="8" t="inlineStr">
        <is>
          <t>Other</t>
        </is>
      </c>
      <c r="D206" s="8" t="n">
        <v>39</v>
      </c>
      <c r="E206" s="8">
        <f>IF(D206&lt;25, "18-24", IF(D206&lt;35, "25-34", IF(D206&lt;50, "35-49", "50+")))</f>
        <v/>
      </c>
      <c r="F206" s="8" t="inlineStr">
        <is>
          <t>Atlanta</t>
        </is>
      </c>
      <c r="G206" s="8" t="inlineStr">
        <is>
          <t>Georgia</t>
        </is>
      </c>
      <c r="H206" s="8" t="inlineStr">
        <is>
          <t>REG-NA</t>
        </is>
      </c>
      <c r="I206" s="8" t="inlineStr">
        <is>
          <t>Consumer</t>
        </is>
      </c>
      <c r="J206" s="8" t="inlineStr">
        <is>
          <t>2023-01-02</t>
        </is>
      </c>
      <c r="K206" s="8">
        <f>COUNTIFS('05_Orders'!$C:$C, A206)</f>
        <v/>
      </c>
      <c r="L206" s="9">
        <f>SUMIFS('05_Orders'!$I:$I, '05_Orders'!$C:$C, A206)</f>
        <v/>
      </c>
      <c r="M206" s="8">
        <f>IF(L206&gt;=2000, "Platinum VIP", IF(L206&gt;=1000, "Gold", IF(L206&gt;=500, "Silver", "Standard")))</f>
        <v/>
      </c>
    </row>
    <row r="207">
      <c r="A207" s="8" t="inlineStr">
        <is>
          <t>CUST-00203</t>
        </is>
      </c>
      <c r="B207" s="8" t="inlineStr">
        <is>
          <t>Michelle Ramos</t>
        </is>
      </c>
      <c r="C207" s="8" t="inlineStr">
        <is>
          <t>Male</t>
        </is>
      </c>
      <c r="D207" s="8" t="n">
        <v>45</v>
      </c>
      <c r="E207" s="8">
        <f>IF(D207&lt;25, "18-24", IF(D207&lt;35, "25-34", IF(D207&lt;50, "35-49", "50+")))</f>
        <v/>
      </c>
      <c r="F207" s="8" t="inlineStr">
        <is>
          <t>Phoenix</t>
        </is>
      </c>
      <c r="G207" s="8" t="inlineStr">
        <is>
          <t>Arizona</t>
        </is>
      </c>
      <c r="H207" s="8" t="inlineStr">
        <is>
          <t>REG-NA</t>
        </is>
      </c>
      <c r="I207" s="8" t="inlineStr">
        <is>
          <t>Consumer</t>
        </is>
      </c>
      <c r="J207" s="8" t="inlineStr">
        <is>
          <t>2021-12-14</t>
        </is>
      </c>
      <c r="K207" s="8">
        <f>COUNTIFS('05_Orders'!$C:$C, A207)</f>
        <v/>
      </c>
      <c r="L207" s="9">
        <f>SUMIFS('05_Orders'!$I:$I, '05_Orders'!$C:$C, A207)</f>
        <v/>
      </c>
      <c r="M207" s="8">
        <f>IF(L207&gt;=2000, "Platinum VIP", IF(L207&gt;=1000, "Gold", IF(L207&gt;=500, "Silver", "Standard")))</f>
        <v/>
      </c>
    </row>
    <row r="208">
      <c r="A208" s="8" t="inlineStr">
        <is>
          <t>CUST-00204</t>
        </is>
      </c>
      <c r="B208" s="8" t="inlineStr">
        <is>
          <t>Justin Rogers</t>
        </is>
      </c>
      <c r="C208" s="8" t="inlineStr">
        <is>
          <t>Female</t>
        </is>
      </c>
      <c r="D208" s="8" t="n">
        <v>35</v>
      </c>
      <c r="E208" s="8">
        <f>IF(D208&lt;25, "18-24", IF(D208&lt;35, "25-34", IF(D208&lt;50, "35-49", "50+")))</f>
        <v/>
      </c>
      <c r="F208" s="8" t="inlineStr">
        <is>
          <t>Toronto</t>
        </is>
      </c>
      <c r="G208" s="8" t="inlineStr">
        <is>
          <t>Ontario</t>
        </is>
      </c>
      <c r="H208" s="8" t="inlineStr">
        <is>
          <t>REG-NA</t>
        </is>
      </c>
      <c r="I208" s="8" t="inlineStr">
        <is>
          <t>Corporate</t>
        </is>
      </c>
      <c r="J208" s="8" t="inlineStr">
        <is>
          <t>2022-10-11</t>
        </is>
      </c>
      <c r="K208" s="8">
        <f>COUNTIFS('05_Orders'!$C:$C, A208)</f>
        <v/>
      </c>
      <c r="L208" s="9">
        <f>SUMIFS('05_Orders'!$I:$I, '05_Orders'!$C:$C, A208)</f>
        <v/>
      </c>
      <c r="M208" s="8">
        <f>IF(L208&gt;=2000, "Platinum VIP", IF(L208&gt;=1000, "Gold", IF(L208&gt;=500, "Silver", "Standard")))</f>
        <v/>
      </c>
    </row>
    <row r="209">
      <c r="A209" s="8" t="inlineStr">
        <is>
          <t>CUST-00205</t>
        </is>
      </c>
      <c r="B209" s="8" t="inlineStr">
        <is>
          <t>Richard Ruiz</t>
        </is>
      </c>
      <c r="C209" s="8" t="inlineStr">
        <is>
          <t>Other</t>
        </is>
      </c>
      <c r="D209" s="8" t="n">
        <v>31</v>
      </c>
      <c r="E209" s="8">
        <f>IF(D209&lt;25, "18-24", IF(D209&lt;35, "25-34", IF(D209&lt;50, "35-49", "50+")))</f>
        <v/>
      </c>
      <c r="F209" s="8" t="inlineStr">
        <is>
          <t>Boston</t>
        </is>
      </c>
      <c r="G209" s="8" t="inlineStr">
        <is>
          <t>Massachusetts</t>
        </is>
      </c>
      <c r="H209" s="8" t="inlineStr">
        <is>
          <t>REG-NA</t>
        </is>
      </c>
      <c r="I209" s="8" t="inlineStr">
        <is>
          <t>Home Office</t>
        </is>
      </c>
      <c r="J209" s="8" t="inlineStr">
        <is>
          <t>2024-09-28</t>
        </is>
      </c>
      <c r="K209" s="8">
        <f>COUNTIFS('05_Orders'!$C:$C, A209)</f>
        <v/>
      </c>
      <c r="L209" s="9">
        <f>SUMIFS('05_Orders'!$I:$I, '05_Orders'!$C:$C, A209)</f>
        <v/>
      </c>
      <c r="M209" s="8">
        <f>IF(L209&gt;=2000, "Platinum VIP", IF(L209&gt;=1000, "Gold", IF(L209&gt;=500, "Silver", "Standard")))</f>
        <v/>
      </c>
    </row>
    <row r="210">
      <c r="A210" s="8" t="inlineStr">
        <is>
          <t>CUST-00206</t>
        </is>
      </c>
      <c r="B210" s="8" t="inlineStr">
        <is>
          <t>Shirley Brooks</t>
        </is>
      </c>
      <c r="C210" s="8" t="inlineStr">
        <is>
          <t>Male</t>
        </is>
      </c>
      <c r="D210" s="8" t="n">
        <v>71</v>
      </c>
      <c r="E210" s="8">
        <f>IF(D210&lt;25, "18-24", IF(D210&lt;35, "25-34", IF(D210&lt;50, "35-49", "50+")))</f>
        <v/>
      </c>
      <c r="F210" s="8" t="inlineStr">
        <is>
          <t>Sydney</t>
        </is>
      </c>
      <c r="G210" s="8" t="inlineStr">
        <is>
          <t>New South Wales</t>
        </is>
      </c>
      <c r="H210" s="8" t="inlineStr">
        <is>
          <t>REG-APAC</t>
        </is>
      </c>
      <c r="I210" s="8" t="inlineStr">
        <is>
          <t>Consumer</t>
        </is>
      </c>
      <c r="J210" s="8" t="inlineStr">
        <is>
          <t>2021-04-08</t>
        </is>
      </c>
      <c r="K210" s="8">
        <f>COUNTIFS('05_Orders'!$C:$C, A210)</f>
        <v/>
      </c>
      <c r="L210" s="9">
        <f>SUMIFS('05_Orders'!$I:$I, '05_Orders'!$C:$C, A210)</f>
        <v/>
      </c>
      <c r="M210" s="8">
        <f>IF(L210&gt;=2000, "Platinum VIP", IF(L210&gt;=1000, "Gold", IF(L210&gt;=500, "Silver", "Standard")))</f>
        <v/>
      </c>
    </row>
    <row r="211">
      <c r="A211" s="8" t="inlineStr">
        <is>
          <t>CUST-00207</t>
        </is>
      </c>
      <c r="B211" s="8" t="inlineStr">
        <is>
          <t>Barbara Alvarez</t>
        </is>
      </c>
      <c r="C211" s="8" t="inlineStr">
        <is>
          <t>Other</t>
        </is>
      </c>
      <c r="D211" s="8" t="n">
        <v>24</v>
      </c>
      <c r="E211" s="8">
        <f>IF(D211&lt;25, "18-24", IF(D211&lt;35, "25-34", IF(D211&lt;50, "35-49", "50+")))</f>
        <v/>
      </c>
      <c r="F211" s="8" t="inlineStr">
        <is>
          <t>Paris</t>
        </is>
      </c>
      <c r="G211" s="8" t="inlineStr">
        <is>
          <t>Ile-de-France</t>
        </is>
      </c>
      <c r="H211" s="8" t="inlineStr">
        <is>
          <t>REG-EU</t>
        </is>
      </c>
      <c r="I211" s="8" t="inlineStr">
        <is>
          <t>Consumer</t>
        </is>
      </c>
      <c r="J211" s="8" t="inlineStr">
        <is>
          <t>2023-12-24</t>
        </is>
      </c>
      <c r="K211" s="8">
        <f>COUNTIFS('05_Orders'!$C:$C, A211)</f>
        <v/>
      </c>
      <c r="L211" s="9">
        <f>SUMIFS('05_Orders'!$I:$I, '05_Orders'!$C:$C, A211)</f>
        <v/>
      </c>
      <c r="M211" s="8">
        <f>IF(L211&gt;=2000, "Platinum VIP", IF(L211&gt;=1000, "Gold", IF(L211&gt;=500, "Silver", "Standard")))</f>
        <v/>
      </c>
    </row>
    <row r="212">
      <c r="A212" s="8" t="inlineStr">
        <is>
          <t>CUST-00208</t>
        </is>
      </c>
      <c r="B212" s="8" t="inlineStr">
        <is>
          <t>Joshua Cook</t>
        </is>
      </c>
      <c r="C212" s="8" t="inlineStr">
        <is>
          <t>Female</t>
        </is>
      </c>
      <c r="D212" s="8" t="n">
        <v>45</v>
      </c>
      <c r="E212" s="8">
        <f>IF(D212&lt;25, "18-24", IF(D212&lt;35, "25-34", IF(D212&lt;50, "35-49", "50+")))</f>
        <v/>
      </c>
      <c r="F212" s="8" t="inlineStr">
        <is>
          <t>Lyon</t>
        </is>
      </c>
      <c r="G212" s="8" t="inlineStr">
        <is>
          <t>Auvergne-Rhone-Alpes</t>
        </is>
      </c>
      <c r="H212" s="8" t="inlineStr">
        <is>
          <t>REG-EU</t>
        </is>
      </c>
      <c r="I212" s="8" t="inlineStr">
        <is>
          <t>Consumer</t>
        </is>
      </c>
      <c r="J212" s="8" t="inlineStr">
        <is>
          <t>2023-04-04</t>
        </is>
      </c>
      <c r="K212" s="8">
        <f>COUNTIFS('05_Orders'!$C:$C, A212)</f>
        <v/>
      </c>
      <c r="L212" s="9">
        <f>SUMIFS('05_Orders'!$I:$I, '05_Orders'!$C:$C, A212)</f>
        <v/>
      </c>
      <c r="M212" s="8">
        <f>IF(L212&gt;=2000, "Platinum VIP", IF(L212&gt;=1000, "Gold", IF(L212&gt;=500, "Silver", "Standard")))</f>
        <v/>
      </c>
    </row>
    <row r="213">
      <c r="A213" s="8" t="inlineStr">
        <is>
          <t>CUST-00209</t>
        </is>
      </c>
      <c r="B213" s="8" t="inlineStr">
        <is>
          <t>John Watson</t>
        </is>
      </c>
      <c r="C213" s="8" t="inlineStr">
        <is>
          <t>Other</t>
        </is>
      </c>
      <c r="D213" s="8" t="n">
        <v>51</v>
      </c>
      <c r="E213" s="8">
        <f>IF(D213&lt;25, "18-24", IF(D213&lt;35, "25-34", IF(D213&lt;50, "35-49", "50+")))</f>
        <v/>
      </c>
      <c r="F213" s="8" t="inlineStr">
        <is>
          <t>Auckland</t>
        </is>
      </c>
      <c r="G213" s="8" t="inlineStr">
        <is>
          <t>Auckland Region</t>
        </is>
      </c>
      <c r="H213" s="8" t="inlineStr">
        <is>
          <t>REG-APAC</t>
        </is>
      </c>
      <c r="I213" s="8" t="inlineStr">
        <is>
          <t>Corporate</t>
        </is>
      </c>
      <c r="J213" s="8" t="inlineStr">
        <is>
          <t>2024-09-15</t>
        </is>
      </c>
      <c r="K213" s="8">
        <f>COUNTIFS('05_Orders'!$C:$C, A213)</f>
        <v/>
      </c>
      <c r="L213" s="9">
        <f>SUMIFS('05_Orders'!$I:$I, '05_Orders'!$C:$C, A213)</f>
        <v/>
      </c>
      <c r="M213" s="8">
        <f>IF(L213&gt;=2000, "Platinum VIP", IF(L213&gt;=1000, "Gold", IF(L213&gt;=500, "Silver", "Standard")))</f>
        <v/>
      </c>
    </row>
    <row r="214">
      <c r="A214" s="8" t="inlineStr">
        <is>
          <t>CUST-00210</t>
        </is>
      </c>
      <c r="B214" s="8" t="inlineStr">
        <is>
          <t>Stephen Ward</t>
        </is>
      </c>
      <c r="C214" s="8" t="inlineStr">
        <is>
          <t>Female</t>
        </is>
      </c>
      <c r="D214" s="8" t="n">
        <v>54</v>
      </c>
      <c r="E214" s="8">
        <f>IF(D214&lt;25, "18-24", IF(D214&lt;35, "25-34", IF(D214&lt;50, "35-49", "50+")))</f>
        <v/>
      </c>
      <c r="F214" s="8" t="inlineStr">
        <is>
          <t>Singapore</t>
        </is>
      </c>
      <c r="G214" s="8" t="inlineStr">
        <is>
          <t>Central</t>
        </is>
      </c>
      <c r="H214" s="8" t="inlineStr">
        <is>
          <t>REG-APAC</t>
        </is>
      </c>
      <c r="I214" s="8" t="inlineStr">
        <is>
          <t>Corporate</t>
        </is>
      </c>
      <c r="J214" s="8" t="inlineStr">
        <is>
          <t>2023-01-17</t>
        </is>
      </c>
      <c r="K214" s="8">
        <f>COUNTIFS('05_Orders'!$C:$C, A214)</f>
        <v/>
      </c>
      <c r="L214" s="9">
        <f>SUMIFS('05_Orders'!$I:$I, '05_Orders'!$C:$C, A214)</f>
        <v/>
      </c>
      <c r="M214" s="8">
        <f>IF(L214&gt;=2000, "Platinum VIP", IF(L214&gt;=1000, "Gold", IF(L214&gt;=500, "Silver", "Standard")))</f>
        <v/>
      </c>
    </row>
    <row r="215">
      <c r="A215" s="8" t="inlineStr">
        <is>
          <t>CUST-00211</t>
        </is>
      </c>
      <c r="B215" s="8" t="inlineStr">
        <is>
          <t>Sharon Evans</t>
        </is>
      </c>
      <c r="C215" s="8" t="inlineStr">
        <is>
          <t>Female</t>
        </is>
      </c>
      <c r="D215" s="8" t="n">
        <v>71</v>
      </c>
      <c r="E215" s="8">
        <f>IF(D215&lt;25, "18-24", IF(D215&lt;35, "25-34", IF(D215&lt;50, "35-49", "50+")))</f>
        <v/>
      </c>
      <c r="F215" s="8" t="inlineStr">
        <is>
          <t>Guadalajara</t>
        </is>
      </c>
      <c r="G215" s="8" t="inlineStr">
        <is>
          <t>Jalisco</t>
        </is>
      </c>
      <c r="H215" s="8" t="inlineStr">
        <is>
          <t>REG-LATAM</t>
        </is>
      </c>
      <c r="I215" s="8" t="inlineStr">
        <is>
          <t>Home Office</t>
        </is>
      </c>
      <c r="J215" s="8" t="inlineStr">
        <is>
          <t>2022-07-01</t>
        </is>
      </c>
      <c r="K215" s="8">
        <f>COUNTIFS('05_Orders'!$C:$C, A215)</f>
        <v/>
      </c>
      <c r="L215" s="9">
        <f>SUMIFS('05_Orders'!$I:$I, '05_Orders'!$C:$C, A215)</f>
        <v/>
      </c>
      <c r="M215" s="8">
        <f>IF(L215&gt;=2000, "Platinum VIP", IF(L215&gt;=1000, "Gold", IF(L215&gt;=500, "Silver", "Standard")))</f>
        <v/>
      </c>
    </row>
    <row r="216">
      <c r="A216" s="8" t="inlineStr">
        <is>
          <t>CUST-00212</t>
        </is>
      </c>
      <c r="B216" s="8" t="inlineStr">
        <is>
          <t>Rebecca Walker</t>
        </is>
      </c>
      <c r="C216" s="8" t="inlineStr">
        <is>
          <t>Male</t>
        </is>
      </c>
      <c r="D216" s="8" t="n">
        <v>27</v>
      </c>
      <c r="E216" s="8">
        <f>IF(D216&lt;25, "18-24", IF(D216&lt;35, "25-34", IF(D216&lt;50, "35-49", "50+")))</f>
        <v/>
      </c>
      <c r="F216" s="8" t="inlineStr">
        <is>
          <t>Houston</t>
        </is>
      </c>
      <c r="G216" s="8" t="inlineStr">
        <is>
          <t>Texas</t>
        </is>
      </c>
      <c r="H216" s="8" t="inlineStr">
        <is>
          <t>REG-NA</t>
        </is>
      </c>
      <c r="I216" s="8" t="inlineStr">
        <is>
          <t>Home Office</t>
        </is>
      </c>
      <c r="J216" s="8" t="inlineStr">
        <is>
          <t>2022-09-28</t>
        </is>
      </c>
      <c r="K216" s="8">
        <f>COUNTIFS('05_Orders'!$C:$C, A216)</f>
        <v/>
      </c>
      <c r="L216" s="9">
        <f>SUMIFS('05_Orders'!$I:$I, '05_Orders'!$C:$C, A216)</f>
        <v/>
      </c>
      <c r="M216" s="8">
        <f>IF(L216&gt;=2000, "Platinum VIP", IF(L216&gt;=1000, "Gold", IF(L216&gt;=500, "Silver", "Standard")))</f>
        <v/>
      </c>
    </row>
    <row r="217">
      <c r="A217" s="8" t="inlineStr">
        <is>
          <t>CUST-00213</t>
        </is>
      </c>
      <c r="B217" s="8" t="inlineStr">
        <is>
          <t>Robert Sanchez</t>
        </is>
      </c>
      <c r="C217" s="8" t="inlineStr">
        <is>
          <t>Male</t>
        </is>
      </c>
      <c r="D217" s="8" t="n">
        <v>35</v>
      </c>
      <c r="E217" s="8">
        <f>IF(D217&lt;25, "18-24", IF(D217&lt;35, "25-34", IF(D217&lt;50, "35-49", "50+")))</f>
        <v/>
      </c>
      <c r="F217" s="8" t="inlineStr">
        <is>
          <t>Phoenix</t>
        </is>
      </c>
      <c r="G217" s="8" t="inlineStr">
        <is>
          <t>Arizona</t>
        </is>
      </c>
      <c r="H217" s="8" t="inlineStr">
        <is>
          <t>REG-NA</t>
        </is>
      </c>
      <c r="I217" s="8" t="inlineStr">
        <is>
          <t>Home Office</t>
        </is>
      </c>
      <c r="J217" s="8" t="inlineStr">
        <is>
          <t>2022-07-23</t>
        </is>
      </c>
      <c r="K217" s="8">
        <f>COUNTIFS('05_Orders'!$C:$C, A217)</f>
        <v/>
      </c>
      <c r="L217" s="9">
        <f>SUMIFS('05_Orders'!$I:$I, '05_Orders'!$C:$C, A217)</f>
        <v/>
      </c>
      <c r="M217" s="8">
        <f>IF(L217&gt;=2000, "Platinum VIP", IF(L217&gt;=1000, "Gold", IF(L217&gt;=500, "Silver", "Standard")))</f>
        <v/>
      </c>
    </row>
    <row r="218">
      <c r="A218" s="8" t="inlineStr">
        <is>
          <t>CUST-00214</t>
        </is>
      </c>
      <c r="B218" s="8" t="inlineStr">
        <is>
          <t>Nicholas Williams</t>
        </is>
      </c>
      <c r="C218" s="8" t="inlineStr">
        <is>
          <t>Male</t>
        </is>
      </c>
      <c r="D218" s="8" t="n">
        <v>23</v>
      </c>
      <c r="E218" s="8">
        <f>IF(D218&lt;25, "18-24", IF(D218&lt;35, "25-34", IF(D218&lt;50, "35-49", "50+")))</f>
        <v/>
      </c>
      <c r="F218" s="8" t="inlineStr">
        <is>
          <t>Phoenix</t>
        </is>
      </c>
      <c r="G218" s="8" t="inlineStr">
        <is>
          <t>Arizona</t>
        </is>
      </c>
      <c r="H218" s="8" t="inlineStr">
        <is>
          <t>REG-NA</t>
        </is>
      </c>
      <c r="I218" s="8" t="inlineStr">
        <is>
          <t>Home Office</t>
        </is>
      </c>
      <c r="J218" s="8" t="inlineStr">
        <is>
          <t>2023-04-14</t>
        </is>
      </c>
      <c r="K218" s="8">
        <f>COUNTIFS('05_Orders'!$C:$C, A218)</f>
        <v/>
      </c>
      <c r="L218" s="9">
        <f>SUMIFS('05_Orders'!$I:$I, '05_Orders'!$C:$C, A218)</f>
        <v/>
      </c>
      <c r="M218" s="8">
        <f>IF(L218&gt;=2000, "Platinum VIP", IF(L218&gt;=1000, "Gold", IF(L218&gt;=500, "Silver", "Standard")))</f>
        <v/>
      </c>
    </row>
    <row r="219">
      <c r="A219" s="8" t="inlineStr">
        <is>
          <t>CUST-00215</t>
        </is>
      </c>
      <c r="B219" s="8" t="inlineStr">
        <is>
          <t>Jack Moore</t>
        </is>
      </c>
      <c r="C219" s="8" t="inlineStr">
        <is>
          <t>Male</t>
        </is>
      </c>
      <c r="D219" s="8" t="n">
        <v>25</v>
      </c>
      <c r="E219" s="8">
        <f>IF(D219&lt;25, "18-24", IF(D219&lt;35, "25-34", IF(D219&lt;50, "35-49", "50+")))</f>
        <v/>
      </c>
      <c r="F219" s="8" t="inlineStr">
        <is>
          <t>Dublin</t>
        </is>
      </c>
      <c r="G219" s="8" t="inlineStr">
        <is>
          <t>Leinster</t>
        </is>
      </c>
      <c r="H219" s="8" t="inlineStr">
        <is>
          <t>REG-EU</t>
        </is>
      </c>
      <c r="I219" s="8" t="inlineStr">
        <is>
          <t>Enterprise</t>
        </is>
      </c>
      <c r="J219" s="8" t="inlineStr">
        <is>
          <t>2023-12-05</t>
        </is>
      </c>
      <c r="K219" s="8">
        <f>COUNTIFS('05_Orders'!$C:$C, A219)</f>
        <v/>
      </c>
      <c r="L219" s="9">
        <f>SUMIFS('05_Orders'!$I:$I, '05_Orders'!$C:$C, A219)</f>
        <v/>
      </c>
      <c r="M219" s="8">
        <f>IF(L219&gt;=2000, "Platinum VIP", IF(L219&gt;=1000, "Gold", IF(L219&gt;=500, "Silver", "Standard")))</f>
        <v/>
      </c>
    </row>
    <row r="220">
      <c r="A220" s="8" t="inlineStr">
        <is>
          <t>CUST-00216</t>
        </is>
      </c>
      <c r="B220" s="8" t="inlineStr">
        <is>
          <t>Shirley Lopez</t>
        </is>
      </c>
      <c r="C220" s="8" t="inlineStr">
        <is>
          <t>Male</t>
        </is>
      </c>
      <c r="D220" s="8" t="n">
        <v>56</v>
      </c>
      <c r="E220" s="8">
        <f>IF(D220&lt;25, "18-24", IF(D220&lt;35, "25-34", IF(D220&lt;50, "35-49", "50+")))</f>
        <v/>
      </c>
      <c r="F220" s="8" t="inlineStr">
        <is>
          <t>Seattle</t>
        </is>
      </c>
      <c r="G220" s="8" t="inlineStr">
        <is>
          <t>Washington</t>
        </is>
      </c>
      <c r="H220" s="8" t="inlineStr">
        <is>
          <t>REG-NA</t>
        </is>
      </c>
      <c r="I220" s="8" t="inlineStr">
        <is>
          <t>Consumer</t>
        </is>
      </c>
      <c r="J220" s="8" t="inlineStr">
        <is>
          <t>2024-04-11</t>
        </is>
      </c>
      <c r="K220" s="8">
        <f>COUNTIFS('05_Orders'!$C:$C, A220)</f>
        <v/>
      </c>
      <c r="L220" s="9">
        <f>SUMIFS('05_Orders'!$I:$I, '05_Orders'!$C:$C, A220)</f>
        <v/>
      </c>
      <c r="M220" s="8">
        <f>IF(L220&gt;=2000, "Platinum VIP", IF(L220&gt;=1000, "Gold", IF(L220&gt;=500, "Silver", "Standard")))</f>
        <v/>
      </c>
    </row>
    <row r="221">
      <c r="A221" s="8" t="inlineStr">
        <is>
          <t>CUST-00217</t>
        </is>
      </c>
      <c r="B221" s="8" t="inlineStr">
        <is>
          <t>Betty Jackson</t>
        </is>
      </c>
      <c r="C221" s="8" t="inlineStr">
        <is>
          <t>Male</t>
        </is>
      </c>
      <c r="D221" s="8" t="n">
        <v>29</v>
      </c>
      <c r="E221" s="8">
        <f>IF(D221&lt;25, "18-24", IF(D221&lt;35, "25-34", IF(D221&lt;50, "35-49", "50+")))</f>
        <v/>
      </c>
      <c r="F221" s="8" t="inlineStr">
        <is>
          <t>Phoenix</t>
        </is>
      </c>
      <c r="G221" s="8" t="inlineStr">
        <is>
          <t>Arizona</t>
        </is>
      </c>
      <c r="H221" s="8" t="inlineStr">
        <is>
          <t>REG-NA</t>
        </is>
      </c>
      <c r="I221" s="8" t="inlineStr">
        <is>
          <t>Consumer</t>
        </is>
      </c>
      <c r="J221" s="8" t="inlineStr">
        <is>
          <t>2022-06-05</t>
        </is>
      </c>
      <c r="K221" s="8">
        <f>COUNTIFS('05_Orders'!$C:$C, A221)</f>
        <v/>
      </c>
      <c r="L221" s="9">
        <f>SUMIFS('05_Orders'!$I:$I, '05_Orders'!$C:$C, A221)</f>
        <v/>
      </c>
      <c r="M221" s="8">
        <f>IF(L221&gt;=2000, "Platinum VIP", IF(L221&gt;=1000, "Gold", IF(L221&gt;=500, "Silver", "Standard")))</f>
        <v/>
      </c>
    </row>
    <row r="222">
      <c r="A222" s="8" t="inlineStr">
        <is>
          <t>CUST-00218</t>
        </is>
      </c>
      <c r="B222" s="8" t="inlineStr">
        <is>
          <t>Joseph Green</t>
        </is>
      </c>
      <c r="C222" s="8" t="inlineStr">
        <is>
          <t>Other</t>
        </is>
      </c>
      <c r="D222" s="8" t="n">
        <v>45</v>
      </c>
      <c r="E222" s="8">
        <f>IF(D222&lt;25, "18-24", IF(D222&lt;35, "25-34", IF(D222&lt;50, "35-49", "50+")))</f>
        <v/>
      </c>
      <c r="F222" s="8" t="inlineStr">
        <is>
          <t>Munich</t>
        </is>
      </c>
      <c r="G222" s="8" t="inlineStr">
        <is>
          <t>Bavaria</t>
        </is>
      </c>
      <c r="H222" s="8" t="inlineStr">
        <is>
          <t>REG-EU</t>
        </is>
      </c>
      <c r="I222" s="8" t="inlineStr">
        <is>
          <t>Enterprise</t>
        </is>
      </c>
      <c r="J222" s="8" t="inlineStr">
        <is>
          <t>2021-10-24</t>
        </is>
      </c>
      <c r="K222" s="8">
        <f>COUNTIFS('05_Orders'!$C:$C, A222)</f>
        <v/>
      </c>
      <c r="L222" s="9">
        <f>SUMIFS('05_Orders'!$I:$I, '05_Orders'!$C:$C, A222)</f>
        <v/>
      </c>
      <c r="M222" s="8">
        <f>IF(L222&gt;=2000, "Platinum VIP", IF(L222&gt;=1000, "Gold", IF(L222&gt;=500, "Silver", "Standard")))</f>
        <v/>
      </c>
    </row>
    <row r="223">
      <c r="A223" s="8" t="inlineStr">
        <is>
          <t>CUST-00219</t>
        </is>
      </c>
      <c r="B223" s="8" t="inlineStr">
        <is>
          <t>Emma Jones</t>
        </is>
      </c>
      <c r="C223" s="8" t="inlineStr">
        <is>
          <t>Other</t>
        </is>
      </c>
      <c r="D223" s="8" t="n">
        <v>60</v>
      </c>
      <c r="E223" s="8">
        <f>IF(D223&lt;25, "18-24", IF(D223&lt;35, "25-34", IF(D223&lt;50, "35-49", "50+")))</f>
        <v/>
      </c>
      <c r="F223" s="8" t="inlineStr">
        <is>
          <t>Singapore</t>
        </is>
      </c>
      <c r="G223" s="8" t="inlineStr">
        <is>
          <t>Central</t>
        </is>
      </c>
      <c r="H223" s="8" t="inlineStr">
        <is>
          <t>REG-APAC</t>
        </is>
      </c>
      <c r="I223" s="8" t="inlineStr">
        <is>
          <t>Corporate</t>
        </is>
      </c>
      <c r="J223" s="8" t="inlineStr">
        <is>
          <t>2024-10-07</t>
        </is>
      </c>
      <c r="K223" s="8">
        <f>COUNTIFS('05_Orders'!$C:$C, A223)</f>
        <v/>
      </c>
      <c r="L223" s="9">
        <f>SUMIFS('05_Orders'!$I:$I, '05_Orders'!$C:$C, A223)</f>
        <v/>
      </c>
      <c r="M223" s="8">
        <f>IF(L223&gt;=2000, "Platinum VIP", IF(L223&gt;=1000, "Gold", IF(L223&gt;=500, "Silver", "Standard")))</f>
        <v/>
      </c>
    </row>
    <row r="224">
      <c r="A224" s="8" t="inlineStr">
        <is>
          <t>CUST-00220</t>
        </is>
      </c>
      <c r="B224" s="8" t="inlineStr">
        <is>
          <t>Edward Mendoza</t>
        </is>
      </c>
      <c r="C224" s="8" t="inlineStr">
        <is>
          <t>Male</t>
        </is>
      </c>
      <c r="D224" s="8" t="n">
        <v>52</v>
      </c>
      <c r="E224" s="8">
        <f>IF(D224&lt;25, "18-24", IF(D224&lt;35, "25-34", IF(D224&lt;50, "35-49", "50+")))</f>
        <v/>
      </c>
      <c r="F224" s="8" t="inlineStr">
        <is>
          <t>Bangalore</t>
        </is>
      </c>
      <c r="G224" s="8" t="inlineStr">
        <is>
          <t>Karnataka</t>
        </is>
      </c>
      <c r="H224" s="8" t="inlineStr">
        <is>
          <t>REG-APAC</t>
        </is>
      </c>
      <c r="I224" s="8" t="inlineStr">
        <is>
          <t>Consumer</t>
        </is>
      </c>
      <c r="J224" s="8" t="inlineStr">
        <is>
          <t>2023-03-16</t>
        </is>
      </c>
      <c r="K224" s="8">
        <f>COUNTIFS('05_Orders'!$C:$C, A224)</f>
        <v/>
      </c>
      <c r="L224" s="9">
        <f>SUMIFS('05_Orders'!$I:$I, '05_Orders'!$C:$C, A224)</f>
        <v/>
      </c>
      <c r="M224" s="8">
        <f>IF(L224&gt;=2000, "Platinum VIP", IF(L224&gt;=1000, "Gold", IF(L224&gt;=500, "Silver", "Standard")))</f>
        <v/>
      </c>
    </row>
    <row r="225">
      <c r="A225" s="8" t="inlineStr">
        <is>
          <t>CUST-00221</t>
        </is>
      </c>
      <c r="B225" s="8" t="inlineStr">
        <is>
          <t>Jerry Walker</t>
        </is>
      </c>
      <c r="C225" s="8" t="inlineStr">
        <is>
          <t>Female</t>
        </is>
      </c>
      <c r="D225" s="8" t="n">
        <v>31</v>
      </c>
      <c r="E225" s="8">
        <f>IF(D225&lt;25, "18-24", IF(D225&lt;35, "25-34", IF(D225&lt;50, "35-49", "50+")))</f>
        <v/>
      </c>
      <c r="F225" s="8" t="inlineStr">
        <is>
          <t>Osaka</t>
        </is>
      </c>
      <c r="G225" s="8" t="inlineStr">
        <is>
          <t>Kansai</t>
        </is>
      </c>
      <c r="H225" s="8" t="inlineStr">
        <is>
          <t>REG-APAC</t>
        </is>
      </c>
      <c r="I225" s="8" t="inlineStr">
        <is>
          <t>Home Office</t>
        </is>
      </c>
      <c r="J225" s="8" t="inlineStr">
        <is>
          <t>2024-07-17</t>
        </is>
      </c>
      <c r="K225" s="8">
        <f>COUNTIFS('05_Orders'!$C:$C, A225)</f>
        <v/>
      </c>
      <c r="L225" s="9">
        <f>SUMIFS('05_Orders'!$I:$I, '05_Orders'!$C:$C, A225)</f>
        <v/>
      </c>
      <c r="M225" s="8">
        <f>IF(L225&gt;=2000, "Platinum VIP", IF(L225&gt;=1000, "Gold", IF(L225&gt;=500, "Silver", "Standard")))</f>
        <v/>
      </c>
    </row>
    <row r="226">
      <c r="A226" s="8" t="inlineStr">
        <is>
          <t>CUST-00222</t>
        </is>
      </c>
      <c r="B226" s="8" t="inlineStr">
        <is>
          <t>Emily Hernandez</t>
        </is>
      </c>
      <c r="C226" s="8" t="inlineStr">
        <is>
          <t>Female</t>
        </is>
      </c>
      <c r="D226" s="8" t="n">
        <v>48</v>
      </c>
      <c r="E226" s="8">
        <f>IF(D226&lt;25, "18-24", IF(D226&lt;35, "25-34", IF(D226&lt;50, "35-49", "50+")))</f>
        <v/>
      </c>
      <c r="F226" s="8" t="inlineStr">
        <is>
          <t>Hong Kong</t>
        </is>
      </c>
      <c r="G226" s="8" t="inlineStr">
        <is>
          <t>Hong Kong</t>
        </is>
      </c>
      <c r="H226" s="8" t="inlineStr">
        <is>
          <t>REG-APAC</t>
        </is>
      </c>
      <c r="I226" s="8" t="inlineStr">
        <is>
          <t>Corporate</t>
        </is>
      </c>
      <c r="J226" s="8" t="inlineStr">
        <is>
          <t>2021-07-25</t>
        </is>
      </c>
      <c r="K226" s="8">
        <f>COUNTIFS('05_Orders'!$C:$C, A226)</f>
        <v/>
      </c>
      <c r="L226" s="9">
        <f>SUMIFS('05_Orders'!$I:$I, '05_Orders'!$C:$C, A226)</f>
        <v/>
      </c>
      <c r="M226" s="8">
        <f>IF(L226&gt;=2000, "Platinum VIP", IF(L226&gt;=1000, "Gold", IF(L226&gt;=500, "Silver", "Standard")))</f>
        <v/>
      </c>
    </row>
    <row r="227">
      <c r="A227" s="8" t="inlineStr">
        <is>
          <t>CUST-00223</t>
        </is>
      </c>
      <c r="B227" s="8" t="inlineStr">
        <is>
          <t>Emma Sanders</t>
        </is>
      </c>
      <c r="C227" s="8" t="inlineStr">
        <is>
          <t>Other</t>
        </is>
      </c>
      <c r="D227" s="8" t="n">
        <v>65</v>
      </c>
      <c r="E227" s="8">
        <f>IF(D227&lt;25, "18-24", IF(D227&lt;35, "25-34", IF(D227&lt;50, "35-49", "50+")))</f>
        <v/>
      </c>
      <c r="F227" s="8" t="inlineStr">
        <is>
          <t>New York</t>
        </is>
      </c>
      <c r="G227" s="8" t="inlineStr">
        <is>
          <t>New York</t>
        </is>
      </c>
      <c r="H227" s="8" t="inlineStr">
        <is>
          <t>REG-NA</t>
        </is>
      </c>
      <c r="I227" s="8" t="inlineStr">
        <is>
          <t>Home Office</t>
        </is>
      </c>
      <c r="J227" s="8" t="inlineStr">
        <is>
          <t>2024-08-06</t>
        </is>
      </c>
      <c r="K227" s="8">
        <f>COUNTIFS('05_Orders'!$C:$C, A227)</f>
        <v/>
      </c>
      <c r="L227" s="9">
        <f>SUMIFS('05_Orders'!$I:$I, '05_Orders'!$C:$C, A227)</f>
        <v/>
      </c>
      <c r="M227" s="8">
        <f>IF(L227&gt;=2000, "Platinum VIP", IF(L227&gt;=1000, "Gold", IF(L227&gt;=500, "Silver", "Standard")))</f>
        <v/>
      </c>
    </row>
    <row r="228">
      <c r="A228" s="8" t="inlineStr">
        <is>
          <t>CUST-00224</t>
        </is>
      </c>
      <c r="B228" s="8" t="inlineStr">
        <is>
          <t>Rebecca Sanchez</t>
        </is>
      </c>
      <c r="C228" s="8" t="inlineStr">
        <is>
          <t>Other</t>
        </is>
      </c>
      <c r="D228" s="8" t="n">
        <v>37</v>
      </c>
      <c r="E228" s="8">
        <f>IF(D228&lt;25, "18-24", IF(D228&lt;35, "25-34", IF(D228&lt;50, "35-49", "50+")))</f>
        <v/>
      </c>
      <c r="F228" s="8" t="inlineStr">
        <is>
          <t>Los Angeles</t>
        </is>
      </c>
      <c r="G228" s="8" t="inlineStr">
        <is>
          <t>California</t>
        </is>
      </c>
      <c r="H228" s="8" t="inlineStr">
        <is>
          <t>REG-NA</t>
        </is>
      </c>
      <c r="I228" s="8" t="inlineStr">
        <is>
          <t>Consumer</t>
        </is>
      </c>
      <c r="J228" s="8" t="inlineStr">
        <is>
          <t>2022-05-27</t>
        </is>
      </c>
      <c r="K228" s="8">
        <f>COUNTIFS('05_Orders'!$C:$C, A228)</f>
        <v/>
      </c>
      <c r="L228" s="9">
        <f>SUMIFS('05_Orders'!$I:$I, '05_Orders'!$C:$C, A228)</f>
        <v/>
      </c>
      <c r="M228" s="8">
        <f>IF(L228&gt;=2000, "Platinum VIP", IF(L228&gt;=1000, "Gold", IF(L228&gt;=500, "Silver", "Standard")))</f>
        <v/>
      </c>
    </row>
    <row r="229">
      <c r="A229" s="8" t="inlineStr">
        <is>
          <t>CUST-00225</t>
        </is>
      </c>
      <c r="B229" s="8" t="inlineStr">
        <is>
          <t>Brandon Mendoza</t>
        </is>
      </c>
      <c r="C229" s="8" t="inlineStr">
        <is>
          <t>Female</t>
        </is>
      </c>
      <c r="D229" s="8" t="n">
        <v>68</v>
      </c>
      <c r="E229" s="8">
        <f>IF(D229&lt;25, "18-24", IF(D229&lt;35, "25-34", IF(D229&lt;50, "35-49", "50+")))</f>
        <v/>
      </c>
      <c r="F229" s="8" t="inlineStr">
        <is>
          <t>Lima</t>
        </is>
      </c>
      <c r="G229" s="8" t="inlineStr">
        <is>
          <t>Lima Province</t>
        </is>
      </c>
      <c r="H229" s="8" t="inlineStr">
        <is>
          <t>REG-LATAM</t>
        </is>
      </c>
      <c r="I229" s="8" t="inlineStr">
        <is>
          <t>Consumer</t>
        </is>
      </c>
      <c r="J229" s="8" t="inlineStr">
        <is>
          <t>2025-02-14</t>
        </is>
      </c>
      <c r="K229" s="8">
        <f>COUNTIFS('05_Orders'!$C:$C, A229)</f>
        <v/>
      </c>
      <c r="L229" s="9">
        <f>SUMIFS('05_Orders'!$I:$I, '05_Orders'!$C:$C, A229)</f>
        <v/>
      </c>
      <c r="M229" s="8">
        <f>IF(L229&gt;=2000, "Platinum VIP", IF(L229&gt;=1000, "Gold", IF(L229&gt;=500, "Silver", "Standard")))</f>
        <v/>
      </c>
    </row>
    <row r="230">
      <c r="A230" s="8" t="inlineStr">
        <is>
          <t>CUST-00226</t>
        </is>
      </c>
      <c r="B230" s="8" t="inlineStr">
        <is>
          <t>Kenneth Sanchez</t>
        </is>
      </c>
      <c r="C230" s="8" t="inlineStr">
        <is>
          <t>Male</t>
        </is>
      </c>
      <c r="D230" s="8" t="n">
        <v>44</v>
      </c>
      <c r="E230" s="8">
        <f>IF(D230&lt;25, "18-24", IF(D230&lt;35, "25-34", IF(D230&lt;50, "35-49", "50+")))</f>
        <v/>
      </c>
      <c r="F230" s="8" t="inlineStr">
        <is>
          <t>Atlanta</t>
        </is>
      </c>
      <c r="G230" s="8" t="inlineStr">
        <is>
          <t>Georgia</t>
        </is>
      </c>
      <c r="H230" s="8" t="inlineStr">
        <is>
          <t>REG-NA</t>
        </is>
      </c>
      <c r="I230" s="8" t="inlineStr">
        <is>
          <t>Home Office</t>
        </is>
      </c>
      <c r="J230" s="8" t="inlineStr">
        <is>
          <t>2024-03-14</t>
        </is>
      </c>
      <c r="K230" s="8">
        <f>COUNTIFS('05_Orders'!$C:$C, A230)</f>
        <v/>
      </c>
      <c r="L230" s="9">
        <f>SUMIFS('05_Orders'!$I:$I, '05_Orders'!$C:$C, A230)</f>
        <v/>
      </c>
      <c r="M230" s="8">
        <f>IF(L230&gt;=2000, "Platinum VIP", IF(L230&gt;=1000, "Gold", IF(L230&gt;=500, "Silver", "Standard")))</f>
        <v/>
      </c>
    </row>
    <row r="231">
      <c r="A231" s="8" t="inlineStr">
        <is>
          <t>CUST-00227</t>
        </is>
      </c>
      <c r="B231" s="8" t="inlineStr">
        <is>
          <t>Samuel Robinson</t>
        </is>
      </c>
      <c r="C231" s="8" t="inlineStr">
        <is>
          <t>Male</t>
        </is>
      </c>
      <c r="D231" s="8" t="n">
        <v>47</v>
      </c>
      <c r="E231" s="8">
        <f>IF(D231&lt;25, "18-24", IF(D231&lt;35, "25-34", IF(D231&lt;50, "35-49", "50+")))</f>
        <v/>
      </c>
      <c r="F231" s="8" t="inlineStr">
        <is>
          <t>Chicago</t>
        </is>
      </c>
      <c r="G231" s="8" t="inlineStr">
        <is>
          <t>Illinois</t>
        </is>
      </c>
      <c r="H231" s="8" t="inlineStr">
        <is>
          <t>REG-NA</t>
        </is>
      </c>
      <c r="I231" s="8" t="inlineStr">
        <is>
          <t>Consumer</t>
        </is>
      </c>
      <c r="J231" s="8" t="inlineStr">
        <is>
          <t>2024-06-19</t>
        </is>
      </c>
      <c r="K231" s="8">
        <f>COUNTIFS('05_Orders'!$C:$C, A231)</f>
        <v/>
      </c>
      <c r="L231" s="9">
        <f>SUMIFS('05_Orders'!$I:$I, '05_Orders'!$C:$C, A231)</f>
        <v/>
      </c>
      <c r="M231" s="8">
        <f>IF(L231&gt;=2000, "Platinum VIP", IF(L231&gt;=1000, "Gold", IF(L231&gt;=500, "Silver", "Standard")))</f>
        <v/>
      </c>
    </row>
    <row r="232">
      <c r="A232" s="8" t="inlineStr">
        <is>
          <t>CUST-00228</t>
        </is>
      </c>
      <c r="B232" s="8" t="inlineStr">
        <is>
          <t>Justin Thomas</t>
        </is>
      </c>
      <c r="C232" s="8" t="inlineStr">
        <is>
          <t>Male</t>
        </is>
      </c>
      <c r="D232" s="8" t="n">
        <v>63</v>
      </c>
      <c r="E232" s="8">
        <f>IF(D232&lt;25, "18-24", IF(D232&lt;35, "25-34", IF(D232&lt;50, "35-49", "50+")))</f>
        <v/>
      </c>
      <c r="F232" s="8" t="inlineStr">
        <is>
          <t>Madrid</t>
        </is>
      </c>
      <c r="G232" s="8" t="inlineStr">
        <is>
          <t>Community of Madrid</t>
        </is>
      </c>
      <c r="H232" s="8" t="inlineStr">
        <is>
          <t>REG-EU</t>
        </is>
      </c>
      <c r="I232" s="8" t="inlineStr">
        <is>
          <t>Home Office</t>
        </is>
      </c>
      <c r="J232" s="8" t="inlineStr">
        <is>
          <t>2023-10-10</t>
        </is>
      </c>
      <c r="K232" s="8">
        <f>COUNTIFS('05_Orders'!$C:$C, A232)</f>
        <v/>
      </c>
      <c r="L232" s="9">
        <f>SUMIFS('05_Orders'!$I:$I, '05_Orders'!$C:$C, A232)</f>
        <v/>
      </c>
      <c r="M232" s="8">
        <f>IF(L232&gt;=2000, "Platinum VIP", IF(L232&gt;=1000, "Gold", IF(L232&gt;=500, "Silver", "Standard")))</f>
        <v/>
      </c>
    </row>
    <row r="233">
      <c r="A233" s="8" t="inlineStr">
        <is>
          <t>CUST-00229</t>
        </is>
      </c>
      <c r="B233" s="8" t="inlineStr">
        <is>
          <t>Aaron Wright</t>
        </is>
      </c>
      <c r="C233" s="8" t="inlineStr">
        <is>
          <t>Female</t>
        </is>
      </c>
      <c r="D233" s="8" t="n">
        <v>65</v>
      </c>
      <c r="E233" s="8">
        <f>IF(D233&lt;25, "18-24", IF(D233&lt;35, "25-34", IF(D233&lt;50, "35-49", "50+")))</f>
        <v/>
      </c>
      <c r="F233" s="8" t="inlineStr">
        <is>
          <t>Berlin</t>
        </is>
      </c>
      <c r="G233" s="8" t="inlineStr">
        <is>
          <t>Berlin</t>
        </is>
      </c>
      <c r="H233" s="8" t="inlineStr">
        <is>
          <t>REG-EU</t>
        </is>
      </c>
      <c r="I233" s="8" t="inlineStr">
        <is>
          <t>Consumer</t>
        </is>
      </c>
      <c r="J233" s="8" t="inlineStr">
        <is>
          <t>2022-02-28</t>
        </is>
      </c>
      <c r="K233" s="8">
        <f>COUNTIFS('05_Orders'!$C:$C, A233)</f>
        <v/>
      </c>
      <c r="L233" s="9">
        <f>SUMIFS('05_Orders'!$I:$I, '05_Orders'!$C:$C, A233)</f>
        <v/>
      </c>
      <c r="M233" s="8">
        <f>IF(L233&gt;=2000, "Platinum VIP", IF(L233&gt;=1000, "Gold", IF(L233&gt;=500, "Silver", "Standard")))</f>
        <v/>
      </c>
    </row>
    <row r="234">
      <c r="A234" s="8" t="inlineStr">
        <is>
          <t>CUST-00230</t>
        </is>
      </c>
      <c r="B234" s="8" t="inlineStr">
        <is>
          <t>Laura White</t>
        </is>
      </c>
      <c r="C234" s="8" t="inlineStr">
        <is>
          <t>Female</t>
        </is>
      </c>
      <c r="D234" s="8" t="n">
        <v>68</v>
      </c>
      <c r="E234" s="8">
        <f>IF(D234&lt;25, "18-24", IF(D234&lt;35, "25-34", IF(D234&lt;50, "35-49", "50+")))</f>
        <v/>
      </c>
      <c r="F234" s="8" t="inlineStr">
        <is>
          <t>Phoenix</t>
        </is>
      </c>
      <c r="G234" s="8" t="inlineStr">
        <is>
          <t>Arizona</t>
        </is>
      </c>
      <c r="H234" s="8" t="inlineStr">
        <is>
          <t>REG-NA</t>
        </is>
      </c>
      <c r="I234" s="8" t="inlineStr">
        <is>
          <t>Enterprise</t>
        </is>
      </c>
      <c r="J234" s="8" t="inlineStr">
        <is>
          <t>2022-04-28</t>
        </is>
      </c>
      <c r="K234" s="8">
        <f>COUNTIFS('05_Orders'!$C:$C, A234)</f>
        <v/>
      </c>
      <c r="L234" s="9">
        <f>SUMIFS('05_Orders'!$I:$I, '05_Orders'!$C:$C, A234)</f>
        <v/>
      </c>
      <c r="M234" s="8">
        <f>IF(L234&gt;=2000, "Platinum VIP", IF(L234&gt;=1000, "Gold", IF(L234&gt;=500, "Silver", "Standard")))</f>
        <v/>
      </c>
    </row>
    <row r="235">
      <c r="A235" s="8" t="inlineStr">
        <is>
          <t>CUST-00231</t>
        </is>
      </c>
      <c r="B235" s="8" t="inlineStr">
        <is>
          <t>Jacob Hernandez</t>
        </is>
      </c>
      <c r="C235" s="8" t="inlineStr">
        <is>
          <t>Male</t>
        </is>
      </c>
      <c r="D235" s="8" t="n">
        <v>48</v>
      </c>
      <c r="E235" s="8">
        <f>IF(D235&lt;25, "18-24", IF(D235&lt;35, "25-34", IF(D235&lt;50, "35-49", "50+")))</f>
        <v/>
      </c>
      <c r="F235" s="8" t="inlineStr">
        <is>
          <t>Seattle</t>
        </is>
      </c>
      <c r="G235" s="8" t="inlineStr">
        <is>
          <t>Washington</t>
        </is>
      </c>
      <c r="H235" s="8" t="inlineStr">
        <is>
          <t>REG-NA</t>
        </is>
      </c>
      <c r="I235" s="8" t="inlineStr">
        <is>
          <t>Enterprise</t>
        </is>
      </c>
      <c r="J235" s="8" t="inlineStr">
        <is>
          <t>2023-03-26</t>
        </is>
      </c>
      <c r="K235" s="8">
        <f>COUNTIFS('05_Orders'!$C:$C, A235)</f>
        <v/>
      </c>
      <c r="L235" s="9">
        <f>SUMIFS('05_Orders'!$I:$I, '05_Orders'!$C:$C, A235)</f>
        <v/>
      </c>
      <c r="M235" s="8">
        <f>IF(L235&gt;=2000, "Platinum VIP", IF(L235&gt;=1000, "Gold", IF(L235&gt;=500, "Silver", "Standard")))</f>
        <v/>
      </c>
    </row>
    <row r="236">
      <c r="A236" s="8" t="inlineStr">
        <is>
          <t>CUST-00232</t>
        </is>
      </c>
      <c r="B236" s="8" t="inlineStr">
        <is>
          <t>Steven Martinez</t>
        </is>
      </c>
      <c r="C236" s="8" t="inlineStr">
        <is>
          <t>Male</t>
        </is>
      </c>
      <c r="D236" s="8" t="n">
        <v>53</v>
      </c>
      <c r="E236" s="8">
        <f>IF(D236&lt;25, "18-24", IF(D236&lt;35, "25-34", IF(D236&lt;50, "35-49", "50+")))</f>
        <v/>
      </c>
      <c r="F236" s="8" t="inlineStr">
        <is>
          <t>Seattle</t>
        </is>
      </c>
      <c r="G236" s="8" t="inlineStr">
        <is>
          <t>Washington</t>
        </is>
      </c>
      <c r="H236" s="8" t="inlineStr">
        <is>
          <t>REG-NA</t>
        </is>
      </c>
      <c r="I236" s="8" t="inlineStr">
        <is>
          <t>Enterprise</t>
        </is>
      </c>
      <c r="J236" s="8" t="inlineStr">
        <is>
          <t>2023-08-23</t>
        </is>
      </c>
      <c r="K236" s="8">
        <f>COUNTIFS('05_Orders'!$C:$C, A236)</f>
        <v/>
      </c>
      <c r="L236" s="9">
        <f>SUMIFS('05_Orders'!$I:$I, '05_Orders'!$C:$C, A236)</f>
        <v/>
      </c>
      <c r="M236" s="8">
        <f>IF(L236&gt;=2000, "Platinum VIP", IF(L236&gt;=1000, "Gold", IF(L236&gt;=500, "Silver", "Standard")))</f>
        <v/>
      </c>
    </row>
    <row r="237">
      <c r="A237" s="8" t="inlineStr">
        <is>
          <t>CUST-00233</t>
        </is>
      </c>
      <c r="B237" s="8" t="inlineStr">
        <is>
          <t>Brandon Price</t>
        </is>
      </c>
      <c r="C237" s="8" t="inlineStr">
        <is>
          <t>Other</t>
        </is>
      </c>
      <c r="D237" s="8" t="n">
        <v>69</v>
      </c>
      <c r="E237" s="8">
        <f>IF(D237&lt;25, "18-24", IF(D237&lt;35, "25-34", IF(D237&lt;50, "35-49", "50+")))</f>
        <v/>
      </c>
      <c r="F237" s="8" t="inlineStr">
        <is>
          <t>Phoenix</t>
        </is>
      </c>
      <c r="G237" s="8" t="inlineStr">
        <is>
          <t>Arizona</t>
        </is>
      </c>
      <c r="H237" s="8" t="inlineStr">
        <is>
          <t>REG-NA</t>
        </is>
      </c>
      <c r="I237" s="8" t="inlineStr">
        <is>
          <t>Corporate</t>
        </is>
      </c>
      <c r="J237" s="8" t="inlineStr">
        <is>
          <t>2023-02-20</t>
        </is>
      </c>
      <c r="K237" s="8">
        <f>COUNTIFS('05_Orders'!$C:$C, A237)</f>
        <v/>
      </c>
      <c r="L237" s="9">
        <f>SUMIFS('05_Orders'!$I:$I, '05_Orders'!$C:$C, A237)</f>
        <v/>
      </c>
      <c r="M237" s="8">
        <f>IF(L237&gt;=2000, "Platinum VIP", IF(L237&gt;=1000, "Gold", IF(L237&gt;=500, "Silver", "Standard")))</f>
        <v/>
      </c>
    </row>
    <row r="238">
      <c r="A238" s="8" t="inlineStr">
        <is>
          <t>CUST-00234</t>
        </is>
      </c>
      <c r="B238" s="8" t="inlineStr">
        <is>
          <t>Brenda Garcia</t>
        </is>
      </c>
      <c r="C238" s="8" t="inlineStr">
        <is>
          <t>Other</t>
        </is>
      </c>
      <c r="D238" s="8" t="n">
        <v>29</v>
      </c>
      <c r="E238" s="8">
        <f>IF(D238&lt;25, "18-24", IF(D238&lt;35, "25-34", IF(D238&lt;50, "35-49", "50+")))</f>
        <v/>
      </c>
      <c r="F238" s="8" t="inlineStr">
        <is>
          <t>Boston</t>
        </is>
      </c>
      <c r="G238" s="8" t="inlineStr">
        <is>
          <t>Massachusetts</t>
        </is>
      </c>
      <c r="H238" s="8" t="inlineStr">
        <is>
          <t>REG-NA</t>
        </is>
      </c>
      <c r="I238" s="8" t="inlineStr">
        <is>
          <t>Corporate</t>
        </is>
      </c>
      <c r="J238" s="8" t="inlineStr">
        <is>
          <t>2022-11-26</t>
        </is>
      </c>
      <c r="K238" s="8">
        <f>COUNTIFS('05_Orders'!$C:$C, A238)</f>
        <v/>
      </c>
      <c r="L238" s="9">
        <f>SUMIFS('05_Orders'!$I:$I, '05_Orders'!$C:$C, A238)</f>
        <v/>
      </c>
      <c r="M238" s="8">
        <f>IF(L238&gt;=2000, "Platinum VIP", IF(L238&gt;=1000, "Gold", IF(L238&gt;=500, "Silver", "Standard")))</f>
        <v/>
      </c>
    </row>
    <row r="239">
      <c r="A239" s="8" t="inlineStr">
        <is>
          <t>CUST-00235</t>
        </is>
      </c>
      <c r="B239" s="8" t="inlineStr">
        <is>
          <t>Charles King</t>
        </is>
      </c>
      <c r="C239" s="8" t="inlineStr">
        <is>
          <t>Male</t>
        </is>
      </c>
      <c r="D239" s="8" t="n">
        <v>38</v>
      </c>
      <c r="E239" s="8">
        <f>IF(D239&lt;25, "18-24", IF(D239&lt;35, "25-34", IF(D239&lt;50, "35-49", "50+")))</f>
        <v/>
      </c>
      <c r="F239" s="8" t="inlineStr">
        <is>
          <t>Chicago</t>
        </is>
      </c>
      <c r="G239" s="8" t="inlineStr">
        <is>
          <t>Illinois</t>
        </is>
      </c>
      <c r="H239" s="8" t="inlineStr">
        <is>
          <t>REG-NA</t>
        </is>
      </c>
      <c r="I239" s="8" t="inlineStr">
        <is>
          <t>Corporate</t>
        </is>
      </c>
      <c r="J239" s="8" t="inlineStr">
        <is>
          <t>2022-07-30</t>
        </is>
      </c>
      <c r="K239" s="8">
        <f>COUNTIFS('05_Orders'!$C:$C, A239)</f>
        <v/>
      </c>
      <c r="L239" s="9">
        <f>SUMIFS('05_Orders'!$I:$I, '05_Orders'!$C:$C, A239)</f>
        <v/>
      </c>
      <c r="M239" s="8">
        <f>IF(L239&gt;=2000, "Platinum VIP", IF(L239&gt;=1000, "Gold", IF(L239&gt;=500, "Silver", "Standard")))</f>
        <v/>
      </c>
    </row>
    <row r="240">
      <c r="A240" s="8" t="inlineStr">
        <is>
          <t>CUST-00236</t>
        </is>
      </c>
      <c r="B240" s="8" t="inlineStr">
        <is>
          <t>Benjamin Ross</t>
        </is>
      </c>
      <c r="C240" s="8" t="inlineStr">
        <is>
          <t>Female</t>
        </is>
      </c>
      <c r="D240" s="8" t="n">
        <v>51</v>
      </c>
      <c r="E240" s="8">
        <f>IF(D240&lt;25, "18-24", IF(D240&lt;35, "25-34", IF(D240&lt;50, "35-49", "50+")))</f>
        <v/>
      </c>
      <c r="F240" s="8" t="inlineStr">
        <is>
          <t>Chicago</t>
        </is>
      </c>
      <c r="G240" s="8" t="inlineStr">
        <is>
          <t>Illinois</t>
        </is>
      </c>
      <c r="H240" s="8" t="inlineStr">
        <is>
          <t>REG-NA</t>
        </is>
      </c>
      <c r="I240" s="8" t="inlineStr">
        <is>
          <t>Consumer</t>
        </is>
      </c>
      <c r="J240" s="8" t="inlineStr">
        <is>
          <t>2023-10-04</t>
        </is>
      </c>
      <c r="K240" s="8">
        <f>COUNTIFS('05_Orders'!$C:$C, A240)</f>
        <v/>
      </c>
      <c r="L240" s="9">
        <f>SUMIFS('05_Orders'!$I:$I, '05_Orders'!$C:$C, A240)</f>
        <v/>
      </c>
      <c r="M240" s="8">
        <f>IF(L240&gt;=2000, "Platinum VIP", IF(L240&gt;=1000, "Gold", IF(L240&gt;=500, "Silver", "Standard")))</f>
        <v/>
      </c>
    </row>
    <row r="241">
      <c r="A241" s="8" t="inlineStr">
        <is>
          <t>CUST-00237</t>
        </is>
      </c>
      <c r="B241" s="8" t="inlineStr">
        <is>
          <t>Ryan Miller</t>
        </is>
      </c>
      <c r="C241" s="8" t="inlineStr">
        <is>
          <t>Male</t>
        </is>
      </c>
      <c r="D241" s="8" t="n">
        <v>27</v>
      </c>
      <c r="E241" s="8">
        <f>IF(D241&lt;25, "18-24", IF(D241&lt;35, "25-34", IF(D241&lt;50, "35-49", "50+")))</f>
        <v/>
      </c>
      <c r="F241" s="8" t="inlineStr">
        <is>
          <t>Chicago</t>
        </is>
      </c>
      <c r="G241" s="8" t="inlineStr">
        <is>
          <t>Illinois</t>
        </is>
      </c>
      <c r="H241" s="8" t="inlineStr">
        <is>
          <t>REG-NA</t>
        </is>
      </c>
      <c r="I241" s="8" t="inlineStr">
        <is>
          <t>Consumer</t>
        </is>
      </c>
      <c r="J241" s="8" t="inlineStr">
        <is>
          <t>2022-06-17</t>
        </is>
      </c>
      <c r="K241" s="8">
        <f>COUNTIFS('05_Orders'!$C:$C, A241)</f>
        <v/>
      </c>
      <c r="L241" s="9">
        <f>SUMIFS('05_Orders'!$I:$I, '05_Orders'!$C:$C, A241)</f>
        <v/>
      </c>
      <c r="M241" s="8">
        <f>IF(L241&gt;=2000, "Platinum VIP", IF(L241&gt;=1000, "Gold", IF(L241&gt;=500, "Silver", "Standard")))</f>
        <v/>
      </c>
    </row>
    <row r="242">
      <c r="A242" s="8" t="inlineStr">
        <is>
          <t>CUST-00238</t>
        </is>
      </c>
      <c r="B242" s="8" t="inlineStr">
        <is>
          <t>Shirley Garcia</t>
        </is>
      </c>
      <c r="C242" s="8" t="inlineStr">
        <is>
          <t>Female</t>
        </is>
      </c>
      <c r="D242" s="8" t="n">
        <v>40</v>
      </c>
      <c r="E242" s="8">
        <f>IF(D242&lt;25, "18-24", IF(D242&lt;35, "25-34", IF(D242&lt;50, "35-49", "50+")))</f>
        <v/>
      </c>
      <c r="F242" s="8" t="inlineStr">
        <is>
          <t>Monterrey</t>
        </is>
      </c>
      <c r="G242" s="8" t="inlineStr">
        <is>
          <t>Nuevo Leon</t>
        </is>
      </c>
      <c r="H242" s="8" t="inlineStr">
        <is>
          <t>REG-LATAM</t>
        </is>
      </c>
      <c r="I242" s="8" t="inlineStr">
        <is>
          <t>Corporate</t>
        </is>
      </c>
      <c r="J242" s="8" t="inlineStr">
        <is>
          <t>2023-10-07</t>
        </is>
      </c>
      <c r="K242" s="8">
        <f>COUNTIFS('05_Orders'!$C:$C, A242)</f>
        <v/>
      </c>
      <c r="L242" s="9">
        <f>SUMIFS('05_Orders'!$I:$I, '05_Orders'!$C:$C, A242)</f>
        <v/>
      </c>
      <c r="M242" s="8">
        <f>IF(L242&gt;=2000, "Platinum VIP", IF(L242&gt;=1000, "Gold", IF(L242&gt;=500, "Silver", "Standard")))</f>
        <v/>
      </c>
    </row>
    <row r="243">
      <c r="A243" s="8" t="inlineStr">
        <is>
          <t>CUST-00239</t>
        </is>
      </c>
      <c r="B243" s="8" t="inlineStr">
        <is>
          <t>Anthony Torres</t>
        </is>
      </c>
      <c r="C243" s="8" t="inlineStr">
        <is>
          <t>Male</t>
        </is>
      </c>
      <c r="D243" s="8" t="n">
        <v>71</v>
      </c>
      <c r="E243" s="8">
        <f>IF(D243&lt;25, "18-24", IF(D243&lt;35, "25-34", IF(D243&lt;50, "35-49", "50+")))</f>
        <v/>
      </c>
      <c r="F243" s="8" t="inlineStr">
        <is>
          <t>Boston</t>
        </is>
      </c>
      <c r="G243" s="8" t="inlineStr">
        <is>
          <t>Massachusetts</t>
        </is>
      </c>
      <c r="H243" s="8" t="inlineStr">
        <is>
          <t>REG-NA</t>
        </is>
      </c>
      <c r="I243" s="8" t="inlineStr">
        <is>
          <t>Home Office</t>
        </is>
      </c>
      <c r="J243" s="8" t="inlineStr">
        <is>
          <t>2024-02-28</t>
        </is>
      </c>
      <c r="K243" s="8">
        <f>COUNTIFS('05_Orders'!$C:$C, A243)</f>
        <v/>
      </c>
      <c r="L243" s="9">
        <f>SUMIFS('05_Orders'!$I:$I, '05_Orders'!$C:$C, A243)</f>
        <v/>
      </c>
      <c r="M243" s="8">
        <f>IF(L243&gt;=2000, "Platinum VIP", IF(L243&gt;=1000, "Gold", IF(L243&gt;=500, "Silver", "Standard")))</f>
        <v/>
      </c>
    </row>
    <row r="244">
      <c r="A244" s="8" t="inlineStr">
        <is>
          <t>CUST-00240</t>
        </is>
      </c>
      <c r="B244" s="8" t="inlineStr">
        <is>
          <t>Helen Foster</t>
        </is>
      </c>
      <c r="C244" s="8" t="inlineStr">
        <is>
          <t>Other</t>
        </is>
      </c>
      <c r="D244" s="8" t="n">
        <v>29</v>
      </c>
      <c r="E244" s="8">
        <f>IF(D244&lt;25, "18-24", IF(D244&lt;35, "25-34", IF(D244&lt;50, "35-49", "50+")))</f>
        <v/>
      </c>
      <c r="F244" s="8" t="inlineStr">
        <is>
          <t>Los Angeles</t>
        </is>
      </c>
      <c r="G244" s="8" t="inlineStr">
        <is>
          <t>California</t>
        </is>
      </c>
      <c r="H244" s="8" t="inlineStr">
        <is>
          <t>REG-NA</t>
        </is>
      </c>
      <c r="I244" s="8" t="inlineStr">
        <is>
          <t>Consumer</t>
        </is>
      </c>
      <c r="J244" s="8" t="inlineStr">
        <is>
          <t>2023-10-18</t>
        </is>
      </c>
      <c r="K244" s="8">
        <f>COUNTIFS('05_Orders'!$C:$C, A244)</f>
        <v/>
      </c>
      <c r="L244" s="9">
        <f>SUMIFS('05_Orders'!$I:$I, '05_Orders'!$C:$C, A244)</f>
        <v/>
      </c>
      <c r="M244" s="8">
        <f>IF(L244&gt;=2000, "Platinum VIP", IF(L244&gt;=1000, "Gold", IF(L244&gt;=500, "Silver", "Standard")))</f>
        <v/>
      </c>
    </row>
    <row r="245">
      <c r="A245" s="8" t="inlineStr">
        <is>
          <t>CUST-00241</t>
        </is>
      </c>
      <c r="B245" s="8" t="inlineStr">
        <is>
          <t>Rachel Thomas</t>
        </is>
      </c>
      <c r="C245" s="8" t="inlineStr">
        <is>
          <t>Female</t>
        </is>
      </c>
      <c r="D245" s="8" t="n">
        <v>45</v>
      </c>
      <c r="E245" s="8">
        <f>IF(D245&lt;25, "18-24", IF(D245&lt;35, "25-34", IF(D245&lt;50, "35-49", "50+")))</f>
        <v/>
      </c>
      <c r="F245" s="8" t="inlineStr">
        <is>
          <t>Manchester</t>
        </is>
      </c>
      <c r="G245" s="8" t="inlineStr">
        <is>
          <t>Greater Manchester</t>
        </is>
      </c>
      <c r="H245" s="8" t="inlineStr">
        <is>
          <t>REG-EU</t>
        </is>
      </c>
      <c r="I245" s="8" t="inlineStr">
        <is>
          <t>Home Office</t>
        </is>
      </c>
      <c r="J245" s="8" t="inlineStr">
        <is>
          <t>2021-11-11</t>
        </is>
      </c>
      <c r="K245" s="8">
        <f>COUNTIFS('05_Orders'!$C:$C, A245)</f>
        <v/>
      </c>
      <c r="L245" s="9">
        <f>SUMIFS('05_Orders'!$I:$I, '05_Orders'!$C:$C, A245)</f>
        <v/>
      </c>
      <c r="M245" s="8">
        <f>IF(L245&gt;=2000, "Platinum VIP", IF(L245&gt;=1000, "Gold", IF(L245&gt;=500, "Silver", "Standard")))</f>
        <v/>
      </c>
    </row>
    <row r="246">
      <c r="A246" s="8" t="inlineStr">
        <is>
          <t>CUST-00242</t>
        </is>
      </c>
      <c r="B246" s="8" t="inlineStr">
        <is>
          <t>Samuel Wright</t>
        </is>
      </c>
      <c r="C246" s="8" t="inlineStr">
        <is>
          <t>Other</t>
        </is>
      </c>
      <c r="D246" s="8" t="n">
        <v>60</v>
      </c>
      <c r="E246" s="8">
        <f>IF(D246&lt;25, "18-24", IF(D246&lt;35, "25-34", IF(D246&lt;50, "35-49", "50+")))</f>
        <v/>
      </c>
      <c r="F246" s="8" t="inlineStr">
        <is>
          <t>New York</t>
        </is>
      </c>
      <c r="G246" s="8" t="inlineStr">
        <is>
          <t>New York</t>
        </is>
      </c>
      <c r="H246" s="8" t="inlineStr">
        <is>
          <t>REG-NA</t>
        </is>
      </c>
      <c r="I246" s="8" t="inlineStr">
        <is>
          <t>Corporate</t>
        </is>
      </c>
      <c r="J246" s="8" t="inlineStr">
        <is>
          <t>2023-07-17</t>
        </is>
      </c>
      <c r="K246" s="8">
        <f>COUNTIFS('05_Orders'!$C:$C, A246)</f>
        <v/>
      </c>
      <c r="L246" s="9">
        <f>SUMIFS('05_Orders'!$I:$I, '05_Orders'!$C:$C, A246)</f>
        <v/>
      </c>
      <c r="M246" s="8">
        <f>IF(L246&gt;=2000, "Platinum VIP", IF(L246&gt;=1000, "Gold", IF(L246&gt;=500, "Silver", "Standard")))</f>
        <v/>
      </c>
    </row>
    <row r="247">
      <c r="A247" s="8" t="inlineStr">
        <is>
          <t>CUST-00243</t>
        </is>
      </c>
      <c r="B247" s="8" t="inlineStr">
        <is>
          <t>Justin Taylor</t>
        </is>
      </c>
      <c r="C247" s="8" t="inlineStr">
        <is>
          <t>Male</t>
        </is>
      </c>
      <c r="D247" s="8" t="n">
        <v>21</v>
      </c>
      <c r="E247" s="8">
        <f>IF(D247&lt;25, "18-24", IF(D247&lt;35, "25-34", IF(D247&lt;50, "35-49", "50+")))</f>
        <v/>
      </c>
      <c r="F247" s="8" t="inlineStr">
        <is>
          <t>Melbourne</t>
        </is>
      </c>
      <c r="G247" s="8" t="inlineStr">
        <is>
          <t>Victoria</t>
        </is>
      </c>
      <c r="H247" s="8" t="inlineStr">
        <is>
          <t>REG-APAC</t>
        </is>
      </c>
      <c r="I247" s="8" t="inlineStr">
        <is>
          <t>Consumer</t>
        </is>
      </c>
      <c r="J247" s="8" t="inlineStr">
        <is>
          <t>2021-04-24</t>
        </is>
      </c>
      <c r="K247" s="8">
        <f>COUNTIFS('05_Orders'!$C:$C, A247)</f>
        <v/>
      </c>
      <c r="L247" s="9">
        <f>SUMIFS('05_Orders'!$I:$I, '05_Orders'!$C:$C, A247)</f>
        <v/>
      </c>
      <c r="M247" s="8">
        <f>IF(L247&gt;=2000, "Platinum VIP", IF(L247&gt;=1000, "Gold", IF(L247&gt;=500, "Silver", "Standard")))</f>
        <v/>
      </c>
    </row>
    <row r="248">
      <c r="A248" s="8" t="inlineStr">
        <is>
          <t>CUST-00244</t>
        </is>
      </c>
      <c r="B248" s="8" t="inlineStr">
        <is>
          <t>Steven Thompson</t>
        </is>
      </c>
      <c r="C248" s="8" t="inlineStr">
        <is>
          <t>Male</t>
        </is>
      </c>
      <c r="D248" s="8" t="n">
        <v>67</v>
      </c>
      <c r="E248" s="8">
        <f>IF(D248&lt;25, "18-24", IF(D248&lt;35, "25-34", IF(D248&lt;50, "35-49", "50+")))</f>
        <v/>
      </c>
      <c r="F248" s="8" t="inlineStr">
        <is>
          <t>Tokyo</t>
        </is>
      </c>
      <c r="G248" s="8" t="inlineStr">
        <is>
          <t>Kanto</t>
        </is>
      </c>
      <c r="H248" s="8" t="inlineStr">
        <is>
          <t>REG-APAC</t>
        </is>
      </c>
      <c r="I248" s="8" t="inlineStr">
        <is>
          <t>Consumer</t>
        </is>
      </c>
      <c r="J248" s="8" t="inlineStr">
        <is>
          <t>2022-03-03</t>
        </is>
      </c>
      <c r="K248" s="8">
        <f>COUNTIFS('05_Orders'!$C:$C, A248)</f>
        <v/>
      </c>
      <c r="L248" s="9">
        <f>SUMIFS('05_Orders'!$I:$I, '05_Orders'!$C:$C, A248)</f>
        <v/>
      </c>
      <c r="M248" s="8">
        <f>IF(L248&gt;=2000, "Platinum VIP", IF(L248&gt;=1000, "Gold", IF(L248&gt;=500, "Silver", "Standard")))</f>
        <v/>
      </c>
    </row>
    <row r="249">
      <c r="A249" s="8" t="inlineStr">
        <is>
          <t>CUST-00245</t>
        </is>
      </c>
      <c r="B249" s="8" t="inlineStr">
        <is>
          <t>Christine Martin</t>
        </is>
      </c>
      <c r="C249" s="8" t="inlineStr">
        <is>
          <t>Male</t>
        </is>
      </c>
      <c r="D249" s="8" t="n">
        <v>37</v>
      </c>
      <c r="E249" s="8">
        <f>IF(D249&lt;25, "18-24", IF(D249&lt;35, "25-34", IF(D249&lt;50, "35-49", "50+")))</f>
        <v/>
      </c>
      <c r="F249" s="8" t="inlineStr">
        <is>
          <t>Amsterdam</t>
        </is>
      </c>
      <c r="G249" s="8" t="inlineStr">
        <is>
          <t>North Holland</t>
        </is>
      </c>
      <c r="H249" s="8" t="inlineStr">
        <is>
          <t>REG-EU</t>
        </is>
      </c>
      <c r="I249" s="8" t="inlineStr">
        <is>
          <t>Corporate</t>
        </is>
      </c>
      <c r="J249" s="8" t="inlineStr">
        <is>
          <t>2022-09-28</t>
        </is>
      </c>
      <c r="K249" s="8">
        <f>COUNTIFS('05_Orders'!$C:$C, A249)</f>
        <v/>
      </c>
      <c r="L249" s="9">
        <f>SUMIFS('05_Orders'!$I:$I, '05_Orders'!$C:$C, A249)</f>
        <v/>
      </c>
      <c r="M249" s="8">
        <f>IF(L249&gt;=2000, "Platinum VIP", IF(L249&gt;=1000, "Gold", IF(L249&gt;=500, "Silver", "Standard")))</f>
        <v/>
      </c>
    </row>
    <row r="250">
      <c r="A250" s="8" t="inlineStr">
        <is>
          <t>CUST-00246</t>
        </is>
      </c>
      <c r="B250" s="8" t="inlineStr">
        <is>
          <t>Deborah Rogers</t>
        </is>
      </c>
      <c r="C250" s="8" t="inlineStr">
        <is>
          <t>Male</t>
        </is>
      </c>
      <c r="D250" s="8" t="n">
        <v>49</v>
      </c>
      <c r="E250" s="8">
        <f>IF(D250&lt;25, "18-24", IF(D250&lt;35, "25-34", IF(D250&lt;50, "35-49", "50+")))</f>
        <v/>
      </c>
      <c r="F250" s="8" t="inlineStr">
        <is>
          <t>Amsterdam</t>
        </is>
      </c>
      <c r="G250" s="8" t="inlineStr">
        <is>
          <t>North Holland</t>
        </is>
      </c>
      <c r="H250" s="8" t="inlineStr">
        <is>
          <t>REG-EU</t>
        </is>
      </c>
      <c r="I250" s="8" t="inlineStr">
        <is>
          <t>Consumer</t>
        </is>
      </c>
      <c r="J250" s="8" t="inlineStr">
        <is>
          <t>2024-02-28</t>
        </is>
      </c>
      <c r="K250" s="8">
        <f>COUNTIFS('05_Orders'!$C:$C, A250)</f>
        <v/>
      </c>
      <c r="L250" s="9">
        <f>SUMIFS('05_Orders'!$I:$I, '05_Orders'!$C:$C, A250)</f>
        <v/>
      </c>
      <c r="M250" s="8">
        <f>IF(L250&gt;=2000, "Platinum VIP", IF(L250&gt;=1000, "Gold", IF(L250&gt;=500, "Silver", "Standard")))</f>
        <v/>
      </c>
    </row>
    <row r="251">
      <c r="A251" s="8" t="inlineStr">
        <is>
          <t>CUST-00247</t>
        </is>
      </c>
      <c r="B251" s="8" t="inlineStr">
        <is>
          <t>Lisa Parker</t>
        </is>
      </c>
      <c r="C251" s="8" t="inlineStr">
        <is>
          <t>Other</t>
        </is>
      </c>
      <c r="D251" s="8" t="n">
        <v>45</v>
      </c>
      <c r="E251" s="8">
        <f>IF(D251&lt;25, "18-24", IF(D251&lt;35, "25-34", IF(D251&lt;50, "35-49", "50+")))</f>
        <v/>
      </c>
      <c r="F251" s="8" t="inlineStr">
        <is>
          <t>Boston</t>
        </is>
      </c>
      <c r="G251" s="8" t="inlineStr">
        <is>
          <t>Massachusetts</t>
        </is>
      </c>
      <c r="H251" s="8" t="inlineStr">
        <is>
          <t>REG-NA</t>
        </is>
      </c>
      <c r="I251" s="8" t="inlineStr">
        <is>
          <t>Consumer</t>
        </is>
      </c>
      <c r="J251" s="8" t="inlineStr">
        <is>
          <t>2023-08-08</t>
        </is>
      </c>
      <c r="K251" s="8">
        <f>COUNTIFS('05_Orders'!$C:$C, A251)</f>
        <v/>
      </c>
      <c r="L251" s="9">
        <f>SUMIFS('05_Orders'!$I:$I, '05_Orders'!$C:$C, A251)</f>
        <v/>
      </c>
      <c r="M251" s="8">
        <f>IF(L251&gt;=2000, "Platinum VIP", IF(L251&gt;=1000, "Gold", IF(L251&gt;=500, "Silver", "Standard")))</f>
        <v/>
      </c>
    </row>
    <row r="252">
      <c r="A252" s="8" t="inlineStr">
        <is>
          <t>CUST-00248</t>
        </is>
      </c>
      <c r="B252" s="8" t="inlineStr">
        <is>
          <t>Helen Watson</t>
        </is>
      </c>
      <c r="C252" s="8" t="inlineStr">
        <is>
          <t>Other</t>
        </is>
      </c>
      <c r="D252" s="8" t="n">
        <v>51</v>
      </c>
      <c r="E252" s="8">
        <f>IF(D252&lt;25, "18-24", IF(D252&lt;35, "25-34", IF(D252&lt;50, "35-49", "50+")))</f>
        <v/>
      </c>
      <c r="F252" s="8" t="inlineStr">
        <is>
          <t>Toronto</t>
        </is>
      </c>
      <c r="G252" s="8" t="inlineStr">
        <is>
          <t>Ontario</t>
        </is>
      </c>
      <c r="H252" s="8" t="inlineStr">
        <is>
          <t>REG-NA</t>
        </is>
      </c>
      <c r="I252" s="8" t="inlineStr">
        <is>
          <t>Consumer</t>
        </is>
      </c>
      <c r="J252" s="8" t="inlineStr">
        <is>
          <t>2023-09-06</t>
        </is>
      </c>
      <c r="K252" s="8">
        <f>COUNTIFS('05_Orders'!$C:$C, A252)</f>
        <v/>
      </c>
      <c r="L252" s="9">
        <f>SUMIFS('05_Orders'!$I:$I, '05_Orders'!$C:$C, A252)</f>
        <v/>
      </c>
      <c r="M252" s="8">
        <f>IF(L252&gt;=2000, "Platinum VIP", IF(L252&gt;=1000, "Gold", IF(L252&gt;=500, "Silver", "Standard")))</f>
        <v/>
      </c>
    </row>
    <row r="253">
      <c r="A253" s="8" t="inlineStr">
        <is>
          <t>CUST-00249</t>
        </is>
      </c>
      <c r="B253" s="8" t="inlineStr">
        <is>
          <t>Ashley Gutierrez</t>
        </is>
      </c>
      <c r="C253" s="8" t="inlineStr">
        <is>
          <t>Female</t>
        </is>
      </c>
      <c r="D253" s="8" t="n">
        <v>36</v>
      </c>
      <c r="E253" s="8">
        <f>IF(D253&lt;25, "18-24", IF(D253&lt;35, "25-34", IF(D253&lt;50, "35-49", "50+")))</f>
        <v/>
      </c>
      <c r="F253" s="8" t="inlineStr">
        <is>
          <t>Dublin</t>
        </is>
      </c>
      <c r="G253" s="8" t="inlineStr">
        <is>
          <t>Leinster</t>
        </is>
      </c>
      <c r="H253" s="8" t="inlineStr">
        <is>
          <t>REG-EU</t>
        </is>
      </c>
      <c r="I253" s="8" t="inlineStr">
        <is>
          <t>Consumer</t>
        </is>
      </c>
      <c r="J253" s="8" t="inlineStr">
        <is>
          <t>2021-04-03</t>
        </is>
      </c>
      <c r="K253" s="8">
        <f>COUNTIFS('05_Orders'!$C:$C, A253)</f>
        <v/>
      </c>
      <c r="L253" s="9">
        <f>SUMIFS('05_Orders'!$I:$I, '05_Orders'!$C:$C, A253)</f>
        <v/>
      </c>
      <c r="M253" s="8">
        <f>IF(L253&gt;=2000, "Platinum VIP", IF(L253&gt;=1000, "Gold", IF(L253&gt;=500, "Silver", "Standard")))</f>
        <v/>
      </c>
    </row>
    <row r="254">
      <c r="A254" s="8" t="inlineStr">
        <is>
          <t>CUST-00250</t>
        </is>
      </c>
      <c r="B254" s="8" t="inlineStr">
        <is>
          <t>Jack Reed</t>
        </is>
      </c>
      <c r="C254" s="8" t="inlineStr">
        <is>
          <t>Female</t>
        </is>
      </c>
      <c r="D254" s="8" t="n">
        <v>40</v>
      </c>
      <c r="E254" s="8">
        <f>IF(D254&lt;25, "18-24", IF(D254&lt;35, "25-34", IF(D254&lt;50, "35-49", "50+")))</f>
        <v/>
      </c>
      <c r="F254" s="8" t="inlineStr">
        <is>
          <t>Los Angeles</t>
        </is>
      </c>
      <c r="G254" s="8" t="inlineStr">
        <is>
          <t>California</t>
        </is>
      </c>
      <c r="H254" s="8" t="inlineStr">
        <is>
          <t>REG-NA</t>
        </is>
      </c>
      <c r="I254" s="8" t="inlineStr">
        <is>
          <t>Home Office</t>
        </is>
      </c>
      <c r="J254" s="8" t="inlineStr">
        <is>
          <t>2021-02-03</t>
        </is>
      </c>
      <c r="K254" s="8">
        <f>COUNTIFS('05_Orders'!$C:$C, A254)</f>
        <v/>
      </c>
      <c r="L254" s="9">
        <f>SUMIFS('05_Orders'!$I:$I, '05_Orders'!$C:$C, A254)</f>
        <v/>
      </c>
      <c r="M254" s="8">
        <f>IF(L254&gt;=2000, "Platinum VIP", IF(L254&gt;=1000, "Gold", IF(L254&gt;=500, "Silver", "Standard")))</f>
        <v/>
      </c>
    </row>
    <row r="255">
      <c r="A255" s="8" t="inlineStr">
        <is>
          <t>CUST-00251</t>
        </is>
      </c>
      <c r="B255" s="8" t="inlineStr">
        <is>
          <t>Timothy Garcia</t>
        </is>
      </c>
      <c r="C255" s="8" t="inlineStr">
        <is>
          <t>Male</t>
        </is>
      </c>
      <c r="D255" s="8" t="n">
        <v>44</v>
      </c>
      <c r="E255" s="8">
        <f>IF(D255&lt;25, "18-24", IF(D255&lt;35, "25-34", IF(D255&lt;50, "35-49", "50+")))</f>
        <v/>
      </c>
      <c r="F255" s="8" t="inlineStr">
        <is>
          <t>Melbourne</t>
        </is>
      </c>
      <c r="G255" s="8" t="inlineStr">
        <is>
          <t>Victoria</t>
        </is>
      </c>
      <c r="H255" s="8" t="inlineStr">
        <is>
          <t>REG-APAC</t>
        </is>
      </c>
      <c r="I255" s="8" t="inlineStr">
        <is>
          <t>Consumer</t>
        </is>
      </c>
      <c r="J255" s="8" t="inlineStr">
        <is>
          <t>2025-01-22</t>
        </is>
      </c>
      <c r="K255" s="8">
        <f>COUNTIFS('05_Orders'!$C:$C, A255)</f>
        <v/>
      </c>
      <c r="L255" s="9">
        <f>SUMIFS('05_Orders'!$I:$I, '05_Orders'!$C:$C, A255)</f>
        <v/>
      </c>
      <c r="M255" s="8">
        <f>IF(L255&gt;=2000, "Platinum VIP", IF(L255&gt;=1000, "Gold", IF(L255&gt;=500, "Silver", "Standard")))</f>
        <v/>
      </c>
    </row>
    <row r="256">
      <c r="A256" s="8" t="inlineStr">
        <is>
          <t>CUST-00252</t>
        </is>
      </c>
      <c r="B256" s="8" t="inlineStr">
        <is>
          <t>Lisa Ramirez</t>
        </is>
      </c>
      <c r="C256" s="8" t="inlineStr">
        <is>
          <t>Male</t>
        </is>
      </c>
      <c r="D256" s="8" t="n">
        <v>23</v>
      </c>
      <c r="E256" s="8">
        <f>IF(D256&lt;25, "18-24", IF(D256&lt;35, "25-34", IF(D256&lt;50, "35-49", "50+")))</f>
        <v/>
      </c>
      <c r="F256" s="8" t="inlineStr">
        <is>
          <t>Auckland</t>
        </is>
      </c>
      <c r="G256" s="8" t="inlineStr">
        <is>
          <t>Auckland Region</t>
        </is>
      </c>
      <c r="H256" s="8" t="inlineStr">
        <is>
          <t>REG-APAC</t>
        </is>
      </c>
      <c r="I256" s="8" t="inlineStr">
        <is>
          <t>Consumer</t>
        </is>
      </c>
      <c r="J256" s="8" t="inlineStr">
        <is>
          <t>2024-10-11</t>
        </is>
      </c>
      <c r="K256" s="8">
        <f>COUNTIFS('05_Orders'!$C:$C, A256)</f>
        <v/>
      </c>
      <c r="L256" s="9">
        <f>SUMIFS('05_Orders'!$I:$I, '05_Orders'!$C:$C, A256)</f>
        <v/>
      </c>
      <c r="M256" s="8">
        <f>IF(L256&gt;=2000, "Platinum VIP", IF(L256&gt;=1000, "Gold", IF(L256&gt;=500, "Silver", "Standard")))</f>
        <v/>
      </c>
    </row>
    <row r="257">
      <c r="A257" s="8" t="inlineStr">
        <is>
          <t>CUST-00253</t>
        </is>
      </c>
      <c r="B257" s="8" t="inlineStr">
        <is>
          <t>Nancy Wood</t>
        </is>
      </c>
      <c r="C257" s="8" t="inlineStr">
        <is>
          <t>Female</t>
        </is>
      </c>
      <c r="D257" s="8" t="n">
        <v>47</v>
      </c>
      <c r="E257" s="8">
        <f>IF(D257&lt;25, "18-24", IF(D257&lt;35, "25-34", IF(D257&lt;50, "35-49", "50+")))</f>
        <v/>
      </c>
      <c r="F257" s="8" t="inlineStr">
        <is>
          <t>Stockholm</t>
        </is>
      </c>
      <c r="G257" s="8" t="inlineStr">
        <is>
          <t>Stockholm County</t>
        </is>
      </c>
      <c r="H257" s="8" t="inlineStr">
        <is>
          <t>REG-EU</t>
        </is>
      </c>
      <c r="I257" s="8" t="inlineStr">
        <is>
          <t>Corporate</t>
        </is>
      </c>
      <c r="J257" s="8" t="inlineStr">
        <is>
          <t>2022-09-13</t>
        </is>
      </c>
      <c r="K257" s="8">
        <f>COUNTIFS('05_Orders'!$C:$C, A257)</f>
        <v/>
      </c>
      <c r="L257" s="9">
        <f>SUMIFS('05_Orders'!$I:$I, '05_Orders'!$C:$C, A257)</f>
        <v/>
      </c>
      <c r="M257" s="8">
        <f>IF(L257&gt;=2000, "Platinum VIP", IF(L257&gt;=1000, "Gold", IF(L257&gt;=500, "Silver", "Standard")))</f>
        <v/>
      </c>
    </row>
    <row r="258">
      <c r="A258" s="8" t="inlineStr">
        <is>
          <t>CUST-00254</t>
        </is>
      </c>
      <c r="B258" s="8" t="inlineStr">
        <is>
          <t>Raymond Gray</t>
        </is>
      </c>
      <c r="C258" s="8" t="inlineStr">
        <is>
          <t>Female</t>
        </is>
      </c>
      <c r="D258" s="8" t="n">
        <v>69</v>
      </c>
      <c r="E258" s="8">
        <f>IF(D258&lt;25, "18-24", IF(D258&lt;35, "25-34", IF(D258&lt;50, "35-49", "50+")))</f>
        <v/>
      </c>
      <c r="F258" s="8" t="inlineStr">
        <is>
          <t>Chicago</t>
        </is>
      </c>
      <c r="G258" s="8" t="inlineStr">
        <is>
          <t>Illinois</t>
        </is>
      </c>
      <c r="H258" s="8" t="inlineStr">
        <is>
          <t>REG-NA</t>
        </is>
      </c>
      <c r="I258" s="8" t="inlineStr">
        <is>
          <t>Consumer</t>
        </is>
      </c>
      <c r="J258" s="8" t="inlineStr">
        <is>
          <t>2022-01-26</t>
        </is>
      </c>
      <c r="K258" s="8">
        <f>COUNTIFS('05_Orders'!$C:$C, A258)</f>
        <v/>
      </c>
      <c r="L258" s="9">
        <f>SUMIFS('05_Orders'!$I:$I, '05_Orders'!$C:$C, A258)</f>
        <v/>
      </c>
      <c r="M258" s="8">
        <f>IF(L258&gt;=2000, "Platinum VIP", IF(L258&gt;=1000, "Gold", IF(L258&gt;=500, "Silver", "Standard")))</f>
        <v/>
      </c>
    </row>
    <row r="259">
      <c r="A259" s="8" t="inlineStr">
        <is>
          <t>CUST-00255</t>
        </is>
      </c>
      <c r="B259" s="8" t="inlineStr">
        <is>
          <t>Anthony Morris</t>
        </is>
      </c>
      <c r="C259" s="8" t="inlineStr">
        <is>
          <t>Other</t>
        </is>
      </c>
      <c r="D259" s="8" t="n">
        <v>27</v>
      </c>
      <c r="E259" s="8">
        <f>IF(D259&lt;25, "18-24", IF(D259&lt;35, "25-34", IF(D259&lt;50, "35-49", "50+")))</f>
        <v/>
      </c>
      <c r="F259" s="8" t="inlineStr">
        <is>
          <t>Amsterdam</t>
        </is>
      </c>
      <c r="G259" s="8" t="inlineStr">
        <is>
          <t>North Holland</t>
        </is>
      </c>
      <c r="H259" s="8" t="inlineStr">
        <is>
          <t>REG-EU</t>
        </is>
      </c>
      <c r="I259" s="8" t="inlineStr">
        <is>
          <t>Home Office</t>
        </is>
      </c>
      <c r="J259" s="8" t="inlineStr">
        <is>
          <t>2024-01-09</t>
        </is>
      </c>
      <c r="K259" s="8">
        <f>COUNTIFS('05_Orders'!$C:$C, A259)</f>
        <v/>
      </c>
      <c r="L259" s="9">
        <f>SUMIFS('05_Orders'!$I:$I, '05_Orders'!$C:$C, A259)</f>
        <v/>
      </c>
      <c r="M259" s="8">
        <f>IF(L259&gt;=2000, "Platinum VIP", IF(L259&gt;=1000, "Gold", IF(L259&gt;=500, "Silver", "Standard")))</f>
        <v/>
      </c>
    </row>
    <row r="260">
      <c r="A260" s="8" t="inlineStr">
        <is>
          <t>CUST-00256</t>
        </is>
      </c>
      <c r="B260" s="8" t="inlineStr">
        <is>
          <t>John Anderson</t>
        </is>
      </c>
      <c r="C260" s="8" t="inlineStr">
        <is>
          <t>Male</t>
        </is>
      </c>
      <c r="D260" s="8" t="n">
        <v>45</v>
      </c>
      <c r="E260" s="8">
        <f>IF(D260&lt;25, "18-24", IF(D260&lt;35, "25-34", IF(D260&lt;50, "35-49", "50+")))</f>
        <v/>
      </c>
      <c r="F260" s="8" t="inlineStr">
        <is>
          <t>Bangalore</t>
        </is>
      </c>
      <c r="G260" s="8" t="inlineStr">
        <is>
          <t>Karnataka</t>
        </is>
      </c>
      <c r="H260" s="8" t="inlineStr">
        <is>
          <t>REG-APAC</t>
        </is>
      </c>
      <c r="I260" s="8" t="inlineStr">
        <is>
          <t>Enterprise</t>
        </is>
      </c>
      <c r="J260" s="8" t="inlineStr">
        <is>
          <t>2023-08-24</t>
        </is>
      </c>
      <c r="K260" s="8">
        <f>COUNTIFS('05_Orders'!$C:$C, A260)</f>
        <v/>
      </c>
      <c r="L260" s="9">
        <f>SUMIFS('05_Orders'!$I:$I, '05_Orders'!$C:$C, A260)</f>
        <v/>
      </c>
      <c r="M260" s="8">
        <f>IF(L260&gt;=2000, "Platinum VIP", IF(L260&gt;=1000, "Gold", IF(L260&gt;=500, "Silver", "Standard")))</f>
        <v/>
      </c>
    </row>
    <row r="261">
      <c r="A261" s="8" t="inlineStr">
        <is>
          <t>CUST-00257</t>
        </is>
      </c>
      <c r="B261" s="8" t="inlineStr">
        <is>
          <t>Timothy Miller</t>
        </is>
      </c>
      <c r="C261" s="8" t="inlineStr">
        <is>
          <t>Female</t>
        </is>
      </c>
      <c r="D261" s="8" t="n">
        <v>18</v>
      </c>
      <c r="E261" s="8">
        <f>IF(D261&lt;25, "18-24", IF(D261&lt;35, "25-34", IF(D261&lt;50, "35-49", "50+")))</f>
        <v/>
      </c>
      <c r="F261" s="8" t="inlineStr">
        <is>
          <t>Atlanta</t>
        </is>
      </c>
      <c r="G261" s="8" t="inlineStr">
        <is>
          <t>Georgia</t>
        </is>
      </c>
      <c r="H261" s="8" t="inlineStr">
        <is>
          <t>REG-NA</t>
        </is>
      </c>
      <c r="I261" s="8" t="inlineStr">
        <is>
          <t>Enterprise</t>
        </is>
      </c>
      <c r="J261" s="8" t="inlineStr">
        <is>
          <t>2023-10-13</t>
        </is>
      </c>
      <c r="K261" s="8">
        <f>COUNTIFS('05_Orders'!$C:$C, A261)</f>
        <v/>
      </c>
      <c r="L261" s="9">
        <f>SUMIFS('05_Orders'!$I:$I, '05_Orders'!$C:$C, A261)</f>
        <v/>
      </c>
      <c r="M261" s="8">
        <f>IF(L261&gt;=2000, "Platinum VIP", IF(L261&gt;=1000, "Gold", IF(L261&gt;=500, "Silver", "Standard")))</f>
        <v/>
      </c>
    </row>
    <row r="262">
      <c r="A262" s="8" t="inlineStr">
        <is>
          <t>CUST-00258</t>
        </is>
      </c>
      <c r="B262" s="8" t="inlineStr">
        <is>
          <t>Nicholas Phillips</t>
        </is>
      </c>
      <c r="C262" s="8" t="inlineStr">
        <is>
          <t>Female</t>
        </is>
      </c>
      <c r="D262" s="8" t="n">
        <v>50</v>
      </c>
      <c r="E262" s="8">
        <f>IF(D262&lt;25, "18-24", IF(D262&lt;35, "25-34", IF(D262&lt;50, "35-49", "50+")))</f>
        <v/>
      </c>
      <c r="F262" s="8" t="inlineStr">
        <is>
          <t>Stockholm</t>
        </is>
      </c>
      <c r="G262" s="8" t="inlineStr">
        <is>
          <t>Stockholm County</t>
        </is>
      </c>
      <c r="H262" s="8" t="inlineStr">
        <is>
          <t>REG-EU</t>
        </is>
      </c>
      <c r="I262" s="8" t="inlineStr">
        <is>
          <t>Enterprise</t>
        </is>
      </c>
      <c r="J262" s="8" t="inlineStr">
        <is>
          <t>2023-09-27</t>
        </is>
      </c>
      <c r="K262" s="8">
        <f>COUNTIFS('05_Orders'!$C:$C, A262)</f>
        <v/>
      </c>
      <c r="L262" s="9">
        <f>SUMIFS('05_Orders'!$I:$I, '05_Orders'!$C:$C, A262)</f>
        <v/>
      </c>
      <c r="M262" s="8">
        <f>IF(L262&gt;=2000, "Platinum VIP", IF(L262&gt;=1000, "Gold", IF(L262&gt;=500, "Silver", "Standard")))</f>
        <v/>
      </c>
    </row>
    <row r="263">
      <c r="A263" s="8" t="inlineStr">
        <is>
          <t>CUST-00259</t>
        </is>
      </c>
      <c r="B263" s="8" t="inlineStr">
        <is>
          <t>Larry Rodriguez</t>
        </is>
      </c>
      <c r="C263" s="8" t="inlineStr">
        <is>
          <t>Female</t>
        </is>
      </c>
      <c r="D263" s="8" t="n">
        <v>59</v>
      </c>
      <c r="E263" s="8">
        <f>IF(D263&lt;25, "18-24", IF(D263&lt;35, "25-34", IF(D263&lt;50, "35-49", "50+")))</f>
        <v/>
      </c>
      <c r="F263" s="8" t="inlineStr">
        <is>
          <t>Toronto</t>
        </is>
      </c>
      <c r="G263" s="8" t="inlineStr">
        <is>
          <t>Ontario</t>
        </is>
      </c>
      <c r="H263" s="8" t="inlineStr">
        <is>
          <t>REG-NA</t>
        </is>
      </c>
      <c r="I263" s="8" t="inlineStr">
        <is>
          <t>Consumer</t>
        </is>
      </c>
      <c r="J263" s="8" t="inlineStr">
        <is>
          <t>2024-06-29</t>
        </is>
      </c>
      <c r="K263" s="8">
        <f>COUNTIFS('05_Orders'!$C:$C, A263)</f>
        <v/>
      </c>
      <c r="L263" s="9">
        <f>SUMIFS('05_Orders'!$I:$I, '05_Orders'!$C:$C, A263)</f>
        <v/>
      </c>
      <c r="M263" s="8">
        <f>IF(L263&gt;=2000, "Platinum VIP", IF(L263&gt;=1000, "Gold", IF(L263&gt;=500, "Silver", "Standard")))</f>
        <v/>
      </c>
    </row>
    <row r="264">
      <c r="A264" s="8" t="inlineStr">
        <is>
          <t>CUST-00260</t>
        </is>
      </c>
      <c r="B264" s="8" t="inlineStr">
        <is>
          <t>Kenneth Castillo</t>
        </is>
      </c>
      <c r="C264" s="8" t="inlineStr">
        <is>
          <t>Male</t>
        </is>
      </c>
      <c r="D264" s="8" t="n">
        <v>48</v>
      </c>
      <c r="E264" s="8">
        <f>IF(D264&lt;25, "18-24", IF(D264&lt;35, "25-34", IF(D264&lt;50, "35-49", "50+")))</f>
        <v/>
      </c>
      <c r="F264" s="8" t="inlineStr">
        <is>
          <t>Houston</t>
        </is>
      </c>
      <c r="G264" s="8" t="inlineStr">
        <is>
          <t>Texas</t>
        </is>
      </c>
      <c r="H264" s="8" t="inlineStr">
        <is>
          <t>REG-NA</t>
        </is>
      </c>
      <c r="I264" s="8" t="inlineStr">
        <is>
          <t>Corporate</t>
        </is>
      </c>
      <c r="J264" s="8" t="inlineStr">
        <is>
          <t>2024-04-18</t>
        </is>
      </c>
      <c r="K264" s="8">
        <f>COUNTIFS('05_Orders'!$C:$C, A264)</f>
        <v/>
      </c>
      <c r="L264" s="9">
        <f>SUMIFS('05_Orders'!$I:$I, '05_Orders'!$C:$C, A264)</f>
        <v/>
      </c>
      <c r="M264" s="8">
        <f>IF(L264&gt;=2000, "Platinum VIP", IF(L264&gt;=1000, "Gold", IF(L264&gt;=500, "Silver", "Standard")))</f>
        <v/>
      </c>
    </row>
    <row r="265">
      <c r="A265" s="8" t="inlineStr">
        <is>
          <t>CUST-00261</t>
        </is>
      </c>
      <c r="B265" s="8" t="inlineStr">
        <is>
          <t>Frank Reyes</t>
        </is>
      </c>
      <c r="C265" s="8" t="inlineStr">
        <is>
          <t>Male</t>
        </is>
      </c>
      <c r="D265" s="8" t="n">
        <v>36</v>
      </c>
      <c r="E265" s="8">
        <f>IF(D265&lt;25, "18-24", IF(D265&lt;35, "25-34", IF(D265&lt;50, "35-49", "50+")))</f>
        <v/>
      </c>
      <c r="F265" s="8" t="inlineStr">
        <is>
          <t>Seoul</t>
        </is>
      </c>
      <c r="G265" s="8" t="inlineStr">
        <is>
          <t>Gyeonggi</t>
        </is>
      </c>
      <c r="H265" s="8" t="inlineStr">
        <is>
          <t>REG-APAC</t>
        </is>
      </c>
      <c r="I265" s="8" t="inlineStr">
        <is>
          <t>Enterprise</t>
        </is>
      </c>
      <c r="J265" s="8" t="inlineStr">
        <is>
          <t>2024-10-10</t>
        </is>
      </c>
      <c r="K265" s="8">
        <f>COUNTIFS('05_Orders'!$C:$C, A265)</f>
        <v/>
      </c>
      <c r="L265" s="9">
        <f>SUMIFS('05_Orders'!$I:$I, '05_Orders'!$C:$C, A265)</f>
        <v/>
      </c>
      <c r="M265" s="8">
        <f>IF(L265&gt;=2000, "Platinum VIP", IF(L265&gt;=1000, "Gold", IF(L265&gt;=500, "Silver", "Standard")))</f>
        <v/>
      </c>
    </row>
    <row r="266">
      <c r="A266" s="8" t="inlineStr">
        <is>
          <t>CUST-00262</t>
        </is>
      </c>
      <c r="B266" s="8" t="inlineStr">
        <is>
          <t>Christopher Richardson</t>
        </is>
      </c>
      <c r="C266" s="8" t="inlineStr">
        <is>
          <t>Male</t>
        </is>
      </c>
      <c r="D266" s="8" t="n">
        <v>36</v>
      </c>
      <c r="E266" s="8">
        <f>IF(D266&lt;25, "18-24", IF(D266&lt;35, "25-34", IF(D266&lt;50, "35-49", "50+")))</f>
        <v/>
      </c>
      <c r="F266" s="8" t="inlineStr">
        <is>
          <t>Manchester</t>
        </is>
      </c>
      <c r="G266" s="8" t="inlineStr">
        <is>
          <t>Greater Manchester</t>
        </is>
      </c>
      <c r="H266" s="8" t="inlineStr">
        <is>
          <t>REG-EU</t>
        </is>
      </c>
      <c r="I266" s="8" t="inlineStr">
        <is>
          <t>Corporate</t>
        </is>
      </c>
      <c r="J266" s="8" t="inlineStr">
        <is>
          <t>2021-09-22</t>
        </is>
      </c>
      <c r="K266" s="8">
        <f>COUNTIFS('05_Orders'!$C:$C, A266)</f>
        <v/>
      </c>
      <c r="L266" s="9">
        <f>SUMIFS('05_Orders'!$I:$I, '05_Orders'!$C:$C, A266)</f>
        <v/>
      </c>
      <c r="M266" s="8">
        <f>IF(L266&gt;=2000, "Platinum VIP", IF(L266&gt;=1000, "Gold", IF(L266&gt;=500, "Silver", "Standard")))</f>
        <v/>
      </c>
    </row>
    <row r="267">
      <c r="A267" s="8" t="inlineStr">
        <is>
          <t>CUST-00263</t>
        </is>
      </c>
      <c r="B267" s="8" t="inlineStr">
        <is>
          <t>Shirley Hill</t>
        </is>
      </c>
      <c r="C267" s="8" t="inlineStr">
        <is>
          <t>Male</t>
        </is>
      </c>
      <c r="D267" s="8" t="n">
        <v>31</v>
      </c>
      <c r="E267" s="8">
        <f>IF(D267&lt;25, "18-24", IF(D267&lt;35, "25-34", IF(D267&lt;50, "35-49", "50+")))</f>
        <v/>
      </c>
      <c r="F267" s="8" t="inlineStr">
        <is>
          <t>London</t>
        </is>
      </c>
      <c r="G267" s="8" t="inlineStr">
        <is>
          <t>Greater London</t>
        </is>
      </c>
      <c r="H267" s="8" t="inlineStr">
        <is>
          <t>REG-EU</t>
        </is>
      </c>
      <c r="I267" s="8" t="inlineStr">
        <is>
          <t>Consumer</t>
        </is>
      </c>
      <c r="J267" s="8" t="inlineStr">
        <is>
          <t>2022-06-19</t>
        </is>
      </c>
      <c r="K267" s="8">
        <f>COUNTIFS('05_Orders'!$C:$C, A267)</f>
        <v/>
      </c>
      <c r="L267" s="9">
        <f>SUMIFS('05_Orders'!$I:$I, '05_Orders'!$C:$C, A267)</f>
        <v/>
      </c>
      <c r="M267" s="8">
        <f>IF(L267&gt;=2000, "Platinum VIP", IF(L267&gt;=1000, "Gold", IF(L267&gt;=500, "Silver", "Standard")))</f>
        <v/>
      </c>
    </row>
    <row r="268">
      <c r="A268" s="8" t="inlineStr">
        <is>
          <t>CUST-00264</t>
        </is>
      </c>
      <c r="B268" s="8" t="inlineStr">
        <is>
          <t>Robert Rodriguez</t>
        </is>
      </c>
      <c r="C268" s="8" t="inlineStr">
        <is>
          <t>Female</t>
        </is>
      </c>
      <c r="D268" s="8" t="n">
        <v>45</v>
      </c>
      <c r="E268" s="8">
        <f>IF(D268&lt;25, "18-24", IF(D268&lt;35, "25-34", IF(D268&lt;50, "35-49", "50+")))</f>
        <v/>
      </c>
      <c r="F268" s="8" t="inlineStr">
        <is>
          <t>Houston</t>
        </is>
      </c>
      <c r="G268" s="8" t="inlineStr">
        <is>
          <t>Texas</t>
        </is>
      </c>
      <c r="H268" s="8" t="inlineStr">
        <is>
          <t>REG-NA</t>
        </is>
      </c>
      <c r="I268" s="8" t="inlineStr">
        <is>
          <t>Consumer</t>
        </is>
      </c>
      <c r="J268" s="8" t="inlineStr">
        <is>
          <t>2022-04-04</t>
        </is>
      </c>
      <c r="K268" s="8">
        <f>COUNTIFS('05_Orders'!$C:$C, A268)</f>
        <v/>
      </c>
      <c r="L268" s="9">
        <f>SUMIFS('05_Orders'!$I:$I, '05_Orders'!$C:$C, A268)</f>
        <v/>
      </c>
      <c r="M268" s="8">
        <f>IF(L268&gt;=2000, "Platinum VIP", IF(L268&gt;=1000, "Gold", IF(L268&gt;=500, "Silver", "Standard")))</f>
        <v/>
      </c>
    </row>
    <row r="269">
      <c r="A269" s="8" t="inlineStr">
        <is>
          <t>CUST-00265</t>
        </is>
      </c>
      <c r="B269" s="8" t="inlineStr">
        <is>
          <t>Tyler Bailey</t>
        </is>
      </c>
      <c r="C269" s="8" t="inlineStr">
        <is>
          <t>Female</t>
        </is>
      </c>
      <c r="D269" s="8" t="n">
        <v>27</v>
      </c>
      <c r="E269" s="8">
        <f>IF(D269&lt;25, "18-24", IF(D269&lt;35, "25-34", IF(D269&lt;50, "35-49", "50+")))</f>
        <v/>
      </c>
      <c r="F269" s="8" t="inlineStr">
        <is>
          <t>Mumbai</t>
        </is>
      </c>
      <c r="G269" s="8" t="inlineStr">
        <is>
          <t>Maharashtra</t>
        </is>
      </c>
      <c r="H269" s="8" t="inlineStr">
        <is>
          <t>REG-APAC</t>
        </is>
      </c>
      <c r="I269" s="8" t="inlineStr">
        <is>
          <t>Corporate</t>
        </is>
      </c>
      <c r="J269" s="8" t="inlineStr">
        <is>
          <t>2021-08-02</t>
        </is>
      </c>
      <c r="K269" s="8">
        <f>COUNTIFS('05_Orders'!$C:$C, A269)</f>
        <v/>
      </c>
      <c r="L269" s="9">
        <f>SUMIFS('05_Orders'!$I:$I, '05_Orders'!$C:$C, A269)</f>
        <v/>
      </c>
      <c r="M269" s="8">
        <f>IF(L269&gt;=2000, "Platinum VIP", IF(L269&gt;=1000, "Gold", IF(L269&gt;=500, "Silver", "Standard")))</f>
        <v/>
      </c>
    </row>
    <row r="270">
      <c r="A270" s="8" t="inlineStr">
        <is>
          <t>CUST-00266</t>
        </is>
      </c>
      <c r="B270" s="8" t="inlineStr">
        <is>
          <t>Jerry Anderson</t>
        </is>
      </c>
      <c r="C270" s="8" t="inlineStr">
        <is>
          <t>Male</t>
        </is>
      </c>
      <c r="D270" s="8" t="n">
        <v>68</v>
      </c>
      <c r="E270" s="8">
        <f>IF(D270&lt;25, "18-24", IF(D270&lt;35, "25-34", IF(D270&lt;50, "35-49", "50+")))</f>
        <v/>
      </c>
      <c r="F270" s="8" t="inlineStr">
        <is>
          <t>Manchester</t>
        </is>
      </c>
      <c r="G270" s="8" t="inlineStr">
        <is>
          <t>Greater Manchester</t>
        </is>
      </c>
      <c r="H270" s="8" t="inlineStr">
        <is>
          <t>REG-EU</t>
        </is>
      </c>
      <c r="I270" s="8" t="inlineStr">
        <is>
          <t>Home Office</t>
        </is>
      </c>
      <c r="J270" s="8" t="inlineStr">
        <is>
          <t>2021-03-27</t>
        </is>
      </c>
      <c r="K270" s="8">
        <f>COUNTIFS('05_Orders'!$C:$C, A270)</f>
        <v/>
      </c>
      <c r="L270" s="9">
        <f>SUMIFS('05_Orders'!$I:$I, '05_Orders'!$C:$C, A270)</f>
        <v/>
      </c>
      <c r="M270" s="8">
        <f>IF(L270&gt;=2000, "Platinum VIP", IF(L270&gt;=1000, "Gold", IF(L270&gt;=500, "Silver", "Standard")))</f>
        <v/>
      </c>
    </row>
    <row r="271">
      <c r="A271" s="8" t="inlineStr">
        <is>
          <t>CUST-00267</t>
        </is>
      </c>
      <c r="B271" s="8" t="inlineStr">
        <is>
          <t>Edward Lee</t>
        </is>
      </c>
      <c r="C271" s="8" t="inlineStr">
        <is>
          <t>Other</t>
        </is>
      </c>
      <c r="D271" s="8" t="n">
        <v>36</v>
      </c>
      <c r="E271" s="8">
        <f>IF(D271&lt;25, "18-24", IF(D271&lt;35, "25-34", IF(D271&lt;50, "35-49", "50+")))</f>
        <v/>
      </c>
      <c r="F271" s="8" t="inlineStr">
        <is>
          <t>Mumbai</t>
        </is>
      </c>
      <c r="G271" s="8" t="inlineStr">
        <is>
          <t>Maharashtra</t>
        </is>
      </c>
      <c r="H271" s="8" t="inlineStr">
        <is>
          <t>REG-APAC</t>
        </is>
      </c>
      <c r="I271" s="8" t="inlineStr">
        <is>
          <t>Corporate</t>
        </is>
      </c>
      <c r="J271" s="8" t="inlineStr">
        <is>
          <t>2021-07-23</t>
        </is>
      </c>
      <c r="K271" s="8">
        <f>COUNTIFS('05_Orders'!$C:$C, A271)</f>
        <v/>
      </c>
      <c r="L271" s="9">
        <f>SUMIFS('05_Orders'!$I:$I, '05_Orders'!$C:$C, A271)</f>
        <v/>
      </c>
      <c r="M271" s="8">
        <f>IF(L271&gt;=2000, "Platinum VIP", IF(L271&gt;=1000, "Gold", IF(L271&gt;=500, "Silver", "Standard")))</f>
        <v/>
      </c>
    </row>
    <row r="272">
      <c r="A272" s="8" t="inlineStr">
        <is>
          <t>CUST-00268</t>
        </is>
      </c>
      <c r="B272" s="8" t="inlineStr">
        <is>
          <t>Margaret Cruz</t>
        </is>
      </c>
      <c r="C272" s="8" t="inlineStr">
        <is>
          <t>Female</t>
        </is>
      </c>
      <c r="D272" s="8" t="n">
        <v>67</v>
      </c>
      <c r="E272" s="8">
        <f>IF(D272&lt;25, "18-24", IF(D272&lt;35, "25-34", IF(D272&lt;50, "35-49", "50+")))</f>
        <v/>
      </c>
      <c r="F272" s="8" t="inlineStr">
        <is>
          <t>Sydney</t>
        </is>
      </c>
      <c r="G272" s="8" t="inlineStr">
        <is>
          <t>New South Wales</t>
        </is>
      </c>
      <c r="H272" s="8" t="inlineStr">
        <is>
          <t>REG-APAC</t>
        </is>
      </c>
      <c r="I272" s="8" t="inlineStr">
        <is>
          <t>Home Office</t>
        </is>
      </c>
      <c r="J272" s="8" t="inlineStr">
        <is>
          <t>2023-08-29</t>
        </is>
      </c>
      <c r="K272" s="8">
        <f>COUNTIFS('05_Orders'!$C:$C, A272)</f>
        <v/>
      </c>
      <c r="L272" s="9">
        <f>SUMIFS('05_Orders'!$I:$I, '05_Orders'!$C:$C, A272)</f>
        <v/>
      </c>
      <c r="M272" s="8">
        <f>IF(L272&gt;=2000, "Platinum VIP", IF(L272&gt;=1000, "Gold", IF(L272&gt;=500, "Silver", "Standard")))</f>
        <v/>
      </c>
    </row>
    <row r="273">
      <c r="A273" s="8" t="inlineStr">
        <is>
          <t>CUST-00269</t>
        </is>
      </c>
      <c r="B273" s="8" t="inlineStr">
        <is>
          <t>Jerry Turner</t>
        </is>
      </c>
      <c r="C273" s="8" t="inlineStr">
        <is>
          <t>Female</t>
        </is>
      </c>
      <c r="D273" s="8" t="n">
        <v>58</v>
      </c>
      <c r="E273" s="8">
        <f>IF(D273&lt;25, "18-24", IF(D273&lt;35, "25-34", IF(D273&lt;50, "35-49", "50+")))</f>
        <v/>
      </c>
      <c r="F273" s="8" t="inlineStr">
        <is>
          <t>Berlin</t>
        </is>
      </c>
      <c r="G273" s="8" t="inlineStr">
        <is>
          <t>Berlin</t>
        </is>
      </c>
      <c r="H273" s="8" t="inlineStr">
        <is>
          <t>REG-EU</t>
        </is>
      </c>
      <c r="I273" s="8" t="inlineStr">
        <is>
          <t>Corporate</t>
        </is>
      </c>
      <c r="J273" s="8" t="inlineStr">
        <is>
          <t>2023-12-21</t>
        </is>
      </c>
      <c r="K273" s="8">
        <f>COUNTIFS('05_Orders'!$C:$C, A273)</f>
        <v/>
      </c>
      <c r="L273" s="9">
        <f>SUMIFS('05_Orders'!$I:$I, '05_Orders'!$C:$C, A273)</f>
        <v/>
      </c>
      <c r="M273" s="8">
        <f>IF(L273&gt;=2000, "Platinum VIP", IF(L273&gt;=1000, "Gold", IF(L273&gt;=500, "Silver", "Standard")))</f>
        <v/>
      </c>
    </row>
    <row r="274">
      <c r="A274" s="8" t="inlineStr">
        <is>
          <t>CUST-00270</t>
        </is>
      </c>
      <c r="B274" s="8" t="inlineStr">
        <is>
          <t>Jason Collins</t>
        </is>
      </c>
      <c r="C274" s="8" t="inlineStr">
        <is>
          <t>Other</t>
        </is>
      </c>
      <c r="D274" s="8" t="n">
        <v>45</v>
      </c>
      <c r="E274" s="8">
        <f>IF(D274&lt;25, "18-24", IF(D274&lt;35, "25-34", IF(D274&lt;50, "35-49", "50+")))</f>
        <v/>
      </c>
      <c r="F274" s="8" t="inlineStr">
        <is>
          <t>London</t>
        </is>
      </c>
      <c r="G274" s="8" t="inlineStr">
        <is>
          <t>Greater London</t>
        </is>
      </c>
      <c r="H274" s="8" t="inlineStr">
        <is>
          <t>REG-EU</t>
        </is>
      </c>
      <c r="I274" s="8" t="inlineStr">
        <is>
          <t>Consumer</t>
        </is>
      </c>
      <c r="J274" s="8" t="inlineStr">
        <is>
          <t>2025-04-27</t>
        </is>
      </c>
      <c r="K274" s="8">
        <f>COUNTIFS('05_Orders'!$C:$C, A274)</f>
        <v/>
      </c>
      <c r="L274" s="9">
        <f>SUMIFS('05_Orders'!$I:$I, '05_Orders'!$C:$C, A274)</f>
        <v/>
      </c>
      <c r="M274" s="8">
        <f>IF(L274&gt;=2000, "Platinum VIP", IF(L274&gt;=1000, "Gold", IF(L274&gt;=500, "Silver", "Standard")))</f>
        <v/>
      </c>
    </row>
    <row r="275">
      <c r="A275" s="8" t="inlineStr">
        <is>
          <t>CUST-00271</t>
        </is>
      </c>
      <c r="B275" s="8" t="inlineStr">
        <is>
          <t>Kevin Phillips</t>
        </is>
      </c>
      <c r="C275" s="8" t="inlineStr">
        <is>
          <t>Male</t>
        </is>
      </c>
      <c r="D275" s="8" t="n">
        <v>45</v>
      </c>
      <c r="E275" s="8">
        <f>IF(D275&lt;25, "18-24", IF(D275&lt;35, "25-34", IF(D275&lt;50, "35-49", "50+")))</f>
        <v/>
      </c>
      <c r="F275" s="8" t="inlineStr">
        <is>
          <t>New York</t>
        </is>
      </c>
      <c r="G275" s="8" t="inlineStr">
        <is>
          <t>New York</t>
        </is>
      </c>
      <c r="H275" s="8" t="inlineStr">
        <is>
          <t>REG-NA</t>
        </is>
      </c>
      <c r="I275" s="8" t="inlineStr">
        <is>
          <t>Corporate</t>
        </is>
      </c>
      <c r="J275" s="8" t="inlineStr">
        <is>
          <t>2024-08-06</t>
        </is>
      </c>
      <c r="K275" s="8">
        <f>COUNTIFS('05_Orders'!$C:$C, A275)</f>
        <v/>
      </c>
      <c r="L275" s="9">
        <f>SUMIFS('05_Orders'!$I:$I, '05_Orders'!$C:$C, A275)</f>
        <v/>
      </c>
      <c r="M275" s="8">
        <f>IF(L275&gt;=2000, "Platinum VIP", IF(L275&gt;=1000, "Gold", IF(L275&gt;=500, "Silver", "Standard")))</f>
        <v/>
      </c>
    </row>
    <row r="276">
      <c r="A276" s="8" t="inlineStr">
        <is>
          <t>CUST-00272</t>
        </is>
      </c>
      <c r="B276" s="8" t="inlineStr">
        <is>
          <t>Frank Gutierrez</t>
        </is>
      </c>
      <c r="C276" s="8" t="inlineStr">
        <is>
          <t>Female</t>
        </is>
      </c>
      <c r="D276" s="8" t="n">
        <v>44</v>
      </c>
      <c r="E276" s="8">
        <f>IF(D276&lt;25, "18-24", IF(D276&lt;35, "25-34", IF(D276&lt;50, "35-49", "50+")))</f>
        <v/>
      </c>
      <c r="F276" s="8" t="inlineStr">
        <is>
          <t>Boston</t>
        </is>
      </c>
      <c r="G276" s="8" t="inlineStr">
        <is>
          <t>Massachusetts</t>
        </is>
      </c>
      <c r="H276" s="8" t="inlineStr">
        <is>
          <t>REG-NA</t>
        </is>
      </c>
      <c r="I276" s="8" t="inlineStr">
        <is>
          <t>Home Office</t>
        </is>
      </c>
      <c r="J276" s="8" t="inlineStr">
        <is>
          <t>2025-01-17</t>
        </is>
      </c>
      <c r="K276" s="8">
        <f>COUNTIFS('05_Orders'!$C:$C, A276)</f>
        <v/>
      </c>
      <c r="L276" s="9">
        <f>SUMIFS('05_Orders'!$I:$I, '05_Orders'!$C:$C, A276)</f>
        <v/>
      </c>
      <c r="M276" s="8">
        <f>IF(L276&gt;=2000, "Platinum VIP", IF(L276&gt;=1000, "Gold", IF(L276&gt;=500, "Silver", "Standard")))</f>
        <v/>
      </c>
    </row>
    <row r="277">
      <c r="A277" s="8" t="inlineStr">
        <is>
          <t>CUST-00273</t>
        </is>
      </c>
      <c r="B277" s="8" t="inlineStr">
        <is>
          <t>Helen Ward</t>
        </is>
      </c>
      <c r="C277" s="8" t="inlineStr">
        <is>
          <t>Male</t>
        </is>
      </c>
      <c r="D277" s="8" t="n">
        <v>62</v>
      </c>
      <c r="E277" s="8">
        <f>IF(D277&lt;25, "18-24", IF(D277&lt;35, "25-34", IF(D277&lt;50, "35-49", "50+")))</f>
        <v/>
      </c>
      <c r="F277" s="8" t="inlineStr">
        <is>
          <t>Houston</t>
        </is>
      </c>
      <c r="G277" s="8" t="inlineStr">
        <is>
          <t>Texas</t>
        </is>
      </c>
      <c r="H277" s="8" t="inlineStr">
        <is>
          <t>REG-NA</t>
        </is>
      </c>
      <c r="I277" s="8" t="inlineStr">
        <is>
          <t>Home Office</t>
        </is>
      </c>
      <c r="J277" s="8" t="inlineStr">
        <is>
          <t>2024-07-02</t>
        </is>
      </c>
      <c r="K277" s="8">
        <f>COUNTIFS('05_Orders'!$C:$C, A277)</f>
        <v/>
      </c>
      <c r="L277" s="9">
        <f>SUMIFS('05_Orders'!$I:$I, '05_Orders'!$C:$C, A277)</f>
        <v/>
      </c>
      <c r="M277" s="8">
        <f>IF(L277&gt;=2000, "Platinum VIP", IF(L277&gt;=1000, "Gold", IF(L277&gt;=500, "Silver", "Standard")))</f>
        <v/>
      </c>
    </row>
    <row r="278">
      <c r="A278" s="8" t="inlineStr">
        <is>
          <t>CUST-00274</t>
        </is>
      </c>
      <c r="B278" s="8" t="inlineStr">
        <is>
          <t>Aaron Wood</t>
        </is>
      </c>
      <c r="C278" s="8" t="inlineStr">
        <is>
          <t>Female</t>
        </is>
      </c>
      <c r="D278" s="8" t="n">
        <v>67</v>
      </c>
      <c r="E278" s="8">
        <f>IF(D278&lt;25, "18-24", IF(D278&lt;35, "25-34", IF(D278&lt;50, "35-49", "50+")))</f>
        <v/>
      </c>
      <c r="F278" s="8" t="inlineStr">
        <is>
          <t>Phoenix</t>
        </is>
      </c>
      <c r="G278" s="8" t="inlineStr">
        <is>
          <t>Arizona</t>
        </is>
      </c>
      <c r="H278" s="8" t="inlineStr">
        <is>
          <t>REG-NA</t>
        </is>
      </c>
      <c r="I278" s="8" t="inlineStr">
        <is>
          <t>Consumer</t>
        </is>
      </c>
      <c r="J278" s="8" t="inlineStr">
        <is>
          <t>2024-01-06</t>
        </is>
      </c>
      <c r="K278" s="8">
        <f>COUNTIFS('05_Orders'!$C:$C, A278)</f>
        <v/>
      </c>
      <c r="L278" s="9">
        <f>SUMIFS('05_Orders'!$I:$I, '05_Orders'!$C:$C, A278)</f>
        <v/>
      </c>
      <c r="M278" s="8">
        <f>IF(L278&gt;=2000, "Platinum VIP", IF(L278&gt;=1000, "Gold", IF(L278&gt;=500, "Silver", "Standard")))</f>
        <v/>
      </c>
    </row>
    <row r="279">
      <c r="A279" s="8" t="inlineStr">
        <is>
          <t>CUST-00275</t>
        </is>
      </c>
      <c r="B279" s="8" t="inlineStr">
        <is>
          <t>Anna Torres</t>
        </is>
      </c>
      <c r="C279" s="8" t="inlineStr">
        <is>
          <t>Male</t>
        </is>
      </c>
      <c r="D279" s="8" t="n">
        <v>23</v>
      </c>
      <c r="E279" s="8">
        <f>IF(D279&lt;25, "18-24", IF(D279&lt;35, "25-34", IF(D279&lt;50, "35-49", "50+")))</f>
        <v/>
      </c>
      <c r="F279" s="8" t="inlineStr">
        <is>
          <t>Paris</t>
        </is>
      </c>
      <c r="G279" s="8" t="inlineStr">
        <is>
          <t>Ile-de-France</t>
        </is>
      </c>
      <c r="H279" s="8" t="inlineStr">
        <is>
          <t>REG-EU</t>
        </is>
      </c>
      <c r="I279" s="8" t="inlineStr">
        <is>
          <t>Corporate</t>
        </is>
      </c>
      <c r="J279" s="8" t="inlineStr">
        <is>
          <t>2025-03-31</t>
        </is>
      </c>
      <c r="K279" s="8">
        <f>COUNTIFS('05_Orders'!$C:$C, A279)</f>
        <v/>
      </c>
      <c r="L279" s="9">
        <f>SUMIFS('05_Orders'!$I:$I, '05_Orders'!$C:$C, A279)</f>
        <v/>
      </c>
      <c r="M279" s="8">
        <f>IF(L279&gt;=2000, "Platinum VIP", IF(L279&gt;=1000, "Gold", IF(L279&gt;=500, "Silver", "Standard")))</f>
        <v/>
      </c>
    </row>
    <row r="280">
      <c r="A280" s="8" t="inlineStr">
        <is>
          <t>CUST-00276</t>
        </is>
      </c>
      <c r="B280" s="8" t="inlineStr">
        <is>
          <t>Kimberly Walker</t>
        </is>
      </c>
      <c r="C280" s="8" t="inlineStr">
        <is>
          <t>Female</t>
        </is>
      </c>
      <c r="D280" s="8" t="n">
        <v>64</v>
      </c>
      <c r="E280" s="8">
        <f>IF(D280&lt;25, "18-24", IF(D280&lt;35, "25-34", IF(D280&lt;50, "35-49", "50+")))</f>
        <v/>
      </c>
      <c r="F280" s="8" t="inlineStr">
        <is>
          <t>Dublin</t>
        </is>
      </c>
      <c r="G280" s="8" t="inlineStr">
        <is>
          <t>Leinster</t>
        </is>
      </c>
      <c r="H280" s="8" t="inlineStr">
        <is>
          <t>REG-EU</t>
        </is>
      </c>
      <c r="I280" s="8" t="inlineStr">
        <is>
          <t>Consumer</t>
        </is>
      </c>
      <c r="J280" s="8" t="inlineStr">
        <is>
          <t>2021-05-03</t>
        </is>
      </c>
      <c r="K280" s="8">
        <f>COUNTIFS('05_Orders'!$C:$C, A280)</f>
        <v/>
      </c>
      <c r="L280" s="9">
        <f>SUMIFS('05_Orders'!$I:$I, '05_Orders'!$C:$C, A280)</f>
        <v/>
      </c>
      <c r="M280" s="8">
        <f>IF(L280&gt;=2000, "Platinum VIP", IF(L280&gt;=1000, "Gold", IF(L280&gt;=500, "Silver", "Standard")))</f>
        <v/>
      </c>
    </row>
    <row r="281">
      <c r="A281" s="8" t="inlineStr">
        <is>
          <t>CUST-00277</t>
        </is>
      </c>
      <c r="B281" s="8" t="inlineStr">
        <is>
          <t>Jerry Wood</t>
        </is>
      </c>
      <c r="C281" s="8" t="inlineStr">
        <is>
          <t>Male</t>
        </is>
      </c>
      <c r="D281" s="8" t="n">
        <v>46</v>
      </c>
      <c r="E281" s="8">
        <f>IF(D281&lt;25, "18-24", IF(D281&lt;35, "25-34", IF(D281&lt;50, "35-49", "50+")))</f>
        <v/>
      </c>
      <c r="F281" s="8" t="inlineStr">
        <is>
          <t>New York</t>
        </is>
      </c>
      <c r="G281" s="8" t="inlineStr">
        <is>
          <t>New York</t>
        </is>
      </c>
      <c r="H281" s="8" t="inlineStr">
        <is>
          <t>REG-NA</t>
        </is>
      </c>
      <c r="I281" s="8" t="inlineStr">
        <is>
          <t>Consumer</t>
        </is>
      </c>
      <c r="J281" s="8" t="inlineStr">
        <is>
          <t>2022-04-29</t>
        </is>
      </c>
      <c r="K281" s="8">
        <f>COUNTIFS('05_Orders'!$C:$C, A281)</f>
        <v/>
      </c>
      <c r="L281" s="9">
        <f>SUMIFS('05_Orders'!$I:$I, '05_Orders'!$C:$C, A281)</f>
        <v/>
      </c>
      <c r="M281" s="8">
        <f>IF(L281&gt;=2000, "Platinum VIP", IF(L281&gt;=1000, "Gold", IF(L281&gt;=500, "Silver", "Standard")))</f>
        <v/>
      </c>
    </row>
    <row r="282">
      <c r="A282" s="8" t="inlineStr">
        <is>
          <t>CUST-00278</t>
        </is>
      </c>
      <c r="B282" s="8" t="inlineStr">
        <is>
          <t>Samuel Bennett</t>
        </is>
      </c>
      <c r="C282" s="8" t="inlineStr">
        <is>
          <t>Other</t>
        </is>
      </c>
      <c r="D282" s="8" t="n">
        <v>72</v>
      </c>
      <c r="E282" s="8">
        <f>IF(D282&lt;25, "18-24", IF(D282&lt;35, "25-34", IF(D282&lt;50, "35-49", "50+")))</f>
        <v/>
      </c>
      <c r="F282" s="8" t="inlineStr">
        <is>
          <t>Lyon</t>
        </is>
      </c>
      <c r="G282" s="8" t="inlineStr">
        <is>
          <t>Auvergne-Rhone-Alpes</t>
        </is>
      </c>
      <c r="H282" s="8" t="inlineStr">
        <is>
          <t>REG-EU</t>
        </is>
      </c>
      <c r="I282" s="8" t="inlineStr">
        <is>
          <t>Consumer</t>
        </is>
      </c>
      <c r="J282" s="8" t="inlineStr">
        <is>
          <t>2024-09-27</t>
        </is>
      </c>
      <c r="K282" s="8">
        <f>COUNTIFS('05_Orders'!$C:$C, A282)</f>
        <v/>
      </c>
      <c r="L282" s="9">
        <f>SUMIFS('05_Orders'!$I:$I, '05_Orders'!$C:$C, A282)</f>
        <v/>
      </c>
      <c r="M282" s="8">
        <f>IF(L282&gt;=2000, "Platinum VIP", IF(L282&gt;=1000, "Gold", IF(L282&gt;=500, "Silver", "Standard")))</f>
        <v/>
      </c>
    </row>
    <row r="283">
      <c r="A283" s="8" t="inlineStr">
        <is>
          <t>CUST-00279</t>
        </is>
      </c>
      <c r="B283" s="8" t="inlineStr">
        <is>
          <t>Jonathan Patel</t>
        </is>
      </c>
      <c r="C283" s="8" t="inlineStr">
        <is>
          <t>Male</t>
        </is>
      </c>
      <c r="D283" s="8" t="n">
        <v>24</v>
      </c>
      <c r="E283" s="8">
        <f>IF(D283&lt;25, "18-24", IF(D283&lt;35, "25-34", IF(D283&lt;50, "35-49", "50+")))</f>
        <v/>
      </c>
      <c r="F283" s="8" t="inlineStr">
        <is>
          <t>Denver</t>
        </is>
      </c>
      <c r="G283" s="8" t="inlineStr">
        <is>
          <t>Colorado</t>
        </is>
      </c>
      <c r="H283" s="8" t="inlineStr">
        <is>
          <t>REG-NA</t>
        </is>
      </c>
      <c r="I283" s="8" t="inlineStr">
        <is>
          <t>Consumer</t>
        </is>
      </c>
      <c r="J283" s="8" t="inlineStr">
        <is>
          <t>2025-05-14</t>
        </is>
      </c>
      <c r="K283" s="8">
        <f>COUNTIFS('05_Orders'!$C:$C, A283)</f>
        <v/>
      </c>
      <c r="L283" s="9">
        <f>SUMIFS('05_Orders'!$I:$I, '05_Orders'!$C:$C, A283)</f>
        <v/>
      </c>
      <c r="M283" s="8">
        <f>IF(L283&gt;=2000, "Platinum VIP", IF(L283&gt;=1000, "Gold", IF(L283&gt;=500, "Silver", "Standard")))</f>
        <v/>
      </c>
    </row>
    <row r="284">
      <c r="A284" s="8" t="inlineStr">
        <is>
          <t>CUST-00280</t>
        </is>
      </c>
      <c r="B284" s="8" t="inlineStr">
        <is>
          <t>David Lopez</t>
        </is>
      </c>
      <c r="C284" s="8" t="inlineStr">
        <is>
          <t>Male</t>
        </is>
      </c>
      <c r="D284" s="8" t="n">
        <v>45</v>
      </c>
      <c r="E284" s="8">
        <f>IF(D284&lt;25, "18-24", IF(D284&lt;35, "25-34", IF(D284&lt;50, "35-49", "50+")))</f>
        <v/>
      </c>
      <c r="F284" s="8" t="inlineStr">
        <is>
          <t>Bangalore</t>
        </is>
      </c>
      <c r="G284" s="8" t="inlineStr">
        <is>
          <t>Karnataka</t>
        </is>
      </c>
      <c r="H284" s="8" t="inlineStr">
        <is>
          <t>REG-APAC</t>
        </is>
      </c>
      <c r="I284" s="8" t="inlineStr">
        <is>
          <t>Consumer</t>
        </is>
      </c>
      <c r="J284" s="8" t="inlineStr">
        <is>
          <t>2021-06-09</t>
        </is>
      </c>
      <c r="K284" s="8">
        <f>COUNTIFS('05_Orders'!$C:$C, A284)</f>
        <v/>
      </c>
      <c r="L284" s="9">
        <f>SUMIFS('05_Orders'!$I:$I, '05_Orders'!$C:$C, A284)</f>
        <v/>
      </c>
      <c r="M284" s="8">
        <f>IF(L284&gt;=2000, "Platinum VIP", IF(L284&gt;=1000, "Gold", IF(L284&gt;=500, "Silver", "Standard")))</f>
        <v/>
      </c>
    </row>
    <row r="285">
      <c r="A285" s="8" t="inlineStr">
        <is>
          <t>CUST-00281</t>
        </is>
      </c>
      <c r="B285" s="8" t="inlineStr">
        <is>
          <t>Timothy King</t>
        </is>
      </c>
      <c r="C285" s="8" t="inlineStr">
        <is>
          <t>Other</t>
        </is>
      </c>
      <c r="D285" s="8" t="n">
        <v>49</v>
      </c>
      <c r="E285" s="8">
        <f>IF(D285&lt;25, "18-24", IF(D285&lt;35, "25-34", IF(D285&lt;50, "35-49", "50+")))</f>
        <v/>
      </c>
      <c r="F285" s="8" t="inlineStr">
        <is>
          <t>Madrid</t>
        </is>
      </c>
      <c r="G285" s="8" t="inlineStr">
        <is>
          <t>Community of Madrid</t>
        </is>
      </c>
      <c r="H285" s="8" t="inlineStr">
        <is>
          <t>REG-EU</t>
        </is>
      </c>
      <c r="I285" s="8" t="inlineStr">
        <is>
          <t>Corporate</t>
        </is>
      </c>
      <c r="J285" s="8" t="inlineStr">
        <is>
          <t>2023-09-30</t>
        </is>
      </c>
      <c r="K285" s="8">
        <f>COUNTIFS('05_Orders'!$C:$C, A285)</f>
        <v/>
      </c>
      <c r="L285" s="9">
        <f>SUMIFS('05_Orders'!$I:$I, '05_Orders'!$C:$C, A285)</f>
        <v/>
      </c>
      <c r="M285" s="8">
        <f>IF(L285&gt;=2000, "Platinum VIP", IF(L285&gt;=1000, "Gold", IF(L285&gt;=500, "Silver", "Standard")))</f>
        <v/>
      </c>
    </row>
    <row r="286">
      <c r="A286" s="8" t="inlineStr">
        <is>
          <t>CUST-00282</t>
        </is>
      </c>
      <c r="B286" s="8" t="inlineStr">
        <is>
          <t>Nicholas Alvarez</t>
        </is>
      </c>
      <c r="C286" s="8" t="inlineStr">
        <is>
          <t>Female</t>
        </is>
      </c>
      <c r="D286" s="8" t="n">
        <v>26</v>
      </c>
      <c r="E286" s="8">
        <f>IF(D286&lt;25, "18-24", IF(D286&lt;35, "25-34", IF(D286&lt;50, "35-49", "50+")))</f>
        <v/>
      </c>
      <c r="F286" s="8" t="inlineStr">
        <is>
          <t>Monterrey</t>
        </is>
      </c>
      <c r="G286" s="8" t="inlineStr">
        <is>
          <t>Nuevo Leon</t>
        </is>
      </c>
      <c r="H286" s="8" t="inlineStr">
        <is>
          <t>REG-LATAM</t>
        </is>
      </c>
      <c r="I286" s="8" t="inlineStr">
        <is>
          <t>Home Office</t>
        </is>
      </c>
      <c r="J286" s="8" t="inlineStr">
        <is>
          <t>2021-08-30</t>
        </is>
      </c>
      <c r="K286" s="8">
        <f>COUNTIFS('05_Orders'!$C:$C, A286)</f>
        <v/>
      </c>
      <c r="L286" s="9">
        <f>SUMIFS('05_Orders'!$I:$I, '05_Orders'!$C:$C, A286)</f>
        <v/>
      </c>
      <c r="M286" s="8">
        <f>IF(L286&gt;=2000, "Platinum VIP", IF(L286&gt;=1000, "Gold", IF(L286&gt;=500, "Silver", "Standard")))</f>
        <v/>
      </c>
    </row>
    <row r="287">
      <c r="A287" s="8" t="inlineStr">
        <is>
          <t>CUST-00283</t>
        </is>
      </c>
      <c r="B287" s="8" t="inlineStr">
        <is>
          <t>Brenda Mitchell</t>
        </is>
      </c>
      <c r="C287" s="8" t="inlineStr">
        <is>
          <t>Male</t>
        </is>
      </c>
      <c r="D287" s="8" t="n">
        <v>56</v>
      </c>
      <c r="E287" s="8">
        <f>IF(D287&lt;25, "18-24", IF(D287&lt;35, "25-34", IF(D287&lt;50, "35-49", "50+")))</f>
        <v/>
      </c>
      <c r="F287" s="8" t="inlineStr">
        <is>
          <t>Tokyo</t>
        </is>
      </c>
      <c r="G287" s="8" t="inlineStr">
        <is>
          <t>Kanto</t>
        </is>
      </c>
      <c r="H287" s="8" t="inlineStr">
        <is>
          <t>REG-APAC</t>
        </is>
      </c>
      <c r="I287" s="8" t="inlineStr">
        <is>
          <t>Consumer</t>
        </is>
      </c>
      <c r="J287" s="8" t="inlineStr">
        <is>
          <t>2024-03-16</t>
        </is>
      </c>
      <c r="K287" s="8">
        <f>COUNTIFS('05_Orders'!$C:$C, A287)</f>
        <v/>
      </c>
      <c r="L287" s="9">
        <f>SUMIFS('05_Orders'!$I:$I, '05_Orders'!$C:$C, A287)</f>
        <v/>
      </c>
      <c r="M287" s="8">
        <f>IF(L287&gt;=2000, "Platinum VIP", IF(L287&gt;=1000, "Gold", IF(L287&gt;=500, "Silver", "Standard")))</f>
        <v/>
      </c>
    </row>
    <row r="288">
      <c r="A288" s="8" t="inlineStr">
        <is>
          <t>CUST-00284</t>
        </is>
      </c>
      <c r="B288" s="8" t="inlineStr">
        <is>
          <t>Deborah Hill</t>
        </is>
      </c>
      <c r="C288" s="8" t="inlineStr">
        <is>
          <t>Female</t>
        </is>
      </c>
      <c r="D288" s="8" t="n">
        <v>49</v>
      </c>
      <c r="E288" s="8">
        <f>IF(D288&lt;25, "18-24", IF(D288&lt;35, "25-34", IF(D288&lt;50, "35-49", "50+")))</f>
        <v/>
      </c>
      <c r="F288" s="8" t="inlineStr">
        <is>
          <t>Chicago</t>
        </is>
      </c>
      <c r="G288" s="8" t="inlineStr">
        <is>
          <t>Illinois</t>
        </is>
      </c>
      <c r="H288" s="8" t="inlineStr">
        <is>
          <t>REG-NA</t>
        </is>
      </c>
      <c r="I288" s="8" t="inlineStr">
        <is>
          <t>Consumer</t>
        </is>
      </c>
      <c r="J288" s="8" t="inlineStr">
        <is>
          <t>2024-04-22</t>
        </is>
      </c>
      <c r="K288" s="8">
        <f>COUNTIFS('05_Orders'!$C:$C, A288)</f>
        <v/>
      </c>
      <c r="L288" s="9">
        <f>SUMIFS('05_Orders'!$I:$I, '05_Orders'!$C:$C, A288)</f>
        <v/>
      </c>
      <c r="M288" s="8">
        <f>IF(L288&gt;=2000, "Platinum VIP", IF(L288&gt;=1000, "Gold", IF(L288&gt;=500, "Silver", "Standard")))</f>
        <v/>
      </c>
    </row>
    <row r="289">
      <c r="A289" s="8" t="inlineStr">
        <is>
          <t>CUST-00285</t>
        </is>
      </c>
      <c r="B289" s="8" t="inlineStr">
        <is>
          <t>Lisa Patel</t>
        </is>
      </c>
      <c r="C289" s="8" t="inlineStr">
        <is>
          <t>Female</t>
        </is>
      </c>
      <c r="D289" s="8" t="n">
        <v>18</v>
      </c>
      <c r="E289" s="8">
        <f>IF(D289&lt;25, "18-24", IF(D289&lt;35, "25-34", IF(D289&lt;50, "35-49", "50+")))</f>
        <v/>
      </c>
      <c r="F289" s="8" t="inlineStr">
        <is>
          <t>Seattle</t>
        </is>
      </c>
      <c r="G289" s="8" t="inlineStr">
        <is>
          <t>Washington</t>
        </is>
      </c>
      <c r="H289" s="8" t="inlineStr">
        <is>
          <t>REG-NA</t>
        </is>
      </c>
      <c r="I289" s="8" t="inlineStr">
        <is>
          <t>Consumer</t>
        </is>
      </c>
      <c r="J289" s="8" t="inlineStr">
        <is>
          <t>2021-04-02</t>
        </is>
      </c>
      <c r="K289" s="8">
        <f>COUNTIFS('05_Orders'!$C:$C, A289)</f>
        <v/>
      </c>
      <c r="L289" s="9">
        <f>SUMIFS('05_Orders'!$I:$I, '05_Orders'!$C:$C, A289)</f>
        <v/>
      </c>
      <c r="M289" s="8">
        <f>IF(L289&gt;=2000, "Platinum VIP", IF(L289&gt;=1000, "Gold", IF(L289&gt;=500, "Silver", "Standard")))</f>
        <v/>
      </c>
    </row>
    <row r="290">
      <c r="A290" s="8" t="inlineStr">
        <is>
          <t>CUST-00286</t>
        </is>
      </c>
      <c r="B290" s="8" t="inlineStr">
        <is>
          <t>Aaron Carter</t>
        </is>
      </c>
      <c r="C290" s="8" t="inlineStr">
        <is>
          <t>Female</t>
        </is>
      </c>
      <c r="D290" s="8" t="n">
        <v>71</v>
      </c>
      <c r="E290" s="8">
        <f>IF(D290&lt;25, "18-24", IF(D290&lt;35, "25-34", IF(D290&lt;50, "35-49", "50+")))</f>
        <v/>
      </c>
      <c r="F290" s="8" t="inlineStr">
        <is>
          <t>Auckland</t>
        </is>
      </c>
      <c r="G290" s="8" t="inlineStr">
        <is>
          <t>Auckland Region</t>
        </is>
      </c>
      <c r="H290" s="8" t="inlineStr">
        <is>
          <t>REG-APAC</t>
        </is>
      </c>
      <c r="I290" s="8" t="inlineStr">
        <is>
          <t>Consumer</t>
        </is>
      </c>
      <c r="J290" s="8" t="inlineStr">
        <is>
          <t>2021-10-11</t>
        </is>
      </c>
      <c r="K290" s="8">
        <f>COUNTIFS('05_Orders'!$C:$C, A290)</f>
        <v/>
      </c>
      <c r="L290" s="9">
        <f>SUMIFS('05_Orders'!$I:$I, '05_Orders'!$C:$C, A290)</f>
        <v/>
      </c>
      <c r="M290" s="8">
        <f>IF(L290&gt;=2000, "Platinum VIP", IF(L290&gt;=1000, "Gold", IF(L290&gt;=500, "Silver", "Standard")))</f>
        <v/>
      </c>
    </row>
    <row r="291">
      <c r="A291" s="8" t="inlineStr">
        <is>
          <t>CUST-00287</t>
        </is>
      </c>
      <c r="B291" s="8" t="inlineStr">
        <is>
          <t>Janet Adams</t>
        </is>
      </c>
      <c r="C291" s="8" t="inlineStr">
        <is>
          <t>Male</t>
        </is>
      </c>
      <c r="D291" s="8" t="n">
        <v>69</v>
      </c>
      <c r="E291" s="8">
        <f>IF(D291&lt;25, "18-24", IF(D291&lt;35, "25-34", IF(D291&lt;50, "35-49", "50+")))</f>
        <v/>
      </c>
      <c r="F291" s="8" t="inlineStr">
        <is>
          <t>Stockholm</t>
        </is>
      </c>
      <c r="G291" s="8" t="inlineStr">
        <is>
          <t>Stockholm County</t>
        </is>
      </c>
      <c r="H291" s="8" t="inlineStr">
        <is>
          <t>REG-EU</t>
        </is>
      </c>
      <c r="I291" s="8" t="inlineStr">
        <is>
          <t>Consumer</t>
        </is>
      </c>
      <c r="J291" s="8" t="inlineStr">
        <is>
          <t>2022-04-22</t>
        </is>
      </c>
      <c r="K291" s="8">
        <f>COUNTIFS('05_Orders'!$C:$C, A291)</f>
        <v/>
      </c>
      <c r="L291" s="9">
        <f>SUMIFS('05_Orders'!$I:$I, '05_Orders'!$C:$C, A291)</f>
        <v/>
      </c>
      <c r="M291" s="8">
        <f>IF(L291&gt;=2000, "Platinum VIP", IF(L291&gt;=1000, "Gold", IF(L291&gt;=500, "Silver", "Standard")))</f>
        <v/>
      </c>
    </row>
    <row r="292">
      <c r="A292" s="8" t="inlineStr">
        <is>
          <t>CUST-00288</t>
        </is>
      </c>
      <c r="B292" s="8" t="inlineStr">
        <is>
          <t>Ryan Patel</t>
        </is>
      </c>
      <c r="C292" s="8" t="inlineStr">
        <is>
          <t>Female</t>
        </is>
      </c>
      <c r="D292" s="8" t="n">
        <v>59</v>
      </c>
      <c r="E292" s="8">
        <f>IF(D292&lt;25, "18-24", IF(D292&lt;35, "25-34", IF(D292&lt;50, "35-49", "50+")))</f>
        <v/>
      </c>
      <c r="F292" s="8" t="inlineStr">
        <is>
          <t>Chicago</t>
        </is>
      </c>
      <c r="G292" s="8" t="inlineStr">
        <is>
          <t>Illinois</t>
        </is>
      </c>
      <c r="H292" s="8" t="inlineStr">
        <is>
          <t>REG-NA</t>
        </is>
      </c>
      <c r="I292" s="8" t="inlineStr">
        <is>
          <t>Corporate</t>
        </is>
      </c>
      <c r="J292" s="8" t="inlineStr">
        <is>
          <t>2024-03-17</t>
        </is>
      </c>
      <c r="K292" s="8">
        <f>COUNTIFS('05_Orders'!$C:$C, A292)</f>
        <v/>
      </c>
      <c r="L292" s="9">
        <f>SUMIFS('05_Orders'!$I:$I, '05_Orders'!$C:$C, A292)</f>
        <v/>
      </c>
      <c r="M292" s="8">
        <f>IF(L292&gt;=2000, "Platinum VIP", IF(L292&gt;=1000, "Gold", IF(L292&gt;=500, "Silver", "Standard")))</f>
        <v/>
      </c>
    </row>
    <row r="293">
      <c r="A293" s="8" t="inlineStr">
        <is>
          <t>CUST-00289</t>
        </is>
      </c>
      <c r="B293" s="8" t="inlineStr">
        <is>
          <t>Gregory Bailey</t>
        </is>
      </c>
      <c r="C293" s="8" t="inlineStr">
        <is>
          <t>Male</t>
        </is>
      </c>
      <c r="D293" s="8" t="n">
        <v>30</v>
      </c>
      <c r="E293" s="8">
        <f>IF(D293&lt;25, "18-24", IF(D293&lt;35, "25-34", IF(D293&lt;50, "35-49", "50+")))</f>
        <v/>
      </c>
      <c r="F293" s="8" t="inlineStr">
        <is>
          <t>Monterrey</t>
        </is>
      </c>
      <c r="G293" s="8" t="inlineStr">
        <is>
          <t>Nuevo Leon</t>
        </is>
      </c>
      <c r="H293" s="8" t="inlineStr">
        <is>
          <t>REG-LATAM</t>
        </is>
      </c>
      <c r="I293" s="8" t="inlineStr">
        <is>
          <t>Corporate</t>
        </is>
      </c>
      <c r="J293" s="8" t="inlineStr">
        <is>
          <t>2021-04-19</t>
        </is>
      </c>
      <c r="K293" s="8">
        <f>COUNTIFS('05_Orders'!$C:$C, A293)</f>
        <v/>
      </c>
      <c r="L293" s="9">
        <f>SUMIFS('05_Orders'!$I:$I, '05_Orders'!$C:$C, A293)</f>
        <v/>
      </c>
      <c r="M293" s="8">
        <f>IF(L293&gt;=2000, "Platinum VIP", IF(L293&gt;=1000, "Gold", IF(L293&gt;=500, "Silver", "Standard")))</f>
        <v/>
      </c>
    </row>
    <row r="294">
      <c r="A294" s="8" t="inlineStr">
        <is>
          <t>CUST-00290</t>
        </is>
      </c>
      <c r="B294" s="8" t="inlineStr">
        <is>
          <t>John Thomas</t>
        </is>
      </c>
      <c r="C294" s="8" t="inlineStr">
        <is>
          <t>Other</t>
        </is>
      </c>
      <c r="D294" s="8" t="n">
        <v>52</v>
      </c>
      <c r="E294" s="8">
        <f>IF(D294&lt;25, "18-24", IF(D294&lt;35, "25-34", IF(D294&lt;50, "35-49", "50+")))</f>
        <v/>
      </c>
      <c r="F294" s="8" t="inlineStr">
        <is>
          <t>New York</t>
        </is>
      </c>
      <c r="G294" s="8" t="inlineStr">
        <is>
          <t>New York</t>
        </is>
      </c>
      <c r="H294" s="8" t="inlineStr">
        <is>
          <t>REG-NA</t>
        </is>
      </c>
      <c r="I294" s="8" t="inlineStr">
        <is>
          <t>Consumer</t>
        </is>
      </c>
      <c r="J294" s="8" t="inlineStr">
        <is>
          <t>2022-02-26</t>
        </is>
      </c>
      <c r="K294" s="8">
        <f>COUNTIFS('05_Orders'!$C:$C, A294)</f>
        <v/>
      </c>
      <c r="L294" s="9">
        <f>SUMIFS('05_Orders'!$I:$I, '05_Orders'!$C:$C, A294)</f>
        <v/>
      </c>
      <c r="M294" s="8">
        <f>IF(L294&gt;=2000, "Platinum VIP", IF(L294&gt;=1000, "Gold", IF(L294&gt;=500, "Silver", "Standard")))</f>
        <v/>
      </c>
    </row>
    <row r="295">
      <c r="A295" s="8" t="inlineStr">
        <is>
          <t>CUST-00291</t>
        </is>
      </c>
      <c r="B295" s="8" t="inlineStr">
        <is>
          <t>Stephen Cox</t>
        </is>
      </c>
      <c r="C295" s="8" t="inlineStr">
        <is>
          <t>Female</t>
        </is>
      </c>
      <c r="D295" s="8" t="n">
        <v>43</v>
      </c>
      <c r="E295" s="8">
        <f>IF(D295&lt;25, "18-24", IF(D295&lt;35, "25-34", IF(D295&lt;50, "35-49", "50+")))</f>
        <v/>
      </c>
      <c r="F295" s="8" t="inlineStr">
        <is>
          <t>Madrid</t>
        </is>
      </c>
      <c r="G295" s="8" t="inlineStr">
        <is>
          <t>Community of Madrid</t>
        </is>
      </c>
      <c r="H295" s="8" t="inlineStr">
        <is>
          <t>REG-EU</t>
        </is>
      </c>
      <c r="I295" s="8" t="inlineStr">
        <is>
          <t>Home Office</t>
        </is>
      </c>
      <c r="J295" s="8" t="inlineStr">
        <is>
          <t>2021-02-17</t>
        </is>
      </c>
      <c r="K295" s="8">
        <f>COUNTIFS('05_Orders'!$C:$C, A295)</f>
        <v/>
      </c>
      <c r="L295" s="9">
        <f>SUMIFS('05_Orders'!$I:$I, '05_Orders'!$C:$C, A295)</f>
        <v/>
      </c>
      <c r="M295" s="8">
        <f>IF(L295&gt;=2000, "Platinum VIP", IF(L295&gt;=1000, "Gold", IF(L295&gt;=500, "Silver", "Standard")))</f>
        <v/>
      </c>
    </row>
    <row r="296">
      <c r="A296" s="8" t="inlineStr">
        <is>
          <t>CUST-00292</t>
        </is>
      </c>
      <c r="B296" s="8" t="inlineStr">
        <is>
          <t>Ronald Allen</t>
        </is>
      </c>
      <c r="C296" s="8" t="inlineStr">
        <is>
          <t>Male</t>
        </is>
      </c>
      <c r="D296" s="8" t="n">
        <v>25</v>
      </c>
      <c r="E296" s="8">
        <f>IF(D296&lt;25, "18-24", IF(D296&lt;35, "25-34", IF(D296&lt;50, "35-49", "50+")))</f>
        <v/>
      </c>
      <c r="F296" s="8" t="inlineStr">
        <is>
          <t>Monterrey</t>
        </is>
      </c>
      <c r="G296" s="8" t="inlineStr">
        <is>
          <t>Nuevo Leon</t>
        </is>
      </c>
      <c r="H296" s="8" t="inlineStr">
        <is>
          <t>REG-LATAM</t>
        </is>
      </c>
      <c r="I296" s="8" t="inlineStr">
        <is>
          <t>Consumer</t>
        </is>
      </c>
      <c r="J296" s="8" t="inlineStr">
        <is>
          <t>2021-10-22</t>
        </is>
      </c>
      <c r="K296" s="8">
        <f>COUNTIFS('05_Orders'!$C:$C, A296)</f>
        <v/>
      </c>
      <c r="L296" s="9">
        <f>SUMIFS('05_Orders'!$I:$I, '05_Orders'!$C:$C, A296)</f>
        <v/>
      </c>
      <c r="M296" s="8">
        <f>IF(L296&gt;=2000, "Platinum VIP", IF(L296&gt;=1000, "Gold", IF(L296&gt;=500, "Silver", "Standard")))</f>
        <v/>
      </c>
    </row>
    <row r="297">
      <c r="A297" s="8" t="inlineStr">
        <is>
          <t>CUST-00293</t>
        </is>
      </c>
      <c r="B297" s="8" t="inlineStr">
        <is>
          <t>Alexander Perez</t>
        </is>
      </c>
      <c r="C297" s="8" t="inlineStr">
        <is>
          <t>Male</t>
        </is>
      </c>
      <c r="D297" s="8" t="n">
        <v>57</v>
      </c>
      <c r="E297" s="8">
        <f>IF(D297&lt;25, "18-24", IF(D297&lt;35, "25-34", IF(D297&lt;50, "35-49", "50+")))</f>
        <v/>
      </c>
      <c r="F297" s="8" t="inlineStr">
        <is>
          <t>Mexico City</t>
        </is>
      </c>
      <c r="G297" s="8" t="inlineStr">
        <is>
          <t>CDMX</t>
        </is>
      </c>
      <c r="H297" s="8" t="inlineStr">
        <is>
          <t>REG-LATAM</t>
        </is>
      </c>
      <c r="I297" s="8" t="inlineStr">
        <is>
          <t>Consumer</t>
        </is>
      </c>
      <c r="J297" s="8" t="inlineStr">
        <is>
          <t>2021-04-30</t>
        </is>
      </c>
      <c r="K297" s="8">
        <f>COUNTIFS('05_Orders'!$C:$C, A297)</f>
        <v/>
      </c>
      <c r="L297" s="9">
        <f>SUMIFS('05_Orders'!$I:$I, '05_Orders'!$C:$C, A297)</f>
        <v/>
      </c>
      <c r="M297" s="8">
        <f>IF(L297&gt;=2000, "Platinum VIP", IF(L297&gt;=1000, "Gold", IF(L297&gt;=500, "Silver", "Standard")))</f>
        <v/>
      </c>
    </row>
    <row r="298">
      <c r="A298" s="8" t="inlineStr">
        <is>
          <t>CUST-00294</t>
        </is>
      </c>
      <c r="B298" s="8" t="inlineStr">
        <is>
          <t>Kimberly Carter</t>
        </is>
      </c>
      <c r="C298" s="8" t="inlineStr">
        <is>
          <t>Male</t>
        </is>
      </c>
      <c r="D298" s="8" t="n">
        <v>21</v>
      </c>
      <c r="E298" s="8">
        <f>IF(D298&lt;25, "18-24", IF(D298&lt;35, "25-34", IF(D298&lt;50, "35-49", "50+")))</f>
        <v/>
      </c>
      <c r="F298" s="8" t="inlineStr">
        <is>
          <t>Denver</t>
        </is>
      </c>
      <c r="G298" s="8" t="inlineStr">
        <is>
          <t>Colorado</t>
        </is>
      </c>
      <c r="H298" s="8" t="inlineStr">
        <is>
          <t>REG-NA</t>
        </is>
      </c>
      <c r="I298" s="8" t="inlineStr">
        <is>
          <t>Corporate</t>
        </is>
      </c>
      <c r="J298" s="8" t="inlineStr">
        <is>
          <t>2023-10-07</t>
        </is>
      </c>
      <c r="K298" s="8">
        <f>COUNTIFS('05_Orders'!$C:$C, A298)</f>
        <v/>
      </c>
      <c r="L298" s="9">
        <f>SUMIFS('05_Orders'!$I:$I, '05_Orders'!$C:$C, A298)</f>
        <v/>
      </c>
      <c r="M298" s="8">
        <f>IF(L298&gt;=2000, "Platinum VIP", IF(L298&gt;=1000, "Gold", IF(L298&gt;=500, "Silver", "Standard")))</f>
        <v/>
      </c>
    </row>
    <row r="299">
      <c r="A299" s="8" t="inlineStr">
        <is>
          <t>CUST-00295</t>
        </is>
      </c>
      <c r="B299" s="8" t="inlineStr">
        <is>
          <t>Kevin Reyes</t>
        </is>
      </c>
      <c r="C299" s="8" t="inlineStr">
        <is>
          <t>Other</t>
        </is>
      </c>
      <c r="D299" s="8" t="n">
        <v>44</v>
      </c>
      <c r="E299" s="8">
        <f>IF(D299&lt;25, "18-24", IF(D299&lt;35, "25-34", IF(D299&lt;50, "35-49", "50+")))</f>
        <v/>
      </c>
      <c r="F299" s="8" t="inlineStr">
        <is>
          <t>New York</t>
        </is>
      </c>
      <c r="G299" s="8" t="inlineStr">
        <is>
          <t>New York</t>
        </is>
      </c>
      <c r="H299" s="8" t="inlineStr">
        <is>
          <t>REG-NA</t>
        </is>
      </c>
      <c r="I299" s="8" t="inlineStr">
        <is>
          <t>Consumer</t>
        </is>
      </c>
      <c r="J299" s="8" t="inlineStr">
        <is>
          <t>2022-04-24</t>
        </is>
      </c>
      <c r="K299" s="8">
        <f>COUNTIFS('05_Orders'!$C:$C, A299)</f>
        <v/>
      </c>
      <c r="L299" s="9">
        <f>SUMIFS('05_Orders'!$I:$I, '05_Orders'!$C:$C, A299)</f>
        <v/>
      </c>
      <c r="M299" s="8">
        <f>IF(L299&gt;=2000, "Platinum VIP", IF(L299&gt;=1000, "Gold", IF(L299&gt;=500, "Silver", "Standard")))</f>
        <v/>
      </c>
    </row>
    <row r="300">
      <c r="A300" s="8" t="inlineStr">
        <is>
          <t>CUST-00296</t>
        </is>
      </c>
      <c r="B300" s="8" t="inlineStr">
        <is>
          <t>Richard Young</t>
        </is>
      </c>
      <c r="C300" s="8" t="inlineStr">
        <is>
          <t>Other</t>
        </is>
      </c>
      <c r="D300" s="8" t="n">
        <v>59</v>
      </c>
      <c r="E300" s="8">
        <f>IF(D300&lt;25, "18-24", IF(D300&lt;35, "25-34", IF(D300&lt;50, "35-49", "50+")))</f>
        <v/>
      </c>
      <c r="F300" s="8" t="inlineStr">
        <is>
          <t>Melbourne</t>
        </is>
      </c>
      <c r="G300" s="8" t="inlineStr">
        <is>
          <t>Victoria</t>
        </is>
      </c>
      <c r="H300" s="8" t="inlineStr">
        <is>
          <t>REG-APAC</t>
        </is>
      </c>
      <c r="I300" s="8" t="inlineStr">
        <is>
          <t>Corporate</t>
        </is>
      </c>
      <c r="J300" s="8" t="inlineStr">
        <is>
          <t>2023-07-03</t>
        </is>
      </c>
      <c r="K300" s="8">
        <f>COUNTIFS('05_Orders'!$C:$C, A300)</f>
        <v/>
      </c>
      <c r="L300" s="9">
        <f>SUMIFS('05_Orders'!$I:$I, '05_Orders'!$C:$C, A300)</f>
        <v/>
      </c>
      <c r="M300" s="8">
        <f>IF(L300&gt;=2000, "Platinum VIP", IF(L300&gt;=1000, "Gold", IF(L300&gt;=500, "Silver", "Standard")))</f>
        <v/>
      </c>
    </row>
    <row r="301">
      <c r="A301" s="8" t="inlineStr">
        <is>
          <t>CUST-00297</t>
        </is>
      </c>
      <c r="B301" s="8" t="inlineStr">
        <is>
          <t>Deborah Cooper</t>
        </is>
      </c>
      <c r="C301" s="8" t="inlineStr">
        <is>
          <t>Male</t>
        </is>
      </c>
      <c r="D301" s="8" t="n">
        <v>68</v>
      </c>
      <c r="E301" s="8">
        <f>IF(D301&lt;25, "18-24", IF(D301&lt;35, "25-34", IF(D301&lt;50, "35-49", "50+")))</f>
        <v/>
      </c>
      <c r="F301" s="8" t="inlineStr">
        <is>
          <t>Atlanta</t>
        </is>
      </c>
      <c r="G301" s="8" t="inlineStr">
        <is>
          <t>Georgia</t>
        </is>
      </c>
      <c r="H301" s="8" t="inlineStr">
        <is>
          <t>REG-NA</t>
        </is>
      </c>
      <c r="I301" s="8" t="inlineStr">
        <is>
          <t>Enterprise</t>
        </is>
      </c>
      <c r="J301" s="8" t="inlineStr">
        <is>
          <t>2024-02-11</t>
        </is>
      </c>
      <c r="K301" s="8">
        <f>COUNTIFS('05_Orders'!$C:$C, A301)</f>
        <v/>
      </c>
      <c r="L301" s="9">
        <f>SUMIFS('05_Orders'!$I:$I, '05_Orders'!$C:$C, A301)</f>
        <v/>
      </c>
      <c r="M301" s="8">
        <f>IF(L301&gt;=2000, "Platinum VIP", IF(L301&gt;=1000, "Gold", IF(L301&gt;=500, "Silver", "Standard")))</f>
        <v/>
      </c>
    </row>
    <row r="302">
      <c r="A302" s="8" t="inlineStr">
        <is>
          <t>CUST-00298</t>
        </is>
      </c>
      <c r="B302" s="8" t="inlineStr">
        <is>
          <t>Donna Wood</t>
        </is>
      </c>
      <c r="C302" s="8" t="inlineStr">
        <is>
          <t>Male</t>
        </is>
      </c>
      <c r="D302" s="8" t="n">
        <v>18</v>
      </c>
      <c r="E302" s="8">
        <f>IF(D302&lt;25, "18-24", IF(D302&lt;35, "25-34", IF(D302&lt;50, "35-49", "50+")))</f>
        <v/>
      </c>
      <c r="F302" s="8" t="inlineStr">
        <is>
          <t>Toronto</t>
        </is>
      </c>
      <c r="G302" s="8" t="inlineStr">
        <is>
          <t>Ontario</t>
        </is>
      </c>
      <c r="H302" s="8" t="inlineStr">
        <is>
          <t>REG-NA</t>
        </is>
      </c>
      <c r="I302" s="8" t="inlineStr">
        <is>
          <t>Consumer</t>
        </is>
      </c>
      <c r="J302" s="8" t="inlineStr">
        <is>
          <t>2022-05-29</t>
        </is>
      </c>
      <c r="K302" s="8">
        <f>COUNTIFS('05_Orders'!$C:$C, A302)</f>
        <v/>
      </c>
      <c r="L302" s="9">
        <f>SUMIFS('05_Orders'!$I:$I, '05_Orders'!$C:$C, A302)</f>
        <v/>
      </c>
      <c r="M302" s="8">
        <f>IF(L302&gt;=2000, "Platinum VIP", IF(L302&gt;=1000, "Gold", IF(L302&gt;=500, "Silver", "Standard")))</f>
        <v/>
      </c>
    </row>
    <row r="303">
      <c r="A303" s="8" t="inlineStr">
        <is>
          <t>CUST-00299</t>
        </is>
      </c>
      <c r="B303" s="8" t="inlineStr">
        <is>
          <t>Scott Rogers</t>
        </is>
      </c>
      <c r="C303" s="8" t="inlineStr">
        <is>
          <t>Female</t>
        </is>
      </c>
      <c r="D303" s="8" t="n">
        <v>20</v>
      </c>
      <c r="E303" s="8">
        <f>IF(D303&lt;25, "18-24", IF(D303&lt;35, "25-34", IF(D303&lt;50, "35-49", "50+")))</f>
        <v/>
      </c>
      <c r="F303" s="8" t="inlineStr">
        <is>
          <t>Boston</t>
        </is>
      </c>
      <c r="G303" s="8" t="inlineStr">
        <is>
          <t>Massachusetts</t>
        </is>
      </c>
      <c r="H303" s="8" t="inlineStr">
        <is>
          <t>REG-NA</t>
        </is>
      </c>
      <c r="I303" s="8" t="inlineStr">
        <is>
          <t>Corporate</t>
        </is>
      </c>
      <c r="J303" s="8" t="inlineStr">
        <is>
          <t>2022-09-08</t>
        </is>
      </c>
      <c r="K303" s="8">
        <f>COUNTIFS('05_Orders'!$C:$C, A303)</f>
        <v/>
      </c>
      <c r="L303" s="9">
        <f>SUMIFS('05_Orders'!$I:$I, '05_Orders'!$C:$C, A303)</f>
        <v/>
      </c>
      <c r="M303" s="8">
        <f>IF(L303&gt;=2000, "Platinum VIP", IF(L303&gt;=1000, "Gold", IF(L303&gt;=500, "Silver", "Standard")))</f>
        <v/>
      </c>
    </row>
    <row r="304">
      <c r="A304" s="8" t="inlineStr">
        <is>
          <t>CUST-00300</t>
        </is>
      </c>
      <c r="B304" s="8" t="inlineStr">
        <is>
          <t>Emily Parker</t>
        </is>
      </c>
      <c r="C304" s="8" t="inlineStr">
        <is>
          <t>Male</t>
        </is>
      </c>
      <c r="D304" s="8" t="n">
        <v>57</v>
      </c>
      <c r="E304" s="8">
        <f>IF(D304&lt;25, "18-24", IF(D304&lt;35, "25-34", IF(D304&lt;50, "35-49", "50+")))</f>
        <v/>
      </c>
      <c r="F304" s="8" t="inlineStr">
        <is>
          <t>Lyon</t>
        </is>
      </c>
      <c r="G304" s="8" t="inlineStr">
        <is>
          <t>Auvergne-Rhone-Alpes</t>
        </is>
      </c>
      <c r="H304" s="8" t="inlineStr">
        <is>
          <t>REG-EU</t>
        </is>
      </c>
      <c r="I304" s="8" t="inlineStr">
        <is>
          <t>Home Office</t>
        </is>
      </c>
      <c r="J304" s="8" t="inlineStr">
        <is>
          <t>2022-12-03</t>
        </is>
      </c>
      <c r="K304" s="8">
        <f>COUNTIFS('05_Orders'!$C:$C, A304)</f>
        <v/>
      </c>
      <c r="L304" s="9">
        <f>SUMIFS('05_Orders'!$I:$I, '05_Orders'!$C:$C, A304)</f>
        <v/>
      </c>
      <c r="M304" s="8">
        <f>IF(L304&gt;=2000, "Platinum VIP", IF(L304&gt;=1000, "Gold", IF(L304&gt;=500, "Silver", "Standard")))</f>
        <v/>
      </c>
    </row>
    <row r="305">
      <c r="A305" s="8" t="inlineStr">
        <is>
          <t>CUST-00301</t>
        </is>
      </c>
      <c r="B305" s="8" t="inlineStr">
        <is>
          <t>Frank Adams</t>
        </is>
      </c>
      <c r="C305" s="8" t="inlineStr">
        <is>
          <t>Female</t>
        </is>
      </c>
      <c r="D305" s="8" t="n">
        <v>31</v>
      </c>
      <c r="E305" s="8">
        <f>IF(D305&lt;25, "18-24", IF(D305&lt;35, "25-34", IF(D305&lt;50, "35-49", "50+")))</f>
        <v/>
      </c>
      <c r="F305" s="8" t="inlineStr">
        <is>
          <t>Stockholm</t>
        </is>
      </c>
      <c r="G305" s="8" t="inlineStr">
        <is>
          <t>Stockholm County</t>
        </is>
      </c>
      <c r="H305" s="8" t="inlineStr">
        <is>
          <t>REG-EU</t>
        </is>
      </c>
      <c r="I305" s="8" t="inlineStr">
        <is>
          <t>Consumer</t>
        </is>
      </c>
      <c r="J305" s="8" t="inlineStr">
        <is>
          <t>2024-11-17</t>
        </is>
      </c>
      <c r="K305" s="8">
        <f>COUNTIFS('05_Orders'!$C:$C, A305)</f>
        <v/>
      </c>
      <c r="L305" s="9">
        <f>SUMIFS('05_Orders'!$I:$I, '05_Orders'!$C:$C, A305)</f>
        <v/>
      </c>
      <c r="M305" s="8">
        <f>IF(L305&gt;=2000, "Platinum VIP", IF(L305&gt;=1000, "Gold", IF(L305&gt;=500, "Silver", "Standard")))</f>
        <v/>
      </c>
    </row>
    <row r="306">
      <c r="A306" s="8" t="inlineStr">
        <is>
          <t>CUST-00302</t>
        </is>
      </c>
      <c r="B306" s="8" t="inlineStr">
        <is>
          <t>Mary Gray</t>
        </is>
      </c>
      <c r="C306" s="8" t="inlineStr">
        <is>
          <t>Male</t>
        </is>
      </c>
      <c r="D306" s="8" t="n">
        <v>44</v>
      </c>
      <c r="E306" s="8">
        <f>IF(D306&lt;25, "18-24", IF(D306&lt;35, "25-34", IF(D306&lt;50, "35-49", "50+")))</f>
        <v/>
      </c>
      <c r="F306" s="8" t="inlineStr">
        <is>
          <t>Madrid</t>
        </is>
      </c>
      <c r="G306" s="8" t="inlineStr">
        <is>
          <t>Community of Madrid</t>
        </is>
      </c>
      <c r="H306" s="8" t="inlineStr">
        <is>
          <t>REG-EU</t>
        </is>
      </c>
      <c r="I306" s="8" t="inlineStr">
        <is>
          <t>Home Office</t>
        </is>
      </c>
      <c r="J306" s="8" t="inlineStr">
        <is>
          <t>2024-01-08</t>
        </is>
      </c>
      <c r="K306" s="8">
        <f>COUNTIFS('05_Orders'!$C:$C, A306)</f>
        <v/>
      </c>
      <c r="L306" s="9">
        <f>SUMIFS('05_Orders'!$I:$I, '05_Orders'!$C:$C, A306)</f>
        <v/>
      </c>
      <c r="M306" s="8">
        <f>IF(L306&gt;=2000, "Platinum VIP", IF(L306&gt;=1000, "Gold", IF(L306&gt;=500, "Silver", "Standard")))</f>
        <v/>
      </c>
    </row>
    <row r="307">
      <c r="A307" s="8" t="inlineStr">
        <is>
          <t>CUST-00303</t>
        </is>
      </c>
      <c r="B307" s="8" t="inlineStr">
        <is>
          <t>Debra Cruz</t>
        </is>
      </c>
      <c r="C307" s="8" t="inlineStr">
        <is>
          <t>Other</t>
        </is>
      </c>
      <c r="D307" s="8" t="n">
        <v>25</v>
      </c>
      <c r="E307" s="8">
        <f>IF(D307&lt;25, "18-24", IF(D307&lt;35, "25-34", IF(D307&lt;50, "35-49", "50+")))</f>
        <v/>
      </c>
      <c r="F307" s="8" t="inlineStr">
        <is>
          <t>Atlanta</t>
        </is>
      </c>
      <c r="G307" s="8" t="inlineStr">
        <is>
          <t>Georgia</t>
        </is>
      </c>
      <c r="H307" s="8" t="inlineStr">
        <is>
          <t>REG-NA</t>
        </is>
      </c>
      <c r="I307" s="8" t="inlineStr">
        <is>
          <t>Home Office</t>
        </is>
      </c>
      <c r="J307" s="8" t="inlineStr">
        <is>
          <t>2023-01-04</t>
        </is>
      </c>
      <c r="K307" s="8">
        <f>COUNTIFS('05_Orders'!$C:$C, A307)</f>
        <v/>
      </c>
      <c r="L307" s="9">
        <f>SUMIFS('05_Orders'!$I:$I, '05_Orders'!$C:$C, A307)</f>
        <v/>
      </c>
      <c r="M307" s="8">
        <f>IF(L307&gt;=2000, "Platinum VIP", IF(L307&gt;=1000, "Gold", IF(L307&gt;=500, "Silver", "Standard")))</f>
        <v/>
      </c>
    </row>
    <row r="308">
      <c r="A308" s="8" t="inlineStr">
        <is>
          <t>CUST-00304</t>
        </is>
      </c>
      <c r="B308" s="8" t="inlineStr">
        <is>
          <t>Jessica Reyes</t>
        </is>
      </c>
      <c r="C308" s="8" t="inlineStr">
        <is>
          <t>Female</t>
        </is>
      </c>
      <c r="D308" s="8" t="n">
        <v>30</v>
      </c>
      <c r="E308" s="8">
        <f>IF(D308&lt;25, "18-24", IF(D308&lt;35, "25-34", IF(D308&lt;50, "35-49", "50+")))</f>
        <v/>
      </c>
      <c r="F308" s="8" t="inlineStr">
        <is>
          <t>Munich</t>
        </is>
      </c>
      <c r="G308" s="8" t="inlineStr">
        <is>
          <t>Bavaria</t>
        </is>
      </c>
      <c r="H308" s="8" t="inlineStr">
        <is>
          <t>REG-EU</t>
        </is>
      </c>
      <c r="I308" s="8" t="inlineStr">
        <is>
          <t>Corporate</t>
        </is>
      </c>
      <c r="J308" s="8" t="inlineStr">
        <is>
          <t>2025-04-03</t>
        </is>
      </c>
      <c r="K308" s="8">
        <f>COUNTIFS('05_Orders'!$C:$C, A308)</f>
        <v/>
      </c>
      <c r="L308" s="9">
        <f>SUMIFS('05_Orders'!$I:$I, '05_Orders'!$C:$C, A308)</f>
        <v/>
      </c>
      <c r="M308" s="8">
        <f>IF(L308&gt;=2000, "Platinum VIP", IF(L308&gt;=1000, "Gold", IF(L308&gt;=500, "Silver", "Standard")))</f>
        <v/>
      </c>
    </row>
    <row r="309">
      <c r="A309" s="8" t="inlineStr">
        <is>
          <t>CUST-00305</t>
        </is>
      </c>
      <c r="B309" s="8" t="inlineStr">
        <is>
          <t>Benjamin Watson</t>
        </is>
      </c>
      <c r="C309" s="8" t="inlineStr">
        <is>
          <t>Female</t>
        </is>
      </c>
      <c r="D309" s="8" t="n">
        <v>69</v>
      </c>
      <c r="E309" s="8">
        <f>IF(D309&lt;25, "18-24", IF(D309&lt;35, "25-34", IF(D309&lt;50, "35-49", "50+")))</f>
        <v/>
      </c>
      <c r="F309" s="8" t="inlineStr">
        <is>
          <t>Sydney</t>
        </is>
      </c>
      <c r="G309" s="8" t="inlineStr">
        <is>
          <t>New South Wales</t>
        </is>
      </c>
      <c r="H309" s="8" t="inlineStr">
        <is>
          <t>REG-APAC</t>
        </is>
      </c>
      <c r="I309" s="8" t="inlineStr">
        <is>
          <t>Enterprise</t>
        </is>
      </c>
      <c r="J309" s="8" t="inlineStr">
        <is>
          <t>2023-01-14</t>
        </is>
      </c>
      <c r="K309" s="8">
        <f>COUNTIFS('05_Orders'!$C:$C, A309)</f>
        <v/>
      </c>
      <c r="L309" s="9">
        <f>SUMIFS('05_Orders'!$I:$I, '05_Orders'!$C:$C, A309)</f>
        <v/>
      </c>
      <c r="M309" s="8">
        <f>IF(L309&gt;=2000, "Platinum VIP", IF(L309&gt;=1000, "Gold", IF(L309&gt;=500, "Silver", "Standard")))</f>
        <v/>
      </c>
    </row>
    <row r="310">
      <c r="A310" s="8" t="inlineStr">
        <is>
          <t>CUST-00306</t>
        </is>
      </c>
      <c r="B310" s="8" t="inlineStr">
        <is>
          <t>James Sanchez</t>
        </is>
      </c>
      <c r="C310" s="8" t="inlineStr">
        <is>
          <t>Other</t>
        </is>
      </c>
      <c r="D310" s="8" t="n">
        <v>43</v>
      </c>
      <c r="E310" s="8">
        <f>IF(D310&lt;25, "18-24", IF(D310&lt;35, "25-34", IF(D310&lt;50, "35-49", "50+")))</f>
        <v/>
      </c>
      <c r="F310" s="8" t="inlineStr">
        <is>
          <t>Phoenix</t>
        </is>
      </c>
      <c r="G310" s="8" t="inlineStr">
        <is>
          <t>Arizona</t>
        </is>
      </c>
      <c r="H310" s="8" t="inlineStr">
        <is>
          <t>REG-NA</t>
        </is>
      </c>
      <c r="I310" s="8" t="inlineStr">
        <is>
          <t>Corporate</t>
        </is>
      </c>
      <c r="J310" s="8" t="inlineStr">
        <is>
          <t>2023-10-09</t>
        </is>
      </c>
      <c r="K310" s="8">
        <f>COUNTIFS('05_Orders'!$C:$C, A310)</f>
        <v/>
      </c>
      <c r="L310" s="9">
        <f>SUMIFS('05_Orders'!$I:$I, '05_Orders'!$C:$C, A310)</f>
        <v/>
      </c>
      <c r="M310" s="8">
        <f>IF(L310&gt;=2000, "Platinum VIP", IF(L310&gt;=1000, "Gold", IF(L310&gt;=500, "Silver", "Standard")))</f>
        <v/>
      </c>
    </row>
    <row r="311">
      <c r="A311" s="8" t="inlineStr">
        <is>
          <t>CUST-00307</t>
        </is>
      </c>
      <c r="B311" s="8" t="inlineStr">
        <is>
          <t>Emma Reed</t>
        </is>
      </c>
      <c r="C311" s="8" t="inlineStr">
        <is>
          <t>Male</t>
        </is>
      </c>
      <c r="D311" s="8" t="n">
        <v>22</v>
      </c>
      <c r="E311" s="8">
        <f>IF(D311&lt;25, "18-24", IF(D311&lt;35, "25-34", IF(D311&lt;50, "35-49", "50+")))</f>
        <v/>
      </c>
      <c r="F311" s="8" t="inlineStr">
        <is>
          <t>Manchester</t>
        </is>
      </c>
      <c r="G311" s="8" t="inlineStr">
        <is>
          <t>Greater Manchester</t>
        </is>
      </c>
      <c r="H311" s="8" t="inlineStr">
        <is>
          <t>REG-EU</t>
        </is>
      </c>
      <c r="I311" s="8" t="inlineStr">
        <is>
          <t>Consumer</t>
        </is>
      </c>
      <c r="J311" s="8" t="inlineStr">
        <is>
          <t>2024-03-13</t>
        </is>
      </c>
      <c r="K311" s="8">
        <f>COUNTIFS('05_Orders'!$C:$C, A311)</f>
        <v/>
      </c>
      <c r="L311" s="9">
        <f>SUMIFS('05_Orders'!$I:$I, '05_Orders'!$C:$C, A311)</f>
        <v/>
      </c>
      <c r="M311" s="8">
        <f>IF(L311&gt;=2000, "Platinum VIP", IF(L311&gt;=1000, "Gold", IF(L311&gt;=500, "Silver", "Standard")))</f>
        <v/>
      </c>
    </row>
    <row r="312">
      <c r="A312" s="8" t="inlineStr">
        <is>
          <t>CUST-00308</t>
        </is>
      </c>
      <c r="B312" s="8" t="inlineStr">
        <is>
          <t>Alexander Williams</t>
        </is>
      </c>
      <c r="C312" s="8" t="inlineStr">
        <is>
          <t>Other</t>
        </is>
      </c>
      <c r="D312" s="8" t="n">
        <v>45</v>
      </c>
      <c r="E312" s="8">
        <f>IF(D312&lt;25, "18-24", IF(D312&lt;35, "25-34", IF(D312&lt;50, "35-49", "50+")))</f>
        <v/>
      </c>
      <c r="F312" s="8" t="inlineStr">
        <is>
          <t>Paris</t>
        </is>
      </c>
      <c r="G312" s="8" t="inlineStr">
        <is>
          <t>Ile-de-France</t>
        </is>
      </c>
      <c r="H312" s="8" t="inlineStr">
        <is>
          <t>REG-EU</t>
        </is>
      </c>
      <c r="I312" s="8" t="inlineStr">
        <is>
          <t>Corporate</t>
        </is>
      </c>
      <c r="J312" s="8" t="inlineStr">
        <is>
          <t>2023-07-19</t>
        </is>
      </c>
      <c r="K312" s="8">
        <f>COUNTIFS('05_Orders'!$C:$C, A312)</f>
        <v/>
      </c>
      <c r="L312" s="9">
        <f>SUMIFS('05_Orders'!$I:$I, '05_Orders'!$C:$C, A312)</f>
        <v/>
      </c>
      <c r="M312" s="8">
        <f>IF(L312&gt;=2000, "Platinum VIP", IF(L312&gt;=1000, "Gold", IF(L312&gt;=500, "Silver", "Standard")))</f>
        <v/>
      </c>
    </row>
    <row r="313">
      <c r="A313" s="8" t="inlineStr">
        <is>
          <t>CUST-00309</t>
        </is>
      </c>
      <c r="B313" s="8" t="inlineStr">
        <is>
          <t>Carol Parker</t>
        </is>
      </c>
      <c r="C313" s="8" t="inlineStr">
        <is>
          <t>Female</t>
        </is>
      </c>
      <c r="D313" s="8" t="n">
        <v>35</v>
      </c>
      <c r="E313" s="8">
        <f>IF(D313&lt;25, "18-24", IF(D313&lt;35, "25-34", IF(D313&lt;50, "35-49", "50+")))</f>
        <v/>
      </c>
      <c r="F313" s="8" t="inlineStr">
        <is>
          <t>Boston</t>
        </is>
      </c>
      <c r="G313" s="8" t="inlineStr">
        <is>
          <t>Massachusetts</t>
        </is>
      </c>
      <c r="H313" s="8" t="inlineStr">
        <is>
          <t>REG-NA</t>
        </is>
      </c>
      <c r="I313" s="8" t="inlineStr">
        <is>
          <t>Consumer</t>
        </is>
      </c>
      <c r="J313" s="8" t="inlineStr">
        <is>
          <t>2023-01-11</t>
        </is>
      </c>
      <c r="K313" s="8">
        <f>COUNTIFS('05_Orders'!$C:$C, A313)</f>
        <v/>
      </c>
      <c r="L313" s="9">
        <f>SUMIFS('05_Orders'!$I:$I, '05_Orders'!$C:$C, A313)</f>
        <v/>
      </c>
      <c r="M313" s="8">
        <f>IF(L313&gt;=2000, "Platinum VIP", IF(L313&gt;=1000, "Gold", IF(L313&gt;=500, "Silver", "Standard")))</f>
        <v/>
      </c>
    </row>
    <row r="314">
      <c r="A314" s="8" t="inlineStr">
        <is>
          <t>CUST-00310</t>
        </is>
      </c>
      <c r="B314" s="8" t="inlineStr">
        <is>
          <t>Laura Morgan</t>
        </is>
      </c>
      <c r="C314" s="8" t="inlineStr">
        <is>
          <t>Female</t>
        </is>
      </c>
      <c r="D314" s="8" t="n">
        <v>38</v>
      </c>
      <c r="E314" s="8">
        <f>IF(D314&lt;25, "18-24", IF(D314&lt;35, "25-34", IF(D314&lt;50, "35-49", "50+")))</f>
        <v/>
      </c>
      <c r="F314" s="8" t="inlineStr">
        <is>
          <t>Houston</t>
        </is>
      </c>
      <c r="G314" s="8" t="inlineStr">
        <is>
          <t>Texas</t>
        </is>
      </c>
      <c r="H314" s="8" t="inlineStr">
        <is>
          <t>REG-NA</t>
        </is>
      </c>
      <c r="I314" s="8" t="inlineStr">
        <is>
          <t>Consumer</t>
        </is>
      </c>
      <c r="J314" s="8" t="inlineStr">
        <is>
          <t>2024-03-17</t>
        </is>
      </c>
      <c r="K314" s="8">
        <f>COUNTIFS('05_Orders'!$C:$C, A314)</f>
        <v/>
      </c>
      <c r="L314" s="9">
        <f>SUMIFS('05_Orders'!$I:$I, '05_Orders'!$C:$C, A314)</f>
        <v/>
      </c>
      <c r="M314" s="8">
        <f>IF(L314&gt;=2000, "Platinum VIP", IF(L314&gt;=1000, "Gold", IF(L314&gt;=500, "Silver", "Standard")))</f>
        <v/>
      </c>
    </row>
    <row r="315">
      <c r="A315" s="8" t="inlineStr">
        <is>
          <t>CUST-00311</t>
        </is>
      </c>
      <c r="B315" s="8" t="inlineStr">
        <is>
          <t>Elizabeth Young</t>
        </is>
      </c>
      <c r="C315" s="8" t="inlineStr">
        <is>
          <t>Male</t>
        </is>
      </c>
      <c r="D315" s="8" t="n">
        <v>45</v>
      </c>
      <c r="E315" s="8">
        <f>IF(D315&lt;25, "18-24", IF(D315&lt;35, "25-34", IF(D315&lt;50, "35-49", "50+")))</f>
        <v/>
      </c>
      <c r="F315" s="8" t="inlineStr">
        <is>
          <t>Los Angeles</t>
        </is>
      </c>
      <c r="G315" s="8" t="inlineStr">
        <is>
          <t>California</t>
        </is>
      </c>
      <c r="H315" s="8" t="inlineStr">
        <is>
          <t>REG-NA</t>
        </is>
      </c>
      <c r="I315" s="8" t="inlineStr">
        <is>
          <t>Corporate</t>
        </is>
      </c>
      <c r="J315" s="8" t="inlineStr">
        <is>
          <t>2021-07-18</t>
        </is>
      </c>
      <c r="K315" s="8">
        <f>COUNTIFS('05_Orders'!$C:$C, A315)</f>
        <v/>
      </c>
      <c r="L315" s="9">
        <f>SUMIFS('05_Orders'!$I:$I, '05_Orders'!$C:$C, A315)</f>
        <v/>
      </c>
      <c r="M315" s="8">
        <f>IF(L315&gt;=2000, "Platinum VIP", IF(L315&gt;=1000, "Gold", IF(L315&gt;=500, "Silver", "Standard")))</f>
        <v/>
      </c>
    </row>
    <row r="316">
      <c r="A316" s="8" t="inlineStr">
        <is>
          <t>CUST-00312</t>
        </is>
      </c>
      <c r="B316" s="8" t="inlineStr">
        <is>
          <t>Brian Allen</t>
        </is>
      </c>
      <c r="C316" s="8" t="inlineStr">
        <is>
          <t>Male</t>
        </is>
      </c>
      <c r="D316" s="8" t="n">
        <v>24</v>
      </c>
      <c r="E316" s="8">
        <f>IF(D316&lt;25, "18-24", IF(D316&lt;35, "25-34", IF(D316&lt;50, "35-49", "50+")))</f>
        <v/>
      </c>
      <c r="F316" s="8" t="inlineStr">
        <is>
          <t>Lyon</t>
        </is>
      </c>
      <c r="G316" s="8" t="inlineStr">
        <is>
          <t>Auvergne-Rhone-Alpes</t>
        </is>
      </c>
      <c r="H316" s="8" t="inlineStr">
        <is>
          <t>REG-EU</t>
        </is>
      </c>
      <c r="I316" s="8" t="inlineStr">
        <is>
          <t>Home Office</t>
        </is>
      </c>
      <c r="J316" s="8" t="inlineStr">
        <is>
          <t>2022-11-15</t>
        </is>
      </c>
      <c r="K316" s="8">
        <f>COUNTIFS('05_Orders'!$C:$C, A316)</f>
        <v/>
      </c>
      <c r="L316" s="9">
        <f>SUMIFS('05_Orders'!$I:$I, '05_Orders'!$C:$C, A316)</f>
        <v/>
      </c>
      <c r="M316" s="8">
        <f>IF(L316&gt;=2000, "Platinum VIP", IF(L316&gt;=1000, "Gold", IF(L316&gt;=500, "Silver", "Standard")))</f>
        <v/>
      </c>
    </row>
    <row r="317">
      <c r="A317" s="8" t="inlineStr">
        <is>
          <t>CUST-00313</t>
        </is>
      </c>
      <c r="B317" s="8" t="inlineStr">
        <is>
          <t>Ryan Ross</t>
        </is>
      </c>
      <c r="C317" s="8" t="inlineStr">
        <is>
          <t>Male</t>
        </is>
      </c>
      <c r="D317" s="8" t="n">
        <v>58</v>
      </c>
      <c r="E317" s="8">
        <f>IF(D317&lt;25, "18-24", IF(D317&lt;35, "25-34", IF(D317&lt;50, "35-49", "50+")))</f>
        <v/>
      </c>
      <c r="F317" s="8" t="inlineStr">
        <is>
          <t>Manchester</t>
        </is>
      </c>
      <c r="G317" s="8" t="inlineStr">
        <is>
          <t>Greater Manchester</t>
        </is>
      </c>
      <c r="H317" s="8" t="inlineStr">
        <is>
          <t>REG-EU</t>
        </is>
      </c>
      <c r="I317" s="8" t="inlineStr">
        <is>
          <t>Consumer</t>
        </is>
      </c>
      <c r="J317" s="8" t="inlineStr">
        <is>
          <t>2021-05-05</t>
        </is>
      </c>
      <c r="K317" s="8">
        <f>COUNTIFS('05_Orders'!$C:$C, A317)</f>
        <v/>
      </c>
      <c r="L317" s="9">
        <f>SUMIFS('05_Orders'!$I:$I, '05_Orders'!$C:$C, A317)</f>
        <v/>
      </c>
      <c r="M317" s="8">
        <f>IF(L317&gt;=2000, "Platinum VIP", IF(L317&gt;=1000, "Gold", IF(L317&gt;=500, "Silver", "Standard")))</f>
        <v/>
      </c>
    </row>
    <row r="318">
      <c r="A318" s="8" t="inlineStr">
        <is>
          <t>CUST-00314</t>
        </is>
      </c>
      <c r="B318" s="8" t="inlineStr">
        <is>
          <t>Aaron Taylor</t>
        </is>
      </c>
      <c r="C318" s="8" t="inlineStr">
        <is>
          <t>Male</t>
        </is>
      </c>
      <c r="D318" s="8" t="n">
        <v>69</v>
      </c>
      <c r="E318" s="8">
        <f>IF(D318&lt;25, "18-24", IF(D318&lt;35, "25-34", IF(D318&lt;50, "35-49", "50+")))</f>
        <v/>
      </c>
      <c r="F318" s="8" t="inlineStr">
        <is>
          <t>Paris</t>
        </is>
      </c>
      <c r="G318" s="8" t="inlineStr">
        <is>
          <t>Ile-de-France</t>
        </is>
      </c>
      <c r="H318" s="8" t="inlineStr">
        <is>
          <t>REG-EU</t>
        </is>
      </c>
      <c r="I318" s="8" t="inlineStr">
        <is>
          <t>Corporate</t>
        </is>
      </c>
      <c r="J318" s="8" t="inlineStr">
        <is>
          <t>2023-06-04</t>
        </is>
      </c>
      <c r="K318" s="8">
        <f>COUNTIFS('05_Orders'!$C:$C, A318)</f>
        <v/>
      </c>
      <c r="L318" s="9">
        <f>SUMIFS('05_Orders'!$I:$I, '05_Orders'!$C:$C, A318)</f>
        <v/>
      </c>
      <c r="M318" s="8">
        <f>IF(L318&gt;=2000, "Platinum VIP", IF(L318&gt;=1000, "Gold", IF(L318&gt;=500, "Silver", "Standard")))</f>
        <v/>
      </c>
    </row>
    <row r="319">
      <c r="A319" s="8" t="inlineStr">
        <is>
          <t>CUST-00315</t>
        </is>
      </c>
      <c r="B319" s="8" t="inlineStr">
        <is>
          <t>Ronald Phillips</t>
        </is>
      </c>
      <c r="C319" s="8" t="inlineStr">
        <is>
          <t>Male</t>
        </is>
      </c>
      <c r="D319" s="8" t="n">
        <v>57</v>
      </c>
      <c r="E319" s="8">
        <f>IF(D319&lt;25, "18-24", IF(D319&lt;35, "25-34", IF(D319&lt;50, "35-49", "50+")))</f>
        <v/>
      </c>
      <c r="F319" s="8" t="inlineStr">
        <is>
          <t>Sydney</t>
        </is>
      </c>
      <c r="G319" s="8" t="inlineStr">
        <is>
          <t>New South Wales</t>
        </is>
      </c>
      <c r="H319" s="8" t="inlineStr">
        <is>
          <t>REG-APAC</t>
        </is>
      </c>
      <c r="I319" s="8" t="inlineStr">
        <is>
          <t>Home Office</t>
        </is>
      </c>
      <c r="J319" s="8" t="inlineStr">
        <is>
          <t>2024-09-13</t>
        </is>
      </c>
      <c r="K319" s="8">
        <f>COUNTIFS('05_Orders'!$C:$C, A319)</f>
        <v/>
      </c>
      <c r="L319" s="9">
        <f>SUMIFS('05_Orders'!$I:$I, '05_Orders'!$C:$C, A319)</f>
        <v/>
      </c>
      <c r="M319" s="8">
        <f>IF(L319&gt;=2000, "Platinum VIP", IF(L319&gt;=1000, "Gold", IF(L319&gt;=500, "Silver", "Standard")))</f>
        <v/>
      </c>
    </row>
    <row r="320">
      <c r="A320" s="8" t="inlineStr">
        <is>
          <t>CUST-00316</t>
        </is>
      </c>
      <c r="B320" s="8" t="inlineStr">
        <is>
          <t>Samantha Richardson</t>
        </is>
      </c>
      <c r="C320" s="8" t="inlineStr">
        <is>
          <t>Male</t>
        </is>
      </c>
      <c r="D320" s="8" t="n">
        <v>39</v>
      </c>
      <c r="E320" s="8">
        <f>IF(D320&lt;25, "18-24", IF(D320&lt;35, "25-34", IF(D320&lt;50, "35-49", "50+")))</f>
        <v/>
      </c>
      <c r="F320" s="8" t="inlineStr">
        <is>
          <t>London</t>
        </is>
      </c>
      <c r="G320" s="8" t="inlineStr">
        <is>
          <t>Greater London</t>
        </is>
      </c>
      <c r="H320" s="8" t="inlineStr">
        <is>
          <t>REG-EU</t>
        </is>
      </c>
      <c r="I320" s="8" t="inlineStr">
        <is>
          <t>Consumer</t>
        </is>
      </c>
      <c r="J320" s="8" t="inlineStr">
        <is>
          <t>2022-11-04</t>
        </is>
      </c>
      <c r="K320" s="8">
        <f>COUNTIFS('05_Orders'!$C:$C, A320)</f>
        <v/>
      </c>
      <c r="L320" s="9">
        <f>SUMIFS('05_Orders'!$I:$I, '05_Orders'!$C:$C, A320)</f>
        <v/>
      </c>
      <c r="M320" s="8">
        <f>IF(L320&gt;=2000, "Platinum VIP", IF(L320&gt;=1000, "Gold", IF(L320&gt;=500, "Silver", "Standard")))</f>
        <v/>
      </c>
    </row>
    <row r="321">
      <c r="A321" s="8" t="inlineStr">
        <is>
          <t>CUST-00317</t>
        </is>
      </c>
      <c r="B321" s="8" t="inlineStr">
        <is>
          <t>Nicole Harris</t>
        </is>
      </c>
      <c r="C321" s="8" t="inlineStr">
        <is>
          <t>Other</t>
        </is>
      </c>
      <c r="D321" s="8" t="n">
        <v>26</v>
      </c>
      <c r="E321" s="8">
        <f>IF(D321&lt;25, "18-24", IF(D321&lt;35, "25-34", IF(D321&lt;50, "35-49", "50+")))</f>
        <v/>
      </c>
      <c r="F321" s="8" t="inlineStr">
        <is>
          <t>Paris</t>
        </is>
      </c>
      <c r="G321" s="8" t="inlineStr">
        <is>
          <t>Ile-de-France</t>
        </is>
      </c>
      <c r="H321" s="8" t="inlineStr">
        <is>
          <t>REG-EU</t>
        </is>
      </c>
      <c r="I321" s="8" t="inlineStr">
        <is>
          <t>Consumer</t>
        </is>
      </c>
      <c r="J321" s="8" t="inlineStr">
        <is>
          <t>2023-09-13</t>
        </is>
      </c>
      <c r="K321" s="8">
        <f>COUNTIFS('05_Orders'!$C:$C, A321)</f>
        <v/>
      </c>
      <c r="L321" s="9">
        <f>SUMIFS('05_Orders'!$I:$I, '05_Orders'!$C:$C, A321)</f>
        <v/>
      </c>
      <c r="M321" s="8">
        <f>IF(L321&gt;=2000, "Platinum VIP", IF(L321&gt;=1000, "Gold", IF(L321&gt;=500, "Silver", "Standard")))</f>
        <v/>
      </c>
    </row>
    <row r="322">
      <c r="A322" s="8" t="inlineStr">
        <is>
          <t>CUST-00318</t>
        </is>
      </c>
      <c r="B322" s="8" t="inlineStr">
        <is>
          <t>Linda Taylor</t>
        </is>
      </c>
      <c r="C322" s="8" t="inlineStr">
        <is>
          <t>Female</t>
        </is>
      </c>
      <c r="D322" s="8" t="n">
        <v>55</v>
      </c>
      <c r="E322" s="8">
        <f>IF(D322&lt;25, "18-24", IF(D322&lt;35, "25-34", IF(D322&lt;50, "35-49", "50+")))</f>
        <v/>
      </c>
      <c r="F322" s="8" t="inlineStr">
        <is>
          <t>Lyon</t>
        </is>
      </c>
      <c r="G322" s="8" t="inlineStr">
        <is>
          <t>Auvergne-Rhone-Alpes</t>
        </is>
      </c>
      <c r="H322" s="8" t="inlineStr">
        <is>
          <t>REG-EU</t>
        </is>
      </c>
      <c r="I322" s="8" t="inlineStr">
        <is>
          <t>Consumer</t>
        </is>
      </c>
      <c r="J322" s="8" t="inlineStr">
        <is>
          <t>2024-01-14</t>
        </is>
      </c>
      <c r="K322" s="8">
        <f>COUNTIFS('05_Orders'!$C:$C, A322)</f>
        <v/>
      </c>
      <c r="L322" s="9">
        <f>SUMIFS('05_Orders'!$I:$I, '05_Orders'!$C:$C, A322)</f>
        <v/>
      </c>
      <c r="M322" s="8">
        <f>IF(L322&gt;=2000, "Platinum VIP", IF(L322&gt;=1000, "Gold", IF(L322&gt;=500, "Silver", "Standard")))</f>
        <v/>
      </c>
    </row>
    <row r="323">
      <c r="A323" s="8" t="inlineStr">
        <is>
          <t>CUST-00319</t>
        </is>
      </c>
      <c r="B323" s="8" t="inlineStr">
        <is>
          <t>Deborah Johnson</t>
        </is>
      </c>
      <c r="C323" s="8" t="inlineStr">
        <is>
          <t>Other</t>
        </is>
      </c>
      <c r="D323" s="8" t="n">
        <v>55</v>
      </c>
      <c r="E323" s="8">
        <f>IF(D323&lt;25, "18-24", IF(D323&lt;35, "25-34", IF(D323&lt;50, "35-49", "50+")))</f>
        <v/>
      </c>
      <c r="F323" s="8" t="inlineStr">
        <is>
          <t>Berlin</t>
        </is>
      </c>
      <c r="G323" s="8" t="inlineStr">
        <is>
          <t>Berlin</t>
        </is>
      </c>
      <c r="H323" s="8" t="inlineStr">
        <is>
          <t>REG-EU</t>
        </is>
      </c>
      <c r="I323" s="8" t="inlineStr">
        <is>
          <t>Consumer</t>
        </is>
      </c>
      <c r="J323" s="8" t="inlineStr">
        <is>
          <t>2023-11-05</t>
        </is>
      </c>
      <c r="K323" s="8">
        <f>COUNTIFS('05_Orders'!$C:$C, A323)</f>
        <v/>
      </c>
      <c r="L323" s="9">
        <f>SUMIFS('05_Orders'!$I:$I, '05_Orders'!$C:$C, A323)</f>
        <v/>
      </c>
      <c r="M323" s="8">
        <f>IF(L323&gt;=2000, "Platinum VIP", IF(L323&gt;=1000, "Gold", IF(L323&gt;=500, "Silver", "Standard")))</f>
        <v/>
      </c>
    </row>
    <row r="324">
      <c r="A324" s="8" t="inlineStr">
        <is>
          <t>CUST-00320</t>
        </is>
      </c>
      <c r="B324" s="8" t="inlineStr">
        <is>
          <t>Margaret Brooks</t>
        </is>
      </c>
      <c r="C324" s="8" t="inlineStr">
        <is>
          <t>Male</t>
        </is>
      </c>
      <c r="D324" s="8" t="n">
        <v>68</v>
      </c>
      <c r="E324" s="8">
        <f>IF(D324&lt;25, "18-24", IF(D324&lt;35, "25-34", IF(D324&lt;50, "35-49", "50+")))</f>
        <v/>
      </c>
      <c r="F324" s="8" t="inlineStr">
        <is>
          <t>Houston</t>
        </is>
      </c>
      <c r="G324" s="8" t="inlineStr">
        <is>
          <t>Texas</t>
        </is>
      </c>
      <c r="H324" s="8" t="inlineStr">
        <is>
          <t>REG-NA</t>
        </is>
      </c>
      <c r="I324" s="8" t="inlineStr">
        <is>
          <t>Corporate</t>
        </is>
      </c>
      <c r="J324" s="8" t="inlineStr">
        <is>
          <t>2024-11-23</t>
        </is>
      </c>
      <c r="K324" s="8">
        <f>COUNTIFS('05_Orders'!$C:$C, A324)</f>
        <v/>
      </c>
      <c r="L324" s="9">
        <f>SUMIFS('05_Orders'!$I:$I, '05_Orders'!$C:$C, A324)</f>
        <v/>
      </c>
      <c r="M324" s="8">
        <f>IF(L324&gt;=2000, "Platinum VIP", IF(L324&gt;=1000, "Gold", IF(L324&gt;=500, "Silver", "Standard")))</f>
        <v/>
      </c>
    </row>
    <row r="325">
      <c r="A325" s="8" t="inlineStr">
        <is>
          <t>CUST-00321</t>
        </is>
      </c>
      <c r="B325" s="8" t="inlineStr">
        <is>
          <t>Justin Nelson</t>
        </is>
      </c>
      <c r="C325" s="8" t="inlineStr">
        <is>
          <t>Other</t>
        </is>
      </c>
      <c r="D325" s="8" t="n">
        <v>37</v>
      </c>
      <c r="E325" s="8">
        <f>IF(D325&lt;25, "18-24", IF(D325&lt;35, "25-34", IF(D325&lt;50, "35-49", "50+")))</f>
        <v/>
      </c>
      <c r="F325" s="8" t="inlineStr">
        <is>
          <t>Chicago</t>
        </is>
      </c>
      <c r="G325" s="8" t="inlineStr">
        <is>
          <t>Illinois</t>
        </is>
      </c>
      <c r="H325" s="8" t="inlineStr">
        <is>
          <t>REG-NA</t>
        </is>
      </c>
      <c r="I325" s="8" t="inlineStr">
        <is>
          <t>Consumer</t>
        </is>
      </c>
      <c r="J325" s="8" t="inlineStr">
        <is>
          <t>2021-03-28</t>
        </is>
      </c>
      <c r="K325" s="8">
        <f>COUNTIFS('05_Orders'!$C:$C, A325)</f>
        <v/>
      </c>
      <c r="L325" s="9">
        <f>SUMIFS('05_Orders'!$I:$I, '05_Orders'!$C:$C, A325)</f>
        <v/>
      </c>
      <c r="M325" s="8">
        <f>IF(L325&gt;=2000, "Platinum VIP", IF(L325&gt;=1000, "Gold", IF(L325&gt;=500, "Silver", "Standard")))</f>
        <v/>
      </c>
    </row>
    <row r="326">
      <c r="A326" s="8" t="inlineStr">
        <is>
          <t>CUST-00322</t>
        </is>
      </c>
      <c r="B326" s="8" t="inlineStr">
        <is>
          <t>Kathleen Richardson</t>
        </is>
      </c>
      <c r="C326" s="8" t="inlineStr">
        <is>
          <t>Male</t>
        </is>
      </c>
      <c r="D326" s="8" t="n">
        <v>33</v>
      </c>
      <c r="E326" s="8">
        <f>IF(D326&lt;25, "18-24", IF(D326&lt;35, "25-34", IF(D326&lt;50, "35-49", "50+")))</f>
        <v/>
      </c>
      <c r="F326" s="8" t="inlineStr">
        <is>
          <t>Lyon</t>
        </is>
      </c>
      <c r="G326" s="8" t="inlineStr">
        <is>
          <t>Auvergne-Rhone-Alpes</t>
        </is>
      </c>
      <c r="H326" s="8" t="inlineStr">
        <is>
          <t>REG-EU</t>
        </is>
      </c>
      <c r="I326" s="8" t="inlineStr">
        <is>
          <t>Home Office</t>
        </is>
      </c>
      <c r="J326" s="8" t="inlineStr">
        <is>
          <t>2023-02-09</t>
        </is>
      </c>
      <c r="K326" s="8">
        <f>COUNTIFS('05_Orders'!$C:$C, A326)</f>
        <v/>
      </c>
      <c r="L326" s="9">
        <f>SUMIFS('05_Orders'!$I:$I, '05_Orders'!$C:$C, A326)</f>
        <v/>
      </c>
      <c r="M326" s="8">
        <f>IF(L326&gt;=2000, "Platinum VIP", IF(L326&gt;=1000, "Gold", IF(L326&gt;=500, "Silver", "Standard")))</f>
        <v/>
      </c>
    </row>
    <row r="327">
      <c r="A327" s="8" t="inlineStr">
        <is>
          <t>CUST-00323</t>
        </is>
      </c>
      <c r="B327" s="8" t="inlineStr">
        <is>
          <t>Elizabeth Rivera</t>
        </is>
      </c>
      <c r="C327" s="8" t="inlineStr">
        <is>
          <t>Male</t>
        </is>
      </c>
      <c r="D327" s="8" t="n">
        <v>53</v>
      </c>
      <c r="E327" s="8">
        <f>IF(D327&lt;25, "18-24", IF(D327&lt;35, "25-34", IF(D327&lt;50, "35-49", "50+")))</f>
        <v/>
      </c>
      <c r="F327" s="8" t="inlineStr">
        <is>
          <t>Phoenix</t>
        </is>
      </c>
      <c r="G327" s="8" t="inlineStr">
        <is>
          <t>Arizona</t>
        </is>
      </c>
      <c r="H327" s="8" t="inlineStr">
        <is>
          <t>REG-NA</t>
        </is>
      </c>
      <c r="I327" s="8" t="inlineStr">
        <is>
          <t>Consumer</t>
        </is>
      </c>
      <c r="J327" s="8" t="inlineStr">
        <is>
          <t>2024-07-16</t>
        </is>
      </c>
      <c r="K327" s="8">
        <f>COUNTIFS('05_Orders'!$C:$C, A327)</f>
        <v/>
      </c>
      <c r="L327" s="9">
        <f>SUMIFS('05_Orders'!$I:$I, '05_Orders'!$C:$C, A327)</f>
        <v/>
      </c>
      <c r="M327" s="8">
        <f>IF(L327&gt;=2000, "Platinum VIP", IF(L327&gt;=1000, "Gold", IF(L327&gt;=500, "Silver", "Standard")))</f>
        <v/>
      </c>
    </row>
    <row r="328">
      <c r="A328" s="8" t="inlineStr">
        <is>
          <t>CUST-00324</t>
        </is>
      </c>
      <c r="B328" s="8" t="inlineStr">
        <is>
          <t>Margaret Torres</t>
        </is>
      </c>
      <c r="C328" s="8" t="inlineStr">
        <is>
          <t>Male</t>
        </is>
      </c>
      <c r="D328" s="8" t="n">
        <v>32</v>
      </c>
      <c r="E328" s="8">
        <f>IF(D328&lt;25, "18-24", IF(D328&lt;35, "25-34", IF(D328&lt;50, "35-49", "50+")))</f>
        <v/>
      </c>
      <c r="F328" s="8" t="inlineStr">
        <is>
          <t>Osaka</t>
        </is>
      </c>
      <c r="G328" s="8" t="inlineStr">
        <is>
          <t>Kansai</t>
        </is>
      </c>
      <c r="H328" s="8" t="inlineStr">
        <is>
          <t>REG-APAC</t>
        </is>
      </c>
      <c r="I328" s="8" t="inlineStr">
        <is>
          <t>Consumer</t>
        </is>
      </c>
      <c r="J328" s="8" t="inlineStr">
        <is>
          <t>2024-02-10</t>
        </is>
      </c>
      <c r="K328" s="8">
        <f>COUNTIFS('05_Orders'!$C:$C, A328)</f>
        <v/>
      </c>
      <c r="L328" s="9">
        <f>SUMIFS('05_Orders'!$I:$I, '05_Orders'!$C:$C, A328)</f>
        <v/>
      </c>
      <c r="M328" s="8">
        <f>IF(L328&gt;=2000, "Platinum VIP", IF(L328&gt;=1000, "Gold", IF(L328&gt;=500, "Silver", "Standard")))</f>
        <v/>
      </c>
    </row>
    <row r="329">
      <c r="A329" s="8" t="inlineStr">
        <is>
          <t>CUST-00325</t>
        </is>
      </c>
      <c r="B329" s="8" t="inlineStr">
        <is>
          <t>Richard Williams</t>
        </is>
      </c>
      <c r="C329" s="8" t="inlineStr">
        <is>
          <t>Other</t>
        </is>
      </c>
      <c r="D329" s="8" t="n">
        <v>26</v>
      </c>
      <c r="E329" s="8">
        <f>IF(D329&lt;25, "18-24", IF(D329&lt;35, "25-34", IF(D329&lt;50, "35-49", "50+")))</f>
        <v/>
      </c>
      <c r="F329" s="8" t="inlineStr">
        <is>
          <t>Los Angeles</t>
        </is>
      </c>
      <c r="G329" s="8" t="inlineStr">
        <is>
          <t>California</t>
        </is>
      </c>
      <c r="H329" s="8" t="inlineStr">
        <is>
          <t>REG-NA</t>
        </is>
      </c>
      <c r="I329" s="8" t="inlineStr">
        <is>
          <t>Consumer</t>
        </is>
      </c>
      <c r="J329" s="8" t="inlineStr">
        <is>
          <t>2022-03-07</t>
        </is>
      </c>
      <c r="K329" s="8">
        <f>COUNTIFS('05_Orders'!$C:$C, A329)</f>
        <v/>
      </c>
      <c r="L329" s="9">
        <f>SUMIFS('05_Orders'!$I:$I, '05_Orders'!$C:$C, A329)</f>
        <v/>
      </c>
      <c r="M329" s="8">
        <f>IF(L329&gt;=2000, "Platinum VIP", IF(L329&gt;=1000, "Gold", IF(L329&gt;=500, "Silver", "Standard")))</f>
        <v/>
      </c>
    </row>
    <row r="330">
      <c r="A330" s="8" t="inlineStr">
        <is>
          <t>CUST-00326</t>
        </is>
      </c>
      <c r="B330" s="8" t="inlineStr">
        <is>
          <t>Helen Richardson</t>
        </is>
      </c>
      <c r="C330" s="8" t="inlineStr">
        <is>
          <t>Female</t>
        </is>
      </c>
      <c r="D330" s="8" t="n">
        <v>63</v>
      </c>
      <c r="E330" s="8">
        <f>IF(D330&lt;25, "18-24", IF(D330&lt;35, "25-34", IF(D330&lt;50, "35-49", "50+")))</f>
        <v/>
      </c>
      <c r="F330" s="8" t="inlineStr">
        <is>
          <t>Chicago</t>
        </is>
      </c>
      <c r="G330" s="8" t="inlineStr">
        <is>
          <t>Illinois</t>
        </is>
      </c>
      <c r="H330" s="8" t="inlineStr">
        <is>
          <t>REG-NA</t>
        </is>
      </c>
      <c r="I330" s="8" t="inlineStr">
        <is>
          <t>Home Office</t>
        </is>
      </c>
      <c r="J330" s="8" t="inlineStr">
        <is>
          <t>2021-09-25</t>
        </is>
      </c>
      <c r="K330" s="8">
        <f>COUNTIFS('05_Orders'!$C:$C, A330)</f>
        <v/>
      </c>
      <c r="L330" s="9">
        <f>SUMIFS('05_Orders'!$I:$I, '05_Orders'!$C:$C, A330)</f>
        <v/>
      </c>
      <c r="M330" s="8">
        <f>IF(L330&gt;=2000, "Platinum VIP", IF(L330&gt;=1000, "Gold", IF(L330&gt;=500, "Silver", "Standard")))</f>
        <v/>
      </c>
    </row>
    <row r="331">
      <c r="A331" s="8" t="inlineStr">
        <is>
          <t>CUST-00327</t>
        </is>
      </c>
      <c r="B331" s="8" t="inlineStr">
        <is>
          <t>Brandon Diaz</t>
        </is>
      </c>
      <c r="C331" s="8" t="inlineStr">
        <is>
          <t>Other</t>
        </is>
      </c>
      <c r="D331" s="8" t="n">
        <v>33</v>
      </c>
      <c r="E331" s="8">
        <f>IF(D331&lt;25, "18-24", IF(D331&lt;35, "25-34", IF(D331&lt;50, "35-49", "50+")))</f>
        <v/>
      </c>
      <c r="F331" s="8" t="inlineStr">
        <is>
          <t>Medellin</t>
        </is>
      </c>
      <c r="G331" s="8" t="inlineStr">
        <is>
          <t>Antioquia</t>
        </is>
      </c>
      <c r="H331" s="8" t="inlineStr">
        <is>
          <t>REG-LATAM</t>
        </is>
      </c>
      <c r="I331" s="8" t="inlineStr">
        <is>
          <t>Corporate</t>
        </is>
      </c>
      <c r="J331" s="8" t="inlineStr">
        <is>
          <t>2024-01-02</t>
        </is>
      </c>
      <c r="K331" s="8">
        <f>COUNTIFS('05_Orders'!$C:$C, A331)</f>
        <v/>
      </c>
      <c r="L331" s="9">
        <f>SUMIFS('05_Orders'!$I:$I, '05_Orders'!$C:$C, A331)</f>
        <v/>
      </c>
      <c r="M331" s="8">
        <f>IF(L331&gt;=2000, "Platinum VIP", IF(L331&gt;=1000, "Gold", IF(L331&gt;=500, "Silver", "Standard")))</f>
        <v/>
      </c>
    </row>
    <row r="332">
      <c r="A332" s="8" t="inlineStr">
        <is>
          <t>CUST-00328</t>
        </is>
      </c>
      <c r="B332" s="8" t="inlineStr">
        <is>
          <t>Emily Taylor</t>
        </is>
      </c>
      <c r="C332" s="8" t="inlineStr">
        <is>
          <t>Other</t>
        </is>
      </c>
      <c r="D332" s="8" t="n">
        <v>55</v>
      </c>
      <c r="E332" s="8">
        <f>IF(D332&lt;25, "18-24", IF(D332&lt;35, "25-34", IF(D332&lt;50, "35-49", "50+")))</f>
        <v/>
      </c>
      <c r="F332" s="8" t="inlineStr">
        <is>
          <t>Sydney</t>
        </is>
      </c>
      <c r="G332" s="8" t="inlineStr">
        <is>
          <t>New South Wales</t>
        </is>
      </c>
      <c r="H332" s="8" t="inlineStr">
        <is>
          <t>REG-APAC</t>
        </is>
      </c>
      <c r="I332" s="8" t="inlineStr">
        <is>
          <t>Corporate</t>
        </is>
      </c>
      <c r="J332" s="8" t="inlineStr">
        <is>
          <t>2023-08-22</t>
        </is>
      </c>
      <c r="K332" s="8">
        <f>COUNTIFS('05_Orders'!$C:$C, A332)</f>
        <v/>
      </c>
      <c r="L332" s="9">
        <f>SUMIFS('05_Orders'!$I:$I, '05_Orders'!$C:$C, A332)</f>
        <v/>
      </c>
      <c r="M332" s="8">
        <f>IF(L332&gt;=2000, "Platinum VIP", IF(L332&gt;=1000, "Gold", IF(L332&gt;=500, "Silver", "Standard")))</f>
        <v/>
      </c>
    </row>
    <row r="333">
      <c r="A333" s="8" t="inlineStr">
        <is>
          <t>CUST-00329</t>
        </is>
      </c>
      <c r="B333" s="8" t="inlineStr">
        <is>
          <t>Gregory Long</t>
        </is>
      </c>
      <c r="C333" s="8" t="inlineStr">
        <is>
          <t>Other</t>
        </is>
      </c>
      <c r="D333" s="8" t="n">
        <v>41</v>
      </c>
      <c r="E333" s="8">
        <f>IF(D333&lt;25, "18-24", IF(D333&lt;35, "25-34", IF(D333&lt;50, "35-49", "50+")))</f>
        <v/>
      </c>
      <c r="F333" s="8" t="inlineStr">
        <is>
          <t>Madrid</t>
        </is>
      </c>
      <c r="G333" s="8" t="inlineStr">
        <is>
          <t>Community of Madrid</t>
        </is>
      </c>
      <c r="H333" s="8" t="inlineStr">
        <is>
          <t>REG-EU</t>
        </is>
      </c>
      <c r="I333" s="8" t="inlineStr">
        <is>
          <t>Consumer</t>
        </is>
      </c>
      <c r="J333" s="8" t="inlineStr">
        <is>
          <t>2024-12-30</t>
        </is>
      </c>
      <c r="K333" s="8">
        <f>COUNTIFS('05_Orders'!$C:$C, A333)</f>
        <v/>
      </c>
      <c r="L333" s="9">
        <f>SUMIFS('05_Orders'!$I:$I, '05_Orders'!$C:$C, A333)</f>
        <v/>
      </c>
      <c r="M333" s="8">
        <f>IF(L333&gt;=2000, "Platinum VIP", IF(L333&gt;=1000, "Gold", IF(L333&gt;=500, "Silver", "Standard")))</f>
        <v/>
      </c>
    </row>
    <row r="334">
      <c r="A334" s="8" t="inlineStr">
        <is>
          <t>CUST-00330</t>
        </is>
      </c>
      <c r="B334" s="8" t="inlineStr">
        <is>
          <t>Andrew Howard</t>
        </is>
      </c>
      <c r="C334" s="8" t="inlineStr">
        <is>
          <t>Female</t>
        </is>
      </c>
      <c r="D334" s="8" t="n">
        <v>58</v>
      </c>
      <c r="E334" s="8">
        <f>IF(D334&lt;25, "18-24", IF(D334&lt;35, "25-34", IF(D334&lt;50, "35-49", "50+")))</f>
        <v/>
      </c>
      <c r="F334" s="8" t="inlineStr">
        <is>
          <t>Medellin</t>
        </is>
      </c>
      <c r="G334" s="8" t="inlineStr">
        <is>
          <t>Antioquia</t>
        </is>
      </c>
      <c r="H334" s="8" t="inlineStr">
        <is>
          <t>REG-LATAM</t>
        </is>
      </c>
      <c r="I334" s="8" t="inlineStr">
        <is>
          <t>Corporate</t>
        </is>
      </c>
      <c r="J334" s="8" t="inlineStr">
        <is>
          <t>2022-03-01</t>
        </is>
      </c>
      <c r="K334" s="8">
        <f>COUNTIFS('05_Orders'!$C:$C, A334)</f>
        <v/>
      </c>
      <c r="L334" s="9">
        <f>SUMIFS('05_Orders'!$I:$I, '05_Orders'!$C:$C, A334)</f>
        <v/>
      </c>
      <c r="M334" s="8">
        <f>IF(L334&gt;=2000, "Platinum VIP", IF(L334&gt;=1000, "Gold", IF(L334&gt;=500, "Silver", "Standard")))</f>
        <v/>
      </c>
    </row>
    <row r="335">
      <c r="A335" s="8" t="inlineStr">
        <is>
          <t>CUST-00331</t>
        </is>
      </c>
      <c r="B335" s="8" t="inlineStr">
        <is>
          <t>Michelle Diaz</t>
        </is>
      </c>
      <c r="C335" s="8" t="inlineStr">
        <is>
          <t>Female</t>
        </is>
      </c>
      <c r="D335" s="8" t="n">
        <v>54</v>
      </c>
      <c r="E335" s="8">
        <f>IF(D335&lt;25, "18-24", IF(D335&lt;35, "25-34", IF(D335&lt;50, "35-49", "50+")))</f>
        <v/>
      </c>
      <c r="F335" s="8" t="inlineStr">
        <is>
          <t>Seattle</t>
        </is>
      </c>
      <c r="G335" s="8" t="inlineStr">
        <is>
          <t>Washington</t>
        </is>
      </c>
      <c r="H335" s="8" t="inlineStr">
        <is>
          <t>REG-NA</t>
        </is>
      </c>
      <c r="I335" s="8" t="inlineStr">
        <is>
          <t>Consumer</t>
        </is>
      </c>
      <c r="J335" s="8" t="inlineStr">
        <is>
          <t>2021-06-23</t>
        </is>
      </c>
      <c r="K335" s="8">
        <f>COUNTIFS('05_Orders'!$C:$C, A335)</f>
        <v/>
      </c>
      <c r="L335" s="9">
        <f>SUMIFS('05_Orders'!$I:$I, '05_Orders'!$C:$C, A335)</f>
        <v/>
      </c>
      <c r="M335" s="8">
        <f>IF(L335&gt;=2000, "Platinum VIP", IF(L335&gt;=1000, "Gold", IF(L335&gt;=500, "Silver", "Standard")))</f>
        <v/>
      </c>
    </row>
    <row r="336">
      <c r="A336" s="8" t="inlineStr">
        <is>
          <t>CUST-00332</t>
        </is>
      </c>
      <c r="B336" s="8" t="inlineStr">
        <is>
          <t>Scott Garcia</t>
        </is>
      </c>
      <c r="C336" s="8" t="inlineStr">
        <is>
          <t>Female</t>
        </is>
      </c>
      <c r="D336" s="8" t="n">
        <v>50</v>
      </c>
      <c r="E336" s="8">
        <f>IF(D336&lt;25, "18-24", IF(D336&lt;35, "25-34", IF(D336&lt;50, "35-49", "50+")))</f>
        <v/>
      </c>
      <c r="F336" s="8" t="inlineStr">
        <is>
          <t>Amsterdam</t>
        </is>
      </c>
      <c r="G336" s="8" t="inlineStr">
        <is>
          <t>North Holland</t>
        </is>
      </c>
      <c r="H336" s="8" t="inlineStr">
        <is>
          <t>REG-EU</t>
        </is>
      </c>
      <c r="I336" s="8" t="inlineStr">
        <is>
          <t>Consumer</t>
        </is>
      </c>
      <c r="J336" s="8" t="inlineStr">
        <is>
          <t>2023-06-05</t>
        </is>
      </c>
      <c r="K336" s="8">
        <f>COUNTIFS('05_Orders'!$C:$C, A336)</f>
        <v/>
      </c>
      <c r="L336" s="9">
        <f>SUMIFS('05_Orders'!$I:$I, '05_Orders'!$C:$C, A336)</f>
        <v/>
      </c>
      <c r="M336" s="8">
        <f>IF(L336&gt;=2000, "Platinum VIP", IF(L336&gt;=1000, "Gold", IF(L336&gt;=500, "Silver", "Standard")))</f>
        <v/>
      </c>
    </row>
    <row r="337">
      <c r="A337" s="8" t="inlineStr">
        <is>
          <t>CUST-00333</t>
        </is>
      </c>
      <c r="B337" s="8" t="inlineStr">
        <is>
          <t>Daniel Cruz</t>
        </is>
      </c>
      <c r="C337" s="8" t="inlineStr">
        <is>
          <t>Male</t>
        </is>
      </c>
      <c r="D337" s="8" t="n">
        <v>34</v>
      </c>
      <c r="E337" s="8">
        <f>IF(D337&lt;25, "18-24", IF(D337&lt;35, "25-34", IF(D337&lt;50, "35-49", "50+")))</f>
        <v/>
      </c>
      <c r="F337" s="8" t="inlineStr">
        <is>
          <t>Lyon</t>
        </is>
      </c>
      <c r="G337" s="8" t="inlineStr">
        <is>
          <t>Auvergne-Rhone-Alpes</t>
        </is>
      </c>
      <c r="H337" s="8" t="inlineStr">
        <is>
          <t>REG-EU</t>
        </is>
      </c>
      <c r="I337" s="8" t="inlineStr">
        <is>
          <t>Home Office</t>
        </is>
      </c>
      <c r="J337" s="8" t="inlineStr">
        <is>
          <t>2022-08-27</t>
        </is>
      </c>
      <c r="K337" s="8">
        <f>COUNTIFS('05_Orders'!$C:$C, A337)</f>
        <v/>
      </c>
      <c r="L337" s="9">
        <f>SUMIFS('05_Orders'!$I:$I, '05_Orders'!$C:$C, A337)</f>
        <v/>
      </c>
      <c r="M337" s="8">
        <f>IF(L337&gt;=2000, "Platinum VIP", IF(L337&gt;=1000, "Gold", IF(L337&gt;=500, "Silver", "Standard")))</f>
        <v/>
      </c>
    </row>
    <row r="338">
      <c r="A338" s="8" t="inlineStr">
        <is>
          <t>CUST-00334</t>
        </is>
      </c>
      <c r="B338" s="8" t="inlineStr">
        <is>
          <t>Sandra Gonzalez</t>
        </is>
      </c>
      <c r="C338" s="8" t="inlineStr">
        <is>
          <t>Male</t>
        </is>
      </c>
      <c r="D338" s="8" t="n">
        <v>22</v>
      </c>
      <c r="E338" s="8">
        <f>IF(D338&lt;25, "18-24", IF(D338&lt;35, "25-34", IF(D338&lt;50, "35-49", "50+")))</f>
        <v/>
      </c>
      <c r="F338" s="8" t="inlineStr">
        <is>
          <t>Boston</t>
        </is>
      </c>
      <c r="G338" s="8" t="inlineStr">
        <is>
          <t>Massachusetts</t>
        </is>
      </c>
      <c r="H338" s="8" t="inlineStr">
        <is>
          <t>REG-NA</t>
        </is>
      </c>
      <c r="I338" s="8" t="inlineStr">
        <is>
          <t>Consumer</t>
        </is>
      </c>
      <c r="J338" s="8" t="inlineStr">
        <is>
          <t>2022-02-07</t>
        </is>
      </c>
      <c r="K338" s="8">
        <f>COUNTIFS('05_Orders'!$C:$C, A338)</f>
        <v/>
      </c>
      <c r="L338" s="9">
        <f>SUMIFS('05_Orders'!$I:$I, '05_Orders'!$C:$C, A338)</f>
        <v/>
      </c>
      <c r="M338" s="8">
        <f>IF(L338&gt;=2000, "Platinum VIP", IF(L338&gt;=1000, "Gold", IF(L338&gt;=500, "Silver", "Standard")))</f>
        <v/>
      </c>
    </row>
    <row r="339">
      <c r="A339" s="8" t="inlineStr">
        <is>
          <t>CUST-00335</t>
        </is>
      </c>
      <c r="B339" s="8" t="inlineStr">
        <is>
          <t>Emily Harris</t>
        </is>
      </c>
      <c r="C339" s="8" t="inlineStr">
        <is>
          <t>Other</t>
        </is>
      </c>
      <c r="D339" s="8" t="n">
        <v>56</v>
      </c>
      <c r="E339" s="8">
        <f>IF(D339&lt;25, "18-24", IF(D339&lt;35, "25-34", IF(D339&lt;50, "35-49", "50+")))</f>
        <v/>
      </c>
      <c r="F339" s="8" t="inlineStr">
        <is>
          <t>Monterrey</t>
        </is>
      </c>
      <c r="G339" s="8" t="inlineStr">
        <is>
          <t>Nuevo Leon</t>
        </is>
      </c>
      <c r="H339" s="8" t="inlineStr">
        <is>
          <t>REG-LATAM</t>
        </is>
      </c>
      <c r="I339" s="8" t="inlineStr">
        <is>
          <t>Home Office</t>
        </is>
      </c>
      <c r="J339" s="8" t="inlineStr">
        <is>
          <t>2021-01-18</t>
        </is>
      </c>
      <c r="K339" s="8">
        <f>COUNTIFS('05_Orders'!$C:$C, A339)</f>
        <v/>
      </c>
      <c r="L339" s="9">
        <f>SUMIFS('05_Orders'!$I:$I, '05_Orders'!$C:$C, A339)</f>
        <v/>
      </c>
      <c r="M339" s="8">
        <f>IF(L339&gt;=2000, "Platinum VIP", IF(L339&gt;=1000, "Gold", IF(L339&gt;=500, "Silver", "Standard")))</f>
        <v/>
      </c>
    </row>
    <row r="340">
      <c r="A340" s="8" t="inlineStr">
        <is>
          <t>CUST-00336</t>
        </is>
      </c>
      <c r="B340" s="8" t="inlineStr">
        <is>
          <t>Rebecca Howard</t>
        </is>
      </c>
      <c r="C340" s="8" t="inlineStr">
        <is>
          <t>Other</t>
        </is>
      </c>
      <c r="D340" s="8" t="n">
        <v>18</v>
      </c>
      <c r="E340" s="8">
        <f>IF(D340&lt;25, "18-24", IF(D340&lt;35, "25-34", IF(D340&lt;50, "35-49", "50+")))</f>
        <v/>
      </c>
      <c r="F340" s="8" t="inlineStr">
        <is>
          <t>Dublin</t>
        </is>
      </c>
      <c r="G340" s="8" t="inlineStr">
        <is>
          <t>Leinster</t>
        </is>
      </c>
      <c r="H340" s="8" t="inlineStr">
        <is>
          <t>REG-EU</t>
        </is>
      </c>
      <c r="I340" s="8" t="inlineStr">
        <is>
          <t>Enterprise</t>
        </is>
      </c>
      <c r="J340" s="8" t="inlineStr">
        <is>
          <t>2021-11-02</t>
        </is>
      </c>
      <c r="K340" s="8">
        <f>COUNTIFS('05_Orders'!$C:$C, A340)</f>
        <v/>
      </c>
      <c r="L340" s="9">
        <f>SUMIFS('05_Orders'!$I:$I, '05_Orders'!$C:$C, A340)</f>
        <v/>
      </c>
      <c r="M340" s="8">
        <f>IF(L340&gt;=2000, "Platinum VIP", IF(L340&gt;=1000, "Gold", IF(L340&gt;=500, "Silver", "Standard")))</f>
        <v/>
      </c>
    </row>
    <row r="341">
      <c r="A341" s="8" t="inlineStr">
        <is>
          <t>CUST-00337</t>
        </is>
      </c>
      <c r="B341" s="8" t="inlineStr">
        <is>
          <t>Sandra Gutierrez</t>
        </is>
      </c>
      <c r="C341" s="8" t="inlineStr">
        <is>
          <t>Other</t>
        </is>
      </c>
      <c r="D341" s="8" t="n">
        <v>68</v>
      </c>
      <c r="E341" s="8">
        <f>IF(D341&lt;25, "18-24", IF(D341&lt;35, "25-34", IF(D341&lt;50, "35-49", "50+")))</f>
        <v/>
      </c>
      <c r="F341" s="8" t="inlineStr">
        <is>
          <t>Madrid</t>
        </is>
      </c>
      <c r="G341" s="8" t="inlineStr">
        <is>
          <t>Community of Madrid</t>
        </is>
      </c>
      <c r="H341" s="8" t="inlineStr">
        <is>
          <t>REG-EU</t>
        </is>
      </c>
      <c r="I341" s="8" t="inlineStr">
        <is>
          <t>Corporate</t>
        </is>
      </c>
      <c r="J341" s="8" t="inlineStr">
        <is>
          <t>2023-08-03</t>
        </is>
      </c>
      <c r="K341" s="8">
        <f>COUNTIFS('05_Orders'!$C:$C, A341)</f>
        <v/>
      </c>
      <c r="L341" s="9">
        <f>SUMIFS('05_Orders'!$I:$I, '05_Orders'!$C:$C, A341)</f>
        <v/>
      </c>
      <c r="M341" s="8">
        <f>IF(L341&gt;=2000, "Platinum VIP", IF(L341&gt;=1000, "Gold", IF(L341&gt;=500, "Silver", "Standard")))</f>
        <v/>
      </c>
    </row>
    <row r="342">
      <c r="A342" s="8" t="inlineStr">
        <is>
          <t>CUST-00338</t>
        </is>
      </c>
      <c r="B342" s="8" t="inlineStr">
        <is>
          <t>Catherine Turner</t>
        </is>
      </c>
      <c r="C342" s="8" t="inlineStr">
        <is>
          <t>Male</t>
        </is>
      </c>
      <c r="D342" s="8" t="n">
        <v>46</v>
      </c>
      <c r="E342" s="8">
        <f>IF(D342&lt;25, "18-24", IF(D342&lt;35, "25-34", IF(D342&lt;50, "35-49", "50+")))</f>
        <v/>
      </c>
      <c r="F342" s="8" t="inlineStr">
        <is>
          <t>Dublin</t>
        </is>
      </c>
      <c r="G342" s="8" t="inlineStr">
        <is>
          <t>Leinster</t>
        </is>
      </c>
      <c r="H342" s="8" t="inlineStr">
        <is>
          <t>REG-EU</t>
        </is>
      </c>
      <c r="I342" s="8" t="inlineStr">
        <is>
          <t>Consumer</t>
        </is>
      </c>
      <c r="J342" s="8" t="inlineStr">
        <is>
          <t>2021-10-12</t>
        </is>
      </c>
      <c r="K342" s="8">
        <f>COUNTIFS('05_Orders'!$C:$C, A342)</f>
        <v/>
      </c>
      <c r="L342" s="9">
        <f>SUMIFS('05_Orders'!$I:$I, '05_Orders'!$C:$C, A342)</f>
        <v/>
      </c>
      <c r="M342" s="8">
        <f>IF(L342&gt;=2000, "Platinum VIP", IF(L342&gt;=1000, "Gold", IF(L342&gt;=500, "Silver", "Standard")))</f>
        <v/>
      </c>
    </row>
    <row r="343">
      <c r="A343" s="8" t="inlineStr">
        <is>
          <t>CUST-00339</t>
        </is>
      </c>
      <c r="B343" s="8" t="inlineStr">
        <is>
          <t>Frank Rivera</t>
        </is>
      </c>
      <c r="C343" s="8" t="inlineStr">
        <is>
          <t>Female</t>
        </is>
      </c>
      <c r="D343" s="8" t="n">
        <v>32</v>
      </c>
      <c r="E343" s="8">
        <f>IF(D343&lt;25, "18-24", IF(D343&lt;35, "25-34", IF(D343&lt;50, "35-49", "50+")))</f>
        <v/>
      </c>
      <c r="F343" s="8" t="inlineStr">
        <is>
          <t>Atlanta</t>
        </is>
      </c>
      <c r="G343" s="8" t="inlineStr">
        <is>
          <t>Georgia</t>
        </is>
      </c>
      <c r="H343" s="8" t="inlineStr">
        <is>
          <t>REG-NA</t>
        </is>
      </c>
      <c r="I343" s="8" t="inlineStr">
        <is>
          <t>Home Office</t>
        </is>
      </c>
      <c r="J343" s="8" t="inlineStr">
        <is>
          <t>2024-11-15</t>
        </is>
      </c>
      <c r="K343" s="8">
        <f>COUNTIFS('05_Orders'!$C:$C, A343)</f>
        <v/>
      </c>
      <c r="L343" s="9">
        <f>SUMIFS('05_Orders'!$I:$I, '05_Orders'!$C:$C, A343)</f>
        <v/>
      </c>
      <c r="M343" s="8">
        <f>IF(L343&gt;=2000, "Platinum VIP", IF(L343&gt;=1000, "Gold", IF(L343&gt;=500, "Silver", "Standard")))</f>
        <v/>
      </c>
    </row>
    <row r="344">
      <c r="A344" s="8" t="inlineStr">
        <is>
          <t>CUST-00340</t>
        </is>
      </c>
      <c r="B344" s="8" t="inlineStr">
        <is>
          <t>Sarah Martin</t>
        </is>
      </c>
      <c r="C344" s="8" t="inlineStr">
        <is>
          <t>Female</t>
        </is>
      </c>
      <c r="D344" s="8" t="n">
        <v>54</v>
      </c>
      <c r="E344" s="8">
        <f>IF(D344&lt;25, "18-24", IF(D344&lt;35, "25-34", IF(D344&lt;50, "35-49", "50+")))</f>
        <v/>
      </c>
      <c r="F344" s="8" t="inlineStr">
        <is>
          <t>Stockholm</t>
        </is>
      </c>
      <c r="G344" s="8" t="inlineStr">
        <is>
          <t>Stockholm County</t>
        </is>
      </c>
      <c r="H344" s="8" t="inlineStr">
        <is>
          <t>REG-EU</t>
        </is>
      </c>
      <c r="I344" s="8" t="inlineStr">
        <is>
          <t>Home Office</t>
        </is>
      </c>
      <c r="J344" s="8" t="inlineStr">
        <is>
          <t>2024-03-21</t>
        </is>
      </c>
      <c r="K344" s="8">
        <f>COUNTIFS('05_Orders'!$C:$C, A344)</f>
        <v/>
      </c>
      <c r="L344" s="9">
        <f>SUMIFS('05_Orders'!$I:$I, '05_Orders'!$C:$C, A344)</f>
        <v/>
      </c>
      <c r="M344" s="8">
        <f>IF(L344&gt;=2000, "Platinum VIP", IF(L344&gt;=1000, "Gold", IF(L344&gt;=500, "Silver", "Standard")))</f>
        <v/>
      </c>
    </row>
    <row r="345">
      <c r="A345" s="8" t="inlineStr">
        <is>
          <t>CUST-00341</t>
        </is>
      </c>
      <c r="B345" s="8" t="inlineStr">
        <is>
          <t>Stephen Roberts</t>
        </is>
      </c>
      <c r="C345" s="8" t="inlineStr">
        <is>
          <t>Male</t>
        </is>
      </c>
      <c r="D345" s="8" t="n">
        <v>48</v>
      </c>
      <c r="E345" s="8">
        <f>IF(D345&lt;25, "18-24", IF(D345&lt;35, "25-34", IF(D345&lt;50, "35-49", "50+")))</f>
        <v/>
      </c>
      <c r="F345" s="8" t="inlineStr">
        <is>
          <t>Denver</t>
        </is>
      </c>
      <c r="G345" s="8" t="inlineStr">
        <is>
          <t>Colorado</t>
        </is>
      </c>
      <c r="H345" s="8" t="inlineStr">
        <is>
          <t>REG-NA</t>
        </is>
      </c>
      <c r="I345" s="8" t="inlineStr">
        <is>
          <t>Enterprise</t>
        </is>
      </c>
      <c r="J345" s="8" t="inlineStr">
        <is>
          <t>2024-08-01</t>
        </is>
      </c>
      <c r="K345" s="8">
        <f>COUNTIFS('05_Orders'!$C:$C, A345)</f>
        <v/>
      </c>
      <c r="L345" s="9">
        <f>SUMIFS('05_Orders'!$I:$I, '05_Orders'!$C:$C, A345)</f>
        <v/>
      </c>
      <c r="M345" s="8">
        <f>IF(L345&gt;=2000, "Platinum VIP", IF(L345&gt;=1000, "Gold", IF(L345&gt;=500, "Silver", "Standard")))</f>
        <v/>
      </c>
    </row>
    <row r="346">
      <c r="A346" s="8" t="inlineStr">
        <is>
          <t>CUST-00342</t>
        </is>
      </c>
      <c r="B346" s="8" t="inlineStr">
        <is>
          <t>Robert Ruiz</t>
        </is>
      </c>
      <c r="C346" s="8" t="inlineStr">
        <is>
          <t>Other</t>
        </is>
      </c>
      <c r="D346" s="8" t="n">
        <v>49</v>
      </c>
      <c r="E346" s="8">
        <f>IF(D346&lt;25, "18-24", IF(D346&lt;35, "25-34", IF(D346&lt;50, "35-49", "50+")))</f>
        <v/>
      </c>
      <c r="F346" s="8" t="inlineStr">
        <is>
          <t>Houston</t>
        </is>
      </c>
      <c r="G346" s="8" t="inlineStr">
        <is>
          <t>Texas</t>
        </is>
      </c>
      <c r="H346" s="8" t="inlineStr">
        <is>
          <t>REG-NA</t>
        </is>
      </c>
      <c r="I346" s="8" t="inlineStr">
        <is>
          <t>Consumer</t>
        </is>
      </c>
      <c r="J346" s="8" t="inlineStr">
        <is>
          <t>2023-03-02</t>
        </is>
      </c>
      <c r="K346" s="8">
        <f>COUNTIFS('05_Orders'!$C:$C, A346)</f>
        <v/>
      </c>
      <c r="L346" s="9">
        <f>SUMIFS('05_Orders'!$I:$I, '05_Orders'!$C:$C, A346)</f>
        <v/>
      </c>
      <c r="M346" s="8">
        <f>IF(L346&gt;=2000, "Platinum VIP", IF(L346&gt;=1000, "Gold", IF(L346&gt;=500, "Silver", "Standard")))</f>
        <v/>
      </c>
    </row>
    <row r="347">
      <c r="A347" s="8" t="inlineStr">
        <is>
          <t>CUST-00343</t>
        </is>
      </c>
      <c r="B347" s="8" t="inlineStr">
        <is>
          <t>Linda Mitchell</t>
        </is>
      </c>
      <c r="C347" s="8" t="inlineStr">
        <is>
          <t>Other</t>
        </is>
      </c>
      <c r="D347" s="8" t="n">
        <v>18</v>
      </c>
      <c r="E347" s="8">
        <f>IF(D347&lt;25, "18-24", IF(D347&lt;35, "25-34", IF(D347&lt;50, "35-49", "50+")))</f>
        <v/>
      </c>
      <c r="F347" s="8" t="inlineStr">
        <is>
          <t>Atlanta</t>
        </is>
      </c>
      <c r="G347" s="8" t="inlineStr">
        <is>
          <t>Georgia</t>
        </is>
      </c>
      <c r="H347" s="8" t="inlineStr">
        <is>
          <t>REG-NA</t>
        </is>
      </c>
      <c r="I347" s="8" t="inlineStr">
        <is>
          <t>Consumer</t>
        </is>
      </c>
      <c r="J347" s="8" t="inlineStr">
        <is>
          <t>2021-08-15</t>
        </is>
      </c>
      <c r="K347" s="8">
        <f>COUNTIFS('05_Orders'!$C:$C, A347)</f>
        <v/>
      </c>
      <c r="L347" s="9">
        <f>SUMIFS('05_Orders'!$I:$I, '05_Orders'!$C:$C, A347)</f>
        <v/>
      </c>
      <c r="M347" s="8">
        <f>IF(L347&gt;=2000, "Platinum VIP", IF(L347&gt;=1000, "Gold", IF(L347&gt;=500, "Silver", "Standard")))</f>
        <v/>
      </c>
    </row>
    <row r="348">
      <c r="A348" s="8" t="inlineStr">
        <is>
          <t>CUST-00344</t>
        </is>
      </c>
      <c r="B348" s="8" t="inlineStr">
        <is>
          <t>Anthony Taylor</t>
        </is>
      </c>
      <c r="C348" s="8" t="inlineStr">
        <is>
          <t>Male</t>
        </is>
      </c>
      <c r="D348" s="8" t="n">
        <v>37</v>
      </c>
      <c r="E348" s="8">
        <f>IF(D348&lt;25, "18-24", IF(D348&lt;35, "25-34", IF(D348&lt;50, "35-49", "50+")))</f>
        <v/>
      </c>
      <c r="F348" s="8" t="inlineStr">
        <is>
          <t>Madrid</t>
        </is>
      </c>
      <c r="G348" s="8" t="inlineStr">
        <is>
          <t>Community of Madrid</t>
        </is>
      </c>
      <c r="H348" s="8" t="inlineStr">
        <is>
          <t>REG-EU</t>
        </is>
      </c>
      <c r="I348" s="8" t="inlineStr">
        <is>
          <t>Consumer</t>
        </is>
      </c>
      <c r="J348" s="8" t="inlineStr">
        <is>
          <t>2024-03-23</t>
        </is>
      </c>
      <c r="K348" s="8">
        <f>COUNTIFS('05_Orders'!$C:$C, A348)</f>
        <v/>
      </c>
      <c r="L348" s="9">
        <f>SUMIFS('05_Orders'!$I:$I, '05_Orders'!$C:$C, A348)</f>
        <v/>
      </c>
      <c r="M348" s="8">
        <f>IF(L348&gt;=2000, "Platinum VIP", IF(L348&gt;=1000, "Gold", IF(L348&gt;=500, "Silver", "Standard")))</f>
        <v/>
      </c>
    </row>
    <row r="349">
      <c r="A349" s="8" t="inlineStr">
        <is>
          <t>CUST-00345</t>
        </is>
      </c>
      <c r="B349" s="8" t="inlineStr">
        <is>
          <t>Emily Sanchez</t>
        </is>
      </c>
      <c r="C349" s="8" t="inlineStr">
        <is>
          <t>Male</t>
        </is>
      </c>
      <c r="D349" s="8" t="n">
        <v>27</v>
      </c>
      <c r="E349" s="8">
        <f>IF(D349&lt;25, "18-24", IF(D349&lt;35, "25-34", IF(D349&lt;50, "35-49", "50+")))</f>
        <v/>
      </c>
      <c r="F349" s="8" t="inlineStr">
        <is>
          <t>Amsterdam</t>
        </is>
      </c>
      <c r="G349" s="8" t="inlineStr">
        <is>
          <t>North Holland</t>
        </is>
      </c>
      <c r="H349" s="8" t="inlineStr">
        <is>
          <t>REG-EU</t>
        </is>
      </c>
      <c r="I349" s="8" t="inlineStr">
        <is>
          <t>Corporate</t>
        </is>
      </c>
      <c r="J349" s="8" t="inlineStr">
        <is>
          <t>2022-05-21</t>
        </is>
      </c>
      <c r="K349" s="8">
        <f>COUNTIFS('05_Orders'!$C:$C, A349)</f>
        <v/>
      </c>
      <c r="L349" s="9">
        <f>SUMIFS('05_Orders'!$I:$I, '05_Orders'!$C:$C, A349)</f>
        <v/>
      </c>
      <c r="M349" s="8">
        <f>IF(L349&gt;=2000, "Platinum VIP", IF(L349&gt;=1000, "Gold", IF(L349&gt;=500, "Silver", "Standard")))</f>
        <v/>
      </c>
    </row>
    <row r="350">
      <c r="A350" s="8" t="inlineStr">
        <is>
          <t>CUST-00346</t>
        </is>
      </c>
      <c r="B350" s="8" t="inlineStr">
        <is>
          <t>Pamela Garcia</t>
        </is>
      </c>
      <c r="C350" s="8" t="inlineStr">
        <is>
          <t>Other</t>
        </is>
      </c>
      <c r="D350" s="8" t="n">
        <v>23</v>
      </c>
      <c r="E350" s="8">
        <f>IF(D350&lt;25, "18-24", IF(D350&lt;35, "25-34", IF(D350&lt;50, "35-49", "50+")))</f>
        <v/>
      </c>
      <c r="F350" s="8" t="inlineStr">
        <is>
          <t>Toronto</t>
        </is>
      </c>
      <c r="G350" s="8" t="inlineStr">
        <is>
          <t>Ontario</t>
        </is>
      </c>
      <c r="H350" s="8" t="inlineStr">
        <is>
          <t>REG-NA</t>
        </is>
      </c>
      <c r="I350" s="8" t="inlineStr">
        <is>
          <t>Consumer</t>
        </is>
      </c>
      <c r="J350" s="8" t="inlineStr">
        <is>
          <t>2024-12-28</t>
        </is>
      </c>
      <c r="K350" s="8">
        <f>COUNTIFS('05_Orders'!$C:$C, A350)</f>
        <v/>
      </c>
      <c r="L350" s="9">
        <f>SUMIFS('05_Orders'!$I:$I, '05_Orders'!$C:$C, A350)</f>
        <v/>
      </c>
      <c r="M350" s="8">
        <f>IF(L350&gt;=2000, "Platinum VIP", IF(L350&gt;=1000, "Gold", IF(L350&gt;=500, "Silver", "Standard")))</f>
        <v/>
      </c>
    </row>
    <row r="351">
      <c r="A351" s="8" t="inlineStr">
        <is>
          <t>CUST-00347</t>
        </is>
      </c>
      <c r="B351" s="8" t="inlineStr">
        <is>
          <t>Laura Young</t>
        </is>
      </c>
      <c r="C351" s="8" t="inlineStr">
        <is>
          <t>Male</t>
        </is>
      </c>
      <c r="D351" s="8" t="n">
        <v>57</v>
      </c>
      <c r="E351" s="8">
        <f>IF(D351&lt;25, "18-24", IF(D351&lt;35, "25-34", IF(D351&lt;50, "35-49", "50+")))</f>
        <v/>
      </c>
      <c r="F351" s="8" t="inlineStr">
        <is>
          <t>Bangalore</t>
        </is>
      </c>
      <c r="G351" s="8" t="inlineStr">
        <is>
          <t>Karnataka</t>
        </is>
      </c>
      <c r="H351" s="8" t="inlineStr">
        <is>
          <t>REG-APAC</t>
        </is>
      </c>
      <c r="I351" s="8" t="inlineStr">
        <is>
          <t>Consumer</t>
        </is>
      </c>
      <c r="J351" s="8" t="inlineStr">
        <is>
          <t>2024-09-11</t>
        </is>
      </c>
      <c r="K351" s="8">
        <f>COUNTIFS('05_Orders'!$C:$C, A351)</f>
        <v/>
      </c>
      <c r="L351" s="9">
        <f>SUMIFS('05_Orders'!$I:$I, '05_Orders'!$C:$C, A351)</f>
        <v/>
      </c>
      <c r="M351" s="8">
        <f>IF(L351&gt;=2000, "Platinum VIP", IF(L351&gt;=1000, "Gold", IF(L351&gt;=500, "Silver", "Standard")))</f>
        <v/>
      </c>
    </row>
    <row r="352">
      <c r="A352" s="8" t="inlineStr">
        <is>
          <t>CUST-00348</t>
        </is>
      </c>
      <c r="B352" s="8" t="inlineStr">
        <is>
          <t>Paul Lee</t>
        </is>
      </c>
      <c r="C352" s="8" t="inlineStr">
        <is>
          <t>Female</t>
        </is>
      </c>
      <c r="D352" s="8" t="n">
        <v>58</v>
      </c>
      <c r="E352" s="8">
        <f>IF(D352&lt;25, "18-24", IF(D352&lt;35, "25-34", IF(D352&lt;50, "35-49", "50+")))</f>
        <v/>
      </c>
      <c r="F352" s="8" t="inlineStr">
        <is>
          <t>Manchester</t>
        </is>
      </c>
      <c r="G352" s="8" t="inlineStr">
        <is>
          <t>Greater Manchester</t>
        </is>
      </c>
      <c r="H352" s="8" t="inlineStr">
        <is>
          <t>REG-EU</t>
        </is>
      </c>
      <c r="I352" s="8" t="inlineStr">
        <is>
          <t>Corporate</t>
        </is>
      </c>
      <c r="J352" s="8" t="inlineStr">
        <is>
          <t>2025-01-19</t>
        </is>
      </c>
      <c r="K352" s="8">
        <f>COUNTIFS('05_Orders'!$C:$C, A352)</f>
        <v/>
      </c>
      <c r="L352" s="9">
        <f>SUMIFS('05_Orders'!$I:$I, '05_Orders'!$C:$C, A352)</f>
        <v/>
      </c>
      <c r="M352" s="8">
        <f>IF(L352&gt;=2000, "Platinum VIP", IF(L352&gt;=1000, "Gold", IF(L352&gt;=500, "Silver", "Standard")))</f>
        <v/>
      </c>
    </row>
    <row r="353">
      <c r="A353" s="8" t="inlineStr">
        <is>
          <t>CUST-00349</t>
        </is>
      </c>
      <c r="B353" s="8" t="inlineStr">
        <is>
          <t>Jessica Mitchell</t>
        </is>
      </c>
      <c r="C353" s="8" t="inlineStr">
        <is>
          <t>Male</t>
        </is>
      </c>
      <c r="D353" s="8" t="n">
        <v>66</v>
      </c>
      <c r="E353" s="8">
        <f>IF(D353&lt;25, "18-24", IF(D353&lt;35, "25-34", IF(D353&lt;50, "35-49", "50+")))</f>
        <v/>
      </c>
      <c r="F353" s="8" t="inlineStr">
        <is>
          <t>Seattle</t>
        </is>
      </c>
      <c r="G353" s="8" t="inlineStr">
        <is>
          <t>Washington</t>
        </is>
      </c>
      <c r="H353" s="8" t="inlineStr">
        <is>
          <t>REG-NA</t>
        </is>
      </c>
      <c r="I353" s="8" t="inlineStr">
        <is>
          <t>Consumer</t>
        </is>
      </c>
      <c r="J353" s="8" t="inlineStr">
        <is>
          <t>2021-12-04</t>
        </is>
      </c>
      <c r="K353" s="8">
        <f>COUNTIFS('05_Orders'!$C:$C, A353)</f>
        <v/>
      </c>
      <c r="L353" s="9">
        <f>SUMIFS('05_Orders'!$I:$I, '05_Orders'!$C:$C, A353)</f>
        <v/>
      </c>
      <c r="M353" s="8">
        <f>IF(L353&gt;=2000, "Platinum VIP", IF(L353&gt;=1000, "Gold", IF(L353&gt;=500, "Silver", "Standard")))</f>
        <v/>
      </c>
    </row>
    <row r="354">
      <c r="A354" s="8" t="inlineStr">
        <is>
          <t>CUST-00350</t>
        </is>
      </c>
      <c r="B354" s="8" t="inlineStr">
        <is>
          <t>Raymond Gray</t>
        </is>
      </c>
      <c r="C354" s="8" t="inlineStr">
        <is>
          <t>Other</t>
        </is>
      </c>
      <c r="D354" s="8" t="n">
        <v>47</v>
      </c>
      <c r="E354" s="8">
        <f>IF(D354&lt;25, "18-24", IF(D354&lt;35, "25-34", IF(D354&lt;50, "35-49", "50+")))</f>
        <v/>
      </c>
      <c r="F354" s="8" t="inlineStr">
        <is>
          <t>Atlanta</t>
        </is>
      </c>
      <c r="G354" s="8" t="inlineStr">
        <is>
          <t>Georgia</t>
        </is>
      </c>
      <c r="H354" s="8" t="inlineStr">
        <is>
          <t>REG-NA</t>
        </is>
      </c>
      <c r="I354" s="8" t="inlineStr">
        <is>
          <t>Home Office</t>
        </is>
      </c>
      <c r="J354" s="8" t="inlineStr">
        <is>
          <t>2023-03-24</t>
        </is>
      </c>
      <c r="K354" s="8">
        <f>COUNTIFS('05_Orders'!$C:$C, A354)</f>
        <v/>
      </c>
      <c r="L354" s="9">
        <f>SUMIFS('05_Orders'!$I:$I, '05_Orders'!$C:$C, A354)</f>
        <v/>
      </c>
      <c r="M354" s="8">
        <f>IF(L354&gt;=2000, "Platinum VIP", IF(L354&gt;=1000, "Gold", IF(L354&gt;=500, "Silver", "Standard")))</f>
        <v/>
      </c>
    </row>
    <row r="355">
      <c r="A355" s="8" t="inlineStr">
        <is>
          <t>CUST-00351</t>
        </is>
      </c>
      <c r="B355" s="8" t="inlineStr">
        <is>
          <t>Debra Myers</t>
        </is>
      </c>
      <c r="C355" s="8" t="inlineStr">
        <is>
          <t>Female</t>
        </is>
      </c>
      <c r="D355" s="8" t="n">
        <v>49</v>
      </c>
      <c r="E355" s="8">
        <f>IF(D355&lt;25, "18-24", IF(D355&lt;35, "25-34", IF(D355&lt;50, "35-49", "50+")))</f>
        <v/>
      </c>
      <c r="F355" s="8" t="inlineStr">
        <is>
          <t>Manchester</t>
        </is>
      </c>
      <c r="G355" s="8" t="inlineStr">
        <is>
          <t>Greater Manchester</t>
        </is>
      </c>
      <c r="H355" s="8" t="inlineStr">
        <is>
          <t>REG-EU</t>
        </is>
      </c>
      <c r="I355" s="8" t="inlineStr">
        <is>
          <t>Corporate</t>
        </is>
      </c>
      <c r="J355" s="8" t="inlineStr">
        <is>
          <t>2022-05-12</t>
        </is>
      </c>
      <c r="K355" s="8">
        <f>COUNTIFS('05_Orders'!$C:$C, A355)</f>
        <v/>
      </c>
      <c r="L355" s="9">
        <f>SUMIFS('05_Orders'!$I:$I, '05_Orders'!$C:$C, A355)</f>
        <v/>
      </c>
      <c r="M355" s="8">
        <f>IF(L355&gt;=2000, "Platinum VIP", IF(L355&gt;=1000, "Gold", IF(L355&gt;=500, "Silver", "Standard")))</f>
        <v/>
      </c>
    </row>
    <row r="356">
      <c r="A356" s="8" t="inlineStr">
        <is>
          <t>CUST-00352</t>
        </is>
      </c>
      <c r="B356" s="8" t="inlineStr">
        <is>
          <t>Christopher Perez</t>
        </is>
      </c>
      <c r="C356" s="8" t="inlineStr">
        <is>
          <t>Male</t>
        </is>
      </c>
      <c r="D356" s="8" t="n">
        <v>56</v>
      </c>
      <c r="E356" s="8">
        <f>IF(D356&lt;25, "18-24", IF(D356&lt;35, "25-34", IF(D356&lt;50, "35-49", "50+")))</f>
        <v/>
      </c>
      <c r="F356" s="8" t="inlineStr">
        <is>
          <t>Phoenix</t>
        </is>
      </c>
      <c r="G356" s="8" t="inlineStr">
        <is>
          <t>Arizona</t>
        </is>
      </c>
      <c r="H356" s="8" t="inlineStr">
        <is>
          <t>REG-NA</t>
        </is>
      </c>
      <c r="I356" s="8" t="inlineStr">
        <is>
          <t>Consumer</t>
        </is>
      </c>
      <c r="J356" s="8" t="inlineStr">
        <is>
          <t>2025-02-27</t>
        </is>
      </c>
      <c r="K356" s="8">
        <f>COUNTIFS('05_Orders'!$C:$C, A356)</f>
        <v/>
      </c>
      <c r="L356" s="9">
        <f>SUMIFS('05_Orders'!$I:$I, '05_Orders'!$C:$C, A356)</f>
        <v/>
      </c>
      <c r="M356" s="8">
        <f>IF(L356&gt;=2000, "Platinum VIP", IF(L356&gt;=1000, "Gold", IF(L356&gt;=500, "Silver", "Standard")))</f>
        <v/>
      </c>
    </row>
    <row r="357">
      <c r="A357" s="8" t="inlineStr">
        <is>
          <t>CUST-00353</t>
        </is>
      </c>
      <c r="B357" s="8" t="inlineStr">
        <is>
          <t>Karen Cruz</t>
        </is>
      </c>
      <c r="C357" s="8" t="inlineStr">
        <is>
          <t>Female</t>
        </is>
      </c>
      <c r="D357" s="8" t="n">
        <v>29</v>
      </c>
      <c r="E357" s="8">
        <f>IF(D357&lt;25, "18-24", IF(D357&lt;35, "25-34", IF(D357&lt;50, "35-49", "50+")))</f>
        <v/>
      </c>
      <c r="F357" s="8" t="inlineStr">
        <is>
          <t>New York</t>
        </is>
      </c>
      <c r="G357" s="8" t="inlineStr">
        <is>
          <t>New York</t>
        </is>
      </c>
      <c r="H357" s="8" t="inlineStr">
        <is>
          <t>REG-NA</t>
        </is>
      </c>
      <c r="I357" s="8" t="inlineStr">
        <is>
          <t>Home Office</t>
        </is>
      </c>
      <c r="J357" s="8" t="inlineStr">
        <is>
          <t>2023-12-27</t>
        </is>
      </c>
      <c r="K357" s="8">
        <f>COUNTIFS('05_Orders'!$C:$C, A357)</f>
        <v/>
      </c>
      <c r="L357" s="9">
        <f>SUMIFS('05_Orders'!$I:$I, '05_Orders'!$C:$C, A357)</f>
        <v/>
      </c>
      <c r="M357" s="8">
        <f>IF(L357&gt;=2000, "Platinum VIP", IF(L357&gt;=1000, "Gold", IF(L357&gt;=500, "Silver", "Standard")))</f>
        <v/>
      </c>
    </row>
    <row r="358">
      <c r="A358" s="8" t="inlineStr">
        <is>
          <t>CUST-00354</t>
        </is>
      </c>
      <c r="B358" s="8" t="inlineStr">
        <is>
          <t>Gregory James</t>
        </is>
      </c>
      <c r="C358" s="8" t="inlineStr">
        <is>
          <t>Other</t>
        </is>
      </c>
      <c r="D358" s="8" t="n">
        <v>60</v>
      </c>
      <c r="E358" s="8">
        <f>IF(D358&lt;25, "18-24", IF(D358&lt;35, "25-34", IF(D358&lt;50, "35-49", "50+")))</f>
        <v/>
      </c>
      <c r="F358" s="8" t="inlineStr">
        <is>
          <t>Seoul</t>
        </is>
      </c>
      <c r="G358" s="8" t="inlineStr">
        <is>
          <t>Gyeonggi</t>
        </is>
      </c>
      <c r="H358" s="8" t="inlineStr">
        <is>
          <t>REG-APAC</t>
        </is>
      </c>
      <c r="I358" s="8" t="inlineStr">
        <is>
          <t>Corporate</t>
        </is>
      </c>
      <c r="J358" s="8" t="inlineStr">
        <is>
          <t>2023-06-29</t>
        </is>
      </c>
      <c r="K358" s="8">
        <f>COUNTIFS('05_Orders'!$C:$C, A358)</f>
        <v/>
      </c>
      <c r="L358" s="9">
        <f>SUMIFS('05_Orders'!$I:$I, '05_Orders'!$C:$C, A358)</f>
        <v/>
      </c>
      <c r="M358" s="8">
        <f>IF(L358&gt;=2000, "Platinum VIP", IF(L358&gt;=1000, "Gold", IF(L358&gt;=500, "Silver", "Standard")))</f>
        <v/>
      </c>
    </row>
    <row r="359">
      <c r="A359" s="8" t="inlineStr">
        <is>
          <t>CUST-00355</t>
        </is>
      </c>
      <c r="B359" s="8" t="inlineStr">
        <is>
          <t>Ashley Mitchell</t>
        </is>
      </c>
      <c r="C359" s="8" t="inlineStr">
        <is>
          <t>Male</t>
        </is>
      </c>
      <c r="D359" s="8" t="n">
        <v>30</v>
      </c>
      <c r="E359" s="8">
        <f>IF(D359&lt;25, "18-24", IF(D359&lt;35, "25-34", IF(D359&lt;50, "35-49", "50+")))</f>
        <v/>
      </c>
      <c r="F359" s="8" t="inlineStr">
        <is>
          <t>Atlanta</t>
        </is>
      </c>
      <c r="G359" s="8" t="inlineStr">
        <is>
          <t>Georgia</t>
        </is>
      </c>
      <c r="H359" s="8" t="inlineStr">
        <is>
          <t>REG-NA</t>
        </is>
      </c>
      <c r="I359" s="8" t="inlineStr">
        <is>
          <t>Consumer</t>
        </is>
      </c>
      <c r="J359" s="8" t="inlineStr">
        <is>
          <t>2021-01-30</t>
        </is>
      </c>
      <c r="K359" s="8">
        <f>COUNTIFS('05_Orders'!$C:$C, A359)</f>
        <v/>
      </c>
      <c r="L359" s="9">
        <f>SUMIFS('05_Orders'!$I:$I, '05_Orders'!$C:$C, A359)</f>
        <v/>
      </c>
      <c r="M359" s="8">
        <f>IF(L359&gt;=2000, "Platinum VIP", IF(L359&gt;=1000, "Gold", IF(L359&gt;=500, "Silver", "Standard")))</f>
        <v/>
      </c>
    </row>
    <row r="360">
      <c r="A360" s="8" t="inlineStr">
        <is>
          <t>CUST-00356</t>
        </is>
      </c>
      <c r="B360" s="8" t="inlineStr">
        <is>
          <t>Richard Bennett</t>
        </is>
      </c>
      <c r="C360" s="8" t="inlineStr">
        <is>
          <t>Male</t>
        </is>
      </c>
      <c r="D360" s="8" t="n">
        <v>64</v>
      </c>
      <c r="E360" s="8">
        <f>IF(D360&lt;25, "18-24", IF(D360&lt;35, "25-34", IF(D360&lt;50, "35-49", "50+")))</f>
        <v/>
      </c>
      <c r="F360" s="8" t="inlineStr">
        <is>
          <t>Atlanta</t>
        </is>
      </c>
      <c r="G360" s="8" t="inlineStr">
        <is>
          <t>Georgia</t>
        </is>
      </c>
      <c r="H360" s="8" t="inlineStr">
        <is>
          <t>REG-NA</t>
        </is>
      </c>
      <c r="I360" s="8" t="inlineStr">
        <is>
          <t>Corporate</t>
        </is>
      </c>
      <c r="J360" s="8" t="inlineStr">
        <is>
          <t>2022-11-01</t>
        </is>
      </c>
      <c r="K360" s="8">
        <f>COUNTIFS('05_Orders'!$C:$C, A360)</f>
        <v/>
      </c>
      <c r="L360" s="9">
        <f>SUMIFS('05_Orders'!$I:$I, '05_Orders'!$C:$C, A360)</f>
        <v/>
      </c>
      <c r="M360" s="8">
        <f>IF(L360&gt;=2000, "Platinum VIP", IF(L360&gt;=1000, "Gold", IF(L360&gt;=500, "Silver", "Standard")))</f>
        <v/>
      </c>
    </row>
    <row r="361">
      <c r="A361" s="8" t="inlineStr">
        <is>
          <t>CUST-00357</t>
        </is>
      </c>
      <c r="B361" s="8" t="inlineStr">
        <is>
          <t>Timothy Diaz</t>
        </is>
      </c>
      <c r="C361" s="8" t="inlineStr">
        <is>
          <t>Male</t>
        </is>
      </c>
      <c r="D361" s="8" t="n">
        <v>32</v>
      </c>
      <c r="E361" s="8">
        <f>IF(D361&lt;25, "18-24", IF(D361&lt;35, "25-34", IF(D361&lt;50, "35-49", "50+")))</f>
        <v/>
      </c>
      <c r="F361" s="8" t="inlineStr">
        <is>
          <t>Seattle</t>
        </is>
      </c>
      <c r="G361" s="8" t="inlineStr">
        <is>
          <t>Washington</t>
        </is>
      </c>
      <c r="H361" s="8" t="inlineStr">
        <is>
          <t>REG-NA</t>
        </is>
      </c>
      <c r="I361" s="8" t="inlineStr">
        <is>
          <t>Consumer</t>
        </is>
      </c>
      <c r="J361" s="8" t="inlineStr">
        <is>
          <t>2021-01-31</t>
        </is>
      </c>
      <c r="K361" s="8">
        <f>COUNTIFS('05_Orders'!$C:$C, A361)</f>
        <v/>
      </c>
      <c r="L361" s="9">
        <f>SUMIFS('05_Orders'!$I:$I, '05_Orders'!$C:$C, A361)</f>
        <v/>
      </c>
      <c r="M361" s="8">
        <f>IF(L361&gt;=2000, "Platinum VIP", IF(L361&gt;=1000, "Gold", IF(L361&gt;=500, "Silver", "Standard")))</f>
        <v/>
      </c>
    </row>
    <row r="362">
      <c r="A362" s="8" t="inlineStr">
        <is>
          <t>CUST-00358</t>
        </is>
      </c>
      <c r="B362" s="8" t="inlineStr">
        <is>
          <t>William James</t>
        </is>
      </c>
      <c r="C362" s="8" t="inlineStr">
        <is>
          <t>Female</t>
        </is>
      </c>
      <c r="D362" s="8" t="n">
        <v>59</v>
      </c>
      <c r="E362" s="8">
        <f>IF(D362&lt;25, "18-24", IF(D362&lt;35, "25-34", IF(D362&lt;50, "35-49", "50+")))</f>
        <v/>
      </c>
      <c r="F362" s="8" t="inlineStr">
        <is>
          <t>London</t>
        </is>
      </c>
      <c r="G362" s="8" t="inlineStr">
        <is>
          <t>Greater London</t>
        </is>
      </c>
      <c r="H362" s="8" t="inlineStr">
        <is>
          <t>REG-EU</t>
        </is>
      </c>
      <c r="I362" s="8" t="inlineStr">
        <is>
          <t>Consumer</t>
        </is>
      </c>
      <c r="J362" s="8" t="inlineStr">
        <is>
          <t>2022-03-24</t>
        </is>
      </c>
      <c r="K362" s="8">
        <f>COUNTIFS('05_Orders'!$C:$C, A362)</f>
        <v/>
      </c>
      <c r="L362" s="9">
        <f>SUMIFS('05_Orders'!$I:$I, '05_Orders'!$C:$C, A362)</f>
        <v/>
      </c>
      <c r="M362" s="8">
        <f>IF(L362&gt;=2000, "Platinum VIP", IF(L362&gt;=1000, "Gold", IF(L362&gt;=500, "Silver", "Standard")))</f>
        <v/>
      </c>
    </row>
    <row r="363">
      <c r="A363" s="8" t="inlineStr">
        <is>
          <t>CUST-00359</t>
        </is>
      </c>
      <c r="B363" s="8" t="inlineStr">
        <is>
          <t>Carolyn Morgan</t>
        </is>
      </c>
      <c r="C363" s="8" t="inlineStr">
        <is>
          <t>Other</t>
        </is>
      </c>
      <c r="D363" s="8" t="n">
        <v>28</v>
      </c>
      <c r="E363" s="8">
        <f>IF(D363&lt;25, "18-24", IF(D363&lt;35, "25-34", IF(D363&lt;50, "35-49", "50+")))</f>
        <v/>
      </c>
      <c r="F363" s="8" t="inlineStr">
        <is>
          <t>Los Angeles</t>
        </is>
      </c>
      <c r="G363" s="8" t="inlineStr">
        <is>
          <t>California</t>
        </is>
      </c>
      <c r="H363" s="8" t="inlineStr">
        <is>
          <t>REG-NA</t>
        </is>
      </c>
      <c r="I363" s="8" t="inlineStr">
        <is>
          <t>Corporate</t>
        </is>
      </c>
      <c r="J363" s="8" t="inlineStr">
        <is>
          <t>2024-07-16</t>
        </is>
      </c>
      <c r="K363" s="8">
        <f>COUNTIFS('05_Orders'!$C:$C, A363)</f>
        <v/>
      </c>
      <c r="L363" s="9">
        <f>SUMIFS('05_Orders'!$I:$I, '05_Orders'!$C:$C, A363)</f>
        <v/>
      </c>
      <c r="M363" s="8">
        <f>IF(L363&gt;=2000, "Platinum VIP", IF(L363&gt;=1000, "Gold", IF(L363&gt;=500, "Silver", "Standard")))</f>
        <v/>
      </c>
    </row>
    <row r="364">
      <c r="A364" s="8" t="inlineStr">
        <is>
          <t>CUST-00360</t>
        </is>
      </c>
      <c r="B364" s="8" t="inlineStr">
        <is>
          <t>Brian Thompson</t>
        </is>
      </c>
      <c r="C364" s="8" t="inlineStr">
        <is>
          <t>Other</t>
        </is>
      </c>
      <c r="D364" s="8" t="n">
        <v>66</v>
      </c>
      <c r="E364" s="8">
        <f>IF(D364&lt;25, "18-24", IF(D364&lt;35, "25-34", IF(D364&lt;50, "35-49", "50+")))</f>
        <v/>
      </c>
      <c r="F364" s="8" t="inlineStr">
        <is>
          <t>Hong Kong</t>
        </is>
      </c>
      <c r="G364" s="8" t="inlineStr">
        <is>
          <t>Hong Kong</t>
        </is>
      </c>
      <c r="H364" s="8" t="inlineStr">
        <is>
          <t>REG-APAC</t>
        </is>
      </c>
      <c r="I364" s="8" t="inlineStr">
        <is>
          <t>Enterprise</t>
        </is>
      </c>
      <c r="J364" s="8" t="inlineStr">
        <is>
          <t>2024-09-26</t>
        </is>
      </c>
      <c r="K364" s="8">
        <f>COUNTIFS('05_Orders'!$C:$C, A364)</f>
        <v/>
      </c>
      <c r="L364" s="9">
        <f>SUMIFS('05_Orders'!$I:$I, '05_Orders'!$C:$C, A364)</f>
        <v/>
      </c>
      <c r="M364" s="8">
        <f>IF(L364&gt;=2000, "Platinum VIP", IF(L364&gt;=1000, "Gold", IF(L364&gt;=500, "Silver", "Standard")))</f>
        <v/>
      </c>
    </row>
    <row r="365">
      <c r="A365" s="8" t="inlineStr">
        <is>
          <t>CUST-00361</t>
        </is>
      </c>
      <c r="B365" s="8" t="inlineStr">
        <is>
          <t>Ronald Rogers</t>
        </is>
      </c>
      <c r="C365" s="8" t="inlineStr">
        <is>
          <t>Other</t>
        </is>
      </c>
      <c r="D365" s="8" t="n">
        <v>65</v>
      </c>
      <c r="E365" s="8">
        <f>IF(D365&lt;25, "18-24", IF(D365&lt;35, "25-34", IF(D365&lt;50, "35-49", "50+")))</f>
        <v/>
      </c>
      <c r="F365" s="8" t="inlineStr">
        <is>
          <t>Denver</t>
        </is>
      </c>
      <c r="G365" s="8" t="inlineStr">
        <is>
          <t>Colorado</t>
        </is>
      </c>
      <c r="H365" s="8" t="inlineStr">
        <is>
          <t>REG-NA</t>
        </is>
      </c>
      <c r="I365" s="8" t="inlineStr">
        <is>
          <t>Corporate</t>
        </is>
      </c>
      <c r="J365" s="8" t="inlineStr">
        <is>
          <t>2021-01-28</t>
        </is>
      </c>
      <c r="K365" s="8">
        <f>COUNTIFS('05_Orders'!$C:$C, A365)</f>
        <v/>
      </c>
      <c r="L365" s="9">
        <f>SUMIFS('05_Orders'!$I:$I, '05_Orders'!$C:$C, A365)</f>
        <v/>
      </c>
      <c r="M365" s="8">
        <f>IF(L365&gt;=2000, "Platinum VIP", IF(L365&gt;=1000, "Gold", IF(L365&gt;=500, "Silver", "Standard")))</f>
        <v/>
      </c>
    </row>
    <row r="366">
      <c r="A366" s="8" t="inlineStr">
        <is>
          <t>CUST-00362</t>
        </is>
      </c>
      <c r="B366" s="8" t="inlineStr">
        <is>
          <t>Dennis Diaz</t>
        </is>
      </c>
      <c r="C366" s="8" t="inlineStr">
        <is>
          <t>Male</t>
        </is>
      </c>
      <c r="D366" s="8" t="n">
        <v>57</v>
      </c>
      <c r="E366" s="8">
        <f>IF(D366&lt;25, "18-24", IF(D366&lt;35, "25-34", IF(D366&lt;50, "35-49", "50+")))</f>
        <v/>
      </c>
      <c r="F366" s="8" t="inlineStr">
        <is>
          <t>Chicago</t>
        </is>
      </c>
      <c r="G366" s="8" t="inlineStr">
        <is>
          <t>Illinois</t>
        </is>
      </c>
      <c r="H366" s="8" t="inlineStr">
        <is>
          <t>REG-NA</t>
        </is>
      </c>
      <c r="I366" s="8" t="inlineStr">
        <is>
          <t>Consumer</t>
        </is>
      </c>
      <c r="J366" s="8" t="inlineStr">
        <is>
          <t>2022-08-31</t>
        </is>
      </c>
      <c r="K366" s="8">
        <f>COUNTIFS('05_Orders'!$C:$C, A366)</f>
        <v/>
      </c>
      <c r="L366" s="9">
        <f>SUMIFS('05_Orders'!$I:$I, '05_Orders'!$C:$C, A366)</f>
        <v/>
      </c>
      <c r="M366" s="8">
        <f>IF(L366&gt;=2000, "Platinum VIP", IF(L366&gt;=1000, "Gold", IF(L366&gt;=500, "Silver", "Standard")))</f>
        <v/>
      </c>
    </row>
    <row r="367">
      <c r="A367" s="8" t="inlineStr">
        <is>
          <t>CUST-00363</t>
        </is>
      </c>
      <c r="B367" s="8" t="inlineStr">
        <is>
          <t>Jack Kim</t>
        </is>
      </c>
      <c r="C367" s="8" t="inlineStr">
        <is>
          <t>Female</t>
        </is>
      </c>
      <c r="D367" s="8" t="n">
        <v>65</v>
      </c>
      <c r="E367" s="8">
        <f>IF(D367&lt;25, "18-24", IF(D367&lt;35, "25-34", IF(D367&lt;50, "35-49", "50+")))</f>
        <v/>
      </c>
      <c r="F367" s="8" t="inlineStr">
        <is>
          <t>Osaka</t>
        </is>
      </c>
      <c r="G367" s="8" t="inlineStr">
        <is>
          <t>Kansai</t>
        </is>
      </c>
      <c r="H367" s="8" t="inlineStr">
        <is>
          <t>REG-APAC</t>
        </is>
      </c>
      <c r="I367" s="8" t="inlineStr">
        <is>
          <t>Consumer</t>
        </is>
      </c>
      <c r="J367" s="8" t="inlineStr">
        <is>
          <t>2024-08-11</t>
        </is>
      </c>
      <c r="K367" s="8">
        <f>COUNTIFS('05_Orders'!$C:$C, A367)</f>
        <v/>
      </c>
      <c r="L367" s="9">
        <f>SUMIFS('05_Orders'!$I:$I, '05_Orders'!$C:$C, A367)</f>
        <v/>
      </c>
      <c r="M367" s="8">
        <f>IF(L367&gt;=2000, "Platinum VIP", IF(L367&gt;=1000, "Gold", IF(L367&gt;=500, "Silver", "Standard")))</f>
        <v/>
      </c>
    </row>
    <row r="368">
      <c r="A368" s="8" t="inlineStr">
        <is>
          <t>CUST-00364</t>
        </is>
      </c>
      <c r="B368" s="8" t="inlineStr">
        <is>
          <t>Kenneth Long</t>
        </is>
      </c>
      <c r="C368" s="8" t="inlineStr">
        <is>
          <t>Male</t>
        </is>
      </c>
      <c r="D368" s="8" t="n">
        <v>32</v>
      </c>
      <c r="E368" s="8">
        <f>IF(D368&lt;25, "18-24", IF(D368&lt;35, "25-34", IF(D368&lt;50, "35-49", "50+")))</f>
        <v/>
      </c>
      <c r="F368" s="8" t="inlineStr">
        <is>
          <t>Hong Kong</t>
        </is>
      </c>
      <c r="G368" s="8" t="inlineStr">
        <is>
          <t>Hong Kong</t>
        </is>
      </c>
      <c r="H368" s="8" t="inlineStr">
        <is>
          <t>REG-APAC</t>
        </is>
      </c>
      <c r="I368" s="8" t="inlineStr">
        <is>
          <t>Consumer</t>
        </is>
      </c>
      <c r="J368" s="8" t="inlineStr">
        <is>
          <t>2022-02-26</t>
        </is>
      </c>
      <c r="K368" s="8">
        <f>COUNTIFS('05_Orders'!$C:$C, A368)</f>
        <v/>
      </c>
      <c r="L368" s="9">
        <f>SUMIFS('05_Orders'!$I:$I, '05_Orders'!$C:$C, A368)</f>
        <v/>
      </c>
      <c r="M368" s="8">
        <f>IF(L368&gt;=2000, "Platinum VIP", IF(L368&gt;=1000, "Gold", IF(L368&gt;=500, "Silver", "Standard")))</f>
        <v/>
      </c>
    </row>
    <row r="369">
      <c r="A369" s="8" t="inlineStr">
        <is>
          <t>CUST-00365</t>
        </is>
      </c>
      <c r="B369" s="8" t="inlineStr">
        <is>
          <t>Rachel Hughes</t>
        </is>
      </c>
      <c r="C369" s="8" t="inlineStr">
        <is>
          <t>Other</t>
        </is>
      </c>
      <c r="D369" s="8" t="n">
        <v>32</v>
      </c>
      <c r="E369" s="8">
        <f>IF(D369&lt;25, "18-24", IF(D369&lt;35, "25-34", IF(D369&lt;50, "35-49", "50+")))</f>
        <v/>
      </c>
      <c r="F369" s="8" t="inlineStr">
        <is>
          <t>Amsterdam</t>
        </is>
      </c>
      <c r="G369" s="8" t="inlineStr">
        <is>
          <t>North Holland</t>
        </is>
      </c>
      <c r="H369" s="8" t="inlineStr">
        <is>
          <t>REG-EU</t>
        </is>
      </c>
      <c r="I369" s="8" t="inlineStr">
        <is>
          <t>Corporate</t>
        </is>
      </c>
      <c r="J369" s="8" t="inlineStr">
        <is>
          <t>2022-01-11</t>
        </is>
      </c>
      <c r="K369" s="8">
        <f>COUNTIFS('05_Orders'!$C:$C, A369)</f>
        <v/>
      </c>
      <c r="L369" s="9">
        <f>SUMIFS('05_Orders'!$I:$I, '05_Orders'!$C:$C, A369)</f>
        <v/>
      </c>
      <c r="M369" s="8">
        <f>IF(L369&gt;=2000, "Platinum VIP", IF(L369&gt;=1000, "Gold", IF(L369&gt;=500, "Silver", "Standard")))</f>
        <v/>
      </c>
    </row>
    <row r="370">
      <c r="A370" s="8" t="inlineStr">
        <is>
          <t>CUST-00366</t>
        </is>
      </c>
      <c r="B370" s="8" t="inlineStr">
        <is>
          <t>Matthew Miller</t>
        </is>
      </c>
      <c r="C370" s="8" t="inlineStr">
        <is>
          <t>Other</t>
        </is>
      </c>
      <c r="D370" s="8" t="n">
        <v>27</v>
      </c>
      <c r="E370" s="8">
        <f>IF(D370&lt;25, "18-24", IF(D370&lt;35, "25-34", IF(D370&lt;50, "35-49", "50+")))</f>
        <v/>
      </c>
      <c r="F370" s="8" t="inlineStr">
        <is>
          <t>Mexico City</t>
        </is>
      </c>
      <c r="G370" s="8" t="inlineStr">
        <is>
          <t>CDMX</t>
        </is>
      </c>
      <c r="H370" s="8" t="inlineStr">
        <is>
          <t>REG-LATAM</t>
        </is>
      </c>
      <c r="I370" s="8" t="inlineStr">
        <is>
          <t>Consumer</t>
        </is>
      </c>
      <c r="J370" s="8" t="inlineStr">
        <is>
          <t>2024-04-28</t>
        </is>
      </c>
      <c r="K370" s="8">
        <f>COUNTIFS('05_Orders'!$C:$C, A370)</f>
        <v/>
      </c>
      <c r="L370" s="9">
        <f>SUMIFS('05_Orders'!$I:$I, '05_Orders'!$C:$C, A370)</f>
        <v/>
      </c>
      <c r="M370" s="8">
        <f>IF(L370&gt;=2000, "Platinum VIP", IF(L370&gt;=1000, "Gold", IF(L370&gt;=500, "Silver", "Standard")))</f>
        <v/>
      </c>
    </row>
    <row r="371">
      <c r="A371" s="8" t="inlineStr">
        <is>
          <t>CUST-00367</t>
        </is>
      </c>
      <c r="B371" s="8" t="inlineStr">
        <is>
          <t>Jeffrey Castillo</t>
        </is>
      </c>
      <c r="C371" s="8" t="inlineStr">
        <is>
          <t>Female</t>
        </is>
      </c>
      <c r="D371" s="8" t="n">
        <v>37</v>
      </c>
      <c r="E371" s="8">
        <f>IF(D371&lt;25, "18-24", IF(D371&lt;35, "25-34", IF(D371&lt;50, "35-49", "50+")))</f>
        <v/>
      </c>
      <c r="F371" s="8" t="inlineStr">
        <is>
          <t>Houston</t>
        </is>
      </c>
      <c r="G371" s="8" t="inlineStr">
        <is>
          <t>Texas</t>
        </is>
      </c>
      <c r="H371" s="8" t="inlineStr">
        <is>
          <t>REG-NA</t>
        </is>
      </c>
      <c r="I371" s="8" t="inlineStr">
        <is>
          <t>Consumer</t>
        </is>
      </c>
      <c r="J371" s="8" t="inlineStr">
        <is>
          <t>2021-12-28</t>
        </is>
      </c>
      <c r="K371" s="8">
        <f>COUNTIFS('05_Orders'!$C:$C, A371)</f>
        <v/>
      </c>
      <c r="L371" s="9">
        <f>SUMIFS('05_Orders'!$I:$I, '05_Orders'!$C:$C, A371)</f>
        <v/>
      </c>
      <c r="M371" s="8">
        <f>IF(L371&gt;=2000, "Platinum VIP", IF(L371&gt;=1000, "Gold", IF(L371&gt;=500, "Silver", "Standard")))</f>
        <v/>
      </c>
    </row>
    <row r="372">
      <c r="A372" s="8" t="inlineStr">
        <is>
          <t>CUST-00368</t>
        </is>
      </c>
      <c r="B372" s="8" t="inlineStr">
        <is>
          <t>Margaret Wright</t>
        </is>
      </c>
      <c r="C372" s="8" t="inlineStr">
        <is>
          <t>Female</t>
        </is>
      </c>
      <c r="D372" s="8" t="n">
        <v>23</v>
      </c>
      <c r="E372" s="8">
        <f>IF(D372&lt;25, "18-24", IF(D372&lt;35, "25-34", IF(D372&lt;50, "35-49", "50+")))</f>
        <v/>
      </c>
      <c r="F372" s="8" t="inlineStr">
        <is>
          <t>Santiago</t>
        </is>
      </c>
      <c r="G372" s="8" t="inlineStr">
        <is>
          <t>Santiago Metro</t>
        </is>
      </c>
      <c r="H372" s="8" t="inlineStr">
        <is>
          <t>REG-LATAM</t>
        </is>
      </c>
      <c r="I372" s="8" t="inlineStr">
        <is>
          <t>Consumer</t>
        </is>
      </c>
      <c r="J372" s="8" t="inlineStr">
        <is>
          <t>2021-12-10</t>
        </is>
      </c>
      <c r="K372" s="8">
        <f>COUNTIFS('05_Orders'!$C:$C, A372)</f>
        <v/>
      </c>
      <c r="L372" s="9">
        <f>SUMIFS('05_Orders'!$I:$I, '05_Orders'!$C:$C, A372)</f>
        <v/>
      </c>
      <c r="M372" s="8">
        <f>IF(L372&gt;=2000, "Platinum VIP", IF(L372&gt;=1000, "Gold", IF(L372&gt;=500, "Silver", "Standard")))</f>
        <v/>
      </c>
    </row>
    <row r="373">
      <c r="A373" s="8" t="inlineStr">
        <is>
          <t>CUST-00369</t>
        </is>
      </c>
      <c r="B373" s="8" t="inlineStr">
        <is>
          <t>Karen Morris</t>
        </is>
      </c>
      <c r="C373" s="8" t="inlineStr">
        <is>
          <t>Male</t>
        </is>
      </c>
      <c r="D373" s="8" t="n">
        <v>66</v>
      </c>
      <c r="E373" s="8">
        <f>IF(D373&lt;25, "18-24", IF(D373&lt;35, "25-34", IF(D373&lt;50, "35-49", "50+")))</f>
        <v/>
      </c>
      <c r="F373" s="8" t="inlineStr">
        <is>
          <t>Los Angeles</t>
        </is>
      </c>
      <c r="G373" s="8" t="inlineStr">
        <is>
          <t>California</t>
        </is>
      </c>
      <c r="H373" s="8" t="inlineStr">
        <is>
          <t>REG-NA</t>
        </is>
      </c>
      <c r="I373" s="8" t="inlineStr">
        <is>
          <t>Corporate</t>
        </is>
      </c>
      <c r="J373" s="8" t="inlineStr">
        <is>
          <t>2022-09-07</t>
        </is>
      </c>
      <c r="K373" s="8">
        <f>COUNTIFS('05_Orders'!$C:$C, A373)</f>
        <v/>
      </c>
      <c r="L373" s="9">
        <f>SUMIFS('05_Orders'!$I:$I, '05_Orders'!$C:$C, A373)</f>
        <v/>
      </c>
      <c r="M373" s="8">
        <f>IF(L373&gt;=2000, "Platinum VIP", IF(L373&gt;=1000, "Gold", IF(L373&gt;=500, "Silver", "Standard")))</f>
        <v/>
      </c>
    </row>
    <row r="374">
      <c r="A374" s="8" t="inlineStr">
        <is>
          <t>CUST-00370</t>
        </is>
      </c>
      <c r="B374" s="8" t="inlineStr">
        <is>
          <t>Kathleen Flores</t>
        </is>
      </c>
      <c r="C374" s="8" t="inlineStr">
        <is>
          <t>Female</t>
        </is>
      </c>
      <c r="D374" s="8" t="n">
        <v>36</v>
      </c>
      <c r="E374" s="8">
        <f>IF(D374&lt;25, "18-24", IF(D374&lt;35, "25-34", IF(D374&lt;50, "35-49", "50+")))</f>
        <v/>
      </c>
      <c r="F374" s="8" t="inlineStr">
        <is>
          <t>Denver</t>
        </is>
      </c>
      <c r="G374" s="8" t="inlineStr">
        <is>
          <t>Colorado</t>
        </is>
      </c>
      <c r="H374" s="8" t="inlineStr">
        <is>
          <t>REG-NA</t>
        </is>
      </c>
      <c r="I374" s="8" t="inlineStr">
        <is>
          <t>Corporate</t>
        </is>
      </c>
      <c r="J374" s="8" t="inlineStr">
        <is>
          <t>2022-11-14</t>
        </is>
      </c>
      <c r="K374" s="8">
        <f>COUNTIFS('05_Orders'!$C:$C, A374)</f>
        <v/>
      </c>
      <c r="L374" s="9">
        <f>SUMIFS('05_Orders'!$I:$I, '05_Orders'!$C:$C, A374)</f>
        <v/>
      </c>
      <c r="M374" s="8">
        <f>IF(L374&gt;=2000, "Platinum VIP", IF(L374&gt;=1000, "Gold", IF(L374&gt;=500, "Silver", "Standard")))</f>
        <v/>
      </c>
    </row>
    <row r="375">
      <c r="A375" s="8" t="inlineStr">
        <is>
          <t>CUST-00371</t>
        </is>
      </c>
      <c r="B375" s="8" t="inlineStr">
        <is>
          <t>Mary Cook</t>
        </is>
      </c>
      <c r="C375" s="8" t="inlineStr">
        <is>
          <t>Other</t>
        </is>
      </c>
      <c r="D375" s="8" t="n">
        <v>64</v>
      </c>
      <c r="E375" s="8">
        <f>IF(D375&lt;25, "18-24", IF(D375&lt;35, "25-34", IF(D375&lt;50, "35-49", "50+")))</f>
        <v/>
      </c>
      <c r="F375" s="8" t="inlineStr">
        <is>
          <t>Atlanta</t>
        </is>
      </c>
      <c r="G375" s="8" t="inlineStr">
        <is>
          <t>Georgia</t>
        </is>
      </c>
      <c r="H375" s="8" t="inlineStr">
        <is>
          <t>REG-NA</t>
        </is>
      </c>
      <c r="I375" s="8" t="inlineStr">
        <is>
          <t>Enterprise</t>
        </is>
      </c>
      <c r="J375" s="8" t="inlineStr">
        <is>
          <t>2023-03-20</t>
        </is>
      </c>
      <c r="K375" s="8">
        <f>COUNTIFS('05_Orders'!$C:$C, A375)</f>
        <v/>
      </c>
      <c r="L375" s="9">
        <f>SUMIFS('05_Orders'!$I:$I, '05_Orders'!$C:$C, A375)</f>
        <v/>
      </c>
      <c r="M375" s="8">
        <f>IF(L375&gt;=2000, "Platinum VIP", IF(L375&gt;=1000, "Gold", IF(L375&gt;=500, "Silver", "Standard")))</f>
        <v/>
      </c>
    </row>
    <row r="376">
      <c r="A376" s="8" t="inlineStr">
        <is>
          <t>CUST-00372</t>
        </is>
      </c>
      <c r="B376" s="8" t="inlineStr">
        <is>
          <t>Nicole Martinez</t>
        </is>
      </c>
      <c r="C376" s="8" t="inlineStr">
        <is>
          <t>Female</t>
        </is>
      </c>
      <c r="D376" s="8" t="n">
        <v>20</v>
      </c>
      <c r="E376" s="8">
        <f>IF(D376&lt;25, "18-24", IF(D376&lt;35, "25-34", IF(D376&lt;50, "35-49", "50+")))</f>
        <v/>
      </c>
      <c r="F376" s="8" t="inlineStr">
        <is>
          <t>Rio de Janeiro</t>
        </is>
      </c>
      <c r="G376" s="8" t="inlineStr">
        <is>
          <t>Rio de Janeiro State</t>
        </is>
      </c>
      <c r="H376" s="8" t="inlineStr">
        <is>
          <t>REG-LATAM</t>
        </is>
      </c>
      <c r="I376" s="8" t="inlineStr">
        <is>
          <t>Consumer</t>
        </is>
      </c>
      <c r="J376" s="8" t="inlineStr">
        <is>
          <t>2024-03-04</t>
        </is>
      </c>
      <c r="K376" s="8">
        <f>COUNTIFS('05_Orders'!$C:$C, A376)</f>
        <v/>
      </c>
      <c r="L376" s="9">
        <f>SUMIFS('05_Orders'!$I:$I, '05_Orders'!$C:$C, A376)</f>
        <v/>
      </c>
      <c r="M376" s="8">
        <f>IF(L376&gt;=2000, "Platinum VIP", IF(L376&gt;=1000, "Gold", IF(L376&gt;=500, "Silver", "Standard")))</f>
        <v/>
      </c>
    </row>
    <row r="377">
      <c r="A377" s="8" t="inlineStr">
        <is>
          <t>CUST-00373</t>
        </is>
      </c>
      <c r="B377" s="8" t="inlineStr">
        <is>
          <t>Jerry Castillo</t>
        </is>
      </c>
      <c r="C377" s="8" t="inlineStr">
        <is>
          <t>Female</t>
        </is>
      </c>
      <c r="D377" s="8" t="n">
        <v>50</v>
      </c>
      <c r="E377" s="8">
        <f>IF(D377&lt;25, "18-24", IF(D377&lt;35, "25-34", IF(D377&lt;50, "35-49", "50+")))</f>
        <v/>
      </c>
      <c r="F377" s="8" t="inlineStr">
        <is>
          <t>Hong Kong</t>
        </is>
      </c>
      <c r="G377" s="8" t="inlineStr">
        <is>
          <t>Hong Kong</t>
        </is>
      </c>
      <c r="H377" s="8" t="inlineStr">
        <is>
          <t>REG-APAC</t>
        </is>
      </c>
      <c r="I377" s="8" t="inlineStr">
        <is>
          <t>Corporate</t>
        </is>
      </c>
      <c r="J377" s="8" t="inlineStr">
        <is>
          <t>2024-08-26</t>
        </is>
      </c>
      <c r="K377" s="8">
        <f>COUNTIFS('05_Orders'!$C:$C, A377)</f>
        <v/>
      </c>
      <c r="L377" s="9">
        <f>SUMIFS('05_Orders'!$I:$I, '05_Orders'!$C:$C, A377)</f>
        <v/>
      </c>
      <c r="M377" s="8">
        <f>IF(L377&gt;=2000, "Platinum VIP", IF(L377&gt;=1000, "Gold", IF(L377&gt;=500, "Silver", "Standard")))</f>
        <v/>
      </c>
    </row>
    <row r="378">
      <c r="A378" s="8" t="inlineStr">
        <is>
          <t>CUST-00374</t>
        </is>
      </c>
      <c r="B378" s="8" t="inlineStr">
        <is>
          <t>Edward Watson</t>
        </is>
      </c>
      <c r="C378" s="8" t="inlineStr">
        <is>
          <t>Other</t>
        </is>
      </c>
      <c r="D378" s="8" t="n">
        <v>61</v>
      </c>
      <c r="E378" s="8">
        <f>IF(D378&lt;25, "18-24", IF(D378&lt;35, "25-34", IF(D378&lt;50, "35-49", "50+")))</f>
        <v/>
      </c>
      <c r="F378" s="8" t="inlineStr">
        <is>
          <t>Chicago</t>
        </is>
      </c>
      <c r="G378" s="8" t="inlineStr">
        <is>
          <t>Illinois</t>
        </is>
      </c>
      <c r="H378" s="8" t="inlineStr">
        <is>
          <t>REG-NA</t>
        </is>
      </c>
      <c r="I378" s="8" t="inlineStr">
        <is>
          <t>Consumer</t>
        </is>
      </c>
      <c r="J378" s="8" t="inlineStr">
        <is>
          <t>2023-07-22</t>
        </is>
      </c>
      <c r="K378" s="8">
        <f>COUNTIFS('05_Orders'!$C:$C, A378)</f>
        <v/>
      </c>
      <c r="L378" s="9">
        <f>SUMIFS('05_Orders'!$I:$I, '05_Orders'!$C:$C, A378)</f>
        <v/>
      </c>
      <c r="M378" s="8">
        <f>IF(L378&gt;=2000, "Platinum VIP", IF(L378&gt;=1000, "Gold", IF(L378&gt;=500, "Silver", "Standard")))</f>
        <v/>
      </c>
    </row>
    <row r="379">
      <c r="A379" s="8" t="inlineStr">
        <is>
          <t>CUST-00375</t>
        </is>
      </c>
      <c r="B379" s="8" t="inlineStr">
        <is>
          <t>Frank Lee</t>
        </is>
      </c>
      <c r="C379" s="8" t="inlineStr">
        <is>
          <t>Male</t>
        </is>
      </c>
      <c r="D379" s="8" t="n">
        <v>25</v>
      </c>
      <c r="E379" s="8">
        <f>IF(D379&lt;25, "18-24", IF(D379&lt;35, "25-34", IF(D379&lt;50, "35-49", "50+")))</f>
        <v/>
      </c>
      <c r="F379" s="8" t="inlineStr">
        <is>
          <t>Seoul</t>
        </is>
      </c>
      <c r="G379" s="8" t="inlineStr">
        <is>
          <t>Gyeonggi</t>
        </is>
      </c>
      <c r="H379" s="8" t="inlineStr">
        <is>
          <t>REG-APAC</t>
        </is>
      </c>
      <c r="I379" s="8" t="inlineStr">
        <is>
          <t>Consumer</t>
        </is>
      </c>
      <c r="J379" s="8" t="inlineStr">
        <is>
          <t>2024-04-15</t>
        </is>
      </c>
      <c r="K379" s="8">
        <f>COUNTIFS('05_Orders'!$C:$C, A379)</f>
        <v/>
      </c>
      <c r="L379" s="9">
        <f>SUMIFS('05_Orders'!$I:$I, '05_Orders'!$C:$C, A379)</f>
        <v/>
      </c>
      <c r="M379" s="8">
        <f>IF(L379&gt;=2000, "Platinum VIP", IF(L379&gt;=1000, "Gold", IF(L379&gt;=500, "Silver", "Standard")))</f>
        <v/>
      </c>
    </row>
    <row r="380">
      <c r="A380" s="8" t="inlineStr">
        <is>
          <t>CUST-00376</t>
        </is>
      </c>
      <c r="B380" s="8" t="inlineStr">
        <is>
          <t>Nancy Diaz</t>
        </is>
      </c>
      <c r="C380" s="8" t="inlineStr">
        <is>
          <t>Female</t>
        </is>
      </c>
      <c r="D380" s="8" t="n">
        <v>62</v>
      </c>
      <c r="E380" s="8">
        <f>IF(D380&lt;25, "18-24", IF(D380&lt;35, "25-34", IF(D380&lt;50, "35-49", "50+")))</f>
        <v/>
      </c>
      <c r="F380" s="8" t="inlineStr">
        <is>
          <t>Boston</t>
        </is>
      </c>
      <c r="G380" s="8" t="inlineStr">
        <is>
          <t>Massachusetts</t>
        </is>
      </c>
      <c r="H380" s="8" t="inlineStr">
        <is>
          <t>REG-NA</t>
        </is>
      </c>
      <c r="I380" s="8" t="inlineStr">
        <is>
          <t>Corporate</t>
        </is>
      </c>
      <c r="J380" s="8" t="inlineStr">
        <is>
          <t>2023-02-23</t>
        </is>
      </c>
      <c r="K380" s="8">
        <f>COUNTIFS('05_Orders'!$C:$C, A380)</f>
        <v/>
      </c>
      <c r="L380" s="9">
        <f>SUMIFS('05_Orders'!$I:$I, '05_Orders'!$C:$C, A380)</f>
        <v/>
      </c>
      <c r="M380" s="8">
        <f>IF(L380&gt;=2000, "Platinum VIP", IF(L380&gt;=1000, "Gold", IF(L380&gt;=500, "Silver", "Standard")))</f>
        <v/>
      </c>
    </row>
    <row r="381">
      <c r="A381" s="8" t="inlineStr">
        <is>
          <t>CUST-00377</t>
        </is>
      </c>
      <c r="B381" s="8" t="inlineStr">
        <is>
          <t>Barbara Wilson</t>
        </is>
      </c>
      <c r="C381" s="8" t="inlineStr">
        <is>
          <t>Other</t>
        </is>
      </c>
      <c r="D381" s="8" t="n">
        <v>54</v>
      </c>
      <c r="E381" s="8">
        <f>IF(D381&lt;25, "18-24", IF(D381&lt;35, "25-34", IF(D381&lt;50, "35-49", "50+")))</f>
        <v/>
      </c>
      <c r="F381" s="8" t="inlineStr">
        <is>
          <t>Hong Kong</t>
        </is>
      </c>
      <c r="G381" s="8" t="inlineStr">
        <is>
          <t>Hong Kong</t>
        </is>
      </c>
      <c r="H381" s="8" t="inlineStr">
        <is>
          <t>REG-APAC</t>
        </is>
      </c>
      <c r="I381" s="8" t="inlineStr">
        <is>
          <t>Home Office</t>
        </is>
      </c>
      <c r="J381" s="8" t="inlineStr">
        <is>
          <t>2022-07-05</t>
        </is>
      </c>
      <c r="K381" s="8">
        <f>COUNTIFS('05_Orders'!$C:$C, A381)</f>
        <v/>
      </c>
      <c r="L381" s="9">
        <f>SUMIFS('05_Orders'!$I:$I, '05_Orders'!$C:$C, A381)</f>
        <v/>
      </c>
      <c r="M381" s="8">
        <f>IF(L381&gt;=2000, "Platinum VIP", IF(L381&gt;=1000, "Gold", IF(L381&gt;=500, "Silver", "Standard")))</f>
        <v/>
      </c>
    </row>
    <row r="382">
      <c r="A382" s="8" t="inlineStr">
        <is>
          <t>CUST-00378</t>
        </is>
      </c>
      <c r="B382" s="8" t="inlineStr">
        <is>
          <t>Nancy Morales</t>
        </is>
      </c>
      <c r="C382" s="8" t="inlineStr">
        <is>
          <t>Male</t>
        </is>
      </c>
      <c r="D382" s="8" t="n">
        <v>24</v>
      </c>
      <c r="E382" s="8">
        <f>IF(D382&lt;25, "18-24", IF(D382&lt;35, "25-34", IF(D382&lt;50, "35-49", "50+")))</f>
        <v/>
      </c>
      <c r="F382" s="8" t="inlineStr">
        <is>
          <t>Atlanta</t>
        </is>
      </c>
      <c r="G382" s="8" t="inlineStr">
        <is>
          <t>Georgia</t>
        </is>
      </c>
      <c r="H382" s="8" t="inlineStr">
        <is>
          <t>REG-NA</t>
        </is>
      </c>
      <c r="I382" s="8" t="inlineStr">
        <is>
          <t>Corporate</t>
        </is>
      </c>
      <c r="J382" s="8" t="inlineStr">
        <is>
          <t>2024-09-02</t>
        </is>
      </c>
      <c r="K382" s="8">
        <f>COUNTIFS('05_Orders'!$C:$C, A382)</f>
        <v/>
      </c>
      <c r="L382" s="9">
        <f>SUMIFS('05_Orders'!$I:$I, '05_Orders'!$C:$C, A382)</f>
        <v/>
      </c>
      <c r="M382" s="8">
        <f>IF(L382&gt;=2000, "Platinum VIP", IF(L382&gt;=1000, "Gold", IF(L382&gt;=500, "Silver", "Standard")))</f>
        <v/>
      </c>
    </row>
    <row r="383">
      <c r="A383" s="8" t="inlineStr">
        <is>
          <t>CUST-00379</t>
        </is>
      </c>
      <c r="B383" s="8" t="inlineStr">
        <is>
          <t>Sarah Sanchez</t>
        </is>
      </c>
      <c r="C383" s="8" t="inlineStr">
        <is>
          <t>Female</t>
        </is>
      </c>
      <c r="D383" s="8" t="n">
        <v>29</v>
      </c>
      <c r="E383" s="8">
        <f>IF(D383&lt;25, "18-24", IF(D383&lt;35, "25-34", IF(D383&lt;50, "35-49", "50+")))</f>
        <v/>
      </c>
      <c r="F383" s="8" t="inlineStr">
        <is>
          <t>Manchester</t>
        </is>
      </c>
      <c r="G383" s="8" t="inlineStr">
        <is>
          <t>Greater Manchester</t>
        </is>
      </c>
      <c r="H383" s="8" t="inlineStr">
        <is>
          <t>REG-EU</t>
        </is>
      </c>
      <c r="I383" s="8" t="inlineStr">
        <is>
          <t>Consumer</t>
        </is>
      </c>
      <c r="J383" s="8" t="inlineStr">
        <is>
          <t>2022-03-12</t>
        </is>
      </c>
      <c r="K383" s="8">
        <f>COUNTIFS('05_Orders'!$C:$C, A383)</f>
        <v/>
      </c>
      <c r="L383" s="9">
        <f>SUMIFS('05_Orders'!$I:$I, '05_Orders'!$C:$C, A383)</f>
        <v/>
      </c>
      <c r="M383" s="8">
        <f>IF(L383&gt;=2000, "Platinum VIP", IF(L383&gt;=1000, "Gold", IF(L383&gt;=500, "Silver", "Standard")))</f>
        <v/>
      </c>
    </row>
    <row r="384">
      <c r="A384" s="8" t="inlineStr">
        <is>
          <t>CUST-00380</t>
        </is>
      </c>
      <c r="B384" s="8" t="inlineStr">
        <is>
          <t>Kimberly Evans</t>
        </is>
      </c>
      <c r="C384" s="8" t="inlineStr">
        <is>
          <t>Female</t>
        </is>
      </c>
      <c r="D384" s="8" t="n">
        <v>58</v>
      </c>
      <c r="E384" s="8">
        <f>IF(D384&lt;25, "18-24", IF(D384&lt;35, "25-34", IF(D384&lt;50, "35-49", "50+")))</f>
        <v/>
      </c>
      <c r="F384" s="8" t="inlineStr">
        <is>
          <t>Rio de Janeiro</t>
        </is>
      </c>
      <c r="G384" s="8" t="inlineStr">
        <is>
          <t>Rio de Janeiro State</t>
        </is>
      </c>
      <c r="H384" s="8" t="inlineStr">
        <is>
          <t>REG-LATAM</t>
        </is>
      </c>
      <c r="I384" s="8" t="inlineStr">
        <is>
          <t>Home Office</t>
        </is>
      </c>
      <c r="J384" s="8" t="inlineStr">
        <is>
          <t>2021-12-07</t>
        </is>
      </c>
      <c r="K384" s="8">
        <f>COUNTIFS('05_Orders'!$C:$C, A384)</f>
        <v/>
      </c>
      <c r="L384" s="9">
        <f>SUMIFS('05_Orders'!$I:$I, '05_Orders'!$C:$C, A384)</f>
        <v/>
      </c>
      <c r="M384" s="8">
        <f>IF(L384&gt;=2000, "Platinum VIP", IF(L384&gt;=1000, "Gold", IF(L384&gt;=500, "Silver", "Standard")))</f>
        <v/>
      </c>
    </row>
    <row r="385">
      <c r="A385" s="8" t="inlineStr">
        <is>
          <t>CUST-00381</t>
        </is>
      </c>
      <c r="B385" s="8" t="inlineStr">
        <is>
          <t>Patricia Howard</t>
        </is>
      </c>
      <c r="C385" s="8" t="inlineStr">
        <is>
          <t>Male</t>
        </is>
      </c>
      <c r="D385" s="8" t="n">
        <v>48</v>
      </c>
      <c r="E385" s="8">
        <f>IF(D385&lt;25, "18-24", IF(D385&lt;35, "25-34", IF(D385&lt;50, "35-49", "50+")))</f>
        <v/>
      </c>
      <c r="F385" s="8" t="inlineStr">
        <is>
          <t>Manchester</t>
        </is>
      </c>
      <c r="G385" s="8" t="inlineStr">
        <is>
          <t>Greater Manchester</t>
        </is>
      </c>
      <c r="H385" s="8" t="inlineStr">
        <is>
          <t>REG-EU</t>
        </is>
      </c>
      <c r="I385" s="8" t="inlineStr">
        <is>
          <t>Consumer</t>
        </is>
      </c>
      <c r="J385" s="8" t="inlineStr">
        <is>
          <t>2022-06-29</t>
        </is>
      </c>
      <c r="K385" s="8">
        <f>COUNTIFS('05_Orders'!$C:$C, A385)</f>
        <v/>
      </c>
      <c r="L385" s="9">
        <f>SUMIFS('05_Orders'!$I:$I, '05_Orders'!$C:$C, A385)</f>
        <v/>
      </c>
      <c r="M385" s="8">
        <f>IF(L385&gt;=2000, "Platinum VIP", IF(L385&gt;=1000, "Gold", IF(L385&gt;=500, "Silver", "Standard")))</f>
        <v/>
      </c>
    </row>
    <row r="386">
      <c r="A386" s="8" t="inlineStr">
        <is>
          <t>CUST-00382</t>
        </is>
      </c>
      <c r="B386" s="8" t="inlineStr">
        <is>
          <t>Richard Ramirez</t>
        </is>
      </c>
      <c r="C386" s="8" t="inlineStr">
        <is>
          <t>Other</t>
        </is>
      </c>
      <c r="D386" s="8" t="n">
        <v>68</v>
      </c>
      <c r="E386" s="8">
        <f>IF(D386&lt;25, "18-24", IF(D386&lt;35, "25-34", IF(D386&lt;50, "35-49", "50+")))</f>
        <v/>
      </c>
      <c r="F386" s="8" t="inlineStr">
        <is>
          <t>Denver</t>
        </is>
      </c>
      <c r="G386" s="8" t="inlineStr">
        <is>
          <t>Colorado</t>
        </is>
      </c>
      <c r="H386" s="8" t="inlineStr">
        <is>
          <t>REG-NA</t>
        </is>
      </c>
      <c r="I386" s="8" t="inlineStr">
        <is>
          <t>Corporate</t>
        </is>
      </c>
      <c r="J386" s="8" t="inlineStr">
        <is>
          <t>2025-04-09</t>
        </is>
      </c>
      <c r="K386" s="8">
        <f>COUNTIFS('05_Orders'!$C:$C, A386)</f>
        <v/>
      </c>
      <c r="L386" s="9">
        <f>SUMIFS('05_Orders'!$I:$I, '05_Orders'!$C:$C, A386)</f>
        <v/>
      </c>
      <c r="M386" s="8">
        <f>IF(L386&gt;=2000, "Platinum VIP", IF(L386&gt;=1000, "Gold", IF(L386&gt;=500, "Silver", "Standard")))</f>
        <v/>
      </c>
    </row>
    <row r="387">
      <c r="A387" s="8" t="inlineStr">
        <is>
          <t>CUST-00383</t>
        </is>
      </c>
      <c r="B387" s="8" t="inlineStr">
        <is>
          <t>Amanda Mitchell</t>
        </is>
      </c>
      <c r="C387" s="8" t="inlineStr">
        <is>
          <t>Other</t>
        </is>
      </c>
      <c r="D387" s="8" t="n">
        <v>39</v>
      </c>
      <c r="E387" s="8">
        <f>IF(D387&lt;25, "18-24", IF(D387&lt;35, "25-34", IF(D387&lt;50, "35-49", "50+")))</f>
        <v/>
      </c>
      <c r="F387" s="8" t="inlineStr">
        <is>
          <t>Guadalajara</t>
        </is>
      </c>
      <c r="G387" s="8" t="inlineStr">
        <is>
          <t>Jalisco</t>
        </is>
      </c>
      <c r="H387" s="8" t="inlineStr">
        <is>
          <t>REG-LATAM</t>
        </is>
      </c>
      <c r="I387" s="8" t="inlineStr">
        <is>
          <t>Enterprise</t>
        </is>
      </c>
      <c r="J387" s="8" t="inlineStr">
        <is>
          <t>2024-09-24</t>
        </is>
      </c>
      <c r="K387" s="8">
        <f>COUNTIFS('05_Orders'!$C:$C, A387)</f>
        <v/>
      </c>
      <c r="L387" s="9">
        <f>SUMIFS('05_Orders'!$I:$I, '05_Orders'!$C:$C, A387)</f>
        <v/>
      </c>
      <c r="M387" s="8">
        <f>IF(L387&gt;=2000, "Platinum VIP", IF(L387&gt;=1000, "Gold", IF(L387&gt;=500, "Silver", "Standard")))</f>
        <v/>
      </c>
    </row>
    <row r="388">
      <c r="A388" s="8" t="inlineStr">
        <is>
          <t>CUST-00384</t>
        </is>
      </c>
      <c r="B388" s="8" t="inlineStr">
        <is>
          <t>Richard Smith</t>
        </is>
      </c>
      <c r="C388" s="8" t="inlineStr">
        <is>
          <t>Female</t>
        </is>
      </c>
      <c r="D388" s="8" t="n">
        <v>62</v>
      </c>
      <c r="E388" s="8">
        <f>IF(D388&lt;25, "18-24", IF(D388&lt;35, "25-34", IF(D388&lt;50, "35-49", "50+")))</f>
        <v/>
      </c>
      <c r="F388" s="8" t="inlineStr">
        <is>
          <t>Chicago</t>
        </is>
      </c>
      <c r="G388" s="8" t="inlineStr">
        <is>
          <t>Illinois</t>
        </is>
      </c>
      <c r="H388" s="8" t="inlineStr">
        <is>
          <t>REG-NA</t>
        </is>
      </c>
      <c r="I388" s="8" t="inlineStr">
        <is>
          <t>Consumer</t>
        </is>
      </c>
      <c r="J388" s="8" t="inlineStr">
        <is>
          <t>2021-09-09</t>
        </is>
      </c>
      <c r="K388" s="8">
        <f>COUNTIFS('05_Orders'!$C:$C, A388)</f>
        <v/>
      </c>
      <c r="L388" s="9">
        <f>SUMIFS('05_Orders'!$I:$I, '05_Orders'!$C:$C, A388)</f>
        <v/>
      </c>
      <c r="M388" s="8">
        <f>IF(L388&gt;=2000, "Platinum VIP", IF(L388&gt;=1000, "Gold", IF(L388&gt;=500, "Silver", "Standard")))</f>
        <v/>
      </c>
    </row>
    <row r="389">
      <c r="A389" s="8" t="inlineStr">
        <is>
          <t>CUST-00385</t>
        </is>
      </c>
      <c r="B389" s="8" t="inlineStr">
        <is>
          <t>Deborah Edwards</t>
        </is>
      </c>
      <c r="C389" s="8" t="inlineStr">
        <is>
          <t>Other</t>
        </is>
      </c>
      <c r="D389" s="8" t="n">
        <v>61</v>
      </c>
      <c r="E389" s="8">
        <f>IF(D389&lt;25, "18-24", IF(D389&lt;35, "25-34", IF(D389&lt;50, "35-49", "50+")))</f>
        <v/>
      </c>
      <c r="F389" s="8" t="inlineStr">
        <is>
          <t>Madrid</t>
        </is>
      </c>
      <c r="G389" s="8" t="inlineStr">
        <is>
          <t>Community of Madrid</t>
        </is>
      </c>
      <c r="H389" s="8" t="inlineStr">
        <is>
          <t>REG-EU</t>
        </is>
      </c>
      <c r="I389" s="8" t="inlineStr">
        <is>
          <t>Corporate</t>
        </is>
      </c>
      <c r="J389" s="8" t="inlineStr">
        <is>
          <t>2024-09-14</t>
        </is>
      </c>
      <c r="K389" s="8">
        <f>COUNTIFS('05_Orders'!$C:$C, A389)</f>
        <v/>
      </c>
      <c r="L389" s="9">
        <f>SUMIFS('05_Orders'!$I:$I, '05_Orders'!$C:$C, A389)</f>
        <v/>
      </c>
      <c r="M389" s="8">
        <f>IF(L389&gt;=2000, "Platinum VIP", IF(L389&gt;=1000, "Gold", IF(L389&gt;=500, "Silver", "Standard")))</f>
        <v/>
      </c>
    </row>
    <row r="390">
      <c r="A390" s="8" t="inlineStr">
        <is>
          <t>CUST-00386</t>
        </is>
      </c>
      <c r="B390" s="8" t="inlineStr">
        <is>
          <t>John Brooks</t>
        </is>
      </c>
      <c r="C390" s="8" t="inlineStr">
        <is>
          <t>Female</t>
        </is>
      </c>
      <c r="D390" s="8" t="n">
        <v>20</v>
      </c>
      <c r="E390" s="8">
        <f>IF(D390&lt;25, "18-24", IF(D390&lt;35, "25-34", IF(D390&lt;50, "35-49", "50+")))</f>
        <v/>
      </c>
      <c r="F390" s="8" t="inlineStr">
        <is>
          <t>Santiago</t>
        </is>
      </c>
      <c r="G390" s="8" t="inlineStr">
        <is>
          <t>Santiago Metro</t>
        </is>
      </c>
      <c r="H390" s="8" t="inlineStr">
        <is>
          <t>REG-LATAM</t>
        </is>
      </c>
      <c r="I390" s="8" t="inlineStr">
        <is>
          <t>Corporate</t>
        </is>
      </c>
      <c r="J390" s="8" t="inlineStr">
        <is>
          <t>2022-04-24</t>
        </is>
      </c>
      <c r="K390" s="8">
        <f>COUNTIFS('05_Orders'!$C:$C, A390)</f>
        <v/>
      </c>
      <c r="L390" s="9">
        <f>SUMIFS('05_Orders'!$I:$I, '05_Orders'!$C:$C, A390)</f>
        <v/>
      </c>
      <c r="M390" s="8">
        <f>IF(L390&gt;=2000, "Platinum VIP", IF(L390&gt;=1000, "Gold", IF(L390&gt;=500, "Silver", "Standard")))</f>
        <v/>
      </c>
    </row>
    <row r="391">
      <c r="A391" s="8" t="inlineStr">
        <is>
          <t>CUST-00387</t>
        </is>
      </c>
      <c r="B391" s="8" t="inlineStr">
        <is>
          <t>Jeffrey Stewart</t>
        </is>
      </c>
      <c r="C391" s="8" t="inlineStr">
        <is>
          <t>Other</t>
        </is>
      </c>
      <c r="D391" s="8" t="n">
        <v>72</v>
      </c>
      <c r="E391" s="8">
        <f>IF(D391&lt;25, "18-24", IF(D391&lt;35, "25-34", IF(D391&lt;50, "35-49", "50+")))</f>
        <v/>
      </c>
      <c r="F391" s="8" t="inlineStr">
        <is>
          <t>Manchester</t>
        </is>
      </c>
      <c r="G391" s="8" t="inlineStr">
        <is>
          <t>Greater Manchester</t>
        </is>
      </c>
      <c r="H391" s="8" t="inlineStr">
        <is>
          <t>REG-EU</t>
        </is>
      </c>
      <c r="I391" s="8" t="inlineStr">
        <is>
          <t>Corporate</t>
        </is>
      </c>
      <c r="J391" s="8" t="inlineStr">
        <is>
          <t>2022-08-25</t>
        </is>
      </c>
      <c r="K391" s="8">
        <f>COUNTIFS('05_Orders'!$C:$C, A391)</f>
        <v/>
      </c>
      <c r="L391" s="9">
        <f>SUMIFS('05_Orders'!$I:$I, '05_Orders'!$C:$C, A391)</f>
        <v/>
      </c>
      <c r="M391" s="8">
        <f>IF(L391&gt;=2000, "Platinum VIP", IF(L391&gt;=1000, "Gold", IF(L391&gt;=500, "Silver", "Standard")))</f>
        <v/>
      </c>
    </row>
    <row r="392">
      <c r="A392" s="8" t="inlineStr">
        <is>
          <t>CUST-00388</t>
        </is>
      </c>
      <c r="B392" s="8" t="inlineStr">
        <is>
          <t>Aaron Alvarez</t>
        </is>
      </c>
      <c r="C392" s="8" t="inlineStr">
        <is>
          <t>Other</t>
        </is>
      </c>
      <c r="D392" s="8" t="n">
        <v>20</v>
      </c>
      <c r="E392" s="8">
        <f>IF(D392&lt;25, "18-24", IF(D392&lt;35, "25-34", IF(D392&lt;50, "35-49", "50+")))</f>
        <v/>
      </c>
      <c r="F392" s="8" t="inlineStr">
        <is>
          <t>Los Angeles</t>
        </is>
      </c>
      <c r="G392" s="8" t="inlineStr">
        <is>
          <t>California</t>
        </is>
      </c>
      <c r="H392" s="8" t="inlineStr">
        <is>
          <t>REG-NA</t>
        </is>
      </c>
      <c r="I392" s="8" t="inlineStr">
        <is>
          <t>Consumer</t>
        </is>
      </c>
      <c r="J392" s="8" t="inlineStr">
        <is>
          <t>2024-10-10</t>
        </is>
      </c>
      <c r="K392" s="8">
        <f>COUNTIFS('05_Orders'!$C:$C, A392)</f>
        <v/>
      </c>
      <c r="L392" s="9">
        <f>SUMIFS('05_Orders'!$I:$I, '05_Orders'!$C:$C, A392)</f>
        <v/>
      </c>
      <c r="M392" s="8">
        <f>IF(L392&gt;=2000, "Platinum VIP", IF(L392&gt;=1000, "Gold", IF(L392&gt;=500, "Silver", "Standard")))</f>
        <v/>
      </c>
    </row>
    <row r="393">
      <c r="A393" s="8" t="inlineStr">
        <is>
          <t>CUST-00389</t>
        </is>
      </c>
      <c r="B393" s="8" t="inlineStr">
        <is>
          <t>Joseph Morris</t>
        </is>
      </c>
      <c r="C393" s="8" t="inlineStr">
        <is>
          <t>Other</t>
        </is>
      </c>
      <c r="D393" s="8" t="n">
        <v>52</v>
      </c>
      <c r="E393" s="8">
        <f>IF(D393&lt;25, "18-24", IF(D393&lt;35, "25-34", IF(D393&lt;50, "35-49", "50+")))</f>
        <v/>
      </c>
      <c r="F393" s="8" t="inlineStr">
        <is>
          <t>Houston</t>
        </is>
      </c>
      <c r="G393" s="8" t="inlineStr">
        <is>
          <t>Texas</t>
        </is>
      </c>
      <c r="H393" s="8" t="inlineStr">
        <is>
          <t>REG-NA</t>
        </is>
      </c>
      <c r="I393" s="8" t="inlineStr">
        <is>
          <t>Consumer</t>
        </is>
      </c>
      <c r="J393" s="8" t="inlineStr">
        <is>
          <t>2024-09-13</t>
        </is>
      </c>
      <c r="K393" s="8">
        <f>COUNTIFS('05_Orders'!$C:$C, A393)</f>
        <v/>
      </c>
      <c r="L393" s="9">
        <f>SUMIFS('05_Orders'!$I:$I, '05_Orders'!$C:$C, A393)</f>
        <v/>
      </c>
      <c r="M393" s="8">
        <f>IF(L393&gt;=2000, "Platinum VIP", IF(L393&gt;=1000, "Gold", IF(L393&gt;=500, "Silver", "Standard")))</f>
        <v/>
      </c>
    </row>
    <row r="394">
      <c r="A394" s="8" t="inlineStr">
        <is>
          <t>CUST-00390</t>
        </is>
      </c>
      <c r="B394" s="8" t="inlineStr">
        <is>
          <t>Carol Roberts</t>
        </is>
      </c>
      <c r="C394" s="8" t="inlineStr">
        <is>
          <t>Female</t>
        </is>
      </c>
      <c r="D394" s="8" t="n">
        <v>32</v>
      </c>
      <c r="E394" s="8">
        <f>IF(D394&lt;25, "18-24", IF(D394&lt;35, "25-34", IF(D394&lt;50, "35-49", "50+")))</f>
        <v/>
      </c>
      <c r="F394" s="8" t="inlineStr">
        <is>
          <t>Bangalore</t>
        </is>
      </c>
      <c r="G394" s="8" t="inlineStr">
        <is>
          <t>Karnataka</t>
        </is>
      </c>
      <c r="H394" s="8" t="inlineStr">
        <is>
          <t>REG-APAC</t>
        </is>
      </c>
      <c r="I394" s="8" t="inlineStr">
        <is>
          <t>Enterprise</t>
        </is>
      </c>
      <c r="J394" s="8" t="inlineStr">
        <is>
          <t>2024-10-05</t>
        </is>
      </c>
      <c r="K394" s="8">
        <f>COUNTIFS('05_Orders'!$C:$C, A394)</f>
        <v/>
      </c>
      <c r="L394" s="9">
        <f>SUMIFS('05_Orders'!$I:$I, '05_Orders'!$C:$C, A394)</f>
        <v/>
      </c>
      <c r="M394" s="8">
        <f>IF(L394&gt;=2000, "Platinum VIP", IF(L394&gt;=1000, "Gold", IF(L394&gt;=500, "Silver", "Standard")))</f>
        <v/>
      </c>
    </row>
    <row r="395">
      <c r="A395" s="8" t="inlineStr">
        <is>
          <t>CUST-00391</t>
        </is>
      </c>
      <c r="B395" s="8" t="inlineStr">
        <is>
          <t>Barbara Ruiz</t>
        </is>
      </c>
      <c r="C395" s="8" t="inlineStr">
        <is>
          <t>Female</t>
        </is>
      </c>
      <c r="D395" s="8" t="n">
        <v>32</v>
      </c>
      <c r="E395" s="8">
        <f>IF(D395&lt;25, "18-24", IF(D395&lt;35, "25-34", IF(D395&lt;50, "35-49", "50+")))</f>
        <v/>
      </c>
      <c r="F395" s="8" t="inlineStr">
        <is>
          <t>Medellin</t>
        </is>
      </c>
      <c r="G395" s="8" t="inlineStr">
        <is>
          <t>Antioquia</t>
        </is>
      </c>
      <c r="H395" s="8" t="inlineStr">
        <is>
          <t>REG-LATAM</t>
        </is>
      </c>
      <c r="I395" s="8" t="inlineStr">
        <is>
          <t>Consumer</t>
        </is>
      </c>
      <c r="J395" s="8" t="inlineStr">
        <is>
          <t>2022-12-04</t>
        </is>
      </c>
      <c r="K395" s="8">
        <f>COUNTIFS('05_Orders'!$C:$C, A395)</f>
        <v/>
      </c>
      <c r="L395" s="9">
        <f>SUMIFS('05_Orders'!$I:$I, '05_Orders'!$C:$C, A395)</f>
        <v/>
      </c>
      <c r="M395" s="8">
        <f>IF(L395&gt;=2000, "Platinum VIP", IF(L395&gt;=1000, "Gold", IF(L395&gt;=500, "Silver", "Standard")))</f>
        <v/>
      </c>
    </row>
    <row r="396">
      <c r="A396" s="8" t="inlineStr">
        <is>
          <t>CUST-00392</t>
        </is>
      </c>
      <c r="B396" s="8" t="inlineStr">
        <is>
          <t>Gregory Bailey</t>
        </is>
      </c>
      <c r="C396" s="8" t="inlineStr">
        <is>
          <t>Female</t>
        </is>
      </c>
      <c r="D396" s="8" t="n">
        <v>69</v>
      </c>
      <c r="E396" s="8">
        <f>IF(D396&lt;25, "18-24", IF(D396&lt;35, "25-34", IF(D396&lt;50, "35-49", "50+")))</f>
        <v/>
      </c>
      <c r="F396" s="8" t="inlineStr">
        <is>
          <t>Phoenix</t>
        </is>
      </c>
      <c r="G396" s="8" t="inlineStr">
        <is>
          <t>Arizona</t>
        </is>
      </c>
      <c r="H396" s="8" t="inlineStr">
        <is>
          <t>REG-NA</t>
        </is>
      </c>
      <c r="I396" s="8" t="inlineStr">
        <is>
          <t>Consumer</t>
        </is>
      </c>
      <c r="J396" s="8" t="inlineStr">
        <is>
          <t>2021-06-29</t>
        </is>
      </c>
      <c r="K396" s="8">
        <f>COUNTIFS('05_Orders'!$C:$C, A396)</f>
        <v/>
      </c>
      <c r="L396" s="9">
        <f>SUMIFS('05_Orders'!$I:$I, '05_Orders'!$C:$C, A396)</f>
        <v/>
      </c>
      <c r="M396" s="8">
        <f>IF(L396&gt;=2000, "Platinum VIP", IF(L396&gt;=1000, "Gold", IF(L396&gt;=500, "Silver", "Standard")))</f>
        <v/>
      </c>
    </row>
    <row r="397">
      <c r="A397" s="8" t="inlineStr">
        <is>
          <t>CUST-00393</t>
        </is>
      </c>
      <c r="B397" s="8" t="inlineStr">
        <is>
          <t>Joseph Kelly</t>
        </is>
      </c>
      <c r="C397" s="8" t="inlineStr">
        <is>
          <t>Female</t>
        </is>
      </c>
      <c r="D397" s="8" t="n">
        <v>26</v>
      </c>
      <c r="E397" s="8">
        <f>IF(D397&lt;25, "18-24", IF(D397&lt;35, "25-34", IF(D397&lt;50, "35-49", "50+")))</f>
        <v/>
      </c>
      <c r="F397" s="8" t="inlineStr">
        <is>
          <t>Seoul</t>
        </is>
      </c>
      <c r="G397" s="8" t="inlineStr">
        <is>
          <t>Gyeonggi</t>
        </is>
      </c>
      <c r="H397" s="8" t="inlineStr">
        <is>
          <t>REG-APAC</t>
        </is>
      </c>
      <c r="I397" s="8" t="inlineStr">
        <is>
          <t>Corporate</t>
        </is>
      </c>
      <c r="J397" s="8" t="inlineStr">
        <is>
          <t>2021-01-04</t>
        </is>
      </c>
      <c r="K397" s="8">
        <f>COUNTIFS('05_Orders'!$C:$C, A397)</f>
        <v/>
      </c>
      <c r="L397" s="9">
        <f>SUMIFS('05_Orders'!$I:$I, '05_Orders'!$C:$C, A397)</f>
        <v/>
      </c>
      <c r="M397" s="8">
        <f>IF(L397&gt;=2000, "Platinum VIP", IF(L397&gt;=1000, "Gold", IF(L397&gt;=500, "Silver", "Standard")))</f>
        <v/>
      </c>
    </row>
    <row r="398">
      <c r="A398" s="8" t="inlineStr">
        <is>
          <t>CUST-00394</t>
        </is>
      </c>
      <c r="B398" s="8" t="inlineStr">
        <is>
          <t>Jeffrey Green</t>
        </is>
      </c>
      <c r="C398" s="8" t="inlineStr">
        <is>
          <t>Female</t>
        </is>
      </c>
      <c r="D398" s="8" t="n">
        <v>69</v>
      </c>
      <c r="E398" s="8">
        <f>IF(D398&lt;25, "18-24", IF(D398&lt;35, "25-34", IF(D398&lt;50, "35-49", "50+")))</f>
        <v/>
      </c>
      <c r="F398" s="8" t="inlineStr">
        <is>
          <t>Berlin</t>
        </is>
      </c>
      <c r="G398" s="8" t="inlineStr">
        <is>
          <t>Berlin</t>
        </is>
      </c>
      <c r="H398" s="8" t="inlineStr">
        <is>
          <t>REG-EU</t>
        </is>
      </c>
      <c r="I398" s="8" t="inlineStr">
        <is>
          <t>Corporate</t>
        </is>
      </c>
      <c r="J398" s="8" t="inlineStr">
        <is>
          <t>2024-05-17</t>
        </is>
      </c>
      <c r="K398" s="8">
        <f>COUNTIFS('05_Orders'!$C:$C, A398)</f>
        <v/>
      </c>
      <c r="L398" s="9">
        <f>SUMIFS('05_Orders'!$I:$I, '05_Orders'!$C:$C, A398)</f>
        <v/>
      </c>
      <c r="M398" s="8">
        <f>IF(L398&gt;=2000, "Platinum VIP", IF(L398&gt;=1000, "Gold", IF(L398&gt;=500, "Silver", "Standard")))</f>
        <v/>
      </c>
    </row>
    <row r="399">
      <c r="A399" s="8" t="inlineStr">
        <is>
          <t>CUST-00395</t>
        </is>
      </c>
      <c r="B399" s="8" t="inlineStr">
        <is>
          <t>Kevin Jackson</t>
        </is>
      </c>
      <c r="C399" s="8" t="inlineStr">
        <is>
          <t>Female</t>
        </is>
      </c>
      <c r="D399" s="8" t="n">
        <v>71</v>
      </c>
      <c r="E399" s="8">
        <f>IF(D399&lt;25, "18-24", IF(D399&lt;35, "25-34", IF(D399&lt;50, "35-49", "50+")))</f>
        <v/>
      </c>
      <c r="F399" s="8" t="inlineStr">
        <is>
          <t>Toronto</t>
        </is>
      </c>
      <c r="G399" s="8" t="inlineStr">
        <is>
          <t>Ontario</t>
        </is>
      </c>
      <c r="H399" s="8" t="inlineStr">
        <is>
          <t>REG-NA</t>
        </is>
      </c>
      <c r="I399" s="8" t="inlineStr">
        <is>
          <t>Consumer</t>
        </is>
      </c>
      <c r="J399" s="8" t="inlineStr">
        <is>
          <t>2022-08-04</t>
        </is>
      </c>
      <c r="K399" s="8">
        <f>COUNTIFS('05_Orders'!$C:$C, A399)</f>
        <v/>
      </c>
      <c r="L399" s="9">
        <f>SUMIFS('05_Orders'!$I:$I, '05_Orders'!$C:$C, A399)</f>
        <v/>
      </c>
      <c r="M399" s="8">
        <f>IF(L399&gt;=2000, "Platinum VIP", IF(L399&gt;=1000, "Gold", IF(L399&gt;=500, "Silver", "Standard")))</f>
        <v/>
      </c>
    </row>
    <row r="400">
      <c r="A400" s="8" t="inlineStr">
        <is>
          <t>CUST-00396</t>
        </is>
      </c>
      <c r="B400" s="8" t="inlineStr">
        <is>
          <t>Brandon Green</t>
        </is>
      </c>
      <c r="C400" s="8" t="inlineStr">
        <is>
          <t>Female</t>
        </is>
      </c>
      <c r="D400" s="8" t="n">
        <v>50</v>
      </c>
      <c r="E400" s="8">
        <f>IF(D400&lt;25, "18-24", IF(D400&lt;35, "25-34", IF(D400&lt;50, "35-49", "50+")))</f>
        <v/>
      </c>
      <c r="F400" s="8" t="inlineStr">
        <is>
          <t>Rio de Janeiro</t>
        </is>
      </c>
      <c r="G400" s="8" t="inlineStr">
        <is>
          <t>Rio de Janeiro State</t>
        </is>
      </c>
      <c r="H400" s="8" t="inlineStr">
        <is>
          <t>REG-LATAM</t>
        </is>
      </c>
      <c r="I400" s="8" t="inlineStr">
        <is>
          <t>Consumer</t>
        </is>
      </c>
      <c r="J400" s="8" t="inlineStr">
        <is>
          <t>2024-12-17</t>
        </is>
      </c>
      <c r="K400" s="8">
        <f>COUNTIFS('05_Orders'!$C:$C, A400)</f>
        <v/>
      </c>
      <c r="L400" s="9">
        <f>SUMIFS('05_Orders'!$I:$I, '05_Orders'!$C:$C, A400)</f>
        <v/>
      </c>
      <c r="M400" s="8">
        <f>IF(L400&gt;=2000, "Platinum VIP", IF(L400&gt;=1000, "Gold", IF(L400&gt;=500, "Silver", "Standard")))</f>
        <v/>
      </c>
    </row>
    <row r="401">
      <c r="A401" s="8" t="inlineStr">
        <is>
          <t>CUST-00397</t>
        </is>
      </c>
      <c r="B401" s="8" t="inlineStr">
        <is>
          <t>Ronald Davis</t>
        </is>
      </c>
      <c r="C401" s="8" t="inlineStr">
        <is>
          <t>Female</t>
        </is>
      </c>
      <c r="D401" s="8" t="n">
        <v>27</v>
      </c>
      <c r="E401" s="8">
        <f>IF(D401&lt;25, "18-24", IF(D401&lt;35, "25-34", IF(D401&lt;50, "35-49", "50+")))</f>
        <v/>
      </c>
      <c r="F401" s="8" t="inlineStr">
        <is>
          <t>Sydney</t>
        </is>
      </c>
      <c r="G401" s="8" t="inlineStr">
        <is>
          <t>New South Wales</t>
        </is>
      </c>
      <c r="H401" s="8" t="inlineStr">
        <is>
          <t>REG-APAC</t>
        </is>
      </c>
      <c r="I401" s="8" t="inlineStr">
        <is>
          <t>Home Office</t>
        </is>
      </c>
      <c r="J401" s="8" t="inlineStr">
        <is>
          <t>2022-04-06</t>
        </is>
      </c>
      <c r="K401" s="8">
        <f>COUNTIFS('05_Orders'!$C:$C, A401)</f>
        <v/>
      </c>
      <c r="L401" s="9">
        <f>SUMIFS('05_Orders'!$I:$I, '05_Orders'!$C:$C, A401)</f>
        <v/>
      </c>
      <c r="M401" s="8">
        <f>IF(L401&gt;=2000, "Platinum VIP", IF(L401&gt;=1000, "Gold", IF(L401&gt;=500, "Silver", "Standard")))</f>
        <v/>
      </c>
    </row>
    <row r="402">
      <c r="A402" s="8" t="inlineStr">
        <is>
          <t>CUST-00398</t>
        </is>
      </c>
      <c r="B402" s="8" t="inlineStr">
        <is>
          <t>Nicholas Sanders</t>
        </is>
      </c>
      <c r="C402" s="8" t="inlineStr">
        <is>
          <t>Female</t>
        </is>
      </c>
      <c r="D402" s="8" t="n">
        <v>37</v>
      </c>
      <c r="E402" s="8">
        <f>IF(D402&lt;25, "18-24", IF(D402&lt;35, "25-34", IF(D402&lt;50, "35-49", "50+")))</f>
        <v/>
      </c>
      <c r="F402" s="8" t="inlineStr">
        <is>
          <t>Mexico City</t>
        </is>
      </c>
      <c r="G402" s="8" t="inlineStr">
        <is>
          <t>CDMX</t>
        </is>
      </c>
      <c r="H402" s="8" t="inlineStr">
        <is>
          <t>REG-LATAM</t>
        </is>
      </c>
      <c r="I402" s="8" t="inlineStr">
        <is>
          <t>Enterprise</t>
        </is>
      </c>
      <c r="J402" s="8" t="inlineStr">
        <is>
          <t>2024-01-28</t>
        </is>
      </c>
      <c r="K402" s="8">
        <f>COUNTIFS('05_Orders'!$C:$C, A402)</f>
        <v/>
      </c>
      <c r="L402" s="9">
        <f>SUMIFS('05_Orders'!$I:$I, '05_Orders'!$C:$C, A402)</f>
        <v/>
      </c>
      <c r="M402" s="8">
        <f>IF(L402&gt;=2000, "Platinum VIP", IF(L402&gt;=1000, "Gold", IF(L402&gt;=500, "Silver", "Standard")))</f>
        <v/>
      </c>
    </row>
    <row r="403">
      <c r="A403" s="8" t="inlineStr">
        <is>
          <t>CUST-00399</t>
        </is>
      </c>
      <c r="B403" s="8" t="inlineStr">
        <is>
          <t>Timothy Gomez</t>
        </is>
      </c>
      <c r="C403" s="8" t="inlineStr">
        <is>
          <t>Male</t>
        </is>
      </c>
      <c r="D403" s="8" t="n">
        <v>51</v>
      </c>
      <c r="E403" s="8">
        <f>IF(D403&lt;25, "18-24", IF(D403&lt;35, "25-34", IF(D403&lt;50, "35-49", "50+")))</f>
        <v/>
      </c>
      <c r="F403" s="8" t="inlineStr">
        <is>
          <t>Melbourne</t>
        </is>
      </c>
      <c r="G403" s="8" t="inlineStr">
        <is>
          <t>Victoria</t>
        </is>
      </c>
      <c r="H403" s="8" t="inlineStr">
        <is>
          <t>REG-APAC</t>
        </is>
      </c>
      <c r="I403" s="8" t="inlineStr">
        <is>
          <t>Corporate</t>
        </is>
      </c>
      <c r="J403" s="8" t="inlineStr">
        <is>
          <t>2022-02-04</t>
        </is>
      </c>
      <c r="K403" s="8">
        <f>COUNTIFS('05_Orders'!$C:$C, A403)</f>
        <v/>
      </c>
      <c r="L403" s="9">
        <f>SUMIFS('05_Orders'!$I:$I, '05_Orders'!$C:$C, A403)</f>
        <v/>
      </c>
      <c r="M403" s="8">
        <f>IF(L403&gt;=2000, "Platinum VIP", IF(L403&gt;=1000, "Gold", IF(L403&gt;=500, "Silver", "Standard")))</f>
        <v/>
      </c>
    </row>
    <row r="404">
      <c r="A404" s="8" t="inlineStr">
        <is>
          <t>CUST-00400</t>
        </is>
      </c>
      <c r="B404" s="8" t="inlineStr">
        <is>
          <t>Diane Howard</t>
        </is>
      </c>
      <c r="C404" s="8" t="inlineStr">
        <is>
          <t>Male</t>
        </is>
      </c>
      <c r="D404" s="8" t="n">
        <v>72</v>
      </c>
      <c r="E404" s="8">
        <f>IF(D404&lt;25, "18-24", IF(D404&lt;35, "25-34", IF(D404&lt;50, "35-49", "50+")))</f>
        <v/>
      </c>
      <c r="F404" s="8" t="inlineStr">
        <is>
          <t>Bogota</t>
        </is>
      </c>
      <c r="G404" s="8" t="inlineStr">
        <is>
          <t>Cundinamarca</t>
        </is>
      </c>
      <c r="H404" s="8" t="inlineStr">
        <is>
          <t>REG-LATAM</t>
        </is>
      </c>
      <c r="I404" s="8" t="inlineStr">
        <is>
          <t>Consumer</t>
        </is>
      </c>
      <c r="J404" s="8" t="inlineStr">
        <is>
          <t>2021-12-02</t>
        </is>
      </c>
      <c r="K404" s="8">
        <f>COUNTIFS('05_Orders'!$C:$C, A404)</f>
        <v/>
      </c>
      <c r="L404" s="9">
        <f>SUMIFS('05_Orders'!$I:$I, '05_Orders'!$C:$C, A404)</f>
        <v/>
      </c>
      <c r="M404" s="8">
        <f>IF(L404&gt;=2000, "Platinum VIP", IF(L404&gt;=1000, "Gold", IF(L404&gt;=500, "Silver", "Standard")))</f>
        <v/>
      </c>
    </row>
    <row r="405">
      <c r="A405" s="8" t="inlineStr">
        <is>
          <t>CUST-00401</t>
        </is>
      </c>
      <c r="B405" s="8" t="inlineStr">
        <is>
          <t>Anthony Ramirez</t>
        </is>
      </c>
      <c r="C405" s="8" t="inlineStr">
        <is>
          <t>Other</t>
        </is>
      </c>
      <c r="D405" s="8" t="n">
        <v>30</v>
      </c>
      <c r="E405" s="8">
        <f>IF(D405&lt;25, "18-24", IF(D405&lt;35, "25-34", IF(D405&lt;50, "35-49", "50+")))</f>
        <v/>
      </c>
      <c r="F405" s="8" t="inlineStr">
        <is>
          <t>Singapore</t>
        </is>
      </c>
      <c r="G405" s="8" t="inlineStr">
        <is>
          <t>Central</t>
        </is>
      </c>
      <c r="H405" s="8" t="inlineStr">
        <is>
          <t>REG-APAC</t>
        </is>
      </c>
      <c r="I405" s="8" t="inlineStr">
        <is>
          <t>Consumer</t>
        </is>
      </c>
      <c r="J405" s="8" t="inlineStr">
        <is>
          <t>2024-03-24</t>
        </is>
      </c>
      <c r="K405" s="8">
        <f>COUNTIFS('05_Orders'!$C:$C, A405)</f>
        <v/>
      </c>
      <c r="L405" s="9">
        <f>SUMIFS('05_Orders'!$I:$I, '05_Orders'!$C:$C, A405)</f>
        <v/>
      </c>
      <c r="M405" s="8">
        <f>IF(L405&gt;=2000, "Platinum VIP", IF(L405&gt;=1000, "Gold", IF(L405&gt;=500, "Silver", "Standard")))</f>
        <v/>
      </c>
    </row>
    <row r="406">
      <c r="A406" s="8" t="inlineStr">
        <is>
          <t>CUST-00402</t>
        </is>
      </c>
      <c r="B406" s="8" t="inlineStr">
        <is>
          <t>Jeffrey Gray</t>
        </is>
      </c>
      <c r="C406" s="8" t="inlineStr">
        <is>
          <t>Male</t>
        </is>
      </c>
      <c r="D406" s="8" t="n">
        <v>21</v>
      </c>
      <c r="E406" s="8">
        <f>IF(D406&lt;25, "18-24", IF(D406&lt;35, "25-34", IF(D406&lt;50, "35-49", "50+")))</f>
        <v/>
      </c>
      <c r="F406" s="8" t="inlineStr">
        <is>
          <t>Toronto</t>
        </is>
      </c>
      <c r="G406" s="8" t="inlineStr">
        <is>
          <t>Ontario</t>
        </is>
      </c>
      <c r="H406" s="8" t="inlineStr">
        <is>
          <t>REG-NA</t>
        </is>
      </c>
      <c r="I406" s="8" t="inlineStr">
        <is>
          <t>Consumer</t>
        </is>
      </c>
      <c r="J406" s="8" t="inlineStr">
        <is>
          <t>2021-04-18</t>
        </is>
      </c>
      <c r="K406" s="8">
        <f>COUNTIFS('05_Orders'!$C:$C, A406)</f>
        <v/>
      </c>
      <c r="L406" s="9">
        <f>SUMIFS('05_Orders'!$I:$I, '05_Orders'!$C:$C, A406)</f>
        <v/>
      </c>
      <c r="M406" s="8">
        <f>IF(L406&gt;=2000, "Platinum VIP", IF(L406&gt;=1000, "Gold", IF(L406&gt;=500, "Silver", "Standard")))</f>
        <v/>
      </c>
    </row>
    <row r="407">
      <c r="A407" s="8" t="inlineStr">
        <is>
          <t>CUST-00403</t>
        </is>
      </c>
      <c r="B407" s="8" t="inlineStr">
        <is>
          <t>Karen Watson</t>
        </is>
      </c>
      <c r="C407" s="8" t="inlineStr">
        <is>
          <t>Other</t>
        </is>
      </c>
      <c r="D407" s="8" t="n">
        <v>43</v>
      </c>
      <c r="E407" s="8">
        <f>IF(D407&lt;25, "18-24", IF(D407&lt;35, "25-34", IF(D407&lt;50, "35-49", "50+")))</f>
        <v/>
      </c>
      <c r="F407" s="8" t="inlineStr">
        <is>
          <t>Los Angeles</t>
        </is>
      </c>
      <c r="G407" s="8" t="inlineStr">
        <is>
          <t>California</t>
        </is>
      </c>
      <c r="H407" s="8" t="inlineStr">
        <is>
          <t>REG-NA</t>
        </is>
      </c>
      <c r="I407" s="8" t="inlineStr">
        <is>
          <t>Consumer</t>
        </is>
      </c>
      <c r="J407" s="8" t="inlineStr">
        <is>
          <t>2023-09-28</t>
        </is>
      </c>
      <c r="K407" s="8">
        <f>COUNTIFS('05_Orders'!$C:$C, A407)</f>
        <v/>
      </c>
      <c r="L407" s="9">
        <f>SUMIFS('05_Orders'!$I:$I, '05_Orders'!$C:$C, A407)</f>
        <v/>
      </c>
      <c r="M407" s="8">
        <f>IF(L407&gt;=2000, "Platinum VIP", IF(L407&gt;=1000, "Gold", IF(L407&gt;=500, "Silver", "Standard")))</f>
        <v/>
      </c>
    </row>
    <row r="408">
      <c r="A408" s="8" t="inlineStr">
        <is>
          <t>CUST-00404</t>
        </is>
      </c>
      <c r="B408" s="8" t="inlineStr">
        <is>
          <t>Heather Ruiz</t>
        </is>
      </c>
      <c r="C408" s="8" t="inlineStr">
        <is>
          <t>Other</t>
        </is>
      </c>
      <c r="D408" s="8" t="n">
        <v>60</v>
      </c>
      <c r="E408" s="8">
        <f>IF(D408&lt;25, "18-24", IF(D408&lt;35, "25-34", IF(D408&lt;50, "35-49", "50+")))</f>
        <v/>
      </c>
      <c r="F408" s="8" t="inlineStr">
        <is>
          <t>Toronto</t>
        </is>
      </c>
      <c r="G408" s="8" t="inlineStr">
        <is>
          <t>Ontario</t>
        </is>
      </c>
      <c r="H408" s="8" t="inlineStr">
        <is>
          <t>REG-NA</t>
        </is>
      </c>
      <c r="I408" s="8" t="inlineStr">
        <is>
          <t>Home Office</t>
        </is>
      </c>
      <c r="J408" s="8" t="inlineStr">
        <is>
          <t>2024-08-24</t>
        </is>
      </c>
      <c r="K408" s="8">
        <f>COUNTIFS('05_Orders'!$C:$C, A408)</f>
        <v/>
      </c>
      <c r="L408" s="9">
        <f>SUMIFS('05_Orders'!$I:$I, '05_Orders'!$C:$C, A408)</f>
        <v/>
      </c>
      <c r="M408" s="8">
        <f>IF(L408&gt;=2000, "Platinum VIP", IF(L408&gt;=1000, "Gold", IF(L408&gt;=500, "Silver", "Standard")))</f>
        <v/>
      </c>
    </row>
    <row r="409">
      <c r="A409" s="8" t="inlineStr">
        <is>
          <t>CUST-00405</t>
        </is>
      </c>
      <c r="B409" s="8" t="inlineStr">
        <is>
          <t>Joseph Hernandez</t>
        </is>
      </c>
      <c r="C409" s="8" t="inlineStr">
        <is>
          <t>Male</t>
        </is>
      </c>
      <c r="D409" s="8" t="n">
        <v>49</v>
      </c>
      <c r="E409" s="8">
        <f>IF(D409&lt;25, "18-24", IF(D409&lt;35, "25-34", IF(D409&lt;50, "35-49", "50+")))</f>
        <v/>
      </c>
      <c r="F409" s="8" t="inlineStr">
        <is>
          <t>Dublin</t>
        </is>
      </c>
      <c r="G409" s="8" t="inlineStr">
        <is>
          <t>Leinster</t>
        </is>
      </c>
      <c r="H409" s="8" t="inlineStr">
        <is>
          <t>REG-EU</t>
        </is>
      </c>
      <c r="I409" s="8" t="inlineStr">
        <is>
          <t>Consumer</t>
        </is>
      </c>
      <c r="J409" s="8" t="inlineStr">
        <is>
          <t>2024-04-16</t>
        </is>
      </c>
      <c r="K409" s="8">
        <f>COUNTIFS('05_Orders'!$C:$C, A409)</f>
        <v/>
      </c>
      <c r="L409" s="9">
        <f>SUMIFS('05_Orders'!$I:$I, '05_Orders'!$C:$C, A409)</f>
        <v/>
      </c>
      <c r="M409" s="8">
        <f>IF(L409&gt;=2000, "Platinum VIP", IF(L409&gt;=1000, "Gold", IF(L409&gt;=500, "Silver", "Standard")))</f>
        <v/>
      </c>
    </row>
    <row r="410">
      <c r="A410" s="8" t="inlineStr">
        <is>
          <t>CUST-00406</t>
        </is>
      </c>
      <c r="B410" s="8" t="inlineStr">
        <is>
          <t>Diane Ramos</t>
        </is>
      </c>
      <c r="C410" s="8" t="inlineStr">
        <is>
          <t>Male</t>
        </is>
      </c>
      <c r="D410" s="8" t="n">
        <v>42</v>
      </c>
      <c r="E410" s="8">
        <f>IF(D410&lt;25, "18-24", IF(D410&lt;35, "25-34", IF(D410&lt;50, "35-49", "50+")))</f>
        <v/>
      </c>
      <c r="F410" s="8" t="inlineStr">
        <is>
          <t>Amsterdam</t>
        </is>
      </c>
      <c r="G410" s="8" t="inlineStr">
        <is>
          <t>North Holland</t>
        </is>
      </c>
      <c r="H410" s="8" t="inlineStr">
        <is>
          <t>REG-EU</t>
        </is>
      </c>
      <c r="I410" s="8" t="inlineStr">
        <is>
          <t>Consumer</t>
        </is>
      </c>
      <c r="J410" s="8" t="inlineStr">
        <is>
          <t>2021-09-14</t>
        </is>
      </c>
      <c r="K410" s="8">
        <f>COUNTIFS('05_Orders'!$C:$C, A410)</f>
        <v/>
      </c>
      <c r="L410" s="9">
        <f>SUMIFS('05_Orders'!$I:$I, '05_Orders'!$C:$C, A410)</f>
        <v/>
      </c>
      <c r="M410" s="8">
        <f>IF(L410&gt;=2000, "Platinum VIP", IF(L410&gt;=1000, "Gold", IF(L410&gt;=500, "Silver", "Standard")))</f>
        <v/>
      </c>
    </row>
    <row r="411">
      <c r="A411" s="8" t="inlineStr">
        <is>
          <t>CUST-00407</t>
        </is>
      </c>
      <c r="B411" s="8" t="inlineStr">
        <is>
          <t>Lisa Phillips</t>
        </is>
      </c>
      <c r="C411" s="8" t="inlineStr">
        <is>
          <t>Other</t>
        </is>
      </c>
      <c r="D411" s="8" t="n">
        <v>19</v>
      </c>
      <c r="E411" s="8">
        <f>IF(D411&lt;25, "18-24", IF(D411&lt;35, "25-34", IF(D411&lt;50, "35-49", "50+")))</f>
        <v/>
      </c>
      <c r="F411" s="8" t="inlineStr">
        <is>
          <t>Boston</t>
        </is>
      </c>
      <c r="G411" s="8" t="inlineStr">
        <is>
          <t>Massachusetts</t>
        </is>
      </c>
      <c r="H411" s="8" t="inlineStr">
        <is>
          <t>REG-NA</t>
        </is>
      </c>
      <c r="I411" s="8" t="inlineStr">
        <is>
          <t>Home Office</t>
        </is>
      </c>
      <c r="J411" s="8" t="inlineStr">
        <is>
          <t>2023-12-22</t>
        </is>
      </c>
      <c r="K411" s="8">
        <f>COUNTIFS('05_Orders'!$C:$C, A411)</f>
        <v/>
      </c>
      <c r="L411" s="9">
        <f>SUMIFS('05_Orders'!$I:$I, '05_Orders'!$C:$C, A411)</f>
        <v/>
      </c>
      <c r="M411" s="8">
        <f>IF(L411&gt;=2000, "Platinum VIP", IF(L411&gt;=1000, "Gold", IF(L411&gt;=500, "Silver", "Standard")))</f>
        <v/>
      </c>
    </row>
    <row r="412">
      <c r="A412" s="8" t="inlineStr">
        <is>
          <t>CUST-00408</t>
        </is>
      </c>
      <c r="B412" s="8" t="inlineStr">
        <is>
          <t>Diane Wood</t>
        </is>
      </c>
      <c r="C412" s="8" t="inlineStr">
        <is>
          <t>Male</t>
        </is>
      </c>
      <c r="D412" s="8" t="n">
        <v>66</v>
      </c>
      <c r="E412" s="8">
        <f>IF(D412&lt;25, "18-24", IF(D412&lt;35, "25-34", IF(D412&lt;50, "35-49", "50+")))</f>
        <v/>
      </c>
      <c r="F412" s="8" t="inlineStr">
        <is>
          <t>Tokyo</t>
        </is>
      </c>
      <c r="G412" s="8" t="inlineStr">
        <is>
          <t>Kanto</t>
        </is>
      </c>
      <c r="H412" s="8" t="inlineStr">
        <is>
          <t>REG-APAC</t>
        </is>
      </c>
      <c r="I412" s="8" t="inlineStr">
        <is>
          <t>Consumer</t>
        </is>
      </c>
      <c r="J412" s="8" t="inlineStr">
        <is>
          <t>2024-05-11</t>
        </is>
      </c>
      <c r="K412" s="8">
        <f>COUNTIFS('05_Orders'!$C:$C, A412)</f>
        <v/>
      </c>
      <c r="L412" s="9">
        <f>SUMIFS('05_Orders'!$I:$I, '05_Orders'!$C:$C, A412)</f>
        <v/>
      </c>
      <c r="M412" s="8">
        <f>IF(L412&gt;=2000, "Platinum VIP", IF(L412&gt;=1000, "Gold", IF(L412&gt;=500, "Silver", "Standard")))</f>
        <v/>
      </c>
    </row>
    <row r="413">
      <c r="A413" s="8" t="inlineStr">
        <is>
          <t>CUST-00409</t>
        </is>
      </c>
      <c r="B413" s="8" t="inlineStr">
        <is>
          <t>Jennifer Taylor</t>
        </is>
      </c>
      <c r="C413" s="8" t="inlineStr">
        <is>
          <t>Other</t>
        </is>
      </c>
      <c r="D413" s="8" t="n">
        <v>31</v>
      </c>
      <c r="E413" s="8">
        <f>IF(D413&lt;25, "18-24", IF(D413&lt;35, "25-34", IF(D413&lt;50, "35-49", "50+")))</f>
        <v/>
      </c>
      <c r="F413" s="8" t="inlineStr">
        <is>
          <t>Manchester</t>
        </is>
      </c>
      <c r="G413" s="8" t="inlineStr">
        <is>
          <t>Greater Manchester</t>
        </is>
      </c>
      <c r="H413" s="8" t="inlineStr">
        <is>
          <t>REG-EU</t>
        </is>
      </c>
      <c r="I413" s="8" t="inlineStr">
        <is>
          <t>Corporate</t>
        </is>
      </c>
      <c r="J413" s="8" t="inlineStr">
        <is>
          <t>2025-03-23</t>
        </is>
      </c>
      <c r="K413" s="8">
        <f>COUNTIFS('05_Orders'!$C:$C, A413)</f>
        <v/>
      </c>
      <c r="L413" s="9">
        <f>SUMIFS('05_Orders'!$I:$I, '05_Orders'!$C:$C, A413)</f>
        <v/>
      </c>
      <c r="M413" s="8">
        <f>IF(L413&gt;=2000, "Platinum VIP", IF(L413&gt;=1000, "Gold", IF(L413&gt;=500, "Silver", "Standard")))</f>
        <v/>
      </c>
    </row>
    <row r="414">
      <c r="A414" s="8" t="inlineStr">
        <is>
          <t>CUST-00410</t>
        </is>
      </c>
      <c r="B414" s="8" t="inlineStr">
        <is>
          <t>Anna Perez</t>
        </is>
      </c>
      <c r="C414" s="8" t="inlineStr">
        <is>
          <t>Female</t>
        </is>
      </c>
      <c r="D414" s="8" t="n">
        <v>60</v>
      </c>
      <c r="E414" s="8">
        <f>IF(D414&lt;25, "18-24", IF(D414&lt;35, "25-34", IF(D414&lt;50, "35-49", "50+")))</f>
        <v/>
      </c>
      <c r="F414" s="8" t="inlineStr">
        <is>
          <t>Phoenix</t>
        </is>
      </c>
      <c r="G414" s="8" t="inlineStr">
        <is>
          <t>Arizona</t>
        </is>
      </c>
      <c r="H414" s="8" t="inlineStr">
        <is>
          <t>REG-NA</t>
        </is>
      </c>
      <c r="I414" s="8" t="inlineStr">
        <is>
          <t>Consumer</t>
        </is>
      </c>
      <c r="J414" s="8" t="inlineStr">
        <is>
          <t>2023-11-30</t>
        </is>
      </c>
      <c r="K414" s="8">
        <f>COUNTIFS('05_Orders'!$C:$C, A414)</f>
        <v/>
      </c>
      <c r="L414" s="9">
        <f>SUMIFS('05_Orders'!$I:$I, '05_Orders'!$C:$C, A414)</f>
        <v/>
      </c>
      <c r="M414" s="8">
        <f>IF(L414&gt;=2000, "Platinum VIP", IF(L414&gt;=1000, "Gold", IF(L414&gt;=500, "Silver", "Standard")))</f>
        <v/>
      </c>
    </row>
    <row r="415">
      <c r="A415" s="8" t="inlineStr">
        <is>
          <t>CUST-00411</t>
        </is>
      </c>
      <c r="B415" s="8" t="inlineStr">
        <is>
          <t>Nicholas Ruiz</t>
        </is>
      </c>
      <c r="C415" s="8" t="inlineStr">
        <is>
          <t>Female</t>
        </is>
      </c>
      <c r="D415" s="8" t="n">
        <v>51</v>
      </c>
      <c r="E415" s="8">
        <f>IF(D415&lt;25, "18-24", IF(D415&lt;35, "25-34", IF(D415&lt;50, "35-49", "50+")))</f>
        <v/>
      </c>
      <c r="F415" s="8" t="inlineStr">
        <is>
          <t>Santiago</t>
        </is>
      </c>
      <c r="G415" s="8" t="inlineStr">
        <is>
          <t>Santiago Metro</t>
        </is>
      </c>
      <c r="H415" s="8" t="inlineStr">
        <is>
          <t>REG-LATAM</t>
        </is>
      </c>
      <c r="I415" s="8" t="inlineStr">
        <is>
          <t>Corporate</t>
        </is>
      </c>
      <c r="J415" s="8" t="inlineStr">
        <is>
          <t>2023-11-12</t>
        </is>
      </c>
      <c r="K415" s="8">
        <f>COUNTIFS('05_Orders'!$C:$C, A415)</f>
        <v/>
      </c>
      <c r="L415" s="9">
        <f>SUMIFS('05_Orders'!$I:$I, '05_Orders'!$C:$C, A415)</f>
        <v/>
      </c>
      <c r="M415" s="8">
        <f>IF(L415&gt;=2000, "Platinum VIP", IF(L415&gt;=1000, "Gold", IF(L415&gt;=500, "Silver", "Standard")))</f>
        <v/>
      </c>
    </row>
    <row r="416">
      <c r="A416" s="8" t="inlineStr">
        <is>
          <t>CUST-00412</t>
        </is>
      </c>
      <c r="B416" s="8" t="inlineStr">
        <is>
          <t>Matthew Jackson</t>
        </is>
      </c>
      <c r="C416" s="8" t="inlineStr">
        <is>
          <t>Female</t>
        </is>
      </c>
      <c r="D416" s="8" t="n">
        <v>72</v>
      </c>
      <c r="E416" s="8">
        <f>IF(D416&lt;25, "18-24", IF(D416&lt;35, "25-34", IF(D416&lt;50, "35-49", "50+")))</f>
        <v/>
      </c>
      <c r="F416" s="8" t="inlineStr">
        <is>
          <t>Osaka</t>
        </is>
      </c>
      <c r="G416" s="8" t="inlineStr">
        <is>
          <t>Kansai</t>
        </is>
      </c>
      <c r="H416" s="8" t="inlineStr">
        <is>
          <t>REG-APAC</t>
        </is>
      </c>
      <c r="I416" s="8" t="inlineStr">
        <is>
          <t>Corporate</t>
        </is>
      </c>
      <c r="J416" s="8" t="inlineStr">
        <is>
          <t>2022-03-19</t>
        </is>
      </c>
      <c r="K416" s="8">
        <f>COUNTIFS('05_Orders'!$C:$C, A416)</f>
        <v/>
      </c>
      <c r="L416" s="9">
        <f>SUMIFS('05_Orders'!$I:$I, '05_Orders'!$C:$C, A416)</f>
        <v/>
      </c>
      <c r="M416" s="8">
        <f>IF(L416&gt;=2000, "Platinum VIP", IF(L416&gt;=1000, "Gold", IF(L416&gt;=500, "Silver", "Standard")))</f>
        <v/>
      </c>
    </row>
    <row r="417">
      <c r="A417" s="8" t="inlineStr">
        <is>
          <t>CUST-00413</t>
        </is>
      </c>
      <c r="B417" s="8" t="inlineStr">
        <is>
          <t>Larry Allen</t>
        </is>
      </c>
      <c r="C417" s="8" t="inlineStr">
        <is>
          <t>Female</t>
        </is>
      </c>
      <c r="D417" s="8" t="n">
        <v>42</v>
      </c>
      <c r="E417" s="8">
        <f>IF(D417&lt;25, "18-24", IF(D417&lt;35, "25-34", IF(D417&lt;50, "35-49", "50+")))</f>
        <v/>
      </c>
      <c r="F417" s="8" t="inlineStr">
        <is>
          <t>Berlin</t>
        </is>
      </c>
      <c r="G417" s="8" t="inlineStr">
        <is>
          <t>Berlin</t>
        </is>
      </c>
      <c r="H417" s="8" t="inlineStr">
        <is>
          <t>REG-EU</t>
        </is>
      </c>
      <c r="I417" s="8" t="inlineStr">
        <is>
          <t>Consumer</t>
        </is>
      </c>
      <c r="J417" s="8" t="inlineStr">
        <is>
          <t>2021-06-20</t>
        </is>
      </c>
      <c r="K417" s="8">
        <f>COUNTIFS('05_Orders'!$C:$C, A417)</f>
        <v/>
      </c>
      <c r="L417" s="9">
        <f>SUMIFS('05_Orders'!$I:$I, '05_Orders'!$C:$C, A417)</f>
        <v/>
      </c>
      <c r="M417" s="8">
        <f>IF(L417&gt;=2000, "Platinum VIP", IF(L417&gt;=1000, "Gold", IF(L417&gt;=500, "Silver", "Standard")))</f>
        <v/>
      </c>
    </row>
    <row r="418">
      <c r="A418" s="8" t="inlineStr">
        <is>
          <t>CUST-00414</t>
        </is>
      </c>
      <c r="B418" s="8" t="inlineStr">
        <is>
          <t>Anthony Martinez</t>
        </is>
      </c>
      <c r="C418" s="8" t="inlineStr">
        <is>
          <t>Other</t>
        </is>
      </c>
      <c r="D418" s="8" t="n">
        <v>64</v>
      </c>
      <c r="E418" s="8">
        <f>IF(D418&lt;25, "18-24", IF(D418&lt;35, "25-34", IF(D418&lt;50, "35-49", "50+")))</f>
        <v/>
      </c>
      <c r="F418" s="8" t="inlineStr">
        <is>
          <t>Houston</t>
        </is>
      </c>
      <c r="G418" s="8" t="inlineStr">
        <is>
          <t>Texas</t>
        </is>
      </c>
      <c r="H418" s="8" t="inlineStr">
        <is>
          <t>REG-NA</t>
        </is>
      </c>
      <c r="I418" s="8" t="inlineStr">
        <is>
          <t>Corporate</t>
        </is>
      </c>
      <c r="J418" s="8" t="inlineStr">
        <is>
          <t>2024-02-29</t>
        </is>
      </c>
      <c r="K418" s="8">
        <f>COUNTIFS('05_Orders'!$C:$C, A418)</f>
        <v/>
      </c>
      <c r="L418" s="9">
        <f>SUMIFS('05_Orders'!$I:$I, '05_Orders'!$C:$C, A418)</f>
        <v/>
      </c>
      <c r="M418" s="8">
        <f>IF(L418&gt;=2000, "Platinum VIP", IF(L418&gt;=1000, "Gold", IF(L418&gt;=500, "Silver", "Standard")))</f>
        <v/>
      </c>
    </row>
    <row r="419">
      <c r="A419" s="8" t="inlineStr">
        <is>
          <t>CUST-00415</t>
        </is>
      </c>
      <c r="B419" s="8" t="inlineStr">
        <is>
          <t>Karen Green</t>
        </is>
      </c>
      <c r="C419" s="8" t="inlineStr">
        <is>
          <t>Female</t>
        </is>
      </c>
      <c r="D419" s="8" t="n">
        <v>42</v>
      </c>
      <c r="E419" s="8">
        <f>IF(D419&lt;25, "18-24", IF(D419&lt;35, "25-34", IF(D419&lt;50, "35-49", "50+")))</f>
        <v/>
      </c>
      <c r="F419" s="8" t="inlineStr">
        <is>
          <t>Denver</t>
        </is>
      </c>
      <c r="G419" s="8" t="inlineStr">
        <is>
          <t>Colorado</t>
        </is>
      </c>
      <c r="H419" s="8" t="inlineStr">
        <is>
          <t>REG-NA</t>
        </is>
      </c>
      <c r="I419" s="8" t="inlineStr">
        <is>
          <t>Consumer</t>
        </is>
      </c>
      <c r="J419" s="8" t="inlineStr">
        <is>
          <t>2022-07-08</t>
        </is>
      </c>
      <c r="K419" s="8">
        <f>COUNTIFS('05_Orders'!$C:$C, A419)</f>
        <v/>
      </c>
      <c r="L419" s="9">
        <f>SUMIFS('05_Orders'!$I:$I, '05_Orders'!$C:$C, A419)</f>
        <v/>
      </c>
      <c r="M419" s="8">
        <f>IF(L419&gt;=2000, "Platinum VIP", IF(L419&gt;=1000, "Gold", IF(L419&gt;=500, "Silver", "Standard")))</f>
        <v/>
      </c>
    </row>
    <row r="420">
      <c r="A420" s="8" t="inlineStr">
        <is>
          <t>CUST-00416</t>
        </is>
      </c>
      <c r="B420" s="8" t="inlineStr">
        <is>
          <t>Katherine Lopez</t>
        </is>
      </c>
      <c r="C420" s="8" t="inlineStr">
        <is>
          <t>Female</t>
        </is>
      </c>
      <c r="D420" s="8" t="n">
        <v>39</v>
      </c>
      <c r="E420" s="8">
        <f>IF(D420&lt;25, "18-24", IF(D420&lt;35, "25-34", IF(D420&lt;50, "35-49", "50+")))</f>
        <v/>
      </c>
      <c r="F420" s="8" t="inlineStr">
        <is>
          <t>Osaka</t>
        </is>
      </c>
      <c r="G420" s="8" t="inlineStr">
        <is>
          <t>Kansai</t>
        </is>
      </c>
      <c r="H420" s="8" t="inlineStr">
        <is>
          <t>REG-APAC</t>
        </is>
      </c>
      <c r="I420" s="8" t="inlineStr">
        <is>
          <t>Home Office</t>
        </is>
      </c>
      <c r="J420" s="8" t="inlineStr">
        <is>
          <t>2022-04-08</t>
        </is>
      </c>
      <c r="K420" s="8">
        <f>COUNTIFS('05_Orders'!$C:$C, A420)</f>
        <v/>
      </c>
      <c r="L420" s="9">
        <f>SUMIFS('05_Orders'!$I:$I, '05_Orders'!$C:$C, A420)</f>
        <v/>
      </c>
      <c r="M420" s="8">
        <f>IF(L420&gt;=2000, "Platinum VIP", IF(L420&gt;=1000, "Gold", IF(L420&gt;=500, "Silver", "Standard")))</f>
        <v/>
      </c>
    </row>
    <row r="421">
      <c r="A421" s="8" t="inlineStr">
        <is>
          <t>CUST-00417</t>
        </is>
      </c>
      <c r="B421" s="8" t="inlineStr">
        <is>
          <t>Susan Thomas</t>
        </is>
      </c>
      <c r="C421" s="8" t="inlineStr">
        <is>
          <t>Male</t>
        </is>
      </c>
      <c r="D421" s="8" t="n">
        <v>51</v>
      </c>
      <c r="E421" s="8">
        <f>IF(D421&lt;25, "18-24", IF(D421&lt;35, "25-34", IF(D421&lt;50, "35-49", "50+")))</f>
        <v/>
      </c>
      <c r="F421" s="8" t="inlineStr">
        <is>
          <t>Melbourne</t>
        </is>
      </c>
      <c r="G421" s="8" t="inlineStr">
        <is>
          <t>Victoria</t>
        </is>
      </c>
      <c r="H421" s="8" t="inlineStr">
        <is>
          <t>REG-APAC</t>
        </is>
      </c>
      <c r="I421" s="8" t="inlineStr">
        <is>
          <t>Corporate</t>
        </is>
      </c>
      <c r="J421" s="8" t="inlineStr">
        <is>
          <t>2023-09-30</t>
        </is>
      </c>
      <c r="K421" s="8">
        <f>COUNTIFS('05_Orders'!$C:$C, A421)</f>
        <v/>
      </c>
      <c r="L421" s="9">
        <f>SUMIFS('05_Orders'!$I:$I, '05_Orders'!$C:$C, A421)</f>
        <v/>
      </c>
      <c r="M421" s="8">
        <f>IF(L421&gt;=2000, "Platinum VIP", IF(L421&gt;=1000, "Gold", IF(L421&gt;=500, "Silver", "Standard")))</f>
        <v/>
      </c>
    </row>
    <row r="422">
      <c r="A422" s="8" t="inlineStr">
        <is>
          <t>CUST-00418</t>
        </is>
      </c>
      <c r="B422" s="8" t="inlineStr">
        <is>
          <t>Andrew Cox</t>
        </is>
      </c>
      <c r="C422" s="8" t="inlineStr">
        <is>
          <t>Male</t>
        </is>
      </c>
      <c r="D422" s="8" t="n">
        <v>21</v>
      </c>
      <c r="E422" s="8">
        <f>IF(D422&lt;25, "18-24", IF(D422&lt;35, "25-34", IF(D422&lt;50, "35-49", "50+")))</f>
        <v/>
      </c>
      <c r="F422" s="8" t="inlineStr">
        <is>
          <t>Atlanta</t>
        </is>
      </c>
      <c r="G422" s="8" t="inlineStr">
        <is>
          <t>Georgia</t>
        </is>
      </c>
      <c r="H422" s="8" t="inlineStr">
        <is>
          <t>REG-NA</t>
        </is>
      </c>
      <c r="I422" s="8" t="inlineStr">
        <is>
          <t>Consumer</t>
        </is>
      </c>
      <c r="J422" s="8" t="inlineStr">
        <is>
          <t>2025-02-27</t>
        </is>
      </c>
      <c r="K422" s="8">
        <f>COUNTIFS('05_Orders'!$C:$C, A422)</f>
        <v/>
      </c>
      <c r="L422" s="9">
        <f>SUMIFS('05_Orders'!$I:$I, '05_Orders'!$C:$C, A422)</f>
        <v/>
      </c>
      <c r="M422" s="8">
        <f>IF(L422&gt;=2000, "Platinum VIP", IF(L422&gt;=1000, "Gold", IF(L422&gt;=500, "Silver", "Standard")))</f>
        <v/>
      </c>
    </row>
    <row r="423">
      <c r="A423" s="8" t="inlineStr">
        <is>
          <t>CUST-00419</t>
        </is>
      </c>
      <c r="B423" s="8" t="inlineStr">
        <is>
          <t>Rebecca Morris</t>
        </is>
      </c>
      <c r="C423" s="8" t="inlineStr">
        <is>
          <t>Other</t>
        </is>
      </c>
      <c r="D423" s="8" t="n">
        <v>26</v>
      </c>
      <c r="E423" s="8">
        <f>IF(D423&lt;25, "18-24", IF(D423&lt;35, "25-34", IF(D423&lt;50, "35-49", "50+")))</f>
        <v/>
      </c>
      <c r="F423" s="8" t="inlineStr">
        <is>
          <t>Boston</t>
        </is>
      </c>
      <c r="G423" s="8" t="inlineStr">
        <is>
          <t>Massachusetts</t>
        </is>
      </c>
      <c r="H423" s="8" t="inlineStr">
        <is>
          <t>REG-NA</t>
        </is>
      </c>
      <c r="I423" s="8" t="inlineStr">
        <is>
          <t>Corporate</t>
        </is>
      </c>
      <c r="J423" s="8" t="inlineStr">
        <is>
          <t>2024-09-08</t>
        </is>
      </c>
      <c r="K423" s="8">
        <f>COUNTIFS('05_Orders'!$C:$C, A423)</f>
        <v/>
      </c>
      <c r="L423" s="9">
        <f>SUMIFS('05_Orders'!$I:$I, '05_Orders'!$C:$C, A423)</f>
        <v/>
      </c>
      <c r="M423" s="8">
        <f>IF(L423&gt;=2000, "Platinum VIP", IF(L423&gt;=1000, "Gold", IF(L423&gt;=500, "Silver", "Standard")))</f>
        <v/>
      </c>
    </row>
    <row r="424">
      <c r="A424" s="8" t="inlineStr">
        <is>
          <t>CUST-00420</t>
        </is>
      </c>
      <c r="B424" s="8" t="inlineStr">
        <is>
          <t>Jack Brooks</t>
        </is>
      </c>
      <c r="C424" s="8" t="inlineStr">
        <is>
          <t>Female</t>
        </is>
      </c>
      <c r="D424" s="8" t="n">
        <v>63</v>
      </c>
      <c r="E424" s="8">
        <f>IF(D424&lt;25, "18-24", IF(D424&lt;35, "25-34", IF(D424&lt;50, "35-49", "50+")))</f>
        <v/>
      </c>
      <c r="F424" s="8" t="inlineStr">
        <is>
          <t>Auckland</t>
        </is>
      </c>
      <c r="G424" s="8" t="inlineStr">
        <is>
          <t>Auckland Region</t>
        </is>
      </c>
      <c r="H424" s="8" t="inlineStr">
        <is>
          <t>REG-APAC</t>
        </is>
      </c>
      <c r="I424" s="8" t="inlineStr">
        <is>
          <t>Consumer</t>
        </is>
      </c>
      <c r="J424" s="8" t="inlineStr">
        <is>
          <t>2023-07-27</t>
        </is>
      </c>
      <c r="K424" s="8">
        <f>COUNTIFS('05_Orders'!$C:$C, A424)</f>
        <v/>
      </c>
      <c r="L424" s="9">
        <f>SUMIFS('05_Orders'!$I:$I, '05_Orders'!$C:$C, A424)</f>
        <v/>
      </c>
      <c r="M424" s="8">
        <f>IF(L424&gt;=2000, "Platinum VIP", IF(L424&gt;=1000, "Gold", IF(L424&gt;=500, "Silver", "Standard")))</f>
        <v/>
      </c>
    </row>
    <row r="425">
      <c r="A425" s="8" t="inlineStr">
        <is>
          <t>CUST-00421</t>
        </is>
      </c>
      <c r="B425" s="8" t="inlineStr">
        <is>
          <t>Emily Diaz</t>
        </is>
      </c>
      <c r="C425" s="8" t="inlineStr">
        <is>
          <t>Other</t>
        </is>
      </c>
      <c r="D425" s="8" t="n">
        <v>63</v>
      </c>
      <c r="E425" s="8">
        <f>IF(D425&lt;25, "18-24", IF(D425&lt;35, "25-34", IF(D425&lt;50, "35-49", "50+")))</f>
        <v/>
      </c>
      <c r="F425" s="8" t="inlineStr">
        <is>
          <t>Sydney</t>
        </is>
      </c>
      <c r="G425" s="8" t="inlineStr">
        <is>
          <t>New South Wales</t>
        </is>
      </c>
      <c r="H425" s="8" t="inlineStr">
        <is>
          <t>REG-APAC</t>
        </is>
      </c>
      <c r="I425" s="8" t="inlineStr">
        <is>
          <t>Consumer</t>
        </is>
      </c>
      <c r="J425" s="8" t="inlineStr">
        <is>
          <t>2021-06-28</t>
        </is>
      </c>
      <c r="K425" s="8">
        <f>COUNTIFS('05_Orders'!$C:$C, A425)</f>
        <v/>
      </c>
      <c r="L425" s="9">
        <f>SUMIFS('05_Orders'!$I:$I, '05_Orders'!$C:$C, A425)</f>
        <v/>
      </c>
      <c r="M425" s="8">
        <f>IF(L425&gt;=2000, "Platinum VIP", IF(L425&gt;=1000, "Gold", IF(L425&gt;=500, "Silver", "Standard")))</f>
        <v/>
      </c>
    </row>
    <row r="426">
      <c r="A426" s="8" t="inlineStr">
        <is>
          <t>CUST-00422</t>
        </is>
      </c>
      <c r="B426" s="8" t="inlineStr">
        <is>
          <t>David Martinez</t>
        </is>
      </c>
      <c r="C426" s="8" t="inlineStr">
        <is>
          <t>Other</t>
        </is>
      </c>
      <c r="D426" s="8" t="n">
        <v>33</v>
      </c>
      <c r="E426" s="8">
        <f>IF(D426&lt;25, "18-24", IF(D426&lt;35, "25-34", IF(D426&lt;50, "35-49", "50+")))</f>
        <v/>
      </c>
      <c r="F426" s="8" t="inlineStr">
        <is>
          <t>Mexico City</t>
        </is>
      </c>
      <c r="G426" s="8" t="inlineStr">
        <is>
          <t>CDMX</t>
        </is>
      </c>
      <c r="H426" s="8" t="inlineStr">
        <is>
          <t>REG-LATAM</t>
        </is>
      </c>
      <c r="I426" s="8" t="inlineStr">
        <is>
          <t>Corporate</t>
        </is>
      </c>
      <c r="J426" s="8" t="inlineStr">
        <is>
          <t>2021-06-23</t>
        </is>
      </c>
      <c r="K426" s="8">
        <f>COUNTIFS('05_Orders'!$C:$C, A426)</f>
        <v/>
      </c>
      <c r="L426" s="9">
        <f>SUMIFS('05_Orders'!$I:$I, '05_Orders'!$C:$C, A426)</f>
        <v/>
      </c>
      <c r="M426" s="8">
        <f>IF(L426&gt;=2000, "Platinum VIP", IF(L426&gt;=1000, "Gold", IF(L426&gt;=500, "Silver", "Standard")))</f>
        <v/>
      </c>
    </row>
    <row r="427">
      <c r="A427" s="8" t="inlineStr">
        <is>
          <t>CUST-00423</t>
        </is>
      </c>
      <c r="B427" s="8" t="inlineStr">
        <is>
          <t>Jeffrey Gray</t>
        </is>
      </c>
      <c r="C427" s="8" t="inlineStr">
        <is>
          <t>Other</t>
        </is>
      </c>
      <c r="D427" s="8" t="n">
        <v>64</v>
      </c>
      <c r="E427" s="8">
        <f>IF(D427&lt;25, "18-24", IF(D427&lt;35, "25-34", IF(D427&lt;50, "35-49", "50+")))</f>
        <v/>
      </c>
      <c r="F427" s="8" t="inlineStr">
        <is>
          <t>Toronto</t>
        </is>
      </c>
      <c r="G427" s="8" t="inlineStr">
        <is>
          <t>Ontario</t>
        </is>
      </c>
      <c r="H427" s="8" t="inlineStr">
        <is>
          <t>REG-NA</t>
        </is>
      </c>
      <c r="I427" s="8" t="inlineStr">
        <is>
          <t>Corporate</t>
        </is>
      </c>
      <c r="J427" s="8" t="inlineStr">
        <is>
          <t>2024-10-18</t>
        </is>
      </c>
      <c r="K427" s="8">
        <f>COUNTIFS('05_Orders'!$C:$C, A427)</f>
        <v/>
      </c>
      <c r="L427" s="9">
        <f>SUMIFS('05_Orders'!$I:$I, '05_Orders'!$C:$C, A427)</f>
        <v/>
      </c>
      <c r="M427" s="8">
        <f>IF(L427&gt;=2000, "Platinum VIP", IF(L427&gt;=1000, "Gold", IF(L427&gt;=500, "Silver", "Standard")))</f>
        <v/>
      </c>
    </row>
    <row r="428">
      <c r="A428" s="8" t="inlineStr">
        <is>
          <t>CUST-00424</t>
        </is>
      </c>
      <c r="B428" s="8" t="inlineStr">
        <is>
          <t>Ruth Smith</t>
        </is>
      </c>
      <c r="C428" s="8" t="inlineStr">
        <is>
          <t>Other</t>
        </is>
      </c>
      <c r="D428" s="8" t="n">
        <v>45</v>
      </c>
      <c r="E428" s="8">
        <f>IF(D428&lt;25, "18-24", IF(D428&lt;35, "25-34", IF(D428&lt;50, "35-49", "50+")))</f>
        <v/>
      </c>
      <c r="F428" s="8" t="inlineStr">
        <is>
          <t>Hong Kong</t>
        </is>
      </c>
      <c r="G428" s="8" t="inlineStr">
        <is>
          <t>Hong Kong</t>
        </is>
      </c>
      <c r="H428" s="8" t="inlineStr">
        <is>
          <t>REG-APAC</t>
        </is>
      </c>
      <c r="I428" s="8" t="inlineStr">
        <is>
          <t>Consumer</t>
        </is>
      </c>
      <c r="J428" s="8" t="inlineStr">
        <is>
          <t>2025-02-22</t>
        </is>
      </c>
      <c r="K428" s="8">
        <f>COUNTIFS('05_Orders'!$C:$C, A428)</f>
        <v/>
      </c>
      <c r="L428" s="9">
        <f>SUMIFS('05_Orders'!$I:$I, '05_Orders'!$C:$C, A428)</f>
        <v/>
      </c>
      <c r="M428" s="8">
        <f>IF(L428&gt;=2000, "Platinum VIP", IF(L428&gt;=1000, "Gold", IF(L428&gt;=500, "Silver", "Standard")))</f>
        <v/>
      </c>
    </row>
    <row r="429">
      <c r="A429" s="8" t="inlineStr">
        <is>
          <t>CUST-00425</t>
        </is>
      </c>
      <c r="B429" s="8" t="inlineStr">
        <is>
          <t>Rachel Cox</t>
        </is>
      </c>
      <c r="C429" s="8" t="inlineStr">
        <is>
          <t>Male</t>
        </is>
      </c>
      <c r="D429" s="8" t="n">
        <v>56</v>
      </c>
      <c r="E429" s="8">
        <f>IF(D429&lt;25, "18-24", IF(D429&lt;35, "25-34", IF(D429&lt;50, "35-49", "50+")))</f>
        <v/>
      </c>
      <c r="F429" s="8" t="inlineStr">
        <is>
          <t>Berlin</t>
        </is>
      </c>
      <c r="G429" s="8" t="inlineStr">
        <is>
          <t>Berlin</t>
        </is>
      </c>
      <c r="H429" s="8" t="inlineStr">
        <is>
          <t>REG-EU</t>
        </is>
      </c>
      <c r="I429" s="8" t="inlineStr">
        <is>
          <t>Corporate</t>
        </is>
      </c>
      <c r="J429" s="8" t="inlineStr">
        <is>
          <t>2025-04-14</t>
        </is>
      </c>
      <c r="K429" s="8">
        <f>COUNTIFS('05_Orders'!$C:$C, A429)</f>
        <v/>
      </c>
      <c r="L429" s="9">
        <f>SUMIFS('05_Orders'!$I:$I, '05_Orders'!$C:$C, A429)</f>
        <v/>
      </c>
      <c r="M429" s="8">
        <f>IF(L429&gt;=2000, "Platinum VIP", IF(L429&gt;=1000, "Gold", IF(L429&gt;=500, "Silver", "Standard")))</f>
        <v/>
      </c>
    </row>
    <row r="430">
      <c r="A430" s="8" t="inlineStr">
        <is>
          <t>CUST-00426</t>
        </is>
      </c>
      <c r="B430" s="8" t="inlineStr">
        <is>
          <t>Angela Rivera</t>
        </is>
      </c>
      <c r="C430" s="8" t="inlineStr">
        <is>
          <t>Male</t>
        </is>
      </c>
      <c r="D430" s="8" t="n">
        <v>45</v>
      </c>
      <c r="E430" s="8">
        <f>IF(D430&lt;25, "18-24", IF(D430&lt;35, "25-34", IF(D430&lt;50, "35-49", "50+")))</f>
        <v/>
      </c>
      <c r="F430" s="8" t="inlineStr">
        <is>
          <t>Berlin</t>
        </is>
      </c>
      <c r="G430" s="8" t="inlineStr">
        <is>
          <t>Berlin</t>
        </is>
      </c>
      <c r="H430" s="8" t="inlineStr">
        <is>
          <t>REG-EU</t>
        </is>
      </c>
      <c r="I430" s="8" t="inlineStr">
        <is>
          <t>Consumer</t>
        </is>
      </c>
      <c r="J430" s="8" t="inlineStr">
        <is>
          <t>2021-08-20</t>
        </is>
      </c>
      <c r="K430" s="8">
        <f>COUNTIFS('05_Orders'!$C:$C, A430)</f>
        <v/>
      </c>
      <c r="L430" s="9">
        <f>SUMIFS('05_Orders'!$I:$I, '05_Orders'!$C:$C, A430)</f>
        <v/>
      </c>
      <c r="M430" s="8">
        <f>IF(L430&gt;=2000, "Platinum VIP", IF(L430&gt;=1000, "Gold", IF(L430&gt;=500, "Silver", "Standard")))</f>
        <v/>
      </c>
    </row>
    <row r="431">
      <c r="A431" s="8" t="inlineStr">
        <is>
          <t>CUST-00427</t>
        </is>
      </c>
      <c r="B431" s="8" t="inlineStr">
        <is>
          <t>Jessica Nguyen</t>
        </is>
      </c>
      <c r="C431" s="8" t="inlineStr">
        <is>
          <t>Female</t>
        </is>
      </c>
      <c r="D431" s="8" t="n">
        <v>48</v>
      </c>
      <c r="E431" s="8">
        <f>IF(D431&lt;25, "18-24", IF(D431&lt;35, "25-34", IF(D431&lt;50, "35-49", "50+")))</f>
        <v/>
      </c>
      <c r="F431" s="8" t="inlineStr">
        <is>
          <t>Houston</t>
        </is>
      </c>
      <c r="G431" s="8" t="inlineStr">
        <is>
          <t>Texas</t>
        </is>
      </c>
      <c r="H431" s="8" t="inlineStr">
        <is>
          <t>REG-NA</t>
        </is>
      </c>
      <c r="I431" s="8" t="inlineStr">
        <is>
          <t>Consumer</t>
        </is>
      </c>
      <c r="J431" s="8" t="inlineStr">
        <is>
          <t>2024-07-16</t>
        </is>
      </c>
      <c r="K431" s="8">
        <f>COUNTIFS('05_Orders'!$C:$C, A431)</f>
        <v/>
      </c>
      <c r="L431" s="9">
        <f>SUMIFS('05_Orders'!$I:$I, '05_Orders'!$C:$C, A431)</f>
        <v/>
      </c>
      <c r="M431" s="8">
        <f>IF(L431&gt;=2000, "Platinum VIP", IF(L431&gt;=1000, "Gold", IF(L431&gt;=500, "Silver", "Standard")))</f>
        <v/>
      </c>
    </row>
    <row r="432">
      <c r="A432" s="8" t="inlineStr">
        <is>
          <t>CUST-00428</t>
        </is>
      </c>
      <c r="B432" s="8" t="inlineStr">
        <is>
          <t>Gregory Rogers</t>
        </is>
      </c>
      <c r="C432" s="8" t="inlineStr">
        <is>
          <t>Male</t>
        </is>
      </c>
      <c r="D432" s="8" t="n">
        <v>47</v>
      </c>
      <c r="E432" s="8">
        <f>IF(D432&lt;25, "18-24", IF(D432&lt;35, "25-34", IF(D432&lt;50, "35-49", "50+")))</f>
        <v/>
      </c>
      <c r="F432" s="8" t="inlineStr">
        <is>
          <t>Bangalore</t>
        </is>
      </c>
      <c r="G432" s="8" t="inlineStr">
        <is>
          <t>Karnataka</t>
        </is>
      </c>
      <c r="H432" s="8" t="inlineStr">
        <is>
          <t>REG-APAC</t>
        </is>
      </c>
      <c r="I432" s="8" t="inlineStr">
        <is>
          <t>Consumer</t>
        </is>
      </c>
      <c r="J432" s="8" t="inlineStr">
        <is>
          <t>2021-01-13</t>
        </is>
      </c>
      <c r="K432" s="8">
        <f>COUNTIFS('05_Orders'!$C:$C, A432)</f>
        <v/>
      </c>
      <c r="L432" s="9">
        <f>SUMIFS('05_Orders'!$I:$I, '05_Orders'!$C:$C, A432)</f>
        <v/>
      </c>
      <c r="M432" s="8">
        <f>IF(L432&gt;=2000, "Platinum VIP", IF(L432&gt;=1000, "Gold", IF(L432&gt;=500, "Silver", "Standard")))</f>
        <v/>
      </c>
    </row>
    <row r="433">
      <c r="A433" s="8" t="inlineStr">
        <is>
          <t>CUST-00429</t>
        </is>
      </c>
      <c r="B433" s="8" t="inlineStr">
        <is>
          <t>Jack White</t>
        </is>
      </c>
      <c r="C433" s="8" t="inlineStr">
        <is>
          <t>Female</t>
        </is>
      </c>
      <c r="D433" s="8" t="n">
        <v>40</v>
      </c>
      <c r="E433" s="8">
        <f>IF(D433&lt;25, "18-24", IF(D433&lt;35, "25-34", IF(D433&lt;50, "35-49", "50+")))</f>
        <v/>
      </c>
      <c r="F433" s="8" t="inlineStr">
        <is>
          <t>Atlanta</t>
        </is>
      </c>
      <c r="G433" s="8" t="inlineStr">
        <is>
          <t>Georgia</t>
        </is>
      </c>
      <c r="H433" s="8" t="inlineStr">
        <is>
          <t>REG-NA</t>
        </is>
      </c>
      <c r="I433" s="8" t="inlineStr">
        <is>
          <t>Corporate</t>
        </is>
      </c>
      <c r="J433" s="8" t="inlineStr">
        <is>
          <t>2021-06-23</t>
        </is>
      </c>
      <c r="K433" s="8">
        <f>COUNTIFS('05_Orders'!$C:$C, A433)</f>
        <v/>
      </c>
      <c r="L433" s="9">
        <f>SUMIFS('05_Orders'!$I:$I, '05_Orders'!$C:$C, A433)</f>
        <v/>
      </c>
      <c r="M433" s="8">
        <f>IF(L433&gt;=2000, "Platinum VIP", IF(L433&gt;=1000, "Gold", IF(L433&gt;=500, "Silver", "Standard")))</f>
        <v/>
      </c>
    </row>
    <row r="434">
      <c r="A434" s="8" t="inlineStr">
        <is>
          <t>CUST-00430</t>
        </is>
      </c>
      <c r="B434" s="8" t="inlineStr">
        <is>
          <t>James Martin</t>
        </is>
      </c>
      <c r="C434" s="8" t="inlineStr">
        <is>
          <t>Other</t>
        </is>
      </c>
      <c r="D434" s="8" t="n">
        <v>34</v>
      </c>
      <c r="E434" s="8">
        <f>IF(D434&lt;25, "18-24", IF(D434&lt;35, "25-34", IF(D434&lt;50, "35-49", "50+")))</f>
        <v/>
      </c>
      <c r="F434" s="8" t="inlineStr">
        <is>
          <t>Atlanta</t>
        </is>
      </c>
      <c r="G434" s="8" t="inlineStr">
        <is>
          <t>Georgia</t>
        </is>
      </c>
      <c r="H434" s="8" t="inlineStr">
        <is>
          <t>REG-NA</t>
        </is>
      </c>
      <c r="I434" s="8" t="inlineStr">
        <is>
          <t>Consumer</t>
        </is>
      </c>
      <c r="J434" s="8" t="inlineStr">
        <is>
          <t>2023-01-17</t>
        </is>
      </c>
      <c r="K434" s="8">
        <f>COUNTIFS('05_Orders'!$C:$C, A434)</f>
        <v/>
      </c>
      <c r="L434" s="9">
        <f>SUMIFS('05_Orders'!$I:$I, '05_Orders'!$C:$C, A434)</f>
        <v/>
      </c>
      <c r="M434" s="8">
        <f>IF(L434&gt;=2000, "Platinum VIP", IF(L434&gt;=1000, "Gold", IF(L434&gt;=500, "Silver", "Standard")))</f>
        <v/>
      </c>
    </row>
    <row r="435">
      <c r="A435" s="8" t="inlineStr">
        <is>
          <t>CUST-00431</t>
        </is>
      </c>
      <c r="B435" s="8" t="inlineStr">
        <is>
          <t>Ryan James</t>
        </is>
      </c>
      <c r="C435" s="8" t="inlineStr">
        <is>
          <t>Female</t>
        </is>
      </c>
      <c r="D435" s="8" t="n">
        <v>28</v>
      </c>
      <c r="E435" s="8">
        <f>IF(D435&lt;25, "18-24", IF(D435&lt;35, "25-34", IF(D435&lt;50, "35-49", "50+")))</f>
        <v/>
      </c>
      <c r="F435" s="8" t="inlineStr">
        <is>
          <t>Atlanta</t>
        </is>
      </c>
      <c r="G435" s="8" t="inlineStr">
        <is>
          <t>Georgia</t>
        </is>
      </c>
      <c r="H435" s="8" t="inlineStr">
        <is>
          <t>REG-NA</t>
        </is>
      </c>
      <c r="I435" s="8" t="inlineStr">
        <is>
          <t>Consumer</t>
        </is>
      </c>
      <c r="J435" s="8" t="inlineStr">
        <is>
          <t>2024-12-23</t>
        </is>
      </c>
      <c r="K435" s="8">
        <f>COUNTIFS('05_Orders'!$C:$C, A435)</f>
        <v/>
      </c>
      <c r="L435" s="9">
        <f>SUMIFS('05_Orders'!$I:$I, '05_Orders'!$C:$C, A435)</f>
        <v/>
      </c>
      <c r="M435" s="8">
        <f>IF(L435&gt;=2000, "Platinum VIP", IF(L435&gt;=1000, "Gold", IF(L435&gt;=500, "Silver", "Standard")))</f>
        <v/>
      </c>
    </row>
    <row r="436">
      <c r="A436" s="8" t="inlineStr">
        <is>
          <t>CUST-00432</t>
        </is>
      </c>
      <c r="B436" s="8" t="inlineStr">
        <is>
          <t>Ruth Nelson</t>
        </is>
      </c>
      <c r="C436" s="8" t="inlineStr">
        <is>
          <t>Male</t>
        </is>
      </c>
      <c r="D436" s="8" t="n">
        <v>28</v>
      </c>
      <c r="E436" s="8">
        <f>IF(D436&lt;25, "18-24", IF(D436&lt;35, "25-34", IF(D436&lt;50, "35-49", "50+")))</f>
        <v/>
      </c>
      <c r="F436" s="8" t="inlineStr">
        <is>
          <t>Madrid</t>
        </is>
      </c>
      <c r="G436" s="8" t="inlineStr">
        <is>
          <t>Community of Madrid</t>
        </is>
      </c>
      <c r="H436" s="8" t="inlineStr">
        <is>
          <t>REG-EU</t>
        </is>
      </c>
      <c r="I436" s="8" t="inlineStr">
        <is>
          <t>Enterprise</t>
        </is>
      </c>
      <c r="J436" s="8" t="inlineStr">
        <is>
          <t>2022-06-29</t>
        </is>
      </c>
      <c r="K436" s="8">
        <f>COUNTIFS('05_Orders'!$C:$C, A436)</f>
        <v/>
      </c>
      <c r="L436" s="9">
        <f>SUMIFS('05_Orders'!$I:$I, '05_Orders'!$C:$C, A436)</f>
        <v/>
      </c>
      <c r="M436" s="8">
        <f>IF(L436&gt;=2000, "Platinum VIP", IF(L436&gt;=1000, "Gold", IF(L436&gt;=500, "Silver", "Standard")))</f>
        <v/>
      </c>
    </row>
    <row r="437">
      <c r="A437" s="8" t="inlineStr">
        <is>
          <t>CUST-00433</t>
        </is>
      </c>
      <c r="B437" s="8" t="inlineStr">
        <is>
          <t>Thomas Adams</t>
        </is>
      </c>
      <c r="C437" s="8" t="inlineStr">
        <is>
          <t>Female</t>
        </is>
      </c>
      <c r="D437" s="8" t="n">
        <v>50</v>
      </c>
      <c r="E437" s="8">
        <f>IF(D437&lt;25, "18-24", IF(D437&lt;35, "25-34", IF(D437&lt;50, "35-49", "50+")))</f>
        <v/>
      </c>
      <c r="F437" s="8" t="inlineStr">
        <is>
          <t>Seoul</t>
        </is>
      </c>
      <c r="G437" s="8" t="inlineStr">
        <is>
          <t>Gyeonggi</t>
        </is>
      </c>
      <c r="H437" s="8" t="inlineStr">
        <is>
          <t>REG-APAC</t>
        </is>
      </c>
      <c r="I437" s="8" t="inlineStr">
        <is>
          <t>Consumer</t>
        </is>
      </c>
      <c r="J437" s="8" t="inlineStr">
        <is>
          <t>2021-08-09</t>
        </is>
      </c>
      <c r="K437" s="8">
        <f>COUNTIFS('05_Orders'!$C:$C, A437)</f>
        <v/>
      </c>
      <c r="L437" s="9">
        <f>SUMIFS('05_Orders'!$I:$I, '05_Orders'!$C:$C, A437)</f>
        <v/>
      </c>
      <c r="M437" s="8">
        <f>IF(L437&gt;=2000, "Platinum VIP", IF(L437&gt;=1000, "Gold", IF(L437&gt;=500, "Silver", "Standard")))</f>
        <v/>
      </c>
    </row>
    <row r="438">
      <c r="A438" s="8" t="inlineStr">
        <is>
          <t>CUST-00434</t>
        </is>
      </c>
      <c r="B438" s="8" t="inlineStr">
        <is>
          <t>Rachel Walker</t>
        </is>
      </c>
      <c r="C438" s="8" t="inlineStr">
        <is>
          <t>Male</t>
        </is>
      </c>
      <c r="D438" s="8" t="n">
        <v>45</v>
      </c>
      <c r="E438" s="8">
        <f>IF(D438&lt;25, "18-24", IF(D438&lt;35, "25-34", IF(D438&lt;50, "35-49", "50+")))</f>
        <v/>
      </c>
      <c r="F438" s="8" t="inlineStr">
        <is>
          <t>Seoul</t>
        </is>
      </c>
      <c r="G438" s="8" t="inlineStr">
        <is>
          <t>Gyeonggi</t>
        </is>
      </c>
      <c r="H438" s="8" t="inlineStr">
        <is>
          <t>REG-APAC</t>
        </is>
      </c>
      <c r="I438" s="8" t="inlineStr">
        <is>
          <t>Enterprise</t>
        </is>
      </c>
      <c r="J438" s="8" t="inlineStr">
        <is>
          <t>2025-02-19</t>
        </is>
      </c>
      <c r="K438" s="8">
        <f>COUNTIFS('05_Orders'!$C:$C, A438)</f>
        <v/>
      </c>
      <c r="L438" s="9">
        <f>SUMIFS('05_Orders'!$I:$I, '05_Orders'!$C:$C, A438)</f>
        <v/>
      </c>
      <c r="M438" s="8">
        <f>IF(L438&gt;=2000, "Platinum VIP", IF(L438&gt;=1000, "Gold", IF(L438&gt;=500, "Silver", "Standard")))</f>
        <v/>
      </c>
    </row>
    <row r="439">
      <c r="A439" s="8" t="inlineStr">
        <is>
          <t>CUST-00435</t>
        </is>
      </c>
      <c r="B439" s="8" t="inlineStr">
        <is>
          <t>Jeffrey Young</t>
        </is>
      </c>
      <c r="C439" s="8" t="inlineStr">
        <is>
          <t>Other</t>
        </is>
      </c>
      <c r="D439" s="8" t="n">
        <v>27</v>
      </c>
      <c r="E439" s="8">
        <f>IF(D439&lt;25, "18-24", IF(D439&lt;35, "25-34", IF(D439&lt;50, "35-49", "50+")))</f>
        <v/>
      </c>
      <c r="F439" s="8" t="inlineStr">
        <is>
          <t>Osaka</t>
        </is>
      </c>
      <c r="G439" s="8" t="inlineStr">
        <is>
          <t>Kansai</t>
        </is>
      </c>
      <c r="H439" s="8" t="inlineStr">
        <is>
          <t>REG-APAC</t>
        </is>
      </c>
      <c r="I439" s="8" t="inlineStr">
        <is>
          <t>Consumer</t>
        </is>
      </c>
      <c r="J439" s="8" t="inlineStr">
        <is>
          <t>2025-04-20</t>
        </is>
      </c>
      <c r="K439" s="8">
        <f>COUNTIFS('05_Orders'!$C:$C, A439)</f>
        <v/>
      </c>
      <c r="L439" s="9">
        <f>SUMIFS('05_Orders'!$I:$I, '05_Orders'!$C:$C, A439)</f>
        <v/>
      </c>
      <c r="M439" s="8">
        <f>IF(L439&gt;=2000, "Platinum VIP", IF(L439&gt;=1000, "Gold", IF(L439&gt;=500, "Silver", "Standard")))</f>
        <v/>
      </c>
    </row>
    <row r="440">
      <c r="A440" s="8" t="inlineStr">
        <is>
          <t>CUST-00436</t>
        </is>
      </c>
      <c r="B440" s="8" t="inlineStr">
        <is>
          <t>Jeffrey Sanchez</t>
        </is>
      </c>
      <c r="C440" s="8" t="inlineStr">
        <is>
          <t>Female</t>
        </is>
      </c>
      <c r="D440" s="8" t="n">
        <v>63</v>
      </c>
      <c r="E440" s="8">
        <f>IF(D440&lt;25, "18-24", IF(D440&lt;35, "25-34", IF(D440&lt;50, "35-49", "50+")))</f>
        <v/>
      </c>
      <c r="F440" s="8" t="inlineStr">
        <is>
          <t>Tokyo</t>
        </is>
      </c>
      <c r="G440" s="8" t="inlineStr">
        <is>
          <t>Kanto</t>
        </is>
      </c>
      <c r="H440" s="8" t="inlineStr">
        <is>
          <t>REG-APAC</t>
        </is>
      </c>
      <c r="I440" s="8" t="inlineStr">
        <is>
          <t>Corporate</t>
        </is>
      </c>
      <c r="J440" s="8" t="inlineStr">
        <is>
          <t>2023-10-26</t>
        </is>
      </c>
      <c r="K440" s="8">
        <f>COUNTIFS('05_Orders'!$C:$C, A440)</f>
        <v/>
      </c>
      <c r="L440" s="9">
        <f>SUMIFS('05_Orders'!$I:$I, '05_Orders'!$C:$C, A440)</f>
        <v/>
      </c>
      <c r="M440" s="8">
        <f>IF(L440&gt;=2000, "Platinum VIP", IF(L440&gt;=1000, "Gold", IF(L440&gt;=500, "Silver", "Standard")))</f>
        <v/>
      </c>
    </row>
    <row r="441">
      <c r="A441" s="8" t="inlineStr">
        <is>
          <t>CUST-00437</t>
        </is>
      </c>
      <c r="B441" s="8" t="inlineStr">
        <is>
          <t>Karen Robinson</t>
        </is>
      </c>
      <c r="C441" s="8" t="inlineStr">
        <is>
          <t>Male</t>
        </is>
      </c>
      <c r="D441" s="8" t="n">
        <v>26</v>
      </c>
      <c r="E441" s="8">
        <f>IF(D441&lt;25, "18-24", IF(D441&lt;35, "25-34", IF(D441&lt;50, "35-49", "50+")))</f>
        <v/>
      </c>
      <c r="F441" s="8" t="inlineStr">
        <is>
          <t>Phoenix</t>
        </is>
      </c>
      <c r="G441" s="8" t="inlineStr">
        <is>
          <t>Arizona</t>
        </is>
      </c>
      <c r="H441" s="8" t="inlineStr">
        <is>
          <t>REG-NA</t>
        </is>
      </c>
      <c r="I441" s="8" t="inlineStr">
        <is>
          <t>Enterprise</t>
        </is>
      </c>
      <c r="J441" s="8" t="inlineStr">
        <is>
          <t>2021-10-27</t>
        </is>
      </c>
      <c r="K441" s="8">
        <f>COUNTIFS('05_Orders'!$C:$C, A441)</f>
        <v/>
      </c>
      <c r="L441" s="9">
        <f>SUMIFS('05_Orders'!$I:$I, '05_Orders'!$C:$C, A441)</f>
        <v/>
      </c>
      <c r="M441" s="8">
        <f>IF(L441&gt;=2000, "Platinum VIP", IF(L441&gt;=1000, "Gold", IF(L441&gt;=500, "Silver", "Standard")))</f>
        <v/>
      </c>
    </row>
    <row r="442">
      <c r="A442" s="8" t="inlineStr">
        <is>
          <t>CUST-00438</t>
        </is>
      </c>
      <c r="B442" s="8" t="inlineStr">
        <is>
          <t>Jason Ortiz</t>
        </is>
      </c>
      <c r="C442" s="8" t="inlineStr">
        <is>
          <t>Female</t>
        </is>
      </c>
      <c r="D442" s="8" t="n">
        <v>62</v>
      </c>
      <c r="E442" s="8">
        <f>IF(D442&lt;25, "18-24", IF(D442&lt;35, "25-34", IF(D442&lt;50, "35-49", "50+")))</f>
        <v/>
      </c>
      <c r="F442" s="8" t="inlineStr">
        <is>
          <t>Munich</t>
        </is>
      </c>
      <c r="G442" s="8" t="inlineStr">
        <is>
          <t>Bavaria</t>
        </is>
      </c>
      <c r="H442" s="8" t="inlineStr">
        <is>
          <t>REG-EU</t>
        </is>
      </c>
      <c r="I442" s="8" t="inlineStr">
        <is>
          <t>Consumer</t>
        </is>
      </c>
      <c r="J442" s="8" t="inlineStr">
        <is>
          <t>2023-05-23</t>
        </is>
      </c>
      <c r="K442" s="8">
        <f>COUNTIFS('05_Orders'!$C:$C, A442)</f>
        <v/>
      </c>
      <c r="L442" s="9">
        <f>SUMIFS('05_Orders'!$I:$I, '05_Orders'!$C:$C, A442)</f>
        <v/>
      </c>
      <c r="M442" s="8">
        <f>IF(L442&gt;=2000, "Platinum VIP", IF(L442&gt;=1000, "Gold", IF(L442&gt;=500, "Silver", "Standard")))</f>
        <v/>
      </c>
    </row>
    <row r="443">
      <c r="A443" s="8" t="inlineStr">
        <is>
          <t>CUST-00439</t>
        </is>
      </c>
      <c r="B443" s="8" t="inlineStr">
        <is>
          <t>Andrew Campbell</t>
        </is>
      </c>
      <c r="C443" s="8" t="inlineStr">
        <is>
          <t>Female</t>
        </is>
      </c>
      <c r="D443" s="8" t="n">
        <v>40</v>
      </c>
      <c r="E443" s="8">
        <f>IF(D443&lt;25, "18-24", IF(D443&lt;35, "25-34", IF(D443&lt;50, "35-49", "50+")))</f>
        <v/>
      </c>
      <c r="F443" s="8" t="inlineStr">
        <is>
          <t>Sydney</t>
        </is>
      </c>
      <c r="G443" s="8" t="inlineStr">
        <is>
          <t>New South Wales</t>
        </is>
      </c>
      <c r="H443" s="8" t="inlineStr">
        <is>
          <t>REG-APAC</t>
        </is>
      </c>
      <c r="I443" s="8" t="inlineStr">
        <is>
          <t>Consumer</t>
        </is>
      </c>
      <c r="J443" s="8" t="inlineStr">
        <is>
          <t>2021-04-08</t>
        </is>
      </c>
      <c r="K443" s="8">
        <f>COUNTIFS('05_Orders'!$C:$C, A443)</f>
        <v/>
      </c>
      <c r="L443" s="9">
        <f>SUMIFS('05_Orders'!$I:$I, '05_Orders'!$C:$C, A443)</f>
        <v/>
      </c>
      <c r="M443" s="8">
        <f>IF(L443&gt;=2000, "Platinum VIP", IF(L443&gt;=1000, "Gold", IF(L443&gt;=500, "Silver", "Standard")))</f>
        <v/>
      </c>
    </row>
    <row r="444">
      <c r="A444" s="8" t="inlineStr">
        <is>
          <t>CUST-00440</t>
        </is>
      </c>
      <c r="B444" s="8" t="inlineStr">
        <is>
          <t>Kenneth Stewart</t>
        </is>
      </c>
      <c r="C444" s="8" t="inlineStr">
        <is>
          <t>Female</t>
        </is>
      </c>
      <c r="D444" s="8" t="n">
        <v>56</v>
      </c>
      <c r="E444" s="8">
        <f>IF(D444&lt;25, "18-24", IF(D444&lt;35, "25-34", IF(D444&lt;50, "35-49", "50+")))</f>
        <v/>
      </c>
      <c r="F444" s="8" t="inlineStr">
        <is>
          <t>Chicago</t>
        </is>
      </c>
      <c r="G444" s="8" t="inlineStr">
        <is>
          <t>Illinois</t>
        </is>
      </c>
      <c r="H444" s="8" t="inlineStr">
        <is>
          <t>REG-NA</t>
        </is>
      </c>
      <c r="I444" s="8" t="inlineStr">
        <is>
          <t>Consumer</t>
        </is>
      </c>
      <c r="J444" s="8" t="inlineStr">
        <is>
          <t>2023-10-04</t>
        </is>
      </c>
      <c r="K444" s="8">
        <f>COUNTIFS('05_Orders'!$C:$C, A444)</f>
        <v/>
      </c>
      <c r="L444" s="9">
        <f>SUMIFS('05_Orders'!$I:$I, '05_Orders'!$C:$C, A444)</f>
        <v/>
      </c>
      <c r="M444" s="8">
        <f>IF(L444&gt;=2000, "Platinum VIP", IF(L444&gt;=1000, "Gold", IF(L444&gt;=500, "Silver", "Standard")))</f>
        <v/>
      </c>
    </row>
    <row r="445">
      <c r="A445" s="8" t="inlineStr">
        <is>
          <t>CUST-00441</t>
        </is>
      </c>
      <c r="B445" s="8" t="inlineStr">
        <is>
          <t>Larry Foster</t>
        </is>
      </c>
      <c r="C445" s="8" t="inlineStr">
        <is>
          <t>Male</t>
        </is>
      </c>
      <c r="D445" s="8" t="n">
        <v>39</v>
      </c>
      <c r="E445" s="8">
        <f>IF(D445&lt;25, "18-24", IF(D445&lt;35, "25-34", IF(D445&lt;50, "35-49", "50+")))</f>
        <v/>
      </c>
      <c r="F445" s="8" t="inlineStr">
        <is>
          <t>Seattle</t>
        </is>
      </c>
      <c r="G445" s="8" t="inlineStr">
        <is>
          <t>Washington</t>
        </is>
      </c>
      <c r="H445" s="8" t="inlineStr">
        <is>
          <t>REG-NA</t>
        </is>
      </c>
      <c r="I445" s="8" t="inlineStr">
        <is>
          <t>Corporate</t>
        </is>
      </c>
      <c r="J445" s="8" t="inlineStr">
        <is>
          <t>2024-04-21</t>
        </is>
      </c>
      <c r="K445" s="8">
        <f>COUNTIFS('05_Orders'!$C:$C, A445)</f>
        <v/>
      </c>
      <c r="L445" s="9">
        <f>SUMIFS('05_Orders'!$I:$I, '05_Orders'!$C:$C, A445)</f>
        <v/>
      </c>
      <c r="M445" s="8">
        <f>IF(L445&gt;=2000, "Platinum VIP", IF(L445&gt;=1000, "Gold", IF(L445&gt;=500, "Silver", "Standard")))</f>
        <v/>
      </c>
    </row>
    <row r="446">
      <c r="A446" s="8" t="inlineStr">
        <is>
          <t>CUST-00442</t>
        </is>
      </c>
      <c r="B446" s="8" t="inlineStr">
        <is>
          <t>Stephanie Lopez</t>
        </is>
      </c>
      <c r="C446" s="8" t="inlineStr">
        <is>
          <t>Male</t>
        </is>
      </c>
      <c r="D446" s="8" t="n">
        <v>26</v>
      </c>
      <c r="E446" s="8">
        <f>IF(D446&lt;25, "18-24", IF(D446&lt;35, "25-34", IF(D446&lt;50, "35-49", "50+")))</f>
        <v/>
      </c>
      <c r="F446" s="8" t="inlineStr">
        <is>
          <t>Stockholm</t>
        </is>
      </c>
      <c r="G446" s="8" t="inlineStr">
        <is>
          <t>Stockholm County</t>
        </is>
      </c>
      <c r="H446" s="8" t="inlineStr">
        <is>
          <t>REG-EU</t>
        </is>
      </c>
      <c r="I446" s="8" t="inlineStr">
        <is>
          <t>Consumer</t>
        </is>
      </c>
      <c r="J446" s="8" t="inlineStr">
        <is>
          <t>2024-04-16</t>
        </is>
      </c>
      <c r="K446" s="8">
        <f>COUNTIFS('05_Orders'!$C:$C, A446)</f>
        <v/>
      </c>
      <c r="L446" s="9">
        <f>SUMIFS('05_Orders'!$I:$I, '05_Orders'!$C:$C, A446)</f>
        <v/>
      </c>
      <c r="M446" s="8">
        <f>IF(L446&gt;=2000, "Platinum VIP", IF(L446&gt;=1000, "Gold", IF(L446&gt;=500, "Silver", "Standard")))</f>
        <v/>
      </c>
    </row>
    <row r="447">
      <c r="A447" s="8" t="inlineStr">
        <is>
          <t>CUST-00443</t>
        </is>
      </c>
      <c r="B447" s="8" t="inlineStr">
        <is>
          <t>Cynthia Gonzalez</t>
        </is>
      </c>
      <c r="C447" s="8" t="inlineStr">
        <is>
          <t>Male</t>
        </is>
      </c>
      <c r="D447" s="8" t="n">
        <v>52</v>
      </c>
      <c r="E447" s="8">
        <f>IF(D447&lt;25, "18-24", IF(D447&lt;35, "25-34", IF(D447&lt;50, "35-49", "50+")))</f>
        <v/>
      </c>
      <c r="F447" s="8" t="inlineStr">
        <is>
          <t>Paris</t>
        </is>
      </c>
      <c r="G447" s="8" t="inlineStr">
        <is>
          <t>Ile-de-France</t>
        </is>
      </c>
      <c r="H447" s="8" t="inlineStr">
        <is>
          <t>REG-EU</t>
        </is>
      </c>
      <c r="I447" s="8" t="inlineStr">
        <is>
          <t>Corporate</t>
        </is>
      </c>
      <c r="J447" s="8" t="inlineStr">
        <is>
          <t>2025-04-08</t>
        </is>
      </c>
      <c r="K447" s="8">
        <f>COUNTIFS('05_Orders'!$C:$C, A447)</f>
        <v/>
      </c>
      <c r="L447" s="9">
        <f>SUMIFS('05_Orders'!$I:$I, '05_Orders'!$C:$C, A447)</f>
        <v/>
      </c>
      <c r="M447" s="8">
        <f>IF(L447&gt;=2000, "Platinum VIP", IF(L447&gt;=1000, "Gold", IF(L447&gt;=500, "Silver", "Standard")))</f>
        <v/>
      </c>
    </row>
    <row r="448">
      <c r="A448" s="8" t="inlineStr">
        <is>
          <t>CUST-00444</t>
        </is>
      </c>
      <c r="B448" s="8" t="inlineStr">
        <is>
          <t>Larry Alvarez</t>
        </is>
      </c>
      <c r="C448" s="8" t="inlineStr">
        <is>
          <t>Female</t>
        </is>
      </c>
      <c r="D448" s="8" t="n">
        <v>66</v>
      </c>
      <c r="E448" s="8">
        <f>IF(D448&lt;25, "18-24", IF(D448&lt;35, "25-34", IF(D448&lt;50, "35-49", "50+")))</f>
        <v/>
      </c>
      <c r="F448" s="8" t="inlineStr">
        <is>
          <t>Mumbai</t>
        </is>
      </c>
      <c r="G448" s="8" t="inlineStr">
        <is>
          <t>Maharashtra</t>
        </is>
      </c>
      <c r="H448" s="8" t="inlineStr">
        <is>
          <t>REG-APAC</t>
        </is>
      </c>
      <c r="I448" s="8" t="inlineStr">
        <is>
          <t>Enterprise</t>
        </is>
      </c>
      <c r="J448" s="8" t="inlineStr">
        <is>
          <t>2023-01-20</t>
        </is>
      </c>
      <c r="K448" s="8">
        <f>COUNTIFS('05_Orders'!$C:$C, A448)</f>
        <v/>
      </c>
      <c r="L448" s="9">
        <f>SUMIFS('05_Orders'!$I:$I, '05_Orders'!$C:$C, A448)</f>
        <v/>
      </c>
      <c r="M448" s="8">
        <f>IF(L448&gt;=2000, "Platinum VIP", IF(L448&gt;=1000, "Gold", IF(L448&gt;=500, "Silver", "Standard")))</f>
        <v/>
      </c>
    </row>
    <row r="449">
      <c r="A449" s="8" t="inlineStr">
        <is>
          <t>CUST-00445</t>
        </is>
      </c>
      <c r="B449" s="8" t="inlineStr">
        <is>
          <t>Laura Ortiz</t>
        </is>
      </c>
      <c r="C449" s="8" t="inlineStr">
        <is>
          <t>Other</t>
        </is>
      </c>
      <c r="D449" s="8" t="n">
        <v>68</v>
      </c>
      <c r="E449" s="8">
        <f>IF(D449&lt;25, "18-24", IF(D449&lt;35, "25-34", IF(D449&lt;50, "35-49", "50+")))</f>
        <v/>
      </c>
      <c r="F449" s="8" t="inlineStr">
        <is>
          <t>Denver</t>
        </is>
      </c>
      <c r="G449" s="8" t="inlineStr">
        <is>
          <t>Colorado</t>
        </is>
      </c>
      <c r="H449" s="8" t="inlineStr">
        <is>
          <t>REG-NA</t>
        </is>
      </c>
      <c r="I449" s="8" t="inlineStr">
        <is>
          <t>Consumer</t>
        </is>
      </c>
      <c r="J449" s="8" t="inlineStr">
        <is>
          <t>2021-09-22</t>
        </is>
      </c>
      <c r="K449" s="8">
        <f>COUNTIFS('05_Orders'!$C:$C, A449)</f>
        <v/>
      </c>
      <c r="L449" s="9">
        <f>SUMIFS('05_Orders'!$I:$I, '05_Orders'!$C:$C, A449)</f>
        <v/>
      </c>
      <c r="M449" s="8">
        <f>IF(L449&gt;=2000, "Platinum VIP", IF(L449&gt;=1000, "Gold", IF(L449&gt;=500, "Silver", "Standard")))</f>
        <v/>
      </c>
    </row>
    <row r="450">
      <c r="A450" s="8" t="inlineStr">
        <is>
          <t>CUST-00446</t>
        </is>
      </c>
      <c r="B450" s="8" t="inlineStr">
        <is>
          <t>Matthew Patel</t>
        </is>
      </c>
      <c r="C450" s="8" t="inlineStr">
        <is>
          <t>Female</t>
        </is>
      </c>
      <c r="D450" s="8" t="n">
        <v>49</v>
      </c>
      <c r="E450" s="8">
        <f>IF(D450&lt;25, "18-24", IF(D450&lt;35, "25-34", IF(D450&lt;50, "35-49", "50+")))</f>
        <v/>
      </c>
      <c r="F450" s="8" t="inlineStr">
        <is>
          <t>Dublin</t>
        </is>
      </c>
      <c r="G450" s="8" t="inlineStr">
        <is>
          <t>Leinster</t>
        </is>
      </c>
      <c r="H450" s="8" t="inlineStr">
        <is>
          <t>REG-EU</t>
        </is>
      </c>
      <c r="I450" s="8" t="inlineStr">
        <is>
          <t>Enterprise</t>
        </is>
      </c>
      <c r="J450" s="8" t="inlineStr">
        <is>
          <t>2021-12-05</t>
        </is>
      </c>
      <c r="K450" s="8">
        <f>COUNTIFS('05_Orders'!$C:$C, A450)</f>
        <v/>
      </c>
      <c r="L450" s="9">
        <f>SUMIFS('05_Orders'!$I:$I, '05_Orders'!$C:$C, A450)</f>
        <v/>
      </c>
      <c r="M450" s="8">
        <f>IF(L450&gt;=2000, "Platinum VIP", IF(L450&gt;=1000, "Gold", IF(L450&gt;=500, "Silver", "Standard")))</f>
        <v/>
      </c>
    </row>
    <row r="451">
      <c r="A451" s="8" t="inlineStr">
        <is>
          <t>CUST-00447</t>
        </is>
      </c>
      <c r="B451" s="8" t="inlineStr">
        <is>
          <t>Emma Wright</t>
        </is>
      </c>
      <c r="C451" s="8" t="inlineStr">
        <is>
          <t>Male</t>
        </is>
      </c>
      <c r="D451" s="8" t="n">
        <v>45</v>
      </c>
      <c r="E451" s="8">
        <f>IF(D451&lt;25, "18-24", IF(D451&lt;35, "25-34", IF(D451&lt;50, "35-49", "50+")))</f>
        <v/>
      </c>
      <c r="F451" s="8" t="inlineStr">
        <is>
          <t>Denver</t>
        </is>
      </c>
      <c r="G451" s="8" t="inlineStr">
        <is>
          <t>Colorado</t>
        </is>
      </c>
      <c r="H451" s="8" t="inlineStr">
        <is>
          <t>REG-NA</t>
        </is>
      </c>
      <c r="I451" s="8" t="inlineStr">
        <is>
          <t>Consumer</t>
        </is>
      </c>
      <c r="J451" s="8" t="inlineStr">
        <is>
          <t>2024-11-27</t>
        </is>
      </c>
      <c r="K451" s="8">
        <f>COUNTIFS('05_Orders'!$C:$C, A451)</f>
        <v/>
      </c>
      <c r="L451" s="9">
        <f>SUMIFS('05_Orders'!$I:$I, '05_Orders'!$C:$C, A451)</f>
        <v/>
      </c>
      <c r="M451" s="8">
        <f>IF(L451&gt;=2000, "Platinum VIP", IF(L451&gt;=1000, "Gold", IF(L451&gt;=500, "Silver", "Standard")))</f>
        <v/>
      </c>
    </row>
    <row r="452">
      <c r="A452" s="8" t="inlineStr">
        <is>
          <t>CUST-00448</t>
        </is>
      </c>
      <c r="B452" s="8" t="inlineStr">
        <is>
          <t>Jack Ortiz</t>
        </is>
      </c>
      <c r="C452" s="8" t="inlineStr">
        <is>
          <t>Female</t>
        </is>
      </c>
      <c r="D452" s="8" t="n">
        <v>37</v>
      </c>
      <c r="E452" s="8">
        <f>IF(D452&lt;25, "18-24", IF(D452&lt;35, "25-34", IF(D452&lt;50, "35-49", "50+")))</f>
        <v/>
      </c>
      <c r="F452" s="8" t="inlineStr">
        <is>
          <t>Melbourne</t>
        </is>
      </c>
      <c r="G452" s="8" t="inlineStr">
        <is>
          <t>Victoria</t>
        </is>
      </c>
      <c r="H452" s="8" t="inlineStr">
        <is>
          <t>REG-APAC</t>
        </is>
      </c>
      <c r="I452" s="8" t="inlineStr">
        <is>
          <t>Corporate</t>
        </is>
      </c>
      <c r="J452" s="8" t="inlineStr">
        <is>
          <t>2024-02-05</t>
        </is>
      </c>
      <c r="K452" s="8">
        <f>COUNTIFS('05_Orders'!$C:$C, A452)</f>
        <v/>
      </c>
      <c r="L452" s="9">
        <f>SUMIFS('05_Orders'!$I:$I, '05_Orders'!$C:$C, A452)</f>
        <v/>
      </c>
      <c r="M452" s="8">
        <f>IF(L452&gt;=2000, "Platinum VIP", IF(L452&gt;=1000, "Gold", IF(L452&gt;=500, "Silver", "Standard")))</f>
        <v/>
      </c>
    </row>
    <row r="453">
      <c r="A453" s="8" t="inlineStr">
        <is>
          <t>CUST-00449</t>
        </is>
      </c>
      <c r="B453" s="8" t="inlineStr">
        <is>
          <t>Katherine Jackson</t>
        </is>
      </c>
      <c r="C453" s="8" t="inlineStr">
        <is>
          <t>Female</t>
        </is>
      </c>
      <c r="D453" s="8" t="n">
        <v>26</v>
      </c>
      <c r="E453" s="8">
        <f>IF(D453&lt;25, "18-24", IF(D453&lt;35, "25-34", IF(D453&lt;50, "35-49", "50+")))</f>
        <v/>
      </c>
      <c r="F453" s="8" t="inlineStr">
        <is>
          <t>New York</t>
        </is>
      </c>
      <c r="G453" s="8" t="inlineStr">
        <is>
          <t>New York</t>
        </is>
      </c>
      <c r="H453" s="8" t="inlineStr">
        <is>
          <t>REG-NA</t>
        </is>
      </c>
      <c r="I453" s="8" t="inlineStr">
        <is>
          <t>Corporate</t>
        </is>
      </c>
      <c r="J453" s="8" t="inlineStr">
        <is>
          <t>2022-05-25</t>
        </is>
      </c>
      <c r="K453" s="8">
        <f>COUNTIFS('05_Orders'!$C:$C, A453)</f>
        <v/>
      </c>
      <c r="L453" s="9">
        <f>SUMIFS('05_Orders'!$I:$I, '05_Orders'!$C:$C, A453)</f>
        <v/>
      </c>
      <c r="M453" s="8">
        <f>IF(L453&gt;=2000, "Platinum VIP", IF(L453&gt;=1000, "Gold", IF(L453&gt;=500, "Silver", "Standard")))</f>
        <v/>
      </c>
    </row>
    <row r="454">
      <c r="A454" s="8" t="inlineStr">
        <is>
          <t>CUST-00450</t>
        </is>
      </c>
      <c r="B454" s="8" t="inlineStr">
        <is>
          <t>Samuel Cox</t>
        </is>
      </c>
      <c r="C454" s="8" t="inlineStr">
        <is>
          <t>Female</t>
        </is>
      </c>
      <c r="D454" s="8" t="n">
        <v>38</v>
      </c>
      <c r="E454" s="8">
        <f>IF(D454&lt;25, "18-24", IF(D454&lt;35, "25-34", IF(D454&lt;50, "35-49", "50+")))</f>
        <v/>
      </c>
      <c r="F454" s="8" t="inlineStr">
        <is>
          <t>Boston</t>
        </is>
      </c>
      <c r="G454" s="8" t="inlineStr">
        <is>
          <t>Massachusetts</t>
        </is>
      </c>
      <c r="H454" s="8" t="inlineStr">
        <is>
          <t>REG-NA</t>
        </is>
      </c>
      <c r="I454" s="8" t="inlineStr">
        <is>
          <t>Consumer</t>
        </is>
      </c>
      <c r="J454" s="8" t="inlineStr">
        <is>
          <t>2021-10-01</t>
        </is>
      </c>
      <c r="K454" s="8">
        <f>COUNTIFS('05_Orders'!$C:$C, A454)</f>
        <v/>
      </c>
      <c r="L454" s="9">
        <f>SUMIFS('05_Orders'!$I:$I, '05_Orders'!$C:$C, A454)</f>
        <v/>
      </c>
      <c r="M454" s="8">
        <f>IF(L454&gt;=2000, "Platinum VIP", IF(L454&gt;=1000, "Gold", IF(L454&gt;=500, "Silver", "Standard")))</f>
        <v/>
      </c>
    </row>
    <row r="455">
      <c r="A455" s="8" t="inlineStr">
        <is>
          <t>CUST-00451</t>
        </is>
      </c>
      <c r="B455" s="8" t="inlineStr">
        <is>
          <t>Mary Rivera</t>
        </is>
      </c>
      <c r="C455" s="8" t="inlineStr">
        <is>
          <t>Male</t>
        </is>
      </c>
      <c r="D455" s="8" t="n">
        <v>64</v>
      </c>
      <c r="E455" s="8">
        <f>IF(D455&lt;25, "18-24", IF(D455&lt;35, "25-34", IF(D455&lt;50, "35-49", "50+")))</f>
        <v/>
      </c>
      <c r="F455" s="8" t="inlineStr">
        <is>
          <t>Mexico City</t>
        </is>
      </c>
      <c r="G455" s="8" t="inlineStr">
        <is>
          <t>CDMX</t>
        </is>
      </c>
      <c r="H455" s="8" t="inlineStr">
        <is>
          <t>REG-LATAM</t>
        </is>
      </c>
      <c r="I455" s="8" t="inlineStr">
        <is>
          <t>Consumer</t>
        </is>
      </c>
      <c r="J455" s="8" t="inlineStr">
        <is>
          <t>2021-02-02</t>
        </is>
      </c>
      <c r="K455" s="8">
        <f>COUNTIFS('05_Orders'!$C:$C, A455)</f>
        <v/>
      </c>
      <c r="L455" s="9">
        <f>SUMIFS('05_Orders'!$I:$I, '05_Orders'!$C:$C, A455)</f>
        <v/>
      </c>
      <c r="M455" s="8">
        <f>IF(L455&gt;=2000, "Platinum VIP", IF(L455&gt;=1000, "Gold", IF(L455&gt;=500, "Silver", "Standard")))</f>
        <v/>
      </c>
    </row>
    <row r="456">
      <c r="A456" s="8" t="inlineStr">
        <is>
          <t>CUST-00452</t>
        </is>
      </c>
      <c r="B456" s="8" t="inlineStr">
        <is>
          <t>Susan Castillo</t>
        </is>
      </c>
      <c r="C456" s="8" t="inlineStr">
        <is>
          <t>Other</t>
        </is>
      </c>
      <c r="D456" s="8" t="n">
        <v>62</v>
      </c>
      <c r="E456" s="8">
        <f>IF(D456&lt;25, "18-24", IF(D456&lt;35, "25-34", IF(D456&lt;50, "35-49", "50+")))</f>
        <v/>
      </c>
      <c r="F456" s="8" t="inlineStr">
        <is>
          <t>Phoenix</t>
        </is>
      </c>
      <c r="G456" s="8" t="inlineStr">
        <is>
          <t>Arizona</t>
        </is>
      </c>
      <c r="H456" s="8" t="inlineStr">
        <is>
          <t>REG-NA</t>
        </is>
      </c>
      <c r="I456" s="8" t="inlineStr">
        <is>
          <t>Home Office</t>
        </is>
      </c>
      <c r="J456" s="8" t="inlineStr">
        <is>
          <t>2024-07-23</t>
        </is>
      </c>
      <c r="K456" s="8">
        <f>COUNTIFS('05_Orders'!$C:$C, A456)</f>
        <v/>
      </c>
      <c r="L456" s="9">
        <f>SUMIFS('05_Orders'!$I:$I, '05_Orders'!$C:$C, A456)</f>
        <v/>
      </c>
      <c r="M456" s="8">
        <f>IF(L456&gt;=2000, "Platinum VIP", IF(L456&gt;=1000, "Gold", IF(L456&gt;=500, "Silver", "Standard")))</f>
        <v/>
      </c>
    </row>
    <row r="457">
      <c r="A457" s="8" t="inlineStr">
        <is>
          <t>CUST-00453</t>
        </is>
      </c>
      <c r="B457" s="8" t="inlineStr">
        <is>
          <t>Anthony Howard</t>
        </is>
      </c>
      <c r="C457" s="8" t="inlineStr">
        <is>
          <t>Other</t>
        </is>
      </c>
      <c r="D457" s="8" t="n">
        <v>69</v>
      </c>
      <c r="E457" s="8">
        <f>IF(D457&lt;25, "18-24", IF(D457&lt;35, "25-34", IF(D457&lt;50, "35-49", "50+")))</f>
        <v/>
      </c>
      <c r="F457" s="8" t="inlineStr">
        <is>
          <t>Seoul</t>
        </is>
      </c>
      <c r="G457" s="8" t="inlineStr">
        <is>
          <t>Gyeonggi</t>
        </is>
      </c>
      <c r="H457" s="8" t="inlineStr">
        <is>
          <t>REG-APAC</t>
        </is>
      </c>
      <c r="I457" s="8" t="inlineStr">
        <is>
          <t>Consumer</t>
        </is>
      </c>
      <c r="J457" s="8" t="inlineStr">
        <is>
          <t>2022-04-20</t>
        </is>
      </c>
      <c r="K457" s="8">
        <f>COUNTIFS('05_Orders'!$C:$C, A457)</f>
        <v/>
      </c>
      <c r="L457" s="9">
        <f>SUMIFS('05_Orders'!$I:$I, '05_Orders'!$C:$C, A457)</f>
        <v/>
      </c>
      <c r="M457" s="8">
        <f>IF(L457&gt;=2000, "Platinum VIP", IF(L457&gt;=1000, "Gold", IF(L457&gt;=500, "Silver", "Standard")))</f>
        <v/>
      </c>
    </row>
    <row r="458">
      <c r="A458" s="8" t="inlineStr">
        <is>
          <t>CUST-00454</t>
        </is>
      </c>
      <c r="B458" s="8" t="inlineStr">
        <is>
          <t>Shirley White</t>
        </is>
      </c>
      <c r="C458" s="8" t="inlineStr">
        <is>
          <t>Female</t>
        </is>
      </c>
      <c r="D458" s="8" t="n">
        <v>29</v>
      </c>
      <c r="E458" s="8">
        <f>IF(D458&lt;25, "18-24", IF(D458&lt;35, "25-34", IF(D458&lt;50, "35-49", "50+")))</f>
        <v/>
      </c>
      <c r="F458" s="8" t="inlineStr">
        <is>
          <t>Osaka</t>
        </is>
      </c>
      <c r="G458" s="8" t="inlineStr">
        <is>
          <t>Kansai</t>
        </is>
      </c>
      <c r="H458" s="8" t="inlineStr">
        <is>
          <t>REG-APAC</t>
        </is>
      </c>
      <c r="I458" s="8" t="inlineStr">
        <is>
          <t>Consumer</t>
        </is>
      </c>
      <c r="J458" s="8" t="inlineStr">
        <is>
          <t>2023-10-02</t>
        </is>
      </c>
      <c r="K458" s="8">
        <f>COUNTIFS('05_Orders'!$C:$C, A458)</f>
        <v/>
      </c>
      <c r="L458" s="9">
        <f>SUMIFS('05_Orders'!$I:$I, '05_Orders'!$C:$C, A458)</f>
        <v/>
      </c>
      <c r="M458" s="8">
        <f>IF(L458&gt;=2000, "Platinum VIP", IF(L458&gt;=1000, "Gold", IF(L458&gt;=500, "Silver", "Standard")))</f>
        <v/>
      </c>
    </row>
    <row r="459">
      <c r="A459" s="8" t="inlineStr">
        <is>
          <t>CUST-00455</t>
        </is>
      </c>
      <c r="B459" s="8" t="inlineStr">
        <is>
          <t>Daniel Gomez</t>
        </is>
      </c>
      <c r="C459" s="8" t="inlineStr">
        <is>
          <t>Other</t>
        </is>
      </c>
      <c r="D459" s="8" t="n">
        <v>56</v>
      </c>
      <c r="E459" s="8">
        <f>IF(D459&lt;25, "18-24", IF(D459&lt;35, "25-34", IF(D459&lt;50, "35-49", "50+")))</f>
        <v/>
      </c>
      <c r="F459" s="8" t="inlineStr">
        <is>
          <t>Chicago</t>
        </is>
      </c>
      <c r="G459" s="8" t="inlineStr">
        <is>
          <t>Illinois</t>
        </is>
      </c>
      <c r="H459" s="8" t="inlineStr">
        <is>
          <t>REG-NA</t>
        </is>
      </c>
      <c r="I459" s="8" t="inlineStr">
        <is>
          <t>Consumer</t>
        </is>
      </c>
      <c r="J459" s="8" t="inlineStr">
        <is>
          <t>2022-05-18</t>
        </is>
      </c>
      <c r="K459" s="8">
        <f>COUNTIFS('05_Orders'!$C:$C, A459)</f>
        <v/>
      </c>
      <c r="L459" s="9">
        <f>SUMIFS('05_Orders'!$I:$I, '05_Orders'!$C:$C, A459)</f>
        <v/>
      </c>
      <c r="M459" s="8">
        <f>IF(L459&gt;=2000, "Platinum VIP", IF(L459&gt;=1000, "Gold", IF(L459&gt;=500, "Silver", "Standard")))</f>
        <v/>
      </c>
    </row>
    <row r="460">
      <c r="A460" s="8" t="inlineStr">
        <is>
          <t>CUST-00456</t>
        </is>
      </c>
      <c r="B460" s="8" t="inlineStr">
        <is>
          <t>Sarah Sanders</t>
        </is>
      </c>
      <c r="C460" s="8" t="inlineStr">
        <is>
          <t>Male</t>
        </is>
      </c>
      <c r="D460" s="8" t="n">
        <v>56</v>
      </c>
      <c r="E460" s="8">
        <f>IF(D460&lt;25, "18-24", IF(D460&lt;35, "25-34", IF(D460&lt;50, "35-49", "50+")))</f>
        <v/>
      </c>
      <c r="F460" s="8" t="inlineStr">
        <is>
          <t>Atlanta</t>
        </is>
      </c>
      <c r="G460" s="8" t="inlineStr">
        <is>
          <t>Georgia</t>
        </is>
      </c>
      <c r="H460" s="8" t="inlineStr">
        <is>
          <t>REG-NA</t>
        </is>
      </c>
      <c r="I460" s="8" t="inlineStr">
        <is>
          <t>Consumer</t>
        </is>
      </c>
      <c r="J460" s="8" t="inlineStr">
        <is>
          <t>2021-01-28</t>
        </is>
      </c>
      <c r="K460" s="8">
        <f>COUNTIFS('05_Orders'!$C:$C, A460)</f>
        <v/>
      </c>
      <c r="L460" s="9">
        <f>SUMIFS('05_Orders'!$I:$I, '05_Orders'!$C:$C, A460)</f>
        <v/>
      </c>
      <c r="M460" s="8">
        <f>IF(L460&gt;=2000, "Platinum VIP", IF(L460&gt;=1000, "Gold", IF(L460&gt;=500, "Silver", "Standard")))</f>
        <v/>
      </c>
    </row>
    <row r="461">
      <c r="A461" s="8" t="inlineStr">
        <is>
          <t>CUST-00457</t>
        </is>
      </c>
      <c r="B461" s="8" t="inlineStr">
        <is>
          <t>David Wright</t>
        </is>
      </c>
      <c r="C461" s="8" t="inlineStr">
        <is>
          <t>Male</t>
        </is>
      </c>
      <c r="D461" s="8" t="n">
        <v>58</v>
      </c>
      <c r="E461" s="8">
        <f>IF(D461&lt;25, "18-24", IF(D461&lt;35, "25-34", IF(D461&lt;50, "35-49", "50+")))</f>
        <v/>
      </c>
      <c r="F461" s="8" t="inlineStr">
        <is>
          <t>London</t>
        </is>
      </c>
      <c r="G461" s="8" t="inlineStr">
        <is>
          <t>Greater London</t>
        </is>
      </c>
      <c r="H461" s="8" t="inlineStr">
        <is>
          <t>REG-EU</t>
        </is>
      </c>
      <c r="I461" s="8" t="inlineStr">
        <is>
          <t>Enterprise</t>
        </is>
      </c>
      <c r="J461" s="8" t="inlineStr">
        <is>
          <t>2021-08-06</t>
        </is>
      </c>
      <c r="K461" s="8">
        <f>COUNTIFS('05_Orders'!$C:$C, A461)</f>
        <v/>
      </c>
      <c r="L461" s="9">
        <f>SUMIFS('05_Orders'!$I:$I, '05_Orders'!$C:$C, A461)</f>
        <v/>
      </c>
      <c r="M461" s="8">
        <f>IF(L461&gt;=2000, "Platinum VIP", IF(L461&gt;=1000, "Gold", IF(L461&gt;=500, "Silver", "Standard")))</f>
        <v/>
      </c>
    </row>
    <row r="462">
      <c r="A462" s="8" t="inlineStr">
        <is>
          <t>CUST-00458</t>
        </is>
      </c>
      <c r="B462" s="8" t="inlineStr">
        <is>
          <t>Sarah Morris</t>
        </is>
      </c>
      <c r="C462" s="8" t="inlineStr">
        <is>
          <t>Other</t>
        </is>
      </c>
      <c r="D462" s="8" t="n">
        <v>46</v>
      </c>
      <c r="E462" s="8">
        <f>IF(D462&lt;25, "18-24", IF(D462&lt;35, "25-34", IF(D462&lt;50, "35-49", "50+")))</f>
        <v/>
      </c>
      <c r="F462" s="8" t="inlineStr">
        <is>
          <t>Melbourne</t>
        </is>
      </c>
      <c r="G462" s="8" t="inlineStr">
        <is>
          <t>Victoria</t>
        </is>
      </c>
      <c r="H462" s="8" t="inlineStr">
        <is>
          <t>REG-APAC</t>
        </is>
      </c>
      <c r="I462" s="8" t="inlineStr">
        <is>
          <t>Consumer</t>
        </is>
      </c>
      <c r="J462" s="8" t="inlineStr">
        <is>
          <t>2021-11-13</t>
        </is>
      </c>
      <c r="K462" s="8">
        <f>COUNTIFS('05_Orders'!$C:$C, A462)</f>
        <v/>
      </c>
      <c r="L462" s="9">
        <f>SUMIFS('05_Orders'!$I:$I, '05_Orders'!$C:$C, A462)</f>
        <v/>
      </c>
      <c r="M462" s="8">
        <f>IF(L462&gt;=2000, "Platinum VIP", IF(L462&gt;=1000, "Gold", IF(L462&gt;=500, "Silver", "Standard")))</f>
        <v/>
      </c>
    </row>
    <row r="463">
      <c r="A463" s="8" t="inlineStr">
        <is>
          <t>CUST-00459</t>
        </is>
      </c>
      <c r="B463" s="8" t="inlineStr">
        <is>
          <t>John Garcia</t>
        </is>
      </c>
      <c r="C463" s="8" t="inlineStr">
        <is>
          <t>Male</t>
        </is>
      </c>
      <c r="D463" s="8" t="n">
        <v>52</v>
      </c>
      <c r="E463" s="8">
        <f>IF(D463&lt;25, "18-24", IF(D463&lt;35, "25-34", IF(D463&lt;50, "35-49", "50+")))</f>
        <v/>
      </c>
      <c r="F463" s="8" t="inlineStr">
        <is>
          <t>Boston</t>
        </is>
      </c>
      <c r="G463" s="8" t="inlineStr">
        <is>
          <t>Massachusetts</t>
        </is>
      </c>
      <c r="H463" s="8" t="inlineStr">
        <is>
          <t>REG-NA</t>
        </is>
      </c>
      <c r="I463" s="8" t="inlineStr">
        <is>
          <t>Home Office</t>
        </is>
      </c>
      <c r="J463" s="8" t="inlineStr">
        <is>
          <t>2023-05-01</t>
        </is>
      </c>
      <c r="K463" s="8">
        <f>COUNTIFS('05_Orders'!$C:$C, A463)</f>
        <v/>
      </c>
      <c r="L463" s="9">
        <f>SUMIFS('05_Orders'!$I:$I, '05_Orders'!$C:$C, A463)</f>
        <v/>
      </c>
      <c r="M463" s="8">
        <f>IF(L463&gt;=2000, "Platinum VIP", IF(L463&gt;=1000, "Gold", IF(L463&gt;=500, "Silver", "Standard")))</f>
        <v/>
      </c>
    </row>
    <row r="464">
      <c r="A464" s="8" t="inlineStr">
        <is>
          <t>CUST-00460</t>
        </is>
      </c>
      <c r="B464" s="8" t="inlineStr">
        <is>
          <t>Charles Rivera</t>
        </is>
      </c>
      <c r="C464" s="8" t="inlineStr">
        <is>
          <t>Other</t>
        </is>
      </c>
      <c r="D464" s="8" t="n">
        <v>36</v>
      </c>
      <c r="E464" s="8">
        <f>IF(D464&lt;25, "18-24", IF(D464&lt;35, "25-34", IF(D464&lt;50, "35-49", "50+")))</f>
        <v/>
      </c>
      <c r="F464" s="8" t="inlineStr">
        <is>
          <t>Atlanta</t>
        </is>
      </c>
      <c r="G464" s="8" t="inlineStr">
        <is>
          <t>Georgia</t>
        </is>
      </c>
      <c r="H464" s="8" t="inlineStr">
        <is>
          <t>REG-NA</t>
        </is>
      </c>
      <c r="I464" s="8" t="inlineStr">
        <is>
          <t>Corporate</t>
        </is>
      </c>
      <c r="J464" s="8" t="inlineStr">
        <is>
          <t>2025-01-04</t>
        </is>
      </c>
      <c r="K464" s="8">
        <f>COUNTIFS('05_Orders'!$C:$C, A464)</f>
        <v/>
      </c>
      <c r="L464" s="9">
        <f>SUMIFS('05_Orders'!$I:$I, '05_Orders'!$C:$C, A464)</f>
        <v/>
      </c>
      <c r="M464" s="8">
        <f>IF(L464&gt;=2000, "Platinum VIP", IF(L464&gt;=1000, "Gold", IF(L464&gt;=500, "Silver", "Standard")))</f>
        <v/>
      </c>
    </row>
    <row r="465">
      <c r="A465" s="8" t="inlineStr">
        <is>
          <t>CUST-00461</t>
        </is>
      </c>
      <c r="B465" s="8" t="inlineStr">
        <is>
          <t>Susan Torres</t>
        </is>
      </c>
      <c r="C465" s="8" t="inlineStr">
        <is>
          <t>Female</t>
        </is>
      </c>
      <c r="D465" s="8" t="n">
        <v>22</v>
      </c>
      <c r="E465" s="8">
        <f>IF(D465&lt;25, "18-24", IF(D465&lt;35, "25-34", IF(D465&lt;50, "35-49", "50+")))</f>
        <v/>
      </c>
      <c r="F465" s="8" t="inlineStr">
        <is>
          <t>Manchester</t>
        </is>
      </c>
      <c r="G465" s="8" t="inlineStr">
        <is>
          <t>Greater Manchester</t>
        </is>
      </c>
      <c r="H465" s="8" t="inlineStr">
        <is>
          <t>REG-EU</t>
        </is>
      </c>
      <c r="I465" s="8" t="inlineStr">
        <is>
          <t>Consumer</t>
        </is>
      </c>
      <c r="J465" s="8" t="inlineStr">
        <is>
          <t>2021-06-23</t>
        </is>
      </c>
      <c r="K465" s="8">
        <f>COUNTIFS('05_Orders'!$C:$C, A465)</f>
        <v/>
      </c>
      <c r="L465" s="9">
        <f>SUMIFS('05_Orders'!$I:$I, '05_Orders'!$C:$C, A465)</f>
        <v/>
      </c>
      <c r="M465" s="8">
        <f>IF(L465&gt;=2000, "Platinum VIP", IF(L465&gt;=1000, "Gold", IF(L465&gt;=500, "Silver", "Standard")))</f>
        <v/>
      </c>
    </row>
    <row r="466">
      <c r="A466" s="8" t="inlineStr">
        <is>
          <t>CUST-00462</t>
        </is>
      </c>
      <c r="B466" s="8" t="inlineStr">
        <is>
          <t>Brandon White</t>
        </is>
      </c>
      <c r="C466" s="8" t="inlineStr">
        <is>
          <t>Other</t>
        </is>
      </c>
      <c r="D466" s="8" t="n">
        <v>45</v>
      </c>
      <c r="E466" s="8">
        <f>IF(D466&lt;25, "18-24", IF(D466&lt;35, "25-34", IF(D466&lt;50, "35-49", "50+")))</f>
        <v/>
      </c>
      <c r="F466" s="8" t="inlineStr">
        <is>
          <t>Phoenix</t>
        </is>
      </c>
      <c r="G466" s="8" t="inlineStr">
        <is>
          <t>Arizona</t>
        </is>
      </c>
      <c r="H466" s="8" t="inlineStr">
        <is>
          <t>REG-NA</t>
        </is>
      </c>
      <c r="I466" s="8" t="inlineStr">
        <is>
          <t>Corporate</t>
        </is>
      </c>
      <c r="J466" s="8" t="inlineStr">
        <is>
          <t>2022-08-11</t>
        </is>
      </c>
      <c r="K466" s="8">
        <f>COUNTIFS('05_Orders'!$C:$C, A466)</f>
        <v/>
      </c>
      <c r="L466" s="9">
        <f>SUMIFS('05_Orders'!$I:$I, '05_Orders'!$C:$C, A466)</f>
        <v/>
      </c>
      <c r="M466" s="8">
        <f>IF(L466&gt;=2000, "Platinum VIP", IF(L466&gt;=1000, "Gold", IF(L466&gt;=500, "Silver", "Standard")))</f>
        <v/>
      </c>
    </row>
    <row r="467">
      <c r="A467" s="8" t="inlineStr">
        <is>
          <t>CUST-00463</t>
        </is>
      </c>
      <c r="B467" s="8" t="inlineStr">
        <is>
          <t>Kimberly Alvarez</t>
        </is>
      </c>
      <c r="C467" s="8" t="inlineStr">
        <is>
          <t>Male</t>
        </is>
      </c>
      <c r="D467" s="8" t="n">
        <v>68</v>
      </c>
      <c r="E467" s="8">
        <f>IF(D467&lt;25, "18-24", IF(D467&lt;35, "25-34", IF(D467&lt;50, "35-49", "50+")))</f>
        <v/>
      </c>
      <c r="F467" s="8" t="inlineStr">
        <is>
          <t>Chicago</t>
        </is>
      </c>
      <c r="G467" s="8" t="inlineStr">
        <is>
          <t>Illinois</t>
        </is>
      </c>
      <c r="H467" s="8" t="inlineStr">
        <is>
          <t>REG-NA</t>
        </is>
      </c>
      <c r="I467" s="8" t="inlineStr">
        <is>
          <t>Home Office</t>
        </is>
      </c>
      <c r="J467" s="8" t="inlineStr">
        <is>
          <t>2021-10-28</t>
        </is>
      </c>
      <c r="K467" s="8">
        <f>COUNTIFS('05_Orders'!$C:$C, A467)</f>
        <v/>
      </c>
      <c r="L467" s="9">
        <f>SUMIFS('05_Orders'!$I:$I, '05_Orders'!$C:$C, A467)</f>
        <v/>
      </c>
      <c r="M467" s="8">
        <f>IF(L467&gt;=2000, "Platinum VIP", IF(L467&gt;=1000, "Gold", IF(L467&gt;=500, "Silver", "Standard")))</f>
        <v/>
      </c>
    </row>
    <row r="468">
      <c r="A468" s="8" t="inlineStr">
        <is>
          <t>CUST-00464</t>
        </is>
      </c>
      <c r="B468" s="8" t="inlineStr">
        <is>
          <t>Amy Rodriguez</t>
        </is>
      </c>
      <c r="C468" s="8" t="inlineStr">
        <is>
          <t>Male</t>
        </is>
      </c>
      <c r="D468" s="8" t="n">
        <v>54</v>
      </c>
      <c r="E468" s="8">
        <f>IF(D468&lt;25, "18-24", IF(D468&lt;35, "25-34", IF(D468&lt;50, "35-49", "50+")))</f>
        <v/>
      </c>
      <c r="F468" s="8" t="inlineStr">
        <is>
          <t>Paris</t>
        </is>
      </c>
      <c r="G468" s="8" t="inlineStr">
        <is>
          <t>Ile-de-France</t>
        </is>
      </c>
      <c r="H468" s="8" t="inlineStr">
        <is>
          <t>REG-EU</t>
        </is>
      </c>
      <c r="I468" s="8" t="inlineStr">
        <is>
          <t>Consumer</t>
        </is>
      </c>
      <c r="J468" s="8" t="inlineStr">
        <is>
          <t>2022-10-24</t>
        </is>
      </c>
      <c r="K468" s="8">
        <f>COUNTIFS('05_Orders'!$C:$C, A468)</f>
        <v/>
      </c>
      <c r="L468" s="9">
        <f>SUMIFS('05_Orders'!$I:$I, '05_Orders'!$C:$C, A468)</f>
        <v/>
      </c>
      <c r="M468" s="8">
        <f>IF(L468&gt;=2000, "Platinum VIP", IF(L468&gt;=1000, "Gold", IF(L468&gt;=500, "Silver", "Standard")))</f>
        <v/>
      </c>
    </row>
    <row r="469">
      <c r="A469" s="8" t="inlineStr">
        <is>
          <t>CUST-00465</t>
        </is>
      </c>
      <c r="B469" s="8" t="inlineStr">
        <is>
          <t>Jeffrey Morris</t>
        </is>
      </c>
      <c r="C469" s="8" t="inlineStr">
        <is>
          <t>Other</t>
        </is>
      </c>
      <c r="D469" s="8" t="n">
        <v>44</v>
      </c>
      <c r="E469" s="8">
        <f>IF(D469&lt;25, "18-24", IF(D469&lt;35, "25-34", IF(D469&lt;50, "35-49", "50+")))</f>
        <v/>
      </c>
      <c r="F469" s="8" t="inlineStr">
        <is>
          <t>Lyon</t>
        </is>
      </c>
      <c r="G469" s="8" t="inlineStr">
        <is>
          <t>Auvergne-Rhone-Alpes</t>
        </is>
      </c>
      <c r="H469" s="8" t="inlineStr">
        <is>
          <t>REG-EU</t>
        </is>
      </c>
      <c r="I469" s="8" t="inlineStr">
        <is>
          <t>Consumer</t>
        </is>
      </c>
      <c r="J469" s="8" t="inlineStr">
        <is>
          <t>2024-09-01</t>
        </is>
      </c>
      <c r="K469" s="8">
        <f>COUNTIFS('05_Orders'!$C:$C, A469)</f>
        <v/>
      </c>
      <c r="L469" s="9">
        <f>SUMIFS('05_Orders'!$I:$I, '05_Orders'!$C:$C, A469)</f>
        <v/>
      </c>
      <c r="M469" s="8">
        <f>IF(L469&gt;=2000, "Platinum VIP", IF(L469&gt;=1000, "Gold", IF(L469&gt;=500, "Silver", "Standard")))</f>
        <v/>
      </c>
    </row>
    <row r="470">
      <c r="A470" s="8" t="inlineStr">
        <is>
          <t>CUST-00466</t>
        </is>
      </c>
      <c r="B470" s="8" t="inlineStr">
        <is>
          <t>Shirley Morgan</t>
        </is>
      </c>
      <c r="C470" s="8" t="inlineStr">
        <is>
          <t>Other</t>
        </is>
      </c>
      <c r="D470" s="8" t="n">
        <v>70</v>
      </c>
      <c r="E470" s="8">
        <f>IF(D470&lt;25, "18-24", IF(D470&lt;35, "25-34", IF(D470&lt;50, "35-49", "50+")))</f>
        <v/>
      </c>
      <c r="F470" s="8" t="inlineStr">
        <is>
          <t>Los Angeles</t>
        </is>
      </c>
      <c r="G470" s="8" t="inlineStr">
        <is>
          <t>California</t>
        </is>
      </c>
      <c r="H470" s="8" t="inlineStr">
        <is>
          <t>REG-NA</t>
        </is>
      </c>
      <c r="I470" s="8" t="inlineStr">
        <is>
          <t>Corporate</t>
        </is>
      </c>
      <c r="J470" s="8" t="inlineStr">
        <is>
          <t>2023-05-14</t>
        </is>
      </c>
      <c r="K470" s="8">
        <f>COUNTIFS('05_Orders'!$C:$C, A470)</f>
        <v/>
      </c>
      <c r="L470" s="9">
        <f>SUMIFS('05_Orders'!$I:$I, '05_Orders'!$C:$C, A470)</f>
        <v/>
      </c>
      <c r="M470" s="8">
        <f>IF(L470&gt;=2000, "Platinum VIP", IF(L470&gt;=1000, "Gold", IF(L470&gt;=500, "Silver", "Standard")))</f>
        <v/>
      </c>
    </row>
    <row r="471">
      <c r="A471" s="8" t="inlineStr">
        <is>
          <t>CUST-00467</t>
        </is>
      </c>
      <c r="B471" s="8" t="inlineStr">
        <is>
          <t>Barbara Walker</t>
        </is>
      </c>
      <c r="C471" s="8" t="inlineStr">
        <is>
          <t>Female</t>
        </is>
      </c>
      <c r="D471" s="8" t="n">
        <v>18</v>
      </c>
      <c r="E471" s="8">
        <f>IF(D471&lt;25, "18-24", IF(D471&lt;35, "25-34", IF(D471&lt;50, "35-49", "50+")))</f>
        <v/>
      </c>
      <c r="F471" s="8" t="inlineStr">
        <is>
          <t>New York</t>
        </is>
      </c>
      <c r="G471" s="8" t="inlineStr">
        <is>
          <t>New York</t>
        </is>
      </c>
      <c r="H471" s="8" t="inlineStr">
        <is>
          <t>REG-NA</t>
        </is>
      </c>
      <c r="I471" s="8" t="inlineStr">
        <is>
          <t>Consumer</t>
        </is>
      </c>
      <c r="J471" s="8" t="inlineStr">
        <is>
          <t>2023-08-29</t>
        </is>
      </c>
      <c r="K471" s="8">
        <f>COUNTIFS('05_Orders'!$C:$C, A471)</f>
        <v/>
      </c>
      <c r="L471" s="9">
        <f>SUMIFS('05_Orders'!$I:$I, '05_Orders'!$C:$C, A471)</f>
        <v/>
      </c>
      <c r="M471" s="8">
        <f>IF(L471&gt;=2000, "Platinum VIP", IF(L471&gt;=1000, "Gold", IF(L471&gt;=500, "Silver", "Standard")))</f>
        <v/>
      </c>
    </row>
    <row r="472">
      <c r="A472" s="8" t="inlineStr">
        <is>
          <t>CUST-00468</t>
        </is>
      </c>
      <c r="B472" s="8" t="inlineStr">
        <is>
          <t>Heather Moore</t>
        </is>
      </c>
      <c r="C472" s="8" t="inlineStr">
        <is>
          <t>Female</t>
        </is>
      </c>
      <c r="D472" s="8" t="n">
        <v>47</v>
      </c>
      <c r="E472" s="8">
        <f>IF(D472&lt;25, "18-24", IF(D472&lt;35, "25-34", IF(D472&lt;50, "35-49", "50+")))</f>
        <v/>
      </c>
      <c r="F472" s="8" t="inlineStr">
        <is>
          <t>Boston</t>
        </is>
      </c>
      <c r="G472" s="8" t="inlineStr">
        <is>
          <t>Massachusetts</t>
        </is>
      </c>
      <c r="H472" s="8" t="inlineStr">
        <is>
          <t>REG-NA</t>
        </is>
      </c>
      <c r="I472" s="8" t="inlineStr">
        <is>
          <t>Enterprise</t>
        </is>
      </c>
      <c r="J472" s="8" t="inlineStr">
        <is>
          <t>2023-05-13</t>
        </is>
      </c>
      <c r="K472" s="8">
        <f>COUNTIFS('05_Orders'!$C:$C, A472)</f>
        <v/>
      </c>
      <c r="L472" s="9">
        <f>SUMIFS('05_Orders'!$I:$I, '05_Orders'!$C:$C, A472)</f>
        <v/>
      </c>
      <c r="M472" s="8">
        <f>IF(L472&gt;=2000, "Platinum VIP", IF(L472&gt;=1000, "Gold", IF(L472&gt;=500, "Silver", "Standard")))</f>
        <v/>
      </c>
    </row>
    <row r="473">
      <c r="A473" s="8" t="inlineStr">
        <is>
          <t>CUST-00469</t>
        </is>
      </c>
      <c r="B473" s="8" t="inlineStr">
        <is>
          <t>Catherine Price</t>
        </is>
      </c>
      <c r="C473" s="8" t="inlineStr">
        <is>
          <t>Male</t>
        </is>
      </c>
      <c r="D473" s="8" t="n">
        <v>42</v>
      </c>
      <c r="E473" s="8">
        <f>IF(D473&lt;25, "18-24", IF(D473&lt;35, "25-34", IF(D473&lt;50, "35-49", "50+")))</f>
        <v/>
      </c>
      <c r="F473" s="8" t="inlineStr">
        <is>
          <t>Seoul</t>
        </is>
      </c>
      <c r="G473" s="8" t="inlineStr">
        <is>
          <t>Gyeonggi</t>
        </is>
      </c>
      <c r="H473" s="8" t="inlineStr">
        <is>
          <t>REG-APAC</t>
        </is>
      </c>
      <c r="I473" s="8" t="inlineStr">
        <is>
          <t>Consumer</t>
        </is>
      </c>
      <c r="J473" s="8" t="inlineStr">
        <is>
          <t>2024-12-07</t>
        </is>
      </c>
      <c r="K473" s="8">
        <f>COUNTIFS('05_Orders'!$C:$C, A473)</f>
        <v/>
      </c>
      <c r="L473" s="9">
        <f>SUMIFS('05_Orders'!$I:$I, '05_Orders'!$C:$C, A473)</f>
        <v/>
      </c>
      <c r="M473" s="8">
        <f>IF(L473&gt;=2000, "Platinum VIP", IF(L473&gt;=1000, "Gold", IF(L473&gt;=500, "Silver", "Standard")))</f>
        <v/>
      </c>
    </row>
    <row r="474">
      <c r="A474" s="8" t="inlineStr">
        <is>
          <t>CUST-00470</t>
        </is>
      </c>
      <c r="B474" s="8" t="inlineStr">
        <is>
          <t>Christopher Brown</t>
        </is>
      </c>
      <c r="C474" s="8" t="inlineStr">
        <is>
          <t>Male</t>
        </is>
      </c>
      <c r="D474" s="8" t="n">
        <v>41</v>
      </c>
      <c r="E474" s="8">
        <f>IF(D474&lt;25, "18-24", IF(D474&lt;35, "25-34", IF(D474&lt;50, "35-49", "50+")))</f>
        <v/>
      </c>
      <c r="F474" s="8" t="inlineStr">
        <is>
          <t>Houston</t>
        </is>
      </c>
      <c r="G474" s="8" t="inlineStr">
        <is>
          <t>Texas</t>
        </is>
      </c>
      <c r="H474" s="8" t="inlineStr">
        <is>
          <t>REG-NA</t>
        </is>
      </c>
      <c r="I474" s="8" t="inlineStr">
        <is>
          <t>Consumer</t>
        </is>
      </c>
      <c r="J474" s="8" t="inlineStr">
        <is>
          <t>2024-03-11</t>
        </is>
      </c>
      <c r="K474" s="8">
        <f>COUNTIFS('05_Orders'!$C:$C, A474)</f>
        <v/>
      </c>
      <c r="L474" s="9">
        <f>SUMIFS('05_Orders'!$I:$I, '05_Orders'!$C:$C, A474)</f>
        <v/>
      </c>
      <c r="M474" s="8">
        <f>IF(L474&gt;=2000, "Platinum VIP", IF(L474&gt;=1000, "Gold", IF(L474&gt;=500, "Silver", "Standard")))</f>
        <v/>
      </c>
    </row>
    <row r="475">
      <c r="A475" s="8" t="inlineStr">
        <is>
          <t>CUST-00471</t>
        </is>
      </c>
      <c r="B475" s="8" t="inlineStr">
        <is>
          <t>Sarah Myers</t>
        </is>
      </c>
      <c r="C475" s="8" t="inlineStr">
        <is>
          <t>Other</t>
        </is>
      </c>
      <c r="D475" s="8" t="n">
        <v>62</v>
      </c>
      <c r="E475" s="8">
        <f>IF(D475&lt;25, "18-24", IF(D475&lt;35, "25-34", IF(D475&lt;50, "35-49", "50+")))</f>
        <v/>
      </c>
      <c r="F475" s="8" t="inlineStr">
        <is>
          <t>Lima</t>
        </is>
      </c>
      <c r="G475" s="8" t="inlineStr">
        <is>
          <t>Lima Province</t>
        </is>
      </c>
      <c r="H475" s="8" t="inlineStr">
        <is>
          <t>REG-LATAM</t>
        </is>
      </c>
      <c r="I475" s="8" t="inlineStr">
        <is>
          <t>Consumer</t>
        </is>
      </c>
      <c r="J475" s="8" t="inlineStr">
        <is>
          <t>2022-11-22</t>
        </is>
      </c>
      <c r="K475" s="8">
        <f>COUNTIFS('05_Orders'!$C:$C, A475)</f>
        <v/>
      </c>
      <c r="L475" s="9">
        <f>SUMIFS('05_Orders'!$I:$I, '05_Orders'!$C:$C, A475)</f>
        <v/>
      </c>
      <c r="M475" s="8">
        <f>IF(L475&gt;=2000, "Platinum VIP", IF(L475&gt;=1000, "Gold", IF(L475&gt;=500, "Silver", "Standard")))</f>
        <v/>
      </c>
    </row>
    <row r="476">
      <c r="A476" s="8" t="inlineStr">
        <is>
          <t>CUST-00472</t>
        </is>
      </c>
      <c r="B476" s="8" t="inlineStr">
        <is>
          <t>Linda Chavez</t>
        </is>
      </c>
      <c r="C476" s="8" t="inlineStr">
        <is>
          <t>Male</t>
        </is>
      </c>
      <c r="D476" s="8" t="n">
        <v>56</v>
      </c>
      <c r="E476" s="8">
        <f>IF(D476&lt;25, "18-24", IF(D476&lt;35, "25-34", IF(D476&lt;50, "35-49", "50+")))</f>
        <v/>
      </c>
      <c r="F476" s="8" t="inlineStr">
        <is>
          <t>Mumbai</t>
        </is>
      </c>
      <c r="G476" s="8" t="inlineStr">
        <is>
          <t>Maharashtra</t>
        </is>
      </c>
      <c r="H476" s="8" t="inlineStr">
        <is>
          <t>REG-APAC</t>
        </is>
      </c>
      <c r="I476" s="8" t="inlineStr">
        <is>
          <t>Consumer</t>
        </is>
      </c>
      <c r="J476" s="8" t="inlineStr">
        <is>
          <t>2023-03-23</t>
        </is>
      </c>
      <c r="K476" s="8">
        <f>COUNTIFS('05_Orders'!$C:$C, A476)</f>
        <v/>
      </c>
      <c r="L476" s="9">
        <f>SUMIFS('05_Orders'!$I:$I, '05_Orders'!$C:$C, A476)</f>
        <v/>
      </c>
      <c r="M476" s="8">
        <f>IF(L476&gt;=2000, "Platinum VIP", IF(L476&gt;=1000, "Gold", IF(L476&gt;=500, "Silver", "Standard")))</f>
        <v/>
      </c>
    </row>
    <row r="477">
      <c r="A477" s="8" t="inlineStr">
        <is>
          <t>CUST-00473</t>
        </is>
      </c>
      <c r="B477" s="8" t="inlineStr">
        <is>
          <t>Kimberly Kelly</t>
        </is>
      </c>
      <c r="C477" s="8" t="inlineStr">
        <is>
          <t>Other</t>
        </is>
      </c>
      <c r="D477" s="8" t="n">
        <v>37</v>
      </c>
      <c r="E477" s="8">
        <f>IF(D477&lt;25, "18-24", IF(D477&lt;35, "25-34", IF(D477&lt;50, "35-49", "50+")))</f>
        <v/>
      </c>
      <c r="F477" s="8" t="inlineStr">
        <is>
          <t>Seoul</t>
        </is>
      </c>
      <c r="G477" s="8" t="inlineStr">
        <is>
          <t>Gyeonggi</t>
        </is>
      </c>
      <c r="H477" s="8" t="inlineStr">
        <is>
          <t>REG-APAC</t>
        </is>
      </c>
      <c r="I477" s="8" t="inlineStr">
        <is>
          <t>Enterprise</t>
        </is>
      </c>
      <c r="J477" s="8" t="inlineStr">
        <is>
          <t>2022-07-11</t>
        </is>
      </c>
      <c r="K477" s="8">
        <f>COUNTIFS('05_Orders'!$C:$C, A477)</f>
        <v/>
      </c>
      <c r="L477" s="9">
        <f>SUMIFS('05_Orders'!$I:$I, '05_Orders'!$C:$C, A477)</f>
        <v/>
      </c>
      <c r="M477" s="8">
        <f>IF(L477&gt;=2000, "Platinum VIP", IF(L477&gt;=1000, "Gold", IF(L477&gt;=500, "Silver", "Standard")))</f>
        <v/>
      </c>
    </row>
    <row r="478">
      <c r="A478" s="8" t="inlineStr">
        <is>
          <t>CUST-00474</t>
        </is>
      </c>
      <c r="B478" s="8" t="inlineStr">
        <is>
          <t>Betty Phillips</t>
        </is>
      </c>
      <c r="C478" s="8" t="inlineStr">
        <is>
          <t>Other</t>
        </is>
      </c>
      <c r="D478" s="8" t="n">
        <v>21</v>
      </c>
      <c r="E478" s="8">
        <f>IF(D478&lt;25, "18-24", IF(D478&lt;35, "25-34", IF(D478&lt;50, "35-49", "50+")))</f>
        <v/>
      </c>
      <c r="F478" s="8" t="inlineStr">
        <is>
          <t>Chicago</t>
        </is>
      </c>
      <c r="G478" s="8" t="inlineStr">
        <is>
          <t>Illinois</t>
        </is>
      </c>
      <c r="H478" s="8" t="inlineStr">
        <is>
          <t>REG-NA</t>
        </is>
      </c>
      <c r="I478" s="8" t="inlineStr">
        <is>
          <t>Home Office</t>
        </is>
      </c>
      <c r="J478" s="8" t="inlineStr">
        <is>
          <t>2024-02-20</t>
        </is>
      </c>
      <c r="K478" s="8">
        <f>COUNTIFS('05_Orders'!$C:$C, A478)</f>
        <v/>
      </c>
      <c r="L478" s="9">
        <f>SUMIFS('05_Orders'!$I:$I, '05_Orders'!$C:$C, A478)</f>
        <v/>
      </c>
      <c r="M478" s="8">
        <f>IF(L478&gt;=2000, "Platinum VIP", IF(L478&gt;=1000, "Gold", IF(L478&gt;=500, "Silver", "Standard")))</f>
        <v/>
      </c>
    </row>
    <row r="479">
      <c r="A479" s="8" t="inlineStr">
        <is>
          <t>CUST-00475</t>
        </is>
      </c>
      <c r="B479" s="8" t="inlineStr">
        <is>
          <t>Christine Chavez</t>
        </is>
      </c>
      <c r="C479" s="8" t="inlineStr">
        <is>
          <t>Female</t>
        </is>
      </c>
      <c r="D479" s="8" t="n">
        <v>70</v>
      </c>
      <c r="E479" s="8">
        <f>IF(D479&lt;25, "18-24", IF(D479&lt;35, "25-34", IF(D479&lt;50, "35-49", "50+")))</f>
        <v/>
      </c>
      <c r="F479" s="8" t="inlineStr">
        <is>
          <t>New York</t>
        </is>
      </c>
      <c r="G479" s="8" t="inlineStr">
        <is>
          <t>New York</t>
        </is>
      </c>
      <c r="H479" s="8" t="inlineStr">
        <is>
          <t>REG-NA</t>
        </is>
      </c>
      <c r="I479" s="8" t="inlineStr">
        <is>
          <t>Home Office</t>
        </is>
      </c>
      <c r="J479" s="8" t="inlineStr">
        <is>
          <t>2024-08-17</t>
        </is>
      </c>
      <c r="K479" s="8">
        <f>COUNTIFS('05_Orders'!$C:$C, A479)</f>
        <v/>
      </c>
      <c r="L479" s="9">
        <f>SUMIFS('05_Orders'!$I:$I, '05_Orders'!$C:$C, A479)</f>
        <v/>
      </c>
      <c r="M479" s="8">
        <f>IF(L479&gt;=2000, "Platinum VIP", IF(L479&gt;=1000, "Gold", IF(L479&gt;=500, "Silver", "Standard")))</f>
        <v/>
      </c>
    </row>
    <row r="480">
      <c r="A480" s="8" t="inlineStr">
        <is>
          <t>CUST-00476</t>
        </is>
      </c>
      <c r="B480" s="8" t="inlineStr">
        <is>
          <t>Heather Nelson</t>
        </is>
      </c>
      <c r="C480" s="8" t="inlineStr">
        <is>
          <t>Male</t>
        </is>
      </c>
      <c r="D480" s="8" t="n">
        <v>33</v>
      </c>
      <c r="E480" s="8">
        <f>IF(D480&lt;25, "18-24", IF(D480&lt;35, "25-34", IF(D480&lt;50, "35-49", "50+")))</f>
        <v/>
      </c>
      <c r="F480" s="8" t="inlineStr">
        <is>
          <t>Boston</t>
        </is>
      </c>
      <c r="G480" s="8" t="inlineStr">
        <is>
          <t>Massachusetts</t>
        </is>
      </c>
      <c r="H480" s="8" t="inlineStr">
        <is>
          <t>REG-NA</t>
        </is>
      </c>
      <c r="I480" s="8" t="inlineStr">
        <is>
          <t>Consumer</t>
        </is>
      </c>
      <c r="J480" s="8" t="inlineStr">
        <is>
          <t>2022-03-10</t>
        </is>
      </c>
      <c r="K480" s="8">
        <f>COUNTIFS('05_Orders'!$C:$C, A480)</f>
        <v/>
      </c>
      <c r="L480" s="9">
        <f>SUMIFS('05_Orders'!$I:$I, '05_Orders'!$C:$C, A480)</f>
        <v/>
      </c>
      <c r="M480" s="8">
        <f>IF(L480&gt;=2000, "Platinum VIP", IF(L480&gt;=1000, "Gold", IF(L480&gt;=500, "Silver", "Standard")))</f>
        <v/>
      </c>
    </row>
    <row r="481">
      <c r="A481" s="8" t="inlineStr">
        <is>
          <t>CUST-00477</t>
        </is>
      </c>
      <c r="B481" s="8" t="inlineStr">
        <is>
          <t>Katherine Jones</t>
        </is>
      </c>
      <c r="C481" s="8" t="inlineStr">
        <is>
          <t>Male</t>
        </is>
      </c>
      <c r="D481" s="8" t="n">
        <v>35</v>
      </c>
      <c r="E481" s="8">
        <f>IF(D481&lt;25, "18-24", IF(D481&lt;35, "25-34", IF(D481&lt;50, "35-49", "50+")))</f>
        <v/>
      </c>
      <c r="F481" s="8" t="inlineStr">
        <is>
          <t>Denver</t>
        </is>
      </c>
      <c r="G481" s="8" t="inlineStr">
        <is>
          <t>Colorado</t>
        </is>
      </c>
      <c r="H481" s="8" t="inlineStr">
        <is>
          <t>REG-NA</t>
        </is>
      </c>
      <c r="I481" s="8" t="inlineStr">
        <is>
          <t>Corporate</t>
        </is>
      </c>
      <c r="J481" s="8" t="inlineStr">
        <is>
          <t>2024-02-29</t>
        </is>
      </c>
      <c r="K481" s="8">
        <f>COUNTIFS('05_Orders'!$C:$C, A481)</f>
        <v/>
      </c>
      <c r="L481" s="9">
        <f>SUMIFS('05_Orders'!$I:$I, '05_Orders'!$C:$C, A481)</f>
        <v/>
      </c>
      <c r="M481" s="8">
        <f>IF(L481&gt;=2000, "Platinum VIP", IF(L481&gt;=1000, "Gold", IF(L481&gt;=500, "Silver", "Standard")))</f>
        <v/>
      </c>
    </row>
    <row r="482">
      <c r="A482" s="8" t="inlineStr">
        <is>
          <t>CUST-00478</t>
        </is>
      </c>
      <c r="B482" s="8" t="inlineStr">
        <is>
          <t>Michelle Johnson</t>
        </is>
      </c>
      <c r="C482" s="8" t="inlineStr">
        <is>
          <t>Female</t>
        </is>
      </c>
      <c r="D482" s="8" t="n">
        <v>66</v>
      </c>
      <c r="E482" s="8">
        <f>IF(D482&lt;25, "18-24", IF(D482&lt;35, "25-34", IF(D482&lt;50, "35-49", "50+")))</f>
        <v/>
      </c>
      <c r="F482" s="8" t="inlineStr">
        <is>
          <t>Atlanta</t>
        </is>
      </c>
      <c r="G482" s="8" t="inlineStr">
        <is>
          <t>Georgia</t>
        </is>
      </c>
      <c r="H482" s="8" t="inlineStr">
        <is>
          <t>REG-NA</t>
        </is>
      </c>
      <c r="I482" s="8" t="inlineStr">
        <is>
          <t>Corporate</t>
        </is>
      </c>
      <c r="J482" s="8" t="inlineStr">
        <is>
          <t>2022-10-07</t>
        </is>
      </c>
      <c r="K482" s="8">
        <f>COUNTIFS('05_Orders'!$C:$C, A482)</f>
        <v/>
      </c>
      <c r="L482" s="9">
        <f>SUMIFS('05_Orders'!$I:$I, '05_Orders'!$C:$C, A482)</f>
        <v/>
      </c>
      <c r="M482" s="8">
        <f>IF(L482&gt;=2000, "Platinum VIP", IF(L482&gt;=1000, "Gold", IF(L482&gt;=500, "Silver", "Standard")))</f>
        <v/>
      </c>
    </row>
    <row r="483">
      <c r="A483" s="8" t="inlineStr">
        <is>
          <t>CUST-00479</t>
        </is>
      </c>
      <c r="B483" s="8" t="inlineStr">
        <is>
          <t>Richard Nelson</t>
        </is>
      </c>
      <c r="C483" s="8" t="inlineStr">
        <is>
          <t>Female</t>
        </is>
      </c>
      <c r="D483" s="8" t="n">
        <v>45</v>
      </c>
      <c r="E483" s="8">
        <f>IF(D483&lt;25, "18-24", IF(D483&lt;35, "25-34", IF(D483&lt;50, "35-49", "50+")))</f>
        <v/>
      </c>
      <c r="F483" s="8" t="inlineStr">
        <is>
          <t>Dublin</t>
        </is>
      </c>
      <c r="G483" s="8" t="inlineStr">
        <is>
          <t>Leinster</t>
        </is>
      </c>
      <c r="H483" s="8" t="inlineStr">
        <is>
          <t>REG-EU</t>
        </is>
      </c>
      <c r="I483" s="8" t="inlineStr">
        <is>
          <t>Home Office</t>
        </is>
      </c>
      <c r="J483" s="8" t="inlineStr">
        <is>
          <t>2021-11-04</t>
        </is>
      </c>
      <c r="K483" s="8">
        <f>COUNTIFS('05_Orders'!$C:$C, A483)</f>
        <v/>
      </c>
      <c r="L483" s="9">
        <f>SUMIFS('05_Orders'!$I:$I, '05_Orders'!$C:$C, A483)</f>
        <v/>
      </c>
      <c r="M483" s="8">
        <f>IF(L483&gt;=2000, "Platinum VIP", IF(L483&gt;=1000, "Gold", IF(L483&gt;=500, "Silver", "Standard")))</f>
        <v/>
      </c>
    </row>
    <row r="484">
      <c r="A484" s="8" t="inlineStr">
        <is>
          <t>CUST-00480</t>
        </is>
      </c>
      <c r="B484" s="8" t="inlineStr">
        <is>
          <t>Robert Nguyen</t>
        </is>
      </c>
      <c r="C484" s="8" t="inlineStr">
        <is>
          <t>Male</t>
        </is>
      </c>
      <c r="D484" s="8" t="n">
        <v>27</v>
      </c>
      <c r="E484" s="8">
        <f>IF(D484&lt;25, "18-24", IF(D484&lt;35, "25-34", IF(D484&lt;50, "35-49", "50+")))</f>
        <v/>
      </c>
      <c r="F484" s="8" t="inlineStr">
        <is>
          <t>Manchester</t>
        </is>
      </c>
      <c r="G484" s="8" t="inlineStr">
        <is>
          <t>Greater Manchester</t>
        </is>
      </c>
      <c r="H484" s="8" t="inlineStr">
        <is>
          <t>REG-EU</t>
        </is>
      </c>
      <c r="I484" s="8" t="inlineStr">
        <is>
          <t>Home Office</t>
        </is>
      </c>
      <c r="J484" s="8" t="inlineStr">
        <is>
          <t>2021-07-11</t>
        </is>
      </c>
      <c r="K484" s="8">
        <f>COUNTIFS('05_Orders'!$C:$C, A484)</f>
        <v/>
      </c>
      <c r="L484" s="9">
        <f>SUMIFS('05_Orders'!$I:$I, '05_Orders'!$C:$C, A484)</f>
        <v/>
      </c>
      <c r="M484" s="8">
        <f>IF(L484&gt;=2000, "Platinum VIP", IF(L484&gt;=1000, "Gold", IF(L484&gt;=500, "Silver", "Standard")))</f>
        <v/>
      </c>
    </row>
    <row r="485">
      <c r="A485" s="8" t="inlineStr">
        <is>
          <t>CUST-00481</t>
        </is>
      </c>
      <c r="B485" s="8" t="inlineStr">
        <is>
          <t>Charles Foster</t>
        </is>
      </c>
      <c r="C485" s="8" t="inlineStr">
        <is>
          <t>Other</t>
        </is>
      </c>
      <c r="D485" s="8" t="n">
        <v>28</v>
      </c>
      <c r="E485" s="8">
        <f>IF(D485&lt;25, "18-24", IF(D485&lt;35, "25-34", IF(D485&lt;50, "35-49", "50+")))</f>
        <v/>
      </c>
      <c r="F485" s="8" t="inlineStr">
        <is>
          <t>Monterrey</t>
        </is>
      </c>
      <c r="G485" s="8" t="inlineStr">
        <is>
          <t>Nuevo Leon</t>
        </is>
      </c>
      <c r="H485" s="8" t="inlineStr">
        <is>
          <t>REG-LATAM</t>
        </is>
      </c>
      <c r="I485" s="8" t="inlineStr">
        <is>
          <t>Corporate</t>
        </is>
      </c>
      <c r="J485" s="8" t="inlineStr">
        <is>
          <t>2025-02-01</t>
        </is>
      </c>
      <c r="K485" s="8">
        <f>COUNTIFS('05_Orders'!$C:$C, A485)</f>
        <v/>
      </c>
      <c r="L485" s="9">
        <f>SUMIFS('05_Orders'!$I:$I, '05_Orders'!$C:$C, A485)</f>
        <v/>
      </c>
      <c r="M485" s="8">
        <f>IF(L485&gt;=2000, "Platinum VIP", IF(L485&gt;=1000, "Gold", IF(L485&gt;=500, "Silver", "Standard")))</f>
        <v/>
      </c>
    </row>
    <row r="486">
      <c r="A486" s="8" t="inlineStr">
        <is>
          <t>CUST-00482</t>
        </is>
      </c>
      <c r="B486" s="8" t="inlineStr">
        <is>
          <t>Thomas Baker</t>
        </is>
      </c>
      <c r="C486" s="8" t="inlineStr">
        <is>
          <t>Female</t>
        </is>
      </c>
      <c r="D486" s="8" t="n">
        <v>41</v>
      </c>
      <c r="E486" s="8">
        <f>IF(D486&lt;25, "18-24", IF(D486&lt;35, "25-34", IF(D486&lt;50, "35-49", "50+")))</f>
        <v/>
      </c>
      <c r="F486" s="8" t="inlineStr">
        <is>
          <t>Amsterdam</t>
        </is>
      </c>
      <c r="G486" s="8" t="inlineStr">
        <is>
          <t>North Holland</t>
        </is>
      </c>
      <c r="H486" s="8" t="inlineStr">
        <is>
          <t>REG-EU</t>
        </is>
      </c>
      <c r="I486" s="8" t="inlineStr">
        <is>
          <t>Consumer</t>
        </is>
      </c>
      <c r="J486" s="8" t="inlineStr">
        <is>
          <t>2024-12-30</t>
        </is>
      </c>
      <c r="K486" s="8">
        <f>COUNTIFS('05_Orders'!$C:$C, A486)</f>
        <v/>
      </c>
      <c r="L486" s="9">
        <f>SUMIFS('05_Orders'!$I:$I, '05_Orders'!$C:$C, A486)</f>
        <v/>
      </c>
      <c r="M486" s="8">
        <f>IF(L486&gt;=2000, "Platinum VIP", IF(L486&gt;=1000, "Gold", IF(L486&gt;=500, "Silver", "Standard")))</f>
        <v/>
      </c>
    </row>
    <row r="487">
      <c r="A487" s="8" t="inlineStr">
        <is>
          <t>CUST-00483</t>
        </is>
      </c>
      <c r="B487" s="8" t="inlineStr">
        <is>
          <t>Elizabeth Martin</t>
        </is>
      </c>
      <c r="C487" s="8" t="inlineStr">
        <is>
          <t>Other</t>
        </is>
      </c>
      <c r="D487" s="8" t="n">
        <v>58</v>
      </c>
      <c r="E487" s="8">
        <f>IF(D487&lt;25, "18-24", IF(D487&lt;35, "25-34", IF(D487&lt;50, "35-49", "50+")))</f>
        <v/>
      </c>
      <c r="F487" s="8" t="inlineStr">
        <is>
          <t>Rio de Janeiro</t>
        </is>
      </c>
      <c r="G487" s="8" t="inlineStr">
        <is>
          <t>Rio de Janeiro State</t>
        </is>
      </c>
      <c r="H487" s="8" t="inlineStr">
        <is>
          <t>REG-LATAM</t>
        </is>
      </c>
      <c r="I487" s="8" t="inlineStr">
        <is>
          <t>Home Office</t>
        </is>
      </c>
      <c r="J487" s="8" t="inlineStr">
        <is>
          <t>2021-10-20</t>
        </is>
      </c>
      <c r="K487" s="8">
        <f>COUNTIFS('05_Orders'!$C:$C, A487)</f>
        <v/>
      </c>
      <c r="L487" s="9">
        <f>SUMIFS('05_Orders'!$I:$I, '05_Orders'!$C:$C, A487)</f>
        <v/>
      </c>
      <c r="M487" s="8">
        <f>IF(L487&gt;=2000, "Platinum VIP", IF(L487&gt;=1000, "Gold", IF(L487&gt;=500, "Silver", "Standard")))</f>
        <v/>
      </c>
    </row>
    <row r="488">
      <c r="A488" s="8" t="inlineStr">
        <is>
          <t>CUST-00484</t>
        </is>
      </c>
      <c r="B488" s="8" t="inlineStr">
        <is>
          <t>Barbara Murphy</t>
        </is>
      </c>
      <c r="C488" s="8" t="inlineStr">
        <is>
          <t>Male</t>
        </is>
      </c>
      <c r="D488" s="8" t="n">
        <v>47</v>
      </c>
      <c r="E488" s="8">
        <f>IF(D488&lt;25, "18-24", IF(D488&lt;35, "25-34", IF(D488&lt;50, "35-49", "50+")))</f>
        <v/>
      </c>
      <c r="F488" s="8" t="inlineStr">
        <is>
          <t>Phoenix</t>
        </is>
      </c>
      <c r="G488" s="8" t="inlineStr">
        <is>
          <t>Arizona</t>
        </is>
      </c>
      <c r="H488" s="8" t="inlineStr">
        <is>
          <t>REG-NA</t>
        </is>
      </c>
      <c r="I488" s="8" t="inlineStr">
        <is>
          <t>Consumer</t>
        </is>
      </c>
      <c r="J488" s="8" t="inlineStr">
        <is>
          <t>2022-07-28</t>
        </is>
      </c>
      <c r="K488" s="8">
        <f>COUNTIFS('05_Orders'!$C:$C, A488)</f>
        <v/>
      </c>
      <c r="L488" s="9">
        <f>SUMIFS('05_Orders'!$I:$I, '05_Orders'!$C:$C, A488)</f>
        <v/>
      </c>
      <c r="M488" s="8">
        <f>IF(L488&gt;=2000, "Platinum VIP", IF(L488&gt;=1000, "Gold", IF(L488&gt;=500, "Silver", "Standard")))</f>
        <v/>
      </c>
    </row>
    <row r="489">
      <c r="A489" s="8" t="inlineStr">
        <is>
          <t>CUST-00485</t>
        </is>
      </c>
      <c r="B489" s="8" t="inlineStr">
        <is>
          <t>Jacob King</t>
        </is>
      </c>
      <c r="C489" s="8" t="inlineStr">
        <is>
          <t>Female</t>
        </is>
      </c>
      <c r="D489" s="8" t="n">
        <v>34</v>
      </c>
      <c r="E489" s="8">
        <f>IF(D489&lt;25, "18-24", IF(D489&lt;35, "25-34", IF(D489&lt;50, "35-49", "50+")))</f>
        <v/>
      </c>
      <c r="F489" s="8" t="inlineStr">
        <is>
          <t>Bangalore</t>
        </is>
      </c>
      <c r="G489" s="8" t="inlineStr">
        <is>
          <t>Karnataka</t>
        </is>
      </c>
      <c r="H489" s="8" t="inlineStr">
        <is>
          <t>REG-APAC</t>
        </is>
      </c>
      <c r="I489" s="8" t="inlineStr">
        <is>
          <t>Corporate</t>
        </is>
      </c>
      <c r="J489" s="8" t="inlineStr">
        <is>
          <t>2021-10-15</t>
        </is>
      </c>
      <c r="K489" s="8">
        <f>COUNTIFS('05_Orders'!$C:$C, A489)</f>
        <v/>
      </c>
      <c r="L489" s="9">
        <f>SUMIFS('05_Orders'!$I:$I, '05_Orders'!$C:$C, A489)</f>
        <v/>
      </c>
      <c r="M489" s="8">
        <f>IF(L489&gt;=2000, "Platinum VIP", IF(L489&gt;=1000, "Gold", IF(L489&gt;=500, "Silver", "Standard")))</f>
        <v/>
      </c>
    </row>
    <row r="490">
      <c r="A490" s="8" t="inlineStr">
        <is>
          <t>CUST-00486</t>
        </is>
      </c>
      <c r="B490" s="8" t="inlineStr">
        <is>
          <t>Kenneth Phillips</t>
        </is>
      </c>
      <c r="C490" s="8" t="inlineStr">
        <is>
          <t>Female</t>
        </is>
      </c>
      <c r="D490" s="8" t="n">
        <v>72</v>
      </c>
      <c r="E490" s="8">
        <f>IF(D490&lt;25, "18-24", IF(D490&lt;35, "25-34", IF(D490&lt;50, "35-49", "50+")))</f>
        <v/>
      </c>
      <c r="F490" s="8" t="inlineStr">
        <is>
          <t>Berlin</t>
        </is>
      </c>
      <c r="G490" s="8" t="inlineStr">
        <is>
          <t>Berlin</t>
        </is>
      </c>
      <c r="H490" s="8" t="inlineStr">
        <is>
          <t>REG-EU</t>
        </is>
      </c>
      <c r="I490" s="8" t="inlineStr">
        <is>
          <t>Consumer</t>
        </is>
      </c>
      <c r="J490" s="8" t="inlineStr">
        <is>
          <t>2023-11-16</t>
        </is>
      </c>
      <c r="K490" s="8">
        <f>COUNTIFS('05_Orders'!$C:$C, A490)</f>
        <v/>
      </c>
      <c r="L490" s="9">
        <f>SUMIFS('05_Orders'!$I:$I, '05_Orders'!$C:$C, A490)</f>
        <v/>
      </c>
      <c r="M490" s="8">
        <f>IF(L490&gt;=2000, "Platinum VIP", IF(L490&gt;=1000, "Gold", IF(L490&gt;=500, "Silver", "Standard")))</f>
        <v/>
      </c>
    </row>
    <row r="491">
      <c r="A491" s="8" t="inlineStr">
        <is>
          <t>CUST-00487</t>
        </is>
      </c>
      <c r="B491" s="8" t="inlineStr">
        <is>
          <t>Eric Edwards</t>
        </is>
      </c>
      <c r="C491" s="8" t="inlineStr">
        <is>
          <t>Female</t>
        </is>
      </c>
      <c r="D491" s="8" t="n">
        <v>61</v>
      </c>
      <c r="E491" s="8">
        <f>IF(D491&lt;25, "18-24", IF(D491&lt;35, "25-34", IF(D491&lt;50, "35-49", "50+")))</f>
        <v/>
      </c>
      <c r="F491" s="8" t="inlineStr">
        <is>
          <t>New York</t>
        </is>
      </c>
      <c r="G491" s="8" t="inlineStr">
        <is>
          <t>New York</t>
        </is>
      </c>
      <c r="H491" s="8" t="inlineStr">
        <is>
          <t>REG-NA</t>
        </is>
      </c>
      <c r="I491" s="8" t="inlineStr">
        <is>
          <t>Corporate</t>
        </is>
      </c>
      <c r="J491" s="8" t="inlineStr">
        <is>
          <t>2022-05-17</t>
        </is>
      </c>
      <c r="K491" s="8">
        <f>COUNTIFS('05_Orders'!$C:$C, A491)</f>
        <v/>
      </c>
      <c r="L491" s="9">
        <f>SUMIFS('05_Orders'!$I:$I, '05_Orders'!$C:$C, A491)</f>
        <v/>
      </c>
      <c r="M491" s="8">
        <f>IF(L491&gt;=2000, "Platinum VIP", IF(L491&gt;=1000, "Gold", IF(L491&gt;=500, "Silver", "Standard")))</f>
        <v/>
      </c>
    </row>
    <row r="492">
      <c r="A492" s="8" t="inlineStr">
        <is>
          <t>CUST-00488</t>
        </is>
      </c>
      <c r="B492" s="8" t="inlineStr">
        <is>
          <t>Ronald Lee</t>
        </is>
      </c>
      <c r="C492" s="8" t="inlineStr">
        <is>
          <t>Other</t>
        </is>
      </c>
      <c r="D492" s="8" t="n">
        <v>43</v>
      </c>
      <c r="E492" s="8">
        <f>IF(D492&lt;25, "18-24", IF(D492&lt;35, "25-34", IF(D492&lt;50, "35-49", "50+")))</f>
        <v/>
      </c>
      <c r="F492" s="8" t="inlineStr">
        <is>
          <t>Sydney</t>
        </is>
      </c>
      <c r="G492" s="8" t="inlineStr">
        <is>
          <t>New South Wales</t>
        </is>
      </c>
      <c r="H492" s="8" t="inlineStr">
        <is>
          <t>REG-APAC</t>
        </is>
      </c>
      <c r="I492" s="8" t="inlineStr">
        <is>
          <t>Consumer</t>
        </is>
      </c>
      <c r="J492" s="8" t="inlineStr">
        <is>
          <t>2023-08-05</t>
        </is>
      </c>
      <c r="K492" s="8">
        <f>COUNTIFS('05_Orders'!$C:$C, A492)</f>
        <v/>
      </c>
      <c r="L492" s="9">
        <f>SUMIFS('05_Orders'!$I:$I, '05_Orders'!$C:$C, A492)</f>
        <v/>
      </c>
      <c r="M492" s="8">
        <f>IF(L492&gt;=2000, "Platinum VIP", IF(L492&gt;=1000, "Gold", IF(L492&gt;=500, "Silver", "Standard")))</f>
        <v/>
      </c>
    </row>
    <row r="493">
      <c r="A493" s="8" t="inlineStr">
        <is>
          <t>CUST-00489</t>
        </is>
      </c>
      <c r="B493" s="8" t="inlineStr">
        <is>
          <t>Kathleen Wilson</t>
        </is>
      </c>
      <c r="C493" s="8" t="inlineStr">
        <is>
          <t>Male</t>
        </is>
      </c>
      <c r="D493" s="8" t="n">
        <v>29</v>
      </c>
      <c r="E493" s="8">
        <f>IF(D493&lt;25, "18-24", IF(D493&lt;35, "25-34", IF(D493&lt;50, "35-49", "50+")))</f>
        <v/>
      </c>
      <c r="F493" s="8" t="inlineStr">
        <is>
          <t>Seoul</t>
        </is>
      </c>
      <c r="G493" s="8" t="inlineStr">
        <is>
          <t>Gyeonggi</t>
        </is>
      </c>
      <c r="H493" s="8" t="inlineStr">
        <is>
          <t>REG-APAC</t>
        </is>
      </c>
      <c r="I493" s="8" t="inlineStr">
        <is>
          <t>Home Office</t>
        </is>
      </c>
      <c r="J493" s="8" t="inlineStr">
        <is>
          <t>2022-02-13</t>
        </is>
      </c>
      <c r="K493" s="8">
        <f>COUNTIFS('05_Orders'!$C:$C, A493)</f>
        <v/>
      </c>
      <c r="L493" s="9">
        <f>SUMIFS('05_Orders'!$I:$I, '05_Orders'!$C:$C, A493)</f>
        <v/>
      </c>
      <c r="M493" s="8">
        <f>IF(L493&gt;=2000, "Platinum VIP", IF(L493&gt;=1000, "Gold", IF(L493&gt;=500, "Silver", "Standard")))</f>
        <v/>
      </c>
    </row>
    <row r="494">
      <c r="A494" s="8" t="inlineStr">
        <is>
          <t>CUST-00490</t>
        </is>
      </c>
      <c r="B494" s="8" t="inlineStr">
        <is>
          <t>Betty Hughes</t>
        </is>
      </c>
      <c r="C494" s="8" t="inlineStr">
        <is>
          <t>Other</t>
        </is>
      </c>
      <c r="D494" s="8" t="n">
        <v>48</v>
      </c>
      <c r="E494" s="8">
        <f>IF(D494&lt;25, "18-24", IF(D494&lt;35, "25-34", IF(D494&lt;50, "35-49", "50+")))</f>
        <v/>
      </c>
      <c r="F494" s="8" t="inlineStr">
        <is>
          <t>Toronto</t>
        </is>
      </c>
      <c r="G494" s="8" t="inlineStr">
        <is>
          <t>Ontario</t>
        </is>
      </c>
      <c r="H494" s="8" t="inlineStr">
        <is>
          <t>REG-NA</t>
        </is>
      </c>
      <c r="I494" s="8" t="inlineStr">
        <is>
          <t>Consumer</t>
        </is>
      </c>
      <c r="J494" s="8" t="inlineStr">
        <is>
          <t>2021-11-15</t>
        </is>
      </c>
      <c r="K494" s="8">
        <f>COUNTIFS('05_Orders'!$C:$C, A494)</f>
        <v/>
      </c>
      <c r="L494" s="9">
        <f>SUMIFS('05_Orders'!$I:$I, '05_Orders'!$C:$C, A494)</f>
        <v/>
      </c>
      <c r="M494" s="8">
        <f>IF(L494&gt;=2000, "Platinum VIP", IF(L494&gt;=1000, "Gold", IF(L494&gt;=500, "Silver", "Standard")))</f>
        <v/>
      </c>
    </row>
    <row r="495">
      <c r="A495" s="8" t="inlineStr">
        <is>
          <t>CUST-00491</t>
        </is>
      </c>
      <c r="B495" s="8" t="inlineStr">
        <is>
          <t>Brandon Jimenez</t>
        </is>
      </c>
      <c r="C495" s="8" t="inlineStr">
        <is>
          <t>Female</t>
        </is>
      </c>
      <c r="D495" s="8" t="n">
        <v>21</v>
      </c>
      <c r="E495" s="8">
        <f>IF(D495&lt;25, "18-24", IF(D495&lt;35, "25-34", IF(D495&lt;50, "35-49", "50+")))</f>
        <v/>
      </c>
      <c r="F495" s="8" t="inlineStr">
        <is>
          <t>Santiago</t>
        </is>
      </c>
      <c r="G495" s="8" t="inlineStr">
        <is>
          <t>Santiago Metro</t>
        </is>
      </c>
      <c r="H495" s="8" t="inlineStr">
        <is>
          <t>REG-LATAM</t>
        </is>
      </c>
      <c r="I495" s="8" t="inlineStr">
        <is>
          <t>Home Office</t>
        </is>
      </c>
      <c r="J495" s="8" t="inlineStr">
        <is>
          <t>2023-08-28</t>
        </is>
      </c>
      <c r="K495" s="8">
        <f>COUNTIFS('05_Orders'!$C:$C, A495)</f>
        <v/>
      </c>
      <c r="L495" s="9">
        <f>SUMIFS('05_Orders'!$I:$I, '05_Orders'!$C:$C, A495)</f>
        <v/>
      </c>
      <c r="M495" s="8">
        <f>IF(L495&gt;=2000, "Platinum VIP", IF(L495&gt;=1000, "Gold", IF(L495&gt;=500, "Silver", "Standard")))</f>
        <v/>
      </c>
    </row>
    <row r="496">
      <c r="A496" s="8" t="inlineStr">
        <is>
          <t>CUST-00492</t>
        </is>
      </c>
      <c r="B496" s="8" t="inlineStr">
        <is>
          <t>Jeffrey Wright</t>
        </is>
      </c>
      <c r="C496" s="8" t="inlineStr">
        <is>
          <t>Female</t>
        </is>
      </c>
      <c r="D496" s="8" t="n">
        <v>58</v>
      </c>
      <c r="E496" s="8">
        <f>IF(D496&lt;25, "18-24", IF(D496&lt;35, "25-34", IF(D496&lt;50, "35-49", "50+")))</f>
        <v/>
      </c>
      <c r="F496" s="8" t="inlineStr">
        <is>
          <t>Chicago</t>
        </is>
      </c>
      <c r="G496" s="8" t="inlineStr">
        <is>
          <t>Illinois</t>
        </is>
      </c>
      <c r="H496" s="8" t="inlineStr">
        <is>
          <t>REG-NA</t>
        </is>
      </c>
      <c r="I496" s="8" t="inlineStr">
        <is>
          <t>Consumer</t>
        </is>
      </c>
      <c r="J496" s="8" t="inlineStr">
        <is>
          <t>2023-04-10</t>
        </is>
      </c>
      <c r="K496" s="8">
        <f>COUNTIFS('05_Orders'!$C:$C, A496)</f>
        <v/>
      </c>
      <c r="L496" s="9">
        <f>SUMIFS('05_Orders'!$I:$I, '05_Orders'!$C:$C, A496)</f>
        <v/>
      </c>
      <c r="M496" s="8">
        <f>IF(L496&gt;=2000, "Platinum VIP", IF(L496&gt;=1000, "Gold", IF(L496&gt;=500, "Silver", "Standard")))</f>
        <v/>
      </c>
    </row>
    <row r="497">
      <c r="A497" s="8" t="inlineStr">
        <is>
          <t>CUST-00493</t>
        </is>
      </c>
      <c r="B497" s="8" t="inlineStr">
        <is>
          <t>Betty Bennett</t>
        </is>
      </c>
      <c r="C497" s="8" t="inlineStr">
        <is>
          <t>Female</t>
        </is>
      </c>
      <c r="D497" s="8" t="n">
        <v>29</v>
      </c>
      <c r="E497" s="8">
        <f>IF(D497&lt;25, "18-24", IF(D497&lt;35, "25-34", IF(D497&lt;50, "35-49", "50+")))</f>
        <v/>
      </c>
      <c r="F497" s="8" t="inlineStr">
        <is>
          <t>Tokyo</t>
        </is>
      </c>
      <c r="G497" s="8" t="inlineStr">
        <is>
          <t>Kanto</t>
        </is>
      </c>
      <c r="H497" s="8" t="inlineStr">
        <is>
          <t>REG-APAC</t>
        </is>
      </c>
      <c r="I497" s="8" t="inlineStr">
        <is>
          <t>Home Office</t>
        </is>
      </c>
      <c r="J497" s="8" t="inlineStr">
        <is>
          <t>2023-05-28</t>
        </is>
      </c>
      <c r="K497" s="8">
        <f>COUNTIFS('05_Orders'!$C:$C, A497)</f>
        <v/>
      </c>
      <c r="L497" s="9">
        <f>SUMIFS('05_Orders'!$I:$I, '05_Orders'!$C:$C, A497)</f>
        <v/>
      </c>
      <c r="M497" s="8">
        <f>IF(L497&gt;=2000, "Platinum VIP", IF(L497&gt;=1000, "Gold", IF(L497&gt;=500, "Silver", "Standard")))</f>
        <v/>
      </c>
    </row>
    <row r="498">
      <c r="A498" s="8" t="inlineStr">
        <is>
          <t>CUST-00494</t>
        </is>
      </c>
      <c r="B498" s="8" t="inlineStr">
        <is>
          <t>Laura Morris</t>
        </is>
      </c>
      <c r="C498" s="8" t="inlineStr">
        <is>
          <t>Female</t>
        </is>
      </c>
      <c r="D498" s="8" t="n">
        <v>52</v>
      </c>
      <c r="E498" s="8">
        <f>IF(D498&lt;25, "18-24", IF(D498&lt;35, "25-34", IF(D498&lt;50, "35-49", "50+")))</f>
        <v/>
      </c>
      <c r="F498" s="8" t="inlineStr">
        <is>
          <t>Berlin</t>
        </is>
      </c>
      <c r="G498" s="8" t="inlineStr">
        <is>
          <t>Berlin</t>
        </is>
      </c>
      <c r="H498" s="8" t="inlineStr">
        <is>
          <t>REG-EU</t>
        </is>
      </c>
      <c r="I498" s="8" t="inlineStr">
        <is>
          <t>Enterprise</t>
        </is>
      </c>
      <c r="J498" s="8" t="inlineStr">
        <is>
          <t>2023-06-14</t>
        </is>
      </c>
      <c r="K498" s="8">
        <f>COUNTIFS('05_Orders'!$C:$C, A498)</f>
        <v/>
      </c>
      <c r="L498" s="9">
        <f>SUMIFS('05_Orders'!$I:$I, '05_Orders'!$C:$C, A498)</f>
        <v/>
      </c>
      <c r="M498" s="8">
        <f>IF(L498&gt;=2000, "Platinum VIP", IF(L498&gt;=1000, "Gold", IF(L498&gt;=500, "Silver", "Standard")))</f>
        <v/>
      </c>
    </row>
    <row r="499">
      <c r="A499" s="8" t="inlineStr">
        <is>
          <t>CUST-00495</t>
        </is>
      </c>
      <c r="B499" s="8" t="inlineStr">
        <is>
          <t>Aaron Kim</t>
        </is>
      </c>
      <c r="C499" s="8" t="inlineStr">
        <is>
          <t>Male</t>
        </is>
      </c>
      <c r="D499" s="8" t="n">
        <v>22</v>
      </c>
      <c r="E499" s="8">
        <f>IF(D499&lt;25, "18-24", IF(D499&lt;35, "25-34", IF(D499&lt;50, "35-49", "50+")))</f>
        <v/>
      </c>
      <c r="F499" s="8" t="inlineStr">
        <is>
          <t>Auckland</t>
        </is>
      </c>
      <c r="G499" s="8" t="inlineStr">
        <is>
          <t>Auckland Region</t>
        </is>
      </c>
      <c r="H499" s="8" t="inlineStr">
        <is>
          <t>REG-APAC</t>
        </is>
      </c>
      <c r="I499" s="8" t="inlineStr">
        <is>
          <t>Corporate</t>
        </is>
      </c>
      <c r="J499" s="8" t="inlineStr">
        <is>
          <t>2022-10-26</t>
        </is>
      </c>
      <c r="K499" s="8">
        <f>COUNTIFS('05_Orders'!$C:$C, A499)</f>
        <v/>
      </c>
      <c r="L499" s="9">
        <f>SUMIFS('05_Orders'!$I:$I, '05_Orders'!$C:$C, A499)</f>
        <v/>
      </c>
      <c r="M499" s="8">
        <f>IF(L499&gt;=2000, "Platinum VIP", IF(L499&gt;=1000, "Gold", IF(L499&gt;=500, "Silver", "Standard")))</f>
        <v/>
      </c>
    </row>
    <row r="500">
      <c r="A500" s="8" t="inlineStr">
        <is>
          <t>CUST-00496</t>
        </is>
      </c>
      <c r="B500" s="8" t="inlineStr">
        <is>
          <t>Janet Green</t>
        </is>
      </c>
      <c r="C500" s="8" t="inlineStr">
        <is>
          <t>Male</t>
        </is>
      </c>
      <c r="D500" s="8" t="n">
        <v>27</v>
      </c>
      <c r="E500" s="8">
        <f>IF(D500&lt;25, "18-24", IF(D500&lt;35, "25-34", IF(D500&lt;50, "35-49", "50+")))</f>
        <v/>
      </c>
      <c r="F500" s="8" t="inlineStr">
        <is>
          <t>Osaka</t>
        </is>
      </c>
      <c r="G500" s="8" t="inlineStr">
        <is>
          <t>Kansai</t>
        </is>
      </c>
      <c r="H500" s="8" t="inlineStr">
        <is>
          <t>REG-APAC</t>
        </is>
      </c>
      <c r="I500" s="8" t="inlineStr">
        <is>
          <t>Corporate</t>
        </is>
      </c>
      <c r="J500" s="8" t="inlineStr">
        <is>
          <t>2022-10-11</t>
        </is>
      </c>
      <c r="K500" s="8">
        <f>COUNTIFS('05_Orders'!$C:$C, A500)</f>
        <v/>
      </c>
      <c r="L500" s="9">
        <f>SUMIFS('05_Orders'!$I:$I, '05_Orders'!$C:$C, A500)</f>
        <v/>
      </c>
      <c r="M500" s="8">
        <f>IF(L500&gt;=2000, "Platinum VIP", IF(L500&gt;=1000, "Gold", IF(L500&gt;=500, "Silver", "Standard")))</f>
        <v/>
      </c>
    </row>
    <row r="501">
      <c r="A501" s="8" t="inlineStr">
        <is>
          <t>CUST-00497</t>
        </is>
      </c>
      <c r="B501" s="8" t="inlineStr">
        <is>
          <t>James Edwards</t>
        </is>
      </c>
      <c r="C501" s="8" t="inlineStr">
        <is>
          <t>Male</t>
        </is>
      </c>
      <c r="D501" s="8" t="n">
        <v>58</v>
      </c>
      <c r="E501" s="8">
        <f>IF(D501&lt;25, "18-24", IF(D501&lt;35, "25-34", IF(D501&lt;50, "35-49", "50+")))</f>
        <v/>
      </c>
      <c r="F501" s="8" t="inlineStr">
        <is>
          <t>Stockholm</t>
        </is>
      </c>
      <c r="G501" s="8" t="inlineStr">
        <is>
          <t>Stockholm County</t>
        </is>
      </c>
      <c r="H501" s="8" t="inlineStr">
        <is>
          <t>REG-EU</t>
        </is>
      </c>
      <c r="I501" s="8" t="inlineStr">
        <is>
          <t>Consumer</t>
        </is>
      </c>
      <c r="J501" s="8" t="inlineStr">
        <is>
          <t>2022-03-24</t>
        </is>
      </c>
      <c r="K501" s="8">
        <f>COUNTIFS('05_Orders'!$C:$C, A501)</f>
        <v/>
      </c>
      <c r="L501" s="9">
        <f>SUMIFS('05_Orders'!$I:$I, '05_Orders'!$C:$C, A501)</f>
        <v/>
      </c>
      <c r="M501" s="8">
        <f>IF(L501&gt;=2000, "Platinum VIP", IF(L501&gt;=1000, "Gold", IF(L501&gt;=500, "Silver", "Standard")))</f>
        <v/>
      </c>
    </row>
    <row r="502">
      <c r="A502" s="8" t="inlineStr">
        <is>
          <t>CUST-00498</t>
        </is>
      </c>
      <c r="B502" s="8" t="inlineStr">
        <is>
          <t>Brandon Carter</t>
        </is>
      </c>
      <c r="C502" s="8" t="inlineStr">
        <is>
          <t>Male</t>
        </is>
      </c>
      <c r="D502" s="8" t="n">
        <v>40</v>
      </c>
      <c r="E502" s="8">
        <f>IF(D502&lt;25, "18-24", IF(D502&lt;35, "25-34", IF(D502&lt;50, "35-49", "50+")))</f>
        <v/>
      </c>
      <c r="F502" s="8" t="inlineStr">
        <is>
          <t>Houston</t>
        </is>
      </c>
      <c r="G502" s="8" t="inlineStr">
        <is>
          <t>Texas</t>
        </is>
      </c>
      <c r="H502" s="8" t="inlineStr">
        <is>
          <t>REG-NA</t>
        </is>
      </c>
      <c r="I502" s="8" t="inlineStr">
        <is>
          <t>Enterprise</t>
        </is>
      </c>
      <c r="J502" s="8" t="inlineStr">
        <is>
          <t>2024-03-27</t>
        </is>
      </c>
      <c r="K502" s="8">
        <f>COUNTIFS('05_Orders'!$C:$C, A502)</f>
        <v/>
      </c>
      <c r="L502" s="9">
        <f>SUMIFS('05_Orders'!$I:$I, '05_Orders'!$C:$C, A502)</f>
        <v/>
      </c>
      <c r="M502" s="8">
        <f>IF(L502&gt;=2000, "Platinum VIP", IF(L502&gt;=1000, "Gold", IF(L502&gt;=500, "Silver", "Standard")))</f>
        <v/>
      </c>
    </row>
    <row r="503">
      <c r="A503" s="8" t="inlineStr">
        <is>
          <t>CUST-00499</t>
        </is>
      </c>
      <c r="B503" s="8" t="inlineStr">
        <is>
          <t>Michelle Cook</t>
        </is>
      </c>
      <c r="C503" s="8" t="inlineStr">
        <is>
          <t>Male</t>
        </is>
      </c>
      <c r="D503" s="8" t="n">
        <v>62</v>
      </c>
      <c r="E503" s="8">
        <f>IF(D503&lt;25, "18-24", IF(D503&lt;35, "25-34", IF(D503&lt;50, "35-49", "50+")))</f>
        <v/>
      </c>
      <c r="F503" s="8" t="inlineStr">
        <is>
          <t>Madrid</t>
        </is>
      </c>
      <c r="G503" s="8" t="inlineStr">
        <is>
          <t>Community of Madrid</t>
        </is>
      </c>
      <c r="H503" s="8" t="inlineStr">
        <is>
          <t>REG-EU</t>
        </is>
      </c>
      <c r="I503" s="8" t="inlineStr">
        <is>
          <t>Consumer</t>
        </is>
      </c>
      <c r="J503" s="8" t="inlineStr">
        <is>
          <t>2022-12-22</t>
        </is>
      </c>
      <c r="K503" s="8">
        <f>COUNTIFS('05_Orders'!$C:$C, A503)</f>
        <v/>
      </c>
      <c r="L503" s="9">
        <f>SUMIFS('05_Orders'!$I:$I, '05_Orders'!$C:$C, A503)</f>
        <v/>
      </c>
      <c r="M503" s="8">
        <f>IF(L503&gt;=2000, "Platinum VIP", IF(L503&gt;=1000, "Gold", IF(L503&gt;=500, "Silver", "Standard")))</f>
        <v/>
      </c>
    </row>
    <row r="504">
      <c r="A504" s="8" t="inlineStr">
        <is>
          <t>CUST-00500</t>
        </is>
      </c>
      <c r="B504" s="8" t="inlineStr">
        <is>
          <t>Joseph Thompson</t>
        </is>
      </c>
      <c r="C504" s="8" t="inlineStr">
        <is>
          <t>Female</t>
        </is>
      </c>
      <c r="D504" s="8" t="n">
        <v>45</v>
      </c>
      <c r="E504" s="8">
        <f>IF(D504&lt;25, "18-24", IF(D504&lt;35, "25-34", IF(D504&lt;50, "35-49", "50+")))</f>
        <v/>
      </c>
      <c r="F504" s="8" t="inlineStr">
        <is>
          <t>Boston</t>
        </is>
      </c>
      <c r="G504" s="8" t="inlineStr">
        <is>
          <t>Massachusetts</t>
        </is>
      </c>
      <c r="H504" s="8" t="inlineStr">
        <is>
          <t>REG-NA</t>
        </is>
      </c>
      <c r="I504" s="8" t="inlineStr">
        <is>
          <t>Corporate</t>
        </is>
      </c>
      <c r="J504" s="8" t="inlineStr">
        <is>
          <t>2024-01-17</t>
        </is>
      </c>
      <c r="K504" s="8">
        <f>COUNTIFS('05_Orders'!$C:$C, A504)</f>
        <v/>
      </c>
      <c r="L504" s="9">
        <f>SUMIFS('05_Orders'!$I:$I, '05_Orders'!$C:$C, A504)</f>
        <v/>
      </c>
      <c r="M504" s="8">
        <f>IF(L504&gt;=2000, "Platinum VIP", IF(L504&gt;=1000, "Gold", IF(L504&gt;=500, "Silver", "Standard")))</f>
        <v/>
      </c>
    </row>
    <row r="505">
      <c r="A505" s="8" t="inlineStr">
        <is>
          <t>CUST-00501</t>
        </is>
      </c>
      <c r="B505" s="8" t="inlineStr">
        <is>
          <t>Katherine Torres</t>
        </is>
      </c>
      <c r="C505" s="8" t="inlineStr">
        <is>
          <t>Other</t>
        </is>
      </c>
      <c r="D505" s="8" t="n">
        <v>57</v>
      </c>
      <c r="E505" s="8">
        <f>IF(D505&lt;25, "18-24", IF(D505&lt;35, "25-34", IF(D505&lt;50, "35-49", "50+")))</f>
        <v/>
      </c>
      <c r="F505" s="8" t="inlineStr">
        <is>
          <t>Rio de Janeiro</t>
        </is>
      </c>
      <c r="G505" s="8" t="inlineStr">
        <is>
          <t>Rio de Janeiro State</t>
        </is>
      </c>
      <c r="H505" s="8" t="inlineStr">
        <is>
          <t>REG-LATAM</t>
        </is>
      </c>
      <c r="I505" s="8" t="inlineStr">
        <is>
          <t>Enterprise</t>
        </is>
      </c>
      <c r="J505" s="8" t="inlineStr">
        <is>
          <t>2021-08-01</t>
        </is>
      </c>
      <c r="K505" s="8">
        <f>COUNTIFS('05_Orders'!$C:$C, A505)</f>
        <v/>
      </c>
      <c r="L505" s="9">
        <f>SUMIFS('05_Orders'!$I:$I, '05_Orders'!$C:$C, A505)</f>
        <v/>
      </c>
      <c r="M505" s="8">
        <f>IF(L505&gt;=2000, "Platinum VIP", IF(L505&gt;=1000, "Gold", IF(L505&gt;=500, "Silver", "Standard")))</f>
        <v/>
      </c>
    </row>
    <row r="506">
      <c r="A506" s="8" t="inlineStr">
        <is>
          <t>CUST-00502</t>
        </is>
      </c>
      <c r="B506" s="8" t="inlineStr">
        <is>
          <t>Ruth Long</t>
        </is>
      </c>
      <c r="C506" s="8" t="inlineStr">
        <is>
          <t>Other</t>
        </is>
      </c>
      <c r="D506" s="8" t="n">
        <v>52</v>
      </c>
      <c r="E506" s="8">
        <f>IF(D506&lt;25, "18-24", IF(D506&lt;35, "25-34", IF(D506&lt;50, "35-49", "50+")))</f>
        <v/>
      </c>
      <c r="F506" s="8" t="inlineStr">
        <is>
          <t>Toronto</t>
        </is>
      </c>
      <c r="G506" s="8" t="inlineStr">
        <is>
          <t>Ontario</t>
        </is>
      </c>
      <c r="H506" s="8" t="inlineStr">
        <is>
          <t>REG-NA</t>
        </is>
      </c>
      <c r="I506" s="8" t="inlineStr">
        <is>
          <t>Corporate</t>
        </is>
      </c>
      <c r="J506" s="8" t="inlineStr">
        <is>
          <t>2021-03-08</t>
        </is>
      </c>
      <c r="K506" s="8">
        <f>COUNTIFS('05_Orders'!$C:$C, A506)</f>
        <v/>
      </c>
      <c r="L506" s="9">
        <f>SUMIFS('05_Orders'!$I:$I, '05_Orders'!$C:$C, A506)</f>
        <v/>
      </c>
      <c r="M506" s="8">
        <f>IF(L506&gt;=2000, "Platinum VIP", IF(L506&gt;=1000, "Gold", IF(L506&gt;=500, "Silver", "Standard")))</f>
        <v/>
      </c>
    </row>
    <row r="507">
      <c r="A507" s="8" t="inlineStr">
        <is>
          <t>CUST-00503</t>
        </is>
      </c>
      <c r="B507" s="8" t="inlineStr">
        <is>
          <t>Larry Carter</t>
        </is>
      </c>
      <c r="C507" s="8" t="inlineStr">
        <is>
          <t>Male</t>
        </is>
      </c>
      <c r="D507" s="8" t="n">
        <v>30</v>
      </c>
      <c r="E507" s="8">
        <f>IF(D507&lt;25, "18-24", IF(D507&lt;35, "25-34", IF(D507&lt;50, "35-49", "50+")))</f>
        <v/>
      </c>
      <c r="F507" s="8" t="inlineStr">
        <is>
          <t>Tokyo</t>
        </is>
      </c>
      <c r="G507" s="8" t="inlineStr">
        <is>
          <t>Kanto</t>
        </is>
      </c>
      <c r="H507" s="8" t="inlineStr">
        <is>
          <t>REG-APAC</t>
        </is>
      </c>
      <c r="I507" s="8" t="inlineStr">
        <is>
          <t>Consumer</t>
        </is>
      </c>
      <c r="J507" s="8" t="inlineStr">
        <is>
          <t>2023-08-09</t>
        </is>
      </c>
      <c r="K507" s="8">
        <f>COUNTIFS('05_Orders'!$C:$C, A507)</f>
        <v/>
      </c>
      <c r="L507" s="9">
        <f>SUMIFS('05_Orders'!$I:$I, '05_Orders'!$C:$C, A507)</f>
        <v/>
      </c>
      <c r="M507" s="8">
        <f>IF(L507&gt;=2000, "Platinum VIP", IF(L507&gt;=1000, "Gold", IF(L507&gt;=500, "Silver", "Standard")))</f>
        <v/>
      </c>
    </row>
    <row r="508">
      <c r="A508" s="8" t="inlineStr">
        <is>
          <t>CUST-00504</t>
        </is>
      </c>
      <c r="B508" s="8" t="inlineStr">
        <is>
          <t>James Mitchell</t>
        </is>
      </c>
      <c r="C508" s="8" t="inlineStr">
        <is>
          <t>Male</t>
        </is>
      </c>
      <c r="D508" s="8" t="n">
        <v>50</v>
      </c>
      <c r="E508" s="8">
        <f>IF(D508&lt;25, "18-24", IF(D508&lt;35, "25-34", IF(D508&lt;50, "35-49", "50+")))</f>
        <v/>
      </c>
      <c r="F508" s="8" t="inlineStr">
        <is>
          <t>Phoenix</t>
        </is>
      </c>
      <c r="G508" s="8" t="inlineStr">
        <is>
          <t>Arizona</t>
        </is>
      </c>
      <c r="H508" s="8" t="inlineStr">
        <is>
          <t>REG-NA</t>
        </is>
      </c>
      <c r="I508" s="8" t="inlineStr">
        <is>
          <t>Consumer</t>
        </is>
      </c>
      <c r="J508" s="8" t="inlineStr">
        <is>
          <t>2023-04-30</t>
        </is>
      </c>
      <c r="K508" s="8">
        <f>COUNTIFS('05_Orders'!$C:$C, A508)</f>
        <v/>
      </c>
      <c r="L508" s="9">
        <f>SUMIFS('05_Orders'!$I:$I, '05_Orders'!$C:$C, A508)</f>
        <v/>
      </c>
      <c r="M508" s="8">
        <f>IF(L508&gt;=2000, "Platinum VIP", IF(L508&gt;=1000, "Gold", IF(L508&gt;=500, "Silver", "Standard")))</f>
        <v/>
      </c>
    </row>
    <row r="509">
      <c r="A509" s="8" t="inlineStr">
        <is>
          <t>CUST-00505</t>
        </is>
      </c>
      <c r="B509" s="8" t="inlineStr">
        <is>
          <t>Patricia Martin</t>
        </is>
      </c>
      <c r="C509" s="8" t="inlineStr">
        <is>
          <t>Female</t>
        </is>
      </c>
      <c r="D509" s="8" t="n">
        <v>71</v>
      </c>
      <c r="E509" s="8">
        <f>IF(D509&lt;25, "18-24", IF(D509&lt;35, "25-34", IF(D509&lt;50, "35-49", "50+")))</f>
        <v/>
      </c>
      <c r="F509" s="8" t="inlineStr">
        <is>
          <t>Auckland</t>
        </is>
      </c>
      <c r="G509" s="8" t="inlineStr">
        <is>
          <t>Auckland Region</t>
        </is>
      </c>
      <c r="H509" s="8" t="inlineStr">
        <is>
          <t>REG-APAC</t>
        </is>
      </c>
      <c r="I509" s="8" t="inlineStr">
        <is>
          <t>Consumer</t>
        </is>
      </c>
      <c r="J509" s="8" t="inlineStr">
        <is>
          <t>2021-12-16</t>
        </is>
      </c>
      <c r="K509" s="8">
        <f>COUNTIFS('05_Orders'!$C:$C, A509)</f>
        <v/>
      </c>
      <c r="L509" s="9">
        <f>SUMIFS('05_Orders'!$I:$I, '05_Orders'!$C:$C, A509)</f>
        <v/>
      </c>
      <c r="M509" s="8">
        <f>IF(L509&gt;=2000, "Platinum VIP", IF(L509&gt;=1000, "Gold", IF(L509&gt;=500, "Silver", "Standard")))</f>
        <v/>
      </c>
    </row>
    <row r="510">
      <c r="A510" s="8" t="inlineStr">
        <is>
          <t>CUST-00506</t>
        </is>
      </c>
      <c r="B510" s="8" t="inlineStr">
        <is>
          <t>Matthew Ward</t>
        </is>
      </c>
      <c r="C510" s="8" t="inlineStr">
        <is>
          <t>Other</t>
        </is>
      </c>
      <c r="D510" s="8" t="n">
        <v>43</v>
      </c>
      <c r="E510" s="8">
        <f>IF(D510&lt;25, "18-24", IF(D510&lt;35, "25-34", IF(D510&lt;50, "35-49", "50+")))</f>
        <v/>
      </c>
      <c r="F510" s="8" t="inlineStr">
        <is>
          <t>Auckland</t>
        </is>
      </c>
      <c r="G510" s="8" t="inlineStr">
        <is>
          <t>Auckland Region</t>
        </is>
      </c>
      <c r="H510" s="8" t="inlineStr">
        <is>
          <t>REG-APAC</t>
        </is>
      </c>
      <c r="I510" s="8" t="inlineStr">
        <is>
          <t>Consumer</t>
        </is>
      </c>
      <c r="J510" s="8" t="inlineStr">
        <is>
          <t>2024-07-27</t>
        </is>
      </c>
      <c r="K510" s="8">
        <f>COUNTIFS('05_Orders'!$C:$C, A510)</f>
        <v/>
      </c>
      <c r="L510" s="9">
        <f>SUMIFS('05_Orders'!$I:$I, '05_Orders'!$C:$C, A510)</f>
        <v/>
      </c>
      <c r="M510" s="8">
        <f>IF(L510&gt;=2000, "Platinum VIP", IF(L510&gt;=1000, "Gold", IF(L510&gt;=500, "Silver", "Standard")))</f>
        <v/>
      </c>
    </row>
    <row r="511">
      <c r="A511" s="8" t="inlineStr">
        <is>
          <t>CUST-00507</t>
        </is>
      </c>
      <c r="B511" s="8" t="inlineStr">
        <is>
          <t>Christopher Parker</t>
        </is>
      </c>
      <c r="C511" s="8" t="inlineStr">
        <is>
          <t>Male</t>
        </is>
      </c>
      <c r="D511" s="8" t="n">
        <v>24</v>
      </c>
      <c r="E511" s="8">
        <f>IF(D511&lt;25, "18-24", IF(D511&lt;35, "25-34", IF(D511&lt;50, "35-49", "50+")))</f>
        <v/>
      </c>
      <c r="F511" s="8" t="inlineStr">
        <is>
          <t>Osaka</t>
        </is>
      </c>
      <c r="G511" s="8" t="inlineStr">
        <is>
          <t>Kansai</t>
        </is>
      </c>
      <c r="H511" s="8" t="inlineStr">
        <is>
          <t>REG-APAC</t>
        </is>
      </c>
      <c r="I511" s="8" t="inlineStr">
        <is>
          <t>Corporate</t>
        </is>
      </c>
      <c r="J511" s="8" t="inlineStr">
        <is>
          <t>2024-07-17</t>
        </is>
      </c>
      <c r="K511" s="8">
        <f>COUNTIFS('05_Orders'!$C:$C, A511)</f>
        <v/>
      </c>
      <c r="L511" s="9">
        <f>SUMIFS('05_Orders'!$I:$I, '05_Orders'!$C:$C, A511)</f>
        <v/>
      </c>
      <c r="M511" s="8">
        <f>IF(L511&gt;=2000, "Platinum VIP", IF(L511&gt;=1000, "Gold", IF(L511&gt;=500, "Silver", "Standard")))</f>
        <v/>
      </c>
    </row>
    <row r="512">
      <c r="A512" s="8" t="inlineStr">
        <is>
          <t>CUST-00508</t>
        </is>
      </c>
      <c r="B512" s="8" t="inlineStr">
        <is>
          <t>Larry Lee</t>
        </is>
      </c>
      <c r="C512" s="8" t="inlineStr">
        <is>
          <t>Female</t>
        </is>
      </c>
      <c r="D512" s="8" t="n">
        <v>31</v>
      </c>
      <c r="E512" s="8">
        <f>IF(D512&lt;25, "18-24", IF(D512&lt;35, "25-34", IF(D512&lt;50, "35-49", "50+")))</f>
        <v/>
      </c>
      <c r="F512" s="8" t="inlineStr">
        <is>
          <t>New York</t>
        </is>
      </c>
      <c r="G512" s="8" t="inlineStr">
        <is>
          <t>New York</t>
        </is>
      </c>
      <c r="H512" s="8" t="inlineStr">
        <is>
          <t>REG-NA</t>
        </is>
      </c>
      <c r="I512" s="8" t="inlineStr">
        <is>
          <t>Consumer</t>
        </is>
      </c>
      <c r="J512" s="8" t="inlineStr">
        <is>
          <t>2024-07-11</t>
        </is>
      </c>
      <c r="K512" s="8">
        <f>COUNTIFS('05_Orders'!$C:$C, A512)</f>
        <v/>
      </c>
      <c r="L512" s="9">
        <f>SUMIFS('05_Orders'!$I:$I, '05_Orders'!$C:$C, A512)</f>
        <v/>
      </c>
      <c r="M512" s="8">
        <f>IF(L512&gt;=2000, "Platinum VIP", IF(L512&gt;=1000, "Gold", IF(L512&gt;=500, "Silver", "Standard")))</f>
        <v/>
      </c>
    </row>
    <row r="513">
      <c r="A513" s="8" t="inlineStr">
        <is>
          <t>CUST-00509</t>
        </is>
      </c>
      <c r="B513" s="8" t="inlineStr">
        <is>
          <t>David Kelly</t>
        </is>
      </c>
      <c r="C513" s="8" t="inlineStr">
        <is>
          <t>Female</t>
        </is>
      </c>
      <c r="D513" s="8" t="n">
        <v>19</v>
      </c>
      <c r="E513" s="8">
        <f>IF(D513&lt;25, "18-24", IF(D513&lt;35, "25-34", IF(D513&lt;50, "35-49", "50+")))</f>
        <v/>
      </c>
      <c r="F513" s="8" t="inlineStr">
        <is>
          <t>Osaka</t>
        </is>
      </c>
      <c r="G513" s="8" t="inlineStr">
        <is>
          <t>Kansai</t>
        </is>
      </c>
      <c r="H513" s="8" t="inlineStr">
        <is>
          <t>REG-APAC</t>
        </is>
      </c>
      <c r="I513" s="8" t="inlineStr">
        <is>
          <t>Enterprise</t>
        </is>
      </c>
      <c r="J513" s="8" t="inlineStr">
        <is>
          <t>2024-07-23</t>
        </is>
      </c>
      <c r="K513" s="8">
        <f>COUNTIFS('05_Orders'!$C:$C, A513)</f>
        <v/>
      </c>
      <c r="L513" s="9">
        <f>SUMIFS('05_Orders'!$I:$I, '05_Orders'!$C:$C, A513)</f>
        <v/>
      </c>
      <c r="M513" s="8">
        <f>IF(L513&gt;=2000, "Platinum VIP", IF(L513&gt;=1000, "Gold", IF(L513&gt;=500, "Silver", "Standard")))</f>
        <v/>
      </c>
    </row>
    <row r="514">
      <c r="A514" s="8" t="inlineStr">
        <is>
          <t>CUST-00510</t>
        </is>
      </c>
      <c r="B514" s="8" t="inlineStr">
        <is>
          <t>Joshua Harris</t>
        </is>
      </c>
      <c r="C514" s="8" t="inlineStr">
        <is>
          <t>Other</t>
        </is>
      </c>
      <c r="D514" s="8" t="n">
        <v>71</v>
      </c>
      <c r="E514" s="8">
        <f>IF(D514&lt;25, "18-24", IF(D514&lt;35, "25-34", IF(D514&lt;50, "35-49", "50+")))</f>
        <v/>
      </c>
      <c r="F514" s="8" t="inlineStr">
        <is>
          <t>Atlanta</t>
        </is>
      </c>
      <c r="G514" s="8" t="inlineStr">
        <is>
          <t>Georgia</t>
        </is>
      </c>
      <c r="H514" s="8" t="inlineStr">
        <is>
          <t>REG-NA</t>
        </is>
      </c>
      <c r="I514" s="8" t="inlineStr">
        <is>
          <t>Home Office</t>
        </is>
      </c>
      <c r="J514" s="8" t="inlineStr">
        <is>
          <t>2024-09-12</t>
        </is>
      </c>
      <c r="K514" s="8">
        <f>COUNTIFS('05_Orders'!$C:$C, A514)</f>
        <v/>
      </c>
      <c r="L514" s="9">
        <f>SUMIFS('05_Orders'!$I:$I, '05_Orders'!$C:$C, A514)</f>
        <v/>
      </c>
      <c r="M514" s="8">
        <f>IF(L514&gt;=2000, "Platinum VIP", IF(L514&gt;=1000, "Gold", IF(L514&gt;=500, "Silver", "Standard")))</f>
        <v/>
      </c>
    </row>
    <row r="515">
      <c r="A515" s="8" t="inlineStr">
        <is>
          <t>CUST-00511</t>
        </is>
      </c>
      <c r="B515" s="8" t="inlineStr">
        <is>
          <t>Scott Wilson</t>
        </is>
      </c>
      <c r="C515" s="8" t="inlineStr">
        <is>
          <t>Male</t>
        </is>
      </c>
      <c r="D515" s="8" t="n">
        <v>47</v>
      </c>
      <c r="E515" s="8">
        <f>IF(D515&lt;25, "18-24", IF(D515&lt;35, "25-34", IF(D515&lt;50, "35-49", "50+")))</f>
        <v/>
      </c>
      <c r="F515" s="8" t="inlineStr">
        <is>
          <t>Rio de Janeiro</t>
        </is>
      </c>
      <c r="G515" s="8" t="inlineStr">
        <is>
          <t>Rio de Janeiro State</t>
        </is>
      </c>
      <c r="H515" s="8" t="inlineStr">
        <is>
          <t>REG-LATAM</t>
        </is>
      </c>
      <c r="I515" s="8" t="inlineStr">
        <is>
          <t>Consumer</t>
        </is>
      </c>
      <c r="J515" s="8" t="inlineStr">
        <is>
          <t>2022-08-02</t>
        </is>
      </c>
      <c r="K515" s="8">
        <f>COUNTIFS('05_Orders'!$C:$C, A515)</f>
        <v/>
      </c>
      <c r="L515" s="9">
        <f>SUMIFS('05_Orders'!$I:$I, '05_Orders'!$C:$C, A515)</f>
        <v/>
      </c>
      <c r="M515" s="8">
        <f>IF(L515&gt;=2000, "Platinum VIP", IF(L515&gt;=1000, "Gold", IF(L515&gt;=500, "Silver", "Standard")))</f>
        <v/>
      </c>
    </row>
    <row r="516">
      <c r="A516" s="8" t="inlineStr">
        <is>
          <t>CUST-00512</t>
        </is>
      </c>
      <c r="B516" s="8" t="inlineStr">
        <is>
          <t>Anthony Gomez</t>
        </is>
      </c>
      <c r="C516" s="8" t="inlineStr">
        <is>
          <t>Male</t>
        </is>
      </c>
      <c r="D516" s="8" t="n">
        <v>49</v>
      </c>
      <c r="E516" s="8">
        <f>IF(D516&lt;25, "18-24", IF(D516&lt;35, "25-34", IF(D516&lt;50, "35-49", "50+")))</f>
        <v/>
      </c>
      <c r="F516" s="8" t="inlineStr">
        <is>
          <t>Seoul</t>
        </is>
      </c>
      <c r="G516" s="8" t="inlineStr">
        <is>
          <t>Gyeonggi</t>
        </is>
      </c>
      <c r="H516" s="8" t="inlineStr">
        <is>
          <t>REG-APAC</t>
        </is>
      </c>
      <c r="I516" s="8" t="inlineStr">
        <is>
          <t>Consumer</t>
        </is>
      </c>
      <c r="J516" s="8" t="inlineStr">
        <is>
          <t>2024-07-05</t>
        </is>
      </c>
      <c r="K516" s="8">
        <f>COUNTIFS('05_Orders'!$C:$C, A516)</f>
        <v/>
      </c>
      <c r="L516" s="9">
        <f>SUMIFS('05_Orders'!$I:$I, '05_Orders'!$C:$C, A516)</f>
        <v/>
      </c>
      <c r="M516" s="8">
        <f>IF(L516&gt;=2000, "Platinum VIP", IF(L516&gt;=1000, "Gold", IF(L516&gt;=500, "Silver", "Standard")))</f>
        <v/>
      </c>
    </row>
    <row r="517">
      <c r="A517" s="8" t="inlineStr">
        <is>
          <t>CUST-00513</t>
        </is>
      </c>
      <c r="B517" s="8" t="inlineStr">
        <is>
          <t>Cynthia Lee</t>
        </is>
      </c>
      <c r="C517" s="8" t="inlineStr">
        <is>
          <t>Male</t>
        </is>
      </c>
      <c r="D517" s="8" t="n">
        <v>37</v>
      </c>
      <c r="E517" s="8">
        <f>IF(D517&lt;25, "18-24", IF(D517&lt;35, "25-34", IF(D517&lt;50, "35-49", "50+")))</f>
        <v/>
      </c>
      <c r="F517" s="8" t="inlineStr">
        <is>
          <t>Chicago</t>
        </is>
      </c>
      <c r="G517" s="8" t="inlineStr">
        <is>
          <t>Illinois</t>
        </is>
      </c>
      <c r="H517" s="8" t="inlineStr">
        <is>
          <t>REG-NA</t>
        </is>
      </c>
      <c r="I517" s="8" t="inlineStr">
        <is>
          <t>Corporate</t>
        </is>
      </c>
      <c r="J517" s="8" t="inlineStr">
        <is>
          <t>2024-07-16</t>
        </is>
      </c>
      <c r="K517" s="8">
        <f>COUNTIFS('05_Orders'!$C:$C, A517)</f>
        <v/>
      </c>
      <c r="L517" s="9">
        <f>SUMIFS('05_Orders'!$I:$I, '05_Orders'!$C:$C, A517)</f>
        <v/>
      </c>
      <c r="M517" s="8">
        <f>IF(L517&gt;=2000, "Platinum VIP", IF(L517&gt;=1000, "Gold", IF(L517&gt;=500, "Silver", "Standard")))</f>
        <v/>
      </c>
    </row>
    <row r="518">
      <c r="A518" s="8" t="inlineStr">
        <is>
          <t>CUST-00514</t>
        </is>
      </c>
      <c r="B518" s="8" t="inlineStr">
        <is>
          <t>Amy Ward</t>
        </is>
      </c>
      <c r="C518" s="8" t="inlineStr">
        <is>
          <t>Other</t>
        </is>
      </c>
      <c r="D518" s="8" t="n">
        <v>52</v>
      </c>
      <c r="E518" s="8">
        <f>IF(D518&lt;25, "18-24", IF(D518&lt;35, "25-34", IF(D518&lt;50, "35-49", "50+")))</f>
        <v/>
      </c>
      <c r="F518" s="8" t="inlineStr">
        <is>
          <t>Boston</t>
        </is>
      </c>
      <c r="G518" s="8" t="inlineStr">
        <is>
          <t>Massachusetts</t>
        </is>
      </c>
      <c r="H518" s="8" t="inlineStr">
        <is>
          <t>REG-NA</t>
        </is>
      </c>
      <c r="I518" s="8" t="inlineStr">
        <is>
          <t>Corporate</t>
        </is>
      </c>
      <c r="J518" s="8" t="inlineStr">
        <is>
          <t>2021-09-07</t>
        </is>
      </c>
      <c r="K518" s="8">
        <f>COUNTIFS('05_Orders'!$C:$C, A518)</f>
        <v/>
      </c>
      <c r="L518" s="9">
        <f>SUMIFS('05_Orders'!$I:$I, '05_Orders'!$C:$C, A518)</f>
        <v/>
      </c>
      <c r="M518" s="8">
        <f>IF(L518&gt;=2000, "Platinum VIP", IF(L518&gt;=1000, "Gold", IF(L518&gt;=500, "Silver", "Standard")))</f>
        <v/>
      </c>
    </row>
    <row r="519">
      <c r="A519" s="8" t="inlineStr">
        <is>
          <t>CUST-00515</t>
        </is>
      </c>
      <c r="B519" s="8" t="inlineStr">
        <is>
          <t>Karen Ramirez</t>
        </is>
      </c>
      <c r="C519" s="8" t="inlineStr">
        <is>
          <t>Female</t>
        </is>
      </c>
      <c r="D519" s="8" t="n">
        <v>25</v>
      </c>
      <c r="E519" s="8">
        <f>IF(D519&lt;25, "18-24", IF(D519&lt;35, "25-34", IF(D519&lt;50, "35-49", "50+")))</f>
        <v/>
      </c>
      <c r="F519" s="8" t="inlineStr">
        <is>
          <t>Singapore</t>
        </is>
      </c>
      <c r="G519" s="8" t="inlineStr">
        <is>
          <t>Central</t>
        </is>
      </c>
      <c r="H519" s="8" t="inlineStr">
        <is>
          <t>REG-APAC</t>
        </is>
      </c>
      <c r="I519" s="8" t="inlineStr">
        <is>
          <t>Consumer</t>
        </is>
      </c>
      <c r="J519" s="8" t="inlineStr">
        <is>
          <t>2022-03-27</t>
        </is>
      </c>
      <c r="K519" s="8">
        <f>COUNTIFS('05_Orders'!$C:$C, A519)</f>
        <v/>
      </c>
      <c r="L519" s="9">
        <f>SUMIFS('05_Orders'!$I:$I, '05_Orders'!$C:$C, A519)</f>
        <v/>
      </c>
      <c r="M519" s="8">
        <f>IF(L519&gt;=2000, "Platinum VIP", IF(L519&gt;=1000, "Gold", IF(L519&gt;=500, "Silver", "Standard")))</f>
        <v/>
      </c>
    </row>
    <row r="520">
      <c r="A520" s="8" t="inlineStr">
        <is>
          <t>CUST-00516</t>
        </is>
      </c>
      <c r="B520" s="8" t="inlineStr">
        <is>
          <t>Margaret Lopez</t>
        </is>
      </c>
      <c r="C520" s="8" t="inlineStr">
        <is>
          <t>Female</t>
        </is>
      </c>
      <c r="D520" s="8" t="n">
        <v>63</v>
      </c>
      <c r="E520" s="8">
        <f>IF(D520&lt;25, "18-24", IF(D520&lt;35, "25-34", IF(D520&lt;50, "35-49", "50+")))</f>
        <v/>
      </c>
      <c r="F520" s="8" t="inlineStr">
        <is>
          <t>Paris</t>
        </is>
      </c>
      <c r="G520" s="8" t="inlineStr">
        <is>
          <t>Ile-de-France</t>
        </is>
      </c>
      <c r="H520" s="8" t="inlineStr">
        <is>
          <t>REG-EU</t>
        </is>
      </c>
      <c r="I520" s="8" t="inlineStr">
        <is>
          <t>Consumer</t>
        </is>
      </c>
      <c r="J520" s="8" t="inlineStr">
        <is>
          <t>2023-10-13</t>
        </is>
      </c>
      <c r="K520" s="8">
        <f>COUNTIFS('05_Orders'!$C:$C, A520)</f>
        <v/>
      </c>
      <c r="L520" s="9">
        <f>SUMIFS('05_Orders'!$I:$I, '05_Orders'!$C:$C, A520)</f>
        <v/>
      </c>
      <c r="M520" s="8">
        <f>IF(L520&gt;=2000, "Platinum VIP", IF(L520&gt;=1000, "Gold", IF(L520&gt;=500, "Silver", "Standard")))</f>
        <v/>
      </c>
    </row>
    <row r="521">
      <c r="A521" s="8" t="inlineStr">
        <is>
          <t>CUST-00517</t>
        </is>
      </c>
      <c r="B521" s="8" t="inlineStr">
        <is>
          <t>Margaret Mendoza</t>
        </is>
      </c>
      <c r="C521" s="8" t="inlineStr">
        <is>
          <t>Other</t>
        </is>
      </c>
      <c r="D521" s="8" t="n">
        <v>35</v>
      </c>
      <c r="E521" s="8">
        <f>IF(D521&lt;25, "18-24", IF(D521&lt;35, "25-34", IF(D521&lt;50, "35-49", "50+")))</f>
        <v/>
      </c>
      <c r="F521" s="8" t="inlineStr">
        <is>
          <t>Rio de Janeiro</t>
        </is>
      </c>
      <c r="G521" s="8" t="inlineStr">
        <is>
          <t>Rio de Janeiro State</t>
        </is>
      </c>
      <c r="H521" s="8" t="inlineStr">
        <is>
          <t>REG-LATAM</t>
        </is>
      </c>
      <c r="I521" s="8" t="inlineStr">
        <is>
          <t>Corporate</t>
        </is>
      </c>
      <c r="J521" s="8" t="inlineStr">
        <is>
          <t>2025-04-19</t>
        </is>
      </c>
      <c r="K521" s="8">
        <f>COUNTIFS('05_Orders'!$C:$C, A521)</f>
        <v/>
      </c>
      <c r="L521" s="9">
        <f>SUMIFS('05_Orders'!$I:$I, '05_Orders'!$C:$C, A521)</f>
        <v/>
      </c>
      <c r="M521" s="8">
        <f>IF(L521&gt;=2000, "Platinum VIP", IF(L521&gt;=1000, "Gold", IF(L521&gt;=500, "Silver", "Standard")))</f>
        <v/>
      </c>
    </row>
    <row r="522">
      <c r="A522" s="8" t="inlineStr">
        <is>
          <t>CUST-00518</t>
        </is>
      </c>
      <c r="B522" s="8" t="inlineStr">
        <is>
          <t>Sharon Edwards</t>
        </is>
      </c>
      <c r="C522" s="8" t="inlineStr">
        <is>
          <t>Female</t>
        </is>
      </c>
      <c r="D522" s="8" t="n">
        <v>56</v>
      </c>
      <c r="E522" s="8">
        <f>IF(D522&lt;25, "18-24", IF(D522&lt;35, "25-34", IF(D522&lt;50, "35-49", "50+")))</f>
        <v/>
      </c>
      <c r="F522" s="8" t="inlineStr">
        <is>
          <t>Hong Kong</t>
        </is>
      </c>
      <c r="G522" s="8" t="inlineStr">
        <is>
          <t>Hong Kong</t>
        </is>
      </c>
      <c r="H522" s="8" t="inlineStr">
        <is>
          <t>REG-APAC</t>
        </is>
      </c>
      <c r="I522" s="8" t="inlineStr">
        <is>
          <t>Corporate</t>
        </is>
      </c>
      <c r="J522" s="8" t="inlineStr">
        <is>
          <t>2024-05-28</t>
        </is>
      </c>
      <c r="K522" s="8">
        <f>COUNTIFS('05_Orders'!$C:$C, A522)</f>
        <v/>
      </c>
      <c r="L522" s="9">
        <f>SUMIFS('05_Orders'!$I:$I, '05_Orders'!$C:$C, A522)</f>
        <v/>
      </c>
      <c r="M522" s="8">
        <f>IF(L522&gt;=2000, "Platinum VIP", IF(L522&gt;=1000, "Gold", IF(L522&gt;=500, "Silver", "Standard")))</f>
        <v/>
      </c>
    </row>
    <row r="523">
      <c r="A523" s="8" t="inlineStr">
        <is>
          <t>CUST-00519</t>
        </is>
      </c>
      <c r="B523" s="8" t="inlineStr">
        <is>
          <t>William Edwards</t>
        </is>
      </c>
      <c r="C523" s="8" t="inlineStr">
        <is>
          <t>Male</t>
        </is>
      </c>
      <c r="D523" s="8" t="n">
        <v>20</v>
      </c>
      <c r="E523" s="8">
        <f>IF(D523&lt;25, "18-24", IF(D523&lt;35, "25-34", IF(D523&lt;50, "35-49", "50+")))</f>
        <v/>
      </c>
      <c r="F523" s="8" t="inlineStr">
        <is>
          <t>Bogota</t>
        </is>
      </c>
      <c r="G523" s="8" t="inlineStr">
        <is>
          <t>Cundinamarca</t>
        </is>
      </c>
      <c r="H523" s="8" t="inlineStr">
        <is>
          <t>REG-LATAM</t>
        </is>
      </c>
      <c r="I523" s="8" t="inlineStr">
        <is>
          <t>Corporate</t>
        </is>
      </c>
      <c r="J523" s="8" t="inlineStr">
        <is>
          <t>2022-08-25</t>
        </is>
      </c>
      <c r="K523" s="8">
        <f>COUNTIFS('05_Orders'!$C:$C, A523)</f>
        <v/>
      </c>
      <c r="L523" s="9">
        <f>SUMIFS('05_Orders'!$I:$I, '05_Orders'!$C:$C, A523)</f>
        <v/>
      </c>
      <c r="M523" s="8">
        <f>IF(L523&gt;=2000, "Platinum VIP", IF(L523&gt;=1000, "Gold", IF(L523&gt;=500, "Silver", "Standard")))</f>
        <v/>
      </c>
    </row>
    <row r="524">
      <c r="A524" s="8" t="inlineStr">
        <is>
          <t>CUST-00520</t>
        </is>
      </c>
      <c r="B524" s="8" t="inlineStr">
        <is>
          <t>Timothy Brown</t>
        </is>
      </c>
      <c r="C524" s="8" t="inlineStr">
        <is>
          <t>Male</t>
        </is>
      </c>
      <c r="D524" s="8" t="n">
        <v>29</v>
      </c>
      <c r="E524" s="8">
        <f>IF(D524&lt;25, "18-24", IF(D524&lt;35, "25-34", IF(D524&lt;50, "35-49", "50+")))</f>
        <v/>
      </c>
      <c r="F524" s="8" t="inlineStr">
        <is>
          <t>Seoul</t>
        </is>
      </c>
      <c r="G524" s="8" t="inlineStr">
        <is>
          <t>Gyeonggi</t>
        </is>
      </c>
      <c r="H524" s="8" t="inlineStr">
        <is>
          <t>REG-APAC</t>
        </is>
      </c>
      <c r="I524" s="8" t="inlineStr">
        <is>
          <t>Home Office</t>
        </is>
      </c>
      <c r="J524" s="8" t="inlineStr">
        <is>
          <t>2023-01-03</t>
        </is>
      </c>
      <c r="K524" s="8">
        <f>COUNTIFS('05_Orders'!$C:$C, A524)</f>
        <v/>
      </c>
      <c r="L524" s="9">
        <f>SUMIFS('05_Orders'!$I:$I, '05_Orders'!$C:$C, A524)</f>
        <v/>
      </c>
      <c r="M524" s="8">
        <f>IF(L524&gt;=2000, "Platinum VIP", IF(L524&gt;=1000, "Gold", IF(L524&gt;=500, "Silver", "Standard")))</f>
        <v/>
      </c>
    </row>
    <row r="525">
      <c r="A525" s="8" t="inlineStr">
        <is>
          <t>CUST-00521</t>
        </is>
      </c>
      <c r="B525" s="8" t="inlineStr">
        <is>
          <t>Kevin Thomas</t>
        </is>
      </c>
      <c r="C525" s="8" t="inlineStr">
        <is>
          <t>Male</t>
        </is>
      </c>
      <c r="D525" s="8" t="n">
        <v>38</v>
      </c>
      <c r="E525" s="8">
        <f>IF(D525&lt;25, "18-24", IF(D525&lt;35, "25-34", IF(D525&lt;50, "35-49", "50+")))</f>
        <v/>
      </c>
      <c r="F525" s="8" t="inlineStr">
        <is>
          <t>Lyon</t>
        </is>
      </c>
      <c r="G525" s="8" t="inlineStr">
        <is>
          <t>Auvergne-Rhone-Alpes</t>
        </is>
      </c>
      <c r="H525" s="8" t="inlineStr">
        <is>
          <t>REG-EU</t>
        </is>
      </c>
      <c r="I525" s="8" t="inlineStr">
        <is>
          <t>Consumer</t>
        </is>
      </c>
      <c r="J525" s="8" t="inlineStr">
        <is>
          <t>2024-03-08</t>
        </is>
      </c>
      <c r="K525" s="8">
        <f>COUNTIFS('05_Orders'!$C:$C, A525)</f>
        <v/>
      </c>
      <c r="L525" s="9">
        <f>SUMIFS('05_Orders'!$I:$I, '05_Orders'!$C:$C, A525)</f>
        <v/>
      </c>
      <c r="M525" s="8">
        <f>IF(L525&gt;=2000, "Platinum VIP", IF(L525&gt;=1000, "Gold", IF(L525&gt;=500, "Silver", "Standard")))</f>
        <v/>
      </c>
    </row>
    <row r="526">
      <c r="A526" s="8" t="inlineStr">
        <is>
          <t>CUST-00522</t>
        </is>
      </c>
      <c r="B526" s="8" t="inlineStr">
        <is>
          <t>Emma Ramirez</t>
        </is>
      </c>
      <c r="C526" s="8" t="inlineStr">
        <is>
          <t>Other</t>
        </is>
      </c>
      <c r="D526" s="8" t="n">
        <v>31</v>
      </c>
      <c r="E526" s="8">
        <f>IF(D526&lt;25, "18-24", IF(D526&lt;35, "25-34", IF(D526&lt;50, "35-49", "50+")))</f>
        <v/>
      </c>
      <c r="F526" s="8" t="inlineStr">
        <is>
          <t>Phoenix</t>
        </is>
      </c>
      <c r="G526" s="8" t="inlineStr">
        <is>
          <t>Arizona</t>
        </is>
      </c>
      <c r="H526" s="8" t="inlineStr">
        <is>
          <t>REG-NA</t>
        </is>
      </c>
      <c r="I526" s="8" t="inlineStr">
        <is>
          <t>Corporate</t>
        </is>
      </c>
      <c r="J526" s="8" t="inlineStr">
        <is>
          <t>2024-10-06</t>
        </is>
      </c>
      <c r="K526" s="8">
        <f>COUNTIFS('05_Orders'!$C:$C, A526)</f>
        <v/>
      </c>
      <c r="L526" s="9">
        <f>SUMIFS('05_Orders'!$I:$I, '05_Orders'!$C:$C, A526)</f>
        <v/>
      </c>
      <c r="M526" s="8">
        <f>IF(L526&gt;=2000, "Platinum VIP", IF(L526&gt;=1000, "Gold", IF(L526&gt;=500, "Silver", "Standard")))</f>
        <v/>
      </c>
    </row>
    <row r="527">
      <c r="A527" s="8" t="inlineStr">
        <is>
          <t>CUST-00523</t>
        </is>
      </c>
      <c r="B527" s="8" t="inlineStr">
        <is>
          <t>Kevin Green</t>
        </is>
      </c>
      <c r="C527" s="8" t="inlineStr">
        <is>
          <t>Male</t>
        </is>
      </c>
      <c r="D527" s="8" t="n">
        <v>30</v>
      </c>
      <c r="E527" s="8">
        <f>IF(D527&lt;25, "18-24", IF(D527&lt;35, "25-34", IF(D527&lt;50, "35-49", "50+")))</f>
        <v/>
      </c>
      <c r="F527" s="8" t="inlineStr">
        <is>
          <t>Toronto</t>
        </is>
      </c>
      <c r="G527" s="8" t="inlineStr">
        <is>
          <t>Ontario</t>
        </is>
      </c>
      <c r="H527" s="8" t="inlineStr">
        <is>
          <t>REG-NA</t>
        </is>
      </c>
      <c r="I527" s="8" t="inlineStr">
        <is>
          <t>Corporate</t>
        </is>
      </c>
      <c r="J527" s="8" t="inlineStr">
        <is>
          <t>2022-07-17</t>
        </is>
      </c>
      <c r="K527" s="8">
        <f>COUNTIFS('05_Orders'!$C:$C, A527)</f>
        <v/>
      </c>
      <c r="L527" s="9">
        <f>SUMIFS('05_Orders'!$I:$I, '05_Orders'!$C:$C, A527)</f>
        <v/>
      </c>
      <c r="M527" s="8">
        <f>IF(L527&gt;=2000, "Platinum VIP", IF(L527&gt;=1000, "Gold", IF(L527&gt;=500, "Silver", "Standard")))</f>
        <v/>
      </c>
    </row>
    <row r="528">
      <c r="A528" s="8" t="inlineStr">
        <is>
          <t>CUST-00524</t>
        </is>
      </c>
      <c r="B528" s="8" t="inlineStr">
        <is>
          <t>Stephanie Walker</t>
        </is>
      </c>
      <c r="C528" s="8" t="inlineStr">
        <is>
          <t>Other</t>
        </is>
      </c>
      <c r="D528" s="8" t="n">
        <v>19</v>
      </c>
      <c r="E528" s="8">
        <f>IF(D528&lt;25, "18-24", IF(D528&lt;35, "25-34", IF(D528&lt;50, "35-49", "50+")))</f>
        <v/>
      </c>
      <c r="F528" s="8" t="inlineStr">
        <is>
          <t>Denver</t>
        </is>
      </c>
      <c r="G528" s="8" t="inlineStr">
        <is>
          <t>Colorado</t>
        </is>
      </c>
      <c r="H528" s="8" t="inlineStr">
        <is>
          <t>REG-NA</t>
        </is>
      </c>
      <c r="I528" s="8" t="inlineStr">
        <is>
          <t>Enterprise</t>
        </is>
      </c>
      <c r="J528" s="8" t="inlineStr">
        <is>
          <t>2023-08-04</t>
        </is>
      </c>
      <c r="K528" s="8">
        <f>COUNTIFS('05_Orders'!$C:$C, A528)</f>
        <v/>
      </c>
      <c r="L528" s="9">
        <f>SUMIFS('05_Orders'!$I:$I, '05_Orders'!$C:$C, A528)</f>
        <v/>
      </c>
      <c r="M528" s="8">
        <f>IF(L528&gt;=2000, "Platinum VIP", IF(L528&gt;=1000, "Gold", IF(L528&gt;=500, "Silver", "Standard")))</f>
        <v/>
      </c>
    </row>
    <row r="529">
      <c r="A529" s="8" t="inlineStr">
        <is>
          <t>CUST-00525</t>
        </is>
      </c>
      <c r="B529" s="8" t="inlineStr">
        <is>
          <t>Helen Garcia</t>
        </is>
      </c>
      <c r="C529" s="8" t="inlineStr">
        <is>
          <t>Female</t>
        </is>
      </c>
      <c r="D529" s="8" t="n">
        <v>59</v>
      </c>
      <c r="E529" s="8">
        <f>IF(D529&lt;25, "18-24", IF(D529&lt;35, "25-34", IF(D529&lt;50, "35-49", "50+")))</f>
        <v/>
      </c>
      <c r="F529" s="8" t="inlineStr">
        <is>
          <t>Toronto</t>
        </is>
      </c>
      <c r="G529" s="8" t="inlineStr">
        <is>
          <t>Ontario</t>
        </is>
      </c>
      <c r="H529" s="8" t="inlineStr">
        <is>
          <t>REG-NA</t>
        </is>
      </c>
      <c r="I529" s="8" t="inlineStr">
        <is>
          <t>Consumer</t>
        </is>
      </c>
      <c r="J529" s="8" t="inlineStr">
        <is>
          <t>2023-05-01</t>
        </is>
      </c>
      <c r="K529" s="8">
        <f>COUNTIFS('05_Orders'!$C:$C, A529)</f>
        <v/>
      </c>
      <c r="L529" s="9">
        <f>SUMIFS('05_Orders'!$I:$I, '05_Orders'!$C:$C, A529)</f>
        <v/>
      </c>
      <c r="M529" s="8">
        <f>IF(L529&gt;=2000, "Platinum VIP", IF(L529&gt;=1000, "Gold", IF(L529&gt;=500, "Silver", "Standard")))</f>
        <v/>
      </c>
    </row>
    <row r="530">
      <c r="A530" s="8" t="inlineStr">
        <is>
          <t>CUST-00526</t>
        </is>
      </c>
      <c r="B530" s="8" t="inlineStr">
        <is>
          <t>Brenda Jimenez</t>
        </is>
      </c>
      <c r="C530" s="8" t="inlineStr">
        <is>
          <t>Female</t>
        </is>
      </c>
      <c r="D530" s="8" t="n">
        <v>49</v>
      </c>
      <c r="E530" s="8">
        <f>IF(D530&lt;25, "18-24", IF(D530&lt;35, "25-34", IF(D530&lt;50, "35-49", "50+")))</f>
        <v/>
      </c>
      <c r="F530" s="8" t="inlineStr">
        <is>
          <t>Amsterdam</t>
        </is>
      </c>
      <c r="G530" s="8" t="inlineStr">
        <is>
          <t>North Holland</t>
        </is>
      </c>
      <c r="H530" s="8" t="inlineStr">
        <is>
          <t>REG-EU</t>
        </is>
      </c>
      <c r="I530" s="8" t="inlineStr">
        <is>
          <t>Consumer</t>
        </is>
      </c>
      <c r="J530" s="8" t="inlineStr">
        <is>
          <t>2023-07-20</t>
        </is>
      </c>
      <c r="K530" s="8">
        <f>COUNTIFS('05_Orders'!$C:$C, A530)</f>
        <v/>
      </c>
      <c r="L530" s="9">
        <f>SUMIFS('05_Orders'!$I:$I, '05_Orders'!$C:$C, A530)</f>
        <v/>
      </c>
      <c r="M530" s="8">
        <f>IF(L530&gt;=2000, "Platinum VIP", IF(L530&gt;=1000, "Gold", IF(L530&gt;=500, "Silver", "Standard")))</f>
        <v/>
      </c>
    </row>
    <row r="531">
      <c r="A531" s="8" t="inlineStr">
        <is>
          <t>CUST-00527</t>
        </is>
      </c>
      <c r="B531" s="8" t="inlineStr">
        <is>
          <t>Samantha Wilson</t>
        </is>
      </c>
      <c r="C531" s="8" t="inlineStr">
        <is>
          <t>Male</t>
        </is>
      </c>
      <c r="D531" s="8" t="n">
        <v>32</v>
      </c>
      <c r="E531" s="8">
        <f>IF(D531&lt;25, "18-24", IF(D531&lt;35, "25-34", IF(D531&lt;50, "35-49", "50+")))</f>
        <v/>
      </c>
      <c r="F531" s="8" t="inlineStr">
        <is>
          <t>New York</t>
        </is>
      </c>
      <c r="G531" s="8" t="inlineStr">
        <is>
          <t>New York</t>
        </is>
      </c>
      <c r="H531" s="8" t="inlineStr">
        <is>
          <t>REG-NA</t>
        </is>
      </c>
      <c r="I531" s="8" t="inlineStr">
        <is>
          <t>Consumer</t>
        </is>
      </c>
      <c r="J531" s="8" t="inlineStr">
        <is>
          <t>2022-10-24</t>
        </is>
      </c>
      <c r="K531" s="8">
        <f>COUNTIFS('05_Orders'!$C:$C, A531)</f>
        <v/>
      </c>
      <c r="L531" s="9">
        <f>SUMIFS('05_Orders'!$I:$I, '05_Orders'!$C:$C, A531)</f>
        <v/>
      </c>
      <c r="M531" s="8">
        <f>IF(L531&gt;=2000, "Platinum VIP", IF(L531&gt;=1000, "Gold", IF(L531&gt;=500, "Silver", "Standard")))</f>
        <v/>
      </c>
    </row>
    <row r="532">
      <c r="A532" s="8" t="inlineStr">
        <is>
          <t>CUST-00528</t>
        </is>
      </c>
      <c r="B532" s="8" t="inlineStr">
        <is>
          <t>Jack Mitchell</t>
        </is>
      </c>
      <c r="C532" s="8" t="inlineStr">
        <is>
          <t>Other</t>
        </is>
      </c>
      <c r="D532" s="8" t="n">
        <v>18</v>
      </c>
      <c r="E532" s="8">
        <f>IF(D532&lt;25, "18-24", IF(D532&lt;35, "25-34", IF(D532&lt;50, "35-49", "50+")))</f>
        <v/>
      </c>
      <c r="F532" s="8" t="inlineStr">
        <is>
          <t>Sao Paulo</t>
        </is>
      </c>
      <c r="G532" s="8" t="inlineStr">
        <is>
          <t>Sao Paulo State</t>
        </is>
      </c>
      <c r="H532" s="8" t="inlineStr">
        <is>
          <t>REG-LATAM</t>
        </is>
      </c>
      <c r="I532" s="8" t="inlineStr">
        <is>
          <t>Consumer</t>
        </is>
      </c>
      <c r="J532" s="8" t="inlineStr">
        <is>
          <t>2021-03-30</t>
        </is>
      </c>
      <c r="K532" s="8">
        <f>COUNTIFS('05_Orders'!$C:$C, A532)</f>
        <v/>
      </c>
      <c r="L532" s="9">
        <f>SUMIFS('05_Orders'!$I:$I, '05_Orders'!$C:$C, A532)</f>
        <v/>
      </c>
      <c r="M532" s="8">
        <f>IF(L532&gt;=2000, "Platinum VIP", IF(L532&gt;=1000, "Gold", IF(L532&gt;=500, "Silver", "Standard")))</f>
        <v/>
      </c>
    </row>
    <row r="533">
      <c r="A533" s="8" t="inlineStr">
        <is>
          <t>CUST-00529</t>
        </is>
      </c>
      <c r="B533" s="8" t="inlineStr">
        <is>
          <t>Benjamin Carter</t>
        </is>
      </c>
      <c r="C533" s="8" t="inlineStr">
        <is>
          <t>Female</t>
        </is>
      </c>
      <c r="D533" s="8" t="n">
        <v>62</v>
      </c>
      <c r="E533" s="8">
        <f>IF(D533&lt;25, "18-24", IF(D533&lt;35, "25-34", IF(D533&lt;50, "35-49", "50+")))</f>
        <v/>
      </c>
      <c r="F533" s="8" t="inlineStr">
        <is>
          <t>Chicago</t>
        </is>
      </c>
      <c r="G533" s="8" t="inlineStr">
        <is>
          <t>Illinois</t>
        </is>
      </c>
      <c r="H533" s="8" t="inlineStr">
        <is>
          <t>REG-NA</t>
        </is>
      </c>
      <c r="I533" s="8" t="inlineStr">
        <is>
          <t>Corporate</t>
        </is>
      </c>
      <c r="J533" s="8" t="inlineStr">
        <is>
          <t>2021-09-03</t>
        </is>
      </c>
      <c r="K533" s="8">
        <f>COUNTIFS('05_Orders'!$C:$C, A533)</f>
        <v/>
      </c>
      <c r="L533" s="9">
        <f>SUMIFS('05_Orders'!$I:$I, '05_Orders'!$C:$C, A533)</f>
        <v/>
      </c>
      <c r="M533" s="8">
        <f>IF(L533&gt;=2000, "Platinum VIP", IF(L533&gt;=1000, "Gold", IF(L533&gt;=500, "Silver", "Standard")))</f>
        <v/>
      </c>
    </row>
    <row r="534">
      <c r="A534" s="8" t="inlineStr">
        <is>
          <t>CUST-00530</t>
        </is>
      </c>
      <c r="B534" s="8" t="inlineStr">
        <is>
          <t>Jason Brooks</t>
        </is>
      </c>
      <c r="C534" s="8" t="inlineStr">
        <is>
          <t>Female</t>
        </is>
      </c>
      <c r="D534" s="8" t="n">
        <v>60</v>
      </c>
      <c r="E534" s="8">
        <f>IF(D534&lt;25, "18-24", IF(D534&lt;35, "25-34", IF(D534&lt;50, "35-49", "50+")))</f>
        <v/>
      </c>
      <c r="F534" s="8" t="inlineStr">
        <is>
          <t>Boston</t>
        </is>
      </c>
      <c r="G534" s="8" t="inlineStr">
        <is>
          <t>Massachusetts</t>
        </is>
      </c>
      <c r="H534" s="8" t="inlineStr">
        <is>
          <t>REG-NA</t>
        </is>
      </c>
      <c r="I534" s="8" t="inlineStr">
        <is>
          <t>Consumer</t>
        </is>
      </c>
      <c r="J534" s="8" t="inlineStr">
        <is>
          <t>2023-09-06</t>
        </is>
      </c>
      <c r="K534" s="8">
        <f>COUNTIFS('05_Orders'!$C:$C, A534)</f>
        <v/>
      </c>
      <c r="L534" s="9">
        <f>SUMIFS('05_Orders'!$I:$I, '05_Orders'!$C:$C, A534)</f>
        <v/>
      </c>
      <c r="M534" s="8">
        <f>IF(L534&gt;=2000, "Platinum VIP", IF(L534&gt;=1000, "Gold", IF(L534&gt;=500, "Silver", "Standard")))</f>
        <v/>
      </c>
    </row>
    <row r="535">
      <c r="A535" s="8" t="inlineStr">
        <is>
          <t>CUST-00531</t>
        </is>
      </c>
      <c r="B535" s="8" t="inlineStr">
        <is>
          <t>Mark Lopez</t>
        </is>
      </c>
      <c r="C535" s="8" t="inlineStr">
        <is>
          <t>Female</t>
        </is>
      </c>
      <c r="D535" s="8" t="n">
        <v>67</v>
      </c>
      <c r="E535" s="8">
        <f>IF(D535&lt;25, "18-24", IF(D535&lt;35, "25-34", IF(D535&lt;50, "35-49", "50+")))</f>
        <v/>
      </c>
      <c r="F535" s="8" t="inlineStr">
        <is>
          <t>Los Angeles</t>
        </is>
      </c>
      <c r="G535" s="8" t="inlineStr">
        <is>
          <t>California</t>
        </is>
      </c>
      <c r="H535" s="8" t="inlineStr">
        <is>
          <t>REG-NA</t>
        </is>
      </c>
      <c r="I535" s="8" t="inlineStr">
        <is>
          <t>Consumer</t>
        </is>
      </c>
      <c r="J535" s="8" t="inlineStr">
        <is>
          <t>2022-05-12</t>
        </is>
      </c>
      <c r="K535" s="8">
        <f>COUNTIFS('05_Orders'!$C:$C, A535)</f>
        <v/>
      </c>
      <c r="L535" s="9">
        <f>SUMIFS('05_Orders'!$I:$I, '05_Orders'!$C:$C, A535)</f>
        <v/>
      </c>
      <c r="M535" s="8">
        <f>IF(L535&gt;=2000, "Platinum VIP", IF(L535&gt;=1000, "Gold", IF(L535&gt;=500, "Silver", "Standard")))</f>
        <v/>
      </c>
    </row>
    <row r="536">
      <c r="A536" s="8" t="inlineStr">
        <is>
          <t>CUST-00532</t>
        </is>
      </c>
      <c r="B536" s="8" t="inlineStr">
        <is>
          <t>Shirley Davis</t>
        </is>
      </c>
      <c r="C536" s="8" t="inlineStr">
        <is>
          <t>Male</t>
        </is>
      </c>
      <c r="D536" s="8" t="n">
        <v>18</v>
      </c>
      <c r="E536" s="8">
        <f>IF(D536&lt;25, "18-24", IF(D536&lt;35, "25-34", IF(D536&lt;50, "35-49", "50+")))</f>
        <v/>
      </c>
      <c r="F536" s="8" t="inlineStr">
        <is>
          <t>Madrid</t>
        </is>
      </c>
      <c r="G536" s="8" t="inlineStr">
        <is>
          <t>Community of Madrid</t>
        </is>
      </c>
      <c r="H536" s="8" t="inlineStr">
        <is>
          <t>REG-EU</t>
        </is>
      </c>
      <c r="I536" s="8" t="inlineStr">
        <is>
          <t>Home Office</t>
        </is>
      </c>
      <c r="J536" s="8" t="inlineStr">
        <is>
          <t>2022-01-20</t>
        </is>
      </c>
      <c r="K536" s="8">
        <f>COUNTIFS('05_Orders'!$C:$C, A536)</f>
        <v/>
      </c>
      <c r="L536" s="9">
        <f>SUMIFS('05_Orders'!$I:$I, '05_Orders'!$C:$C, A536)</f>
        <v/>
      </c>
      <c r="M536" s="8">
        <f>IF(L536&gt;=2000, "Platinum VIP", IF(L536&gt;=1000, "Gold", IF(L536&gt;=500, "Silver", "Standard")))</f>
        <v/>
      </c>
    </row>
    <row r="537">
      <c r="A537" s="8" t="inlineStr">
        <is>
          <t>CUST-00533</t>
        </is>
      </c>
      <c r="B537" s="8" t="inlineStr">
        <is>
          <t>Angela Green</t>
        </is>
      </c>
      <c r="C537" s="8" t="inlineStr">
        <is>
          <t>Female</t>
        </is>
      </c>
      <c r="D537" s="8" t="n">
        <v>63</v>
      </c>
      <c r="E537" s="8">
        <f>IF(D537&lt;25, "18-24", IF(D537&lt;35, "25-34", IF(D537&lt;50, "35-49", "50+")))</f>
        <v/>
      </c>
      <c r="F537" s="8" t="inlineStr">
        <is>
          <t>Berlin</t>
        </is>
      </c>
      <c r="G537" s="8" t="inlineStr">
        <is>
          <t>Berlin</t>
        </is>
      </c>
      <c r="H537" s="8" t="inlineStr">
        <is>
          <t>REG-EU</t>
        </is>
      </c>
      <c r="I537" s="8" t="inlineStr">
        <is>
          <t>Home Office</t>
        </is>
      </c>
      <c r="J537" s="8" t="inlineStr">
        <is>
          <t>2021-08-05</t>
        </is>
      </c>
      <c r="K537" s="8">
        <f>COUNTIFS('05_Orders'!$C:$C, A537)</f>
        <v/>
      </c>
      <c r="L537" s="9">
        <f>SUMIFS('05_Orders'!$I:$I, '05_Orders'!$C:$C, A537)</f>
        <v/>
      </c>
      <c r="M537" s="8">
        <f>IF(L537&gt;=2000, "Platinum VIP", IF(L537&gt;=1000, "Gold", IF(L537&gt;=500, "Silver", "Standard")))</f>
        <v/>
      </c>
    </row>
    <row r="538">
      <c r="A538" s="8" t="inlineStr">
        <is>
          <t>CUST-00534</t>
        </is>
      </c>
      <c r="B538" s="8" t="inlineStr">
        <is>
          <t>Samantha Rogers</t>
        </is>
      </c>
      <c r="C538" s="8" t="inlineStr">
        <is>
          <t>Male</t>
        </is>
      </c>
      <c r="D538" s="8" t="n">
        <v>67</v>
      </c>
      <c r="E538" s="8">
        <f>IF(D538&lt;25, "18-24", IF(D538&lt;35, "25-34", IF(D538&lt;50, "35-49", "50+")))</f>
        <v/>
      </c>
      <c r="F538" s="8" t="inlineStr">
        <is>
          <t>Los Angeles</t>
        </is>
      </c>
      <c r="G538" s="8" t="inlineStr">
        <is>
          <t>California</t>
        </is>
      </c>
      <c r="H538" s="8" t="inlineStr">
        <is>
          <t>REG-NA</t>
        </is>
      </c>
      <c r="I538" s="8" t="inlineStr">
        <is>
          <t>Consumer</t>
        </is>
      </c>
      <c r="J538" s="8" t="inlineStr">
        <is>
          <t>2021-12-03</t>
        </is>
      </c>
      <c r="K538" s="8">
        <f>COUNTIFS('05_Orders'!$C:$C, A538)</f>
        <v/>
      </c>
      <c r="L538" s="9">
        <f>SUMIFS('05_Orders'!$I:$I, '05_Orders'!$C:$C, A538)</f>
        <v/>
      </c>
      <c r="M538" s="8">
        <f>IF(L538&gt;=2000, "Platinum VIP", IF(L538&gt;=1000, "Gold", IF(L538&gt;=500, "Silver", "Standard")))</f>
        <v/>
      </c>
    </row>
    <row r="539">
      <c r="A539" s="8" t="inlineStr">
        <is>
          <t>CUST-00535</t>
        </is>
      </c>
      <c r="B539" s="8" t="inlineStr">
        <is>
          <t>Kathleen Wilson</t>
        </is>
      </c>
      <c r="C539" s="8" t="inlineStr">
        <is>
          <t>Other</t>
        </is>
      </c>
      <c r="D539" s="8" t="n">
        <v>25</v>
      </c>
      <c r="E539" s="8">
        <f>IF(D539&lt;25, "18-24", IF(D539&lt;35, "25-34", IF(D539&lt;50, "35-49", "50+")))</f>
        <v/>
      </c>
      <c r="F539" s="8" t="inlineStr">
        <is>
          <t>Toronto</t>
        </is>
      </c>
      <c r="G539" s="8" t="inlineStr">
        <is>
          <t>Ontario</t>
        </is>
      </c>
      <c r="H539" s="8" t="inlineStr">
        <is>
          <t>REG-NA</t>
        </is>
      </c>
      <c r="I539" s="8" t="inlineStr">
        <is>
          <t>Consumer</t>
        </is>
      </c>
      <c r="J539" s="8" t="inlineStr">
        <is>
          <t>2021-02-28</t>
        </is>
      </c>
      <c r="K539" s="8">
        <f>COUNTIFS('05_Orders'!$C:$C, A539)</f>
        <v/>
      </c>
      <c r="L539" s="9">
        <f>SUMIFS('05_Orders'!$I:$I, '05_Orders'!$C:$C, A539)</f>
        <v/>
      </c>
      <c r="M539" s="8">
        <f>IF(L539&gt;=2000, "Platinum VIP", IF(L539&gt;=1000, "Gold", IF(L539&gt;=500, "Silver", "Standard")))</f>
        <v/>
      </c>
    </row>
    <row r="540">
      <c r="A540" s="8" t="inlineStr">
        <is>
          <t>CUST-00536</t>
        </is>
      </c>
      <c r="B540" s="8" t="inlineStr">
        <is>
          <t>Larry Hernandez</t>
        </is>
      </c>
      <c r="C540" s="8" t="inlineStr">
        <is>
          <t>Female</t>
        </is>
      </c>
      <c r="D540" s="8" t="n">
        <v>45</v>
      </c>
      <c r="E540" s="8">
        <f>IF(D540&lt;25, "18-24", IF(D540&lt;35, "25-34", IF(D540&lt;50, "35-49", "50+")))</f>
        <v/>
      </c>
      <c r="F540" s="8" t="inlineStr">
        <is>
          <t>Atlanta</t>
        </is>
      </c>
      <c r="G540" s="8" t="inlineStr">
        <is>
          <t>Georgia</t>
        </is>
      </c>
      <c r="H540" s="8" t="inlineStr">
        <is>
          <t>REG-NA</t>
        </is>
      </c>
      <c r="I540" s="8" t="inlineStr">
        <is>
          <t>Corporate</t>
        </is>
      </c>
      <c r="J540" s="8" t="inlineStr">
        <is>
          <t>2023-11-07</t>
        </is>
      </c>
      <c r="K540" s="8">
        <f>COUNTIFS('05_Orders'!$C:$C, A540)</f>
        <v/>
      </c>
      <c r="L540" s="9">
        <f>SUMIFS('05_Orders'!$I:$I, '05_Orders'!$C:$C, A540)</f>
        <v/>
      </c>
      <c r="M540" s="8">
        <f>IF(L540&gt;=2000, "Platinum VIP", IF(L540&gt;=1000, "Gold", IF(L540&gt;=500, "Silver", "Standard")))</f>
        <v/>
      </c>
    </row>
    <row r="541">
      <c r="A541" s="8" t="inlineStr">
        <is>
          <t>CUST-00537</t>
        </is>
      </c>
      <c r="B541" s="8" t="inlineStr">
        <is>
          <t>Ronald Sanders</t>
        </is>
      </c>
      <c r="C541" s="8" t="inlineStr">
        <is>
          <t>Female</t>
        </is>
      </c>
      <c r="D541" s="8" t="n">
        <v>30</v>
      </c>
      <c r="E541" s="8">
        <f>IF(D541&lt;25, "18-24", IF(D541&lt;35, "25-34", IF(D541&lt;50, "35-49", "50+")))</f>
        <v/>
      </c>
      <c r="F541" s="8" t="inlineStr">
        <is>
          <t>Atlanta</t>
        </is>
      </c>
      <c r="G541" s="8" t="inlineStr">
        <is>
          <t>Georgia</t>
        </is>
      </c>
      <c r="H541" s="8" t="inlineStr">
        <is>
          <t>REG-NA</t>
        </is>
      </c>
      <c r="I541" s="8" t="inlineStr">
        <is>
          <t>Consumer</t>
        </is>
      </c>
      <c r="J541" s="8" t="inlineStr">
        <is>
          <t>2022-07-20</t>
        </is>
      </c>
      <c r="K541" s="8">
        <f>COUNTIFS('05_Orders'!$C:$C, A541)</f>
        <v/>
      </c>
      <c r="L541" s="9">
        <f>SUMIFS('05_Orders'!$I:$I, '05_Orders'!$C:$C, A541)</f>
        <v/>
      </c>
      <c r="M541" s="8">
        <f>IF(L541&gt;=2000, "Platinum VIP", IF(L541&gt;=1000, "Gold", IF(L541&gt;=500, "Silver", "Standard")))</f>
        <v/>
      </c>
    </row>
    <row r="542">
      <c r="A542" s="8" t="inlineStr">
        <is>
          <t>CUST-00538</t>
        </is>
      </c>
      <c r="B542" s="8" t="inlineStr">
        <is>
          <t>Gregory Young</t>
        </is>
      </c>
      <c r="C542" s="8" t="inlineStr">
        <is>
          <t>Male</t>
        </is>
      </c>
      <c r="D542" s="8" t="n">
        <v>32</v>
      </c>
      <c r="E542" s="8">
        <f>IF(D542&lt;25, "18-24", IF(D542&lt;35, "25-34", IF(D542&lt;50, "35-49", "50+")))</f>
        <v/>
      </c>
      <c r="F542" s="8" t="inlineStr">
        <is>
          <t>New York</t>
        </is>
      </c>
      <c r="G542" s="8" t="inlineStr">
        <is>
          <t>New York</t>
        </is>
      </c>
      <c r="H542" s="8" t="inlineStr">
        <is>
          <t>REG-NA</t>
        </is>
      </c>
      <c r="I542" s="8" t="inlineStr">
        <is>
          <t>Corporate</t>
        </is>
      </c>
      <c r="J542" s="8" t="inlineStr">
        <is>
          <t>2022-05-04</t>
        </is>
      </c>
      <c r="K542" s="8">
        <f>COUNTIFS('05_Orders'!$C:$C, A542)</f>
        <v/>
      </c>
      <c r="L542" s="9">
        <f>SUMIFS('05_Orders'!$I:$I, '05_Orders'!$C:$C, A542)</f>
        <v/>
      </c>
      <c r="M542" s="8">
        <f>IF(L542&gt;=2000, "Platinum VIP", IF(L542&gt;=1000, "Gold", IF(L542&gt;=500, "Silver", "Standard")))</f>
        <v/>
      </c>
    </row>
    <row r="543">
      <c r="A543" s="8" t="inlineStr">
        <is>
          <t>CUST-00539</t>
        </is>
      </c>
      <c r="B543" s="8" t="inlineStr">
        <is>
          <t>Carolyn Phillips</t>
        </is>
      </c>
      <c r="C543" s="8" t="inlineStr">
        <is>
          <t>Female</t>
        </is>
      </c>
      <c r="D543" s="8" t="n">
        <v>43</v>
      </c>
      <c r="E543" s="8">
        <f>IF(D543&lt;25, "18-24", IF(D543&lt;35, "25-34", IF(D543&lt;50, "35-49", "50+")))</f>
        <v/>
      </c>
      <c r="F543" s="8" t="inlineStr">
        <is>
          <t>Phoenix</t>
        </is>
      </c>
      <c r="G543" s="8" t="inlineStr">
        <is>
          <t>Arizona</t>
        </is>
      </c>
      <c r="H543" s="8" t="inlineStr">
        <is>
          <t>REG-NA</t>
        </is>
      </c>
      <c r="I543" s="8" t="inlineStr">
        <is>
          <t>Corporate</t>
        </is>
      </c>
      <c r="J543" s="8" t="inlineStr">
        <is>
          <t>2021-12-17</t>
        </is>
      </c>
      <c r="K543" s="8">
        <f>COUNTIFS('05_Orders'!$C:$C, A543)</f>
        <v/>
      </c>
      <c r="L543" s="9">
        <f>SUMIFS('05_Orders'!$I:$I, '05_Orders'!$C:$C, A543)</f>
        <v/>
      </c>
      <c r="M543" s="8">
        <f>IF(L543&gt;=2000, "Platinum VIP", IF(L543&gt;=1000, "Gold", IF(L543&gt;=500, "Silver", "Standard")))</f>
        <v/>
      </c>
    </row>
    <row r="544">
      <c r="A544" s="8" t="inlineStr">
        <is>
          <t>CUST-00540</t>
        </is>
      </c>
      <c r="B544" s="8" t="inlineStr">
        <is>
          <t>Janet Smith</t>
        </is>
      </c>
      <c r="C544" s="8" t="inlineStr">
        <is>
          <t>Male</t>
        </is>
      </c>
      <c r="D544" s="8" t="n">
        <v>29</v>
      </c>
      <c r="E544" s="8">
        <f>IF(D544&lt;25, "18-24", IF(D544&lt;35, "25-34", IF(D544&lt;50, "35-49", "50+")))</f>
        <v/>
      </c>
      <c r="F544" s="8" t="inlineStr">
        <is>
          <t>Stockholm</t>
        </is>
      </c>
      <c r="G544" s="8" t="inlineStr">
        <is>
          <t>Stockholm County</t>
        </is>
      </c>
      <c r="H544" s="8" t="inlineStr">
        <is>
          <t>REG-EU</t>
        </is>
      </c>
      <c r="I544" s="8" t="inlineStr">
        <is>
          <t>Consumer</t>
        </is>
      </c>
      <c r="J544" s="8" t="inlineStr">
        <is>
          <t>2022-09-18</t>
        </is>
      </c>
      <c r="K544" s="8">
        <f>COUNTIFS('05_Orders'!$C:$C, A544)</f>
        <v/>
      </c>
      <c r="L544" s="9">
        <f>SUMIFS('05_Orders'!$I:$I, '05_Orders'!$C:$C, A544)</f>
        <v/>
      </c>
      <c r="M544" s="8">
        <f>IF(L544&gt;=2000, "Platinum VIP", IF(L544&gt;=1000, "Gold", IF(L544&gt;=500, "Silver", "Standard")))</f>
        <v/>
      </c>
    </row>
    <row r="545">
      <c r="A545" s="8" t="inlineStr">
        <is>
          <t>CUST-00541</t>
        </is>
      </c>
      <c r="B545" s="8" t="inlineStr">
        <is>
          <t>Nancy White</t>
        </is>
      </c>
      <c r="C545" s="8" t="inlineStr">
        <is>
          <t>Female</t>
        </is>
      </c>
      <c r="D545" s="8" t="n">
        <v>47</v>
      </c>
      <c r="E545" s="8">
        <f>IF(D545&lt;25, "18-24", IF(D545&lt;35, "25-34", IF(D545&lt;50, "35-49", "50+")))</f>
        <v/>
      </c>
      <c r="F545" s="8" t="inlineStr">
        <is>
          <t>New York</t>
        </is>
      </c>
      <c r="G545" s="8" t="inlineStr">
        <is>
          <t>New York</t>
        </is>
      </c>
      <c r="H545" s="8" t="inlineStr">
        <is>
          <t>REG-NA</t>
        </is>
      </c>
      <c r="I545" s="8" t="inlineStr">
        <is>
          <t>Corporate</t>
        </is>
      </c>
      <c r="J545" s="8" t="inlineStr">
        <is>
          <t>2023-05-27</t>
        </is>
      </c>
      <c r="K545" s="8">
        <f>COUNTIFS('05_Orders'!$C:$C, A545)</f>
        <v/>
      </c>
      <c r="L545" s="9">
        <f>SUMIFS('05_Orders'!$I:$I, '05_Orders'!$C:$C, A545)</f>
        <v/>
      </c>
      <c r="M545" s="8">
        <f>IF(L545&gt;=2000, "Platinum VIP", IF(L545&gt;=1000, "Gold", IF(L545&gt;=500, "Silver", "Standard")))</f>
        <v/>
      </c>
    </row>
    <row r="546">
      <c r="A546" s="8" t="inlineStr">
        <is>
          <t>CUST-00542</t>
        </is>
      </c>
      <c r="B546" s="8" t="inlineStr">
        <is>
          <t>Alexander Ross</t>
        </is>
      </c>
      <c r="C546" s="8" t="inlineStr">
        <is>
          <t>Male</t>
        </is>
      </c>
      <c r="D546" s="8" t="n">
        <v>56</v>
      </c>
      <c r="E546" s="8">
        <f>IF(D546&lt;25, "18-24", IF(D546&lt;35, "25-34", IF(D546&lt;50, "35-49", "50+")))</f>
        <v/>
      </c>
      <c r="F546" s="8" t="inlineStr">
        <is>
          <t>Toronto</t>
        </is>
      </c>
      <c r="G546" s="8" t="inlineStr">
        <is>
          <t>Ontario</t>
        </is>
      </c>
      <c r="H546" s="8" t="inlineStr">
        <is>
          <t>REG-NA</t>
        </is>
      </c>
      <c r="I546" s="8" t="inlineStr">
        <is>
          <t>Corporate</t>
        </is>
      </c>
      <c r="J546" s="8" t="inlineStr">
        <is>
          <t>2023-09-28</t>
        </is>
      </c>
      <c r="K546" s="8">
        <f>COUNTIFS('05_Orders'!$C:$C, A546)</f>
        <v/>
      </c>
      <c r="L546" s="9">
        <f>SUMIFS('05_Orders'!$I:$I, '05_Orders'!$C:$C, A546)</f>
        <v/>
      </c>
      <c r="M546" s="8">
        <f>IF(L546&gt;=2000, "Platinum VIP", IF(L546&gt;=1000, "Gold", IF(L546&gt;=500, "Silver", "Standard")))</f>
        <v/>
      </c>
    </row>
    <row r="547">
      <c r="A547" s="8" t="inlineStr">
        <is>
          <t>CUST-00543</t>
        </is>
      </c>
      <c r="B547" s="8" t="inlineStr">
        <is>
          <t>Rachel Nguyen</t>
        </is>
      </c>
      <c r="C547" s="8" t="inlineStr">
        <is>
          <t>Male</t>
        </is>
      </c>
      <c r="D547" s="8" t="n">
        <v>51</v>
      </c>
      <c r="E547" s="8">
        <f>IF(D547&lt;25, "18-24", IF(D547&lt;35, "25-34", IF(D547&lt;50, "35-49", "50+")))</f>
        <v/>
      </c>
      <c r="F547" s="8" t="inlineStr">
        <is>
          <t>Berlin</t>
        </is>
      </c>
      <c r="G547" s="8" t="inlineStr">
        <is>
          <t>Berlin</t>
        </is>
      </c>
      <c r="H547" s="8" t="inlineStr">
        <is>
          <t>REG-EU</t>
        </is>
      </c>
      <c r="I547" s="8" t="inlineStr">
        <is>
          <t>Home Office</t>
        </is>
      </c>
      <c r="J547" s="8" t="inlineStr">
        <is>
          <t>2021-07-24</t>
        </is>
      </c>
      <c r="K547" s="8">
        <f>COUNTIFS('05_Orders'!$C:$C, A547)</f>
        <v/>
      </c>
      <c r="L547" s="9">
        <f>SUMIFS('05_Orders'!$I:$I, '05_Orders'!$C:$C, A547)</f>
        <v/>
      </c>
      <c r="M547" s="8">
        <f>IF(L547&gt;=2000, "Platinum VIP", IF(L547&gt;=1000, "Gold", IF(L547&gt;=500, "Silver", "Standard")))</f>
        <v/>
      </c>
    </row>
    <row r="548">
      <c r="A548" s="8" t="inlineStr">
        <is>
          <t>CUST-00544</t>
        </is>
      </c>
      <c r="B548" s="8" t="inlineStr">
        <is>
          <t>Anna Allen</t>
        </is>
      </c>
      <c r="C548" s="8" t="inlineStr">
        <is>
          <t>Other</t>
        </is>
      </c>
      <c r="D548" s="8" t="n">
        <v>49</v>
      </c>
      <c r="E548" s="8">
        <f>IF(D548&lt;25, "18-24", IF(D548&lt;35, "25-34", IF(D548&lt;50, "35-49", "50+")))</f>
        <v/>
      </c>
      <c r="F548" s="8" t="inlineStr">
        <is>
          <t>Toronto</t>
        </is>
      </c>
      <c r="G548" s="8" t="inlineStr">
        <is>
          <t>Ontario</t>
        </is>
      </c>
      <c r="H548" s="8" t="inlineStr">
        <is>
          <t>REG-NA</t>
        </is>
      </c>
      <c r="I548" s="8" t="inlineStr">
        <is>
          <t>Consumer</t>
        </is>
      </c>
      <c r="J548" s="8" t="inlineStr">
        <is>
          <t>2022-12-24</t>
        </is>
      </c>
      <c r="K548" s="8">
        <f>COUNTIFS('05_Orders'!$C:$C, A548)</f>
        <v/>
      </c>
      <c r="L548" s="9">
        <f>SUMIFS('05_Orders'!$I:$I, '05_Orders'!$C:$C, A548)</f>
        <v/>
      </c>
      <c r="M548" s="8">
        <f>IF(L548&gt;=2000, "Platinum VIP", IF(L548&gt;=1000, "Gold", IF(L548&gt;=500, "Silver", "Standard")))</f>
        <v/>
      </c>
    </row>
    <row r="549">
      <c r="A549" s="8" t="inlineStr">
        <is>
          <t>CUST-00545</t>
        </is>
      </c>
      <c r="B549" s="8" t="inlineStr">
        <is>
          <t>Brandon Morris</t>
        </is>
      </c>
      <c r="C549" s="8" t="inlineStr">
        <is>
          <t>Male</t>
        </is>
      </c>
      <c r="D549" s="8" t="n">
        <v>35</v>
      </c>
      <c r="E549" s="8">
        <f>IF(D549&lt;25, "18-24", IF(D549&lt;35, "25-34", IF(D549&lt;50, "35-49", "50+")))</f>
        <v/>
      </c>
      <c r="F549" s="8" t="inlineStr">
        <is>
          <t>London</t>
        </is>
      </c>
      <c r="G549" s="8" t="inlineStr">
        <is>
          <t>Greater London</t>
        </is>
      </c>
      <c r="H549" s="8" t="inlineStr">
        <is>
          <t>REG-EU</t>
        </is>
      </c>
      <c r="I549" s="8" t="inlineStr">
        <is>
          <t>Consumer</t>
        </is>
      </c>
      <c r="J549" s="8" t="inlineStr">
        <is>
          <t>2023-04-21</t>
        </is>
      </c>
      <c r="K549" s="8">
        <f>COUNTIFS('05_Orders'!$C:$C, A549)</f>
        <v/>
      </c>
      <c r="L549" s="9">
        <f>SUMIFS('05_Orders'!$I:$I, '05_Orders'!$C:$C, A549)</f>
        <v/>
      </c>
      <c r="M549" s="8">
        <f>IF(L549&gt;=2000, "Platinum VIP", IF(L549&gt;=1000, "Gold", IF(L549&gt;=500, "Silver", "Standard")))</f>
        <v/>
      </c>
    </row>
    <row r="550">
      <c r="A550" s="8" t="inlineStr">
        <is>
          <t>CUST-00546</t>
        </is>
      </c>
      <c r="B550" s="8" t="inlineStr">
        <is>
          <t>Ashley Kelly</t>
        </is>
      </c>
      <c r="C550" s="8" t="inlineStr">
        <is>
          <t>Other</t>
        </is>
      </c>
      <c r="D550" s="8" t="n">
        <v>62</v>
      </c>
      <c r="E550" s="8">
        <f>IF(D550&lt;25, "18-24", IF(D550&lt;35, "25-34", IF(D550&lt;50, "35-49", "50+")))</f>
        <v/>
      </c>
      <c r="F550" s="8" t="inlineStr">
        <is>
          <t>Santiago</t>
        </is>
      </c>
      <c r="G550" s="8" t="inlineStr">
        <is>
          <t>Santiago Metro</t>
        </is>
      </c>
      <c r="H550" s="8" t="inlineStr">
        <is>
          <t>REG-LATAM</t>
        </is>
      </c>
      <c r="I550" s="8" t="inlineStr">
        <is>
          <t>Consumer</t>
        </is>
      </c>
      <c r="J550" s="8" t="inlineStr">
        <is>
          <t>2021-07-02</t>
        </is>
      </c>
      <c r="K550" s="8">
        <f>COUNTIFS('05_Orders'!$C:$C, A550)</f>
        <v/>
      </c>
      <c r="L550" s="9">
        <f>SUMIFS('05_Orders'!$I:$I, '05_Orders'!$C:$C, A550)</f>
        <v/>
      </c>
      <c r="M550" s="8">
        <f>IF(L550&gt;=2000, "Platinum VIP", IF(L550&gt;=1000, "Gold", IF(L550&gt;=500, "Silver", "Standard")))</f>
        <v/>
      </c>
    </row>
    <row r="551">
      <c r="A551" s="8" t="inlineStr">
        <is>
          <t>CUST-00547</t>
        </is>
      </c>
      <c r="B551" s="8" t="inlineStr">
        <is>
          <t>Samuel Gray</t>
        </is>
      </c>
      <c r="C551" s="8" t="inlineStr">
        <is>
          <t>Other</t>
        </is>
      </c>
      <c r="D551" s="8" t="n">
        <v>46</v>
      </c>
      <c r="E551" s="8">
        <f>IF(D551&lt;25, "18-24", IF(D551&lt;35, "25-34", IF(D551&lt;50, "35-49", "50+")))</f>
        <v/>
      </c>
      <c r="F551" s="8" t="inlineStr">
        <is>
          <t>Monterrey</t>
        </is>
      </c>
      <c r="G551" s="8" t="inlineStr">
        <is>
          <t>Nuevo Leon</t>
        </is>
      </c>
      <c r="H551" s="8" t="inlineStr">
        <is>
          <t>REG-LATAM</t>
        </is>
      </c>
      <c r="I551" s="8" t="inlineStr">
        <is>
          <t>Consumer</t>
        </is>
      </c>
      <c r="J551" s="8" t="inlineStr">
        <is>
          <t>2024-10-22</t>
        </is>
      </c>
      <c r="K551" s="8">
        <f>COUNTIFS('05_Orders'!$C:$C, A551)</f>
        <v/>
      </c>
      <c r="L551" s="9">
        <f>SUMIFS('05_Orders'!$I:$I, '05_Orders'!$C:$C, A551)</f>
        <v/>
      </c>
      <c r="M551" s="8">
        <f>IF(L551&gt;=2000, "Platinum VIP", IF(L551&gt;=1000, "Gold", IF(L551&gt;=500, "Silver", "Standard")))</f>
        <v/>
      </c>
    </row>
    <row r="552">
      <c r="A552" s="8" t="inlineStr">
        <is>
          <t>CUST-00548</t>
        </is>
      </c>
      <c r="B552" s="8" t="inlineStr">
        <is>
          <t>Emily Flores</t>
        </is>
      </c>
      <c r="C552" s="8" t="inlineStr">
        <is>
          <t>Male</t>
        </is>
      </c>
      <c r="D552" s="8" t="n">
        <v>20</v>
      </c>
      <c r="E552" s="8">
        <f>IF(D552&lt;25, "18-24", IF(D552&lt;35, "25-34", IF(D552&lt;50, "35-49", "50+")))</f>
        <v/>
      </c>
      <c r="F552" s="8" t="inlineStr">
        <is>
          <t>Lyon</t>
        </is>
      </c>
      <c r="G552" s="8" t="inlineStr">
        <is>
          <t>Auvergne-Rhone-Alpes</t>
        </is>
      </c>
      <c r="H552" s="8" t="inlineStr">
        <is>
          <t>REG-EU</t>
        </is>
      </c>
      <c r="I552" s="8" t="inlineStr">
        <is>
          <t>Home Office</t>
        </is>
      </c>
      <c r="J552" s="8" t="inlineStr">
        <is>
          <t>2021-09-09</t>
        </is>
      </c>
      <c r="K552" s="8">
        <f>COUNTIFS('05_Orders'!$C:$C, A552)</f>
        <v/>
      </c>
      <c r="L552" s="9">
        <f>SUMIFS('05_Orders'!$I:$I, '05_Orders'!$C:$C, A552)</f>
        <v/>
      </c>
      <c r="M552" s="8">
        <f>IF(L552&gt;=2000, "Platinum VIP", IF(L552&gt;=1000, "Gold", IF(L552&gt;=500, "Silver", "Standard")))</f>
        <v/>
      </c>
    </row>
    <row r="553">
      <c r="A553" s="8" t="inlineStr">
        <is>
          <t>CUST-00549</t>
        </is>
      </c>
      <c r="B553" s="8" t="inlineStr">
        <is>
          <t>Kenneth Anderson</t>
        </is>
      </c>
      <c r="C553" s="8" t="inlineStr">
        <is>
          <t>Male</t>
        </is>
      </c>
      <c r="D553" s="8" t="n">
        <v>49</v>
      </c>
      <c r="E553" s="8">
        <f>IF(D553&lt;25, "18-24", IF(D553&lt;35, "25-34", IF(D553&lt;50, "35-49", "50+")))</f>
        <v/>
      </c>
      <c r="F553" s="8" t="inlineStr">
        <is>
          <t>Mexico City</t>
        </is>
      </c>
      <c r="G553" s="8" t="inlineStr">
        <is>
          <t>CDMX</t>
        </is>
      </c>
      <c r="H553" s="8" t="inlineStr">
        <is>
          <t>REG-LATAM</t>
        </is>
      </c>
      <c r="I553" s="8" t="inlineStr">
        <is>
          <t>Consumer</t>
        </is>
      </c>
      <c r="J553" s="8" t="inlineStr">
        <is>
          <t>2021-11-04</t>
        </is>
      </c>
      <c r="K553" s="8">
        <f>COUNTIFS('05_Orders'!$C:$C, A553)</f>
        <v/>
      </c>
      <c r="L553" s="9">
        <f>SUMIFS('05_Orders'!$I:$I, '05_Orders'!$C:$C, A553)</f>
        <v/>
      </c>
      <c r="M553" s="8">
        <f>IF(L553&gt;=2000, "Platinum VIP", IF(L553&gt;=1000, "Gold", IF(L553&gt;=500, "Silver", "Standard")))</f>
        <v/>
      </c>
    </row>
    <row r="554">
      <c r="A554" s="8" t="inlineStr">
        <is>
          <t>CUST-00550</t>
        </is>
      </c>
      <c r="B554" s="8" t="inlineStr">
        <is>
          <t>Nicholas Torres</t>
        </is>
      </c>
      <c r="C554" s="8" t="inlineStr">
        <is>
          <t>Male</t>
        </is>
      </c>
      <c r="D554" s="8" t="n">
        <v>69</v>
      </c>
      <c r="E554" s="8">
        <f>IF(D554&lt;25, "18-24", IF(D554&lt;35, "25-34", IF(D554&lt;50, "35-49", "50+")))</f>
        <v/>
      </c>
      <c r="F554" s="8" t="inlineStr">
        <is>
          <t>Toronto</t>
        </is>
      </c>
      <c r="G554" s="8" t="inlineStr">
        <is>
          <t>Ontario</t>
        </is>
      </c>
      <c r="H554" s="8" t="inlineStr">
        <is>
          <t>REG-NA</t>
        </is>
      </c>
      <c r="I554" s="8" t="inlineStr">
        <is>
          <t>Consumer</t>
        </is>
      </c>
      <c r="J554" s="8" t="inlineStr">
        <is>
          <t>2022-08-03</t>
        </is>
      </c>
      <c r="K554" s="8">
        <f>COUNTIFS('05_Orders'!$C:$C, A554)</f>
        <v/>
      </c>
      <c r="L554" s="9">
        <f>SUMIFS('05_Orders'!$I:$I, '05_Orders'!$C:$C, A554)</f>
        <v/>
      </c>
      <c r="M554" s="8">
        <f>IF(L554&gt;=2000, "Platinum VIP", IF(L554&gt;=1000, "Gold", IF(L554&gt;=500, "Silver", "Standard")))</f>
        <v/>
      </c>
    </row>
    <row r="555">
      <c r="A555" s="8" t="inlineStr">
        <is>
          <t>CUST-00551</t>
        </is>
      </c>
      <c r="B555" s="8" t="inlineStr">
        <is>
          <t>Melissa James</t>
        </is>
      </c>
      <c r="C555" s="8" t="inlineStr">
        <is>
          <t>Male</t>
        </is>
      </c>
      <c r="D555" s="8" t="n">
        <v>21</v>
      </c>
      <c r="E555" s="8">
        <f>IF(D555&lt;25, "18-24", IF(D555&lt;35, "25-34", IF(D555&lt;50, "35-49", "50+")))</f>
        <v/>
      </c>
      <c r="F555" s="8" t="inlineStr">
        <is>
          <t>Seattle</t>
        </is>
      </c>
      <c r="G555" s="8" t="inlineStr">
        <is>
          <t>Washington</t>
        </is>
      </c>
      <c r="H555" s="8" t="inlineStr">
        <is>
          <t>REG-NA</t>
        </is>
      </c>
      <c r="I555" s="8" t="inlineStr">
        <is>
          <t>Home Office</t>
        </is>
      </c>
      <c r="J555" s="8" t="inlineStr">
        <is>
          <t>2023-10-26</t>
        </is>
      </c>
      <c r="K555" s="8">
        <f>COUNTIFS('05_Orders'!$C:$C, A555)</f>
        <v/>
      </c>
      <c r="L555" s="9">
        <f>SUMIFS('05_Orders'!$I:$I, '05_Orders'!$C:$C, A555)</f>
        <v/>
      </c>
      <c r="M555" s="8">
        <f>IF(L555&gt;=2000, "Platinum VIP", IF(L555&gt;=1000, "Gold", IF(L555&gt;=500, "Silver", "Standard")))</f>
        <v/>
      </c>
    </row>
    <row r="556">
      <c r="A556" s="8" t="inlineStr">
        <is>
          <t>CUST-00552</t>
        </is>
      </c>
      <c r="B556" s="8" t="inlineStr">
        <is>
          <t>Andrew Jackson</t>
        </is>
      </c>
      <c r="C556" s="8" t="inlineStr">
        <is>
          <t>Other</t>
        </is>
      </c>
      <c r="D556" s="8" t="n">
        <v>30</v>
      </c>
      <c r="E556" s="8">
        <f>IF(D556&lt;25, "18-24", IF(D556&lt;35, "25-34", IF(D556&lt;50, "35-49", "50+")))</f>
        <v/>
      </c>
      <c r="F556" s="8" t="inlineStr">
        <is>
          <t>Manchester</t>
        </is>
      </c>
      <c r="G556" s="8" t="inlineStr">
        <is>
          <t>Greater Manchester</t>
        </is>
      </c>
      <c r="H556" s="8" t="inlineStr">
        <is>
          <t>REG-EU</t>
        </is>
      </c>
      <c r="I556" s="8" t="inlineStr">
        <is>
          <t>Consumer</t>
        </is>
      </c>
      <c r="J556" s="8" t="inlineStr">
        <is>
          <t>2021-03-07</t>
        </is>
      </c>
      <c r="K556" s="8">
        <f>COUNTIFS('05_Orders'!$C:$C, A556)</f>
        <v/>
      </c>
      <c r="L556" s="9">
        <f>SUMIFS('05_Orders'!$I:$I, '05_Orders'!$C:$C, A556)</f>
        <v/>
      </c>
      <c r="M556" s="8">
        <f>IF(L556&gt;=2000, "Platinum VIP", IF(L556&gt;=1000, "Gold", IF(L556&gt;=500, "Silver", "Standard")))</f>
        <v/>
      </c>
    </row>
    <row r="557">
      <c r="A557" s="8" t="inlineStr">
        <is>
          <t>CUST-00553</t>
        </is>
      </c>
      <c r="B557" s="8" t="inlineStr">
        <is>
          <t>Jeffrey Phillips</t>
        </is>
      </c>
      <c r="C557" s="8" t="inlineStr">
        <is>
          <t>Male</t>
        </is>
      </c>
      <c r="D557" s="8" t="n">
        <v>34</v>
      </c>
      <c r="E557" s="8">
        <f>IF(D557&lt;25, "18-24", IF(D557&lt;35, "25-34", IF(D557&lt;50, "35-49", "50+")))</f>
        <v/>
      </c>
      <c r="F557" s="8" t="inlineStr">
        <is>
          <t>Medellin</t>
        </is>
      </c>
      <c r="G557" s="8" t="inlineStr">
        <is>
          <t>Antioquia</t>
        </is>
      </c>
      <c r="H557" s="8" t="inlineStr">
        <is>
          <t>REG-LATAM</t>
        </is>
      </c>
      <c r="I557" s="8" t="inlineStr">
        <is>
          <t>Consumer</t>
        </is>
      </c>
      <c r="J557" s="8" t="inlineStr">
        <is>
          <t>2024-02-29</t>
        </is>
      </c>
      <c r="K557" s="8">
        <f>COUNTIFS('05_Orders'!$C:$C, A557)</f>
        <v/>
      </c>
      <c r="L557" s="9">
        <f>SUMIFS('05_Orders'!$I:$I, '05_Orders'!$C:$C, A557)</f>
        <v/>
      </c>
      <c r="M557" s="8">
        <f>IF(L557&gt;=2000, "Platinum VIP", IF(L557&gt;=1000, "Gold", IF(L557&gt;=500, "Silver", "Standard")))</f>
        <v/>
      </c>
    </row>
    <row r="558">
      <c r="A558" s="8" t="inlineStr">
        <is>
          <t>CUST-00554</t>
        </is>
      </c>
      <c r="B558" s="8" t="inlineStr">
        <is>
          <t>Tyler Sanchez</t>
        </is>
      </c>
      <c r="C558" s="8" t="inlineStr">
        <is>
          <t>Female</t>
        </is>
      </c>
      <c r="D558" s="8" t="n">
        <v>26</v>
      </c>
      <c r="E558" s="8">
        <f>IF(D558&lt;25, "18-24", IF(D558&lt;35, "25-34", IF(D558&lt;50, "35-49", "50+")))</f>
        <v/>
      </c>
      <c r="F558" s="8" t="inlineStr">
        <is>
          <t>Houston</t>
        </is>
      </c>
      <c r="G558" s="8" t="inlineStr">
        <is>
          <t>Texas</t>
        </is>
      </c>
      <c r="H558" s="8" t="inlineStr">
        <is>
          <t>REG-NA</t>
        </is>
      </c>
      <c r="I558" s="8" t="inlineStr">
        <is>
          <t>Consumer</t>
        </is>
      </c>
      <c r="J558" s="8" t="inlineStr">
        <is>
          <t>2021-06-25</t>
        </is>
      </c>
      <c r="K558" s="8">
        <f>COUNTIFS('05_Orders'!$C:$C, A558)</f>
        <v/>
      </c>
      <c r="L558" s="9">
        <f>SUMIFS('05_Orders'!$I:$I, '05_Orders'!$C:$C, A558)</f>
        <v/>
      </c>
      <c r="M558" s="8">
        <f>IF(L558&gt;=2000, "Platinum VIP", IF(L558&gt;=1000, "Gold", IF(L558&gt;=500, "Silver", "Standard")))</f>
        <v/>
      </c>
    </row>
    <row r="559">
      <c r="A559" s="8" t="inlineStr">
        <is>
          <t>CUST-00555</t>
        </is>
      </c>
      <c r="B559" s="8" t="inlineStr">
        <is>
          <t>Aaron Parker</t>
        </is>
      </c>
      <c r="C559" s="8" t="inlineStr">
        <is>
          <t>Male</t>
        </is>
      </c>
      <c r="D559" s="8" t="n">
        <v>26</v>
      </c>
      <c r="E559" s="8">
        <f>IF(D559&lt;25, "18-24", IF(D559&lt;35, "25-34", IF(D559&lt;50, "35-49", "50+")))</f>
        <v/>
      </c>
      <c r="F559" s="8" t="inlineStr">
        <is>
          <t>Lyon</t>
        </is>
      </c>
      <c r="G559" s="8" t="inlineStr">
        <is>
          <t>Auvergne-Rhone-Alpes</t>
        </is>
      </c>
      <c r="H559" s="8" t="inlineStr">
        <is>
          <t>REG-EU</t>
        </is>
      </c>
      <c r="I559" s="8" t="inlineStr">
        <is>
          <t>Corporate</t>
        </is>
      </c>
      <c r="J559" s="8" t="inlineStr">
        <is>
          <t>2024-11-04</t>
        </is>
      </c>
      <c r="K559" s="8">
        <f>COUNTIFS('05_Orders'!$C:$C, A559)</f>
        <v/>
      </c>
      <c r="L559" s="9">
        <f>SUMIFS('05_Orders'!$I:$I, '05_Orders'!$C:$C, A559)</f>
        <v/>
      </c>
      <c r="M559" s="8">
        <f>IF(L559&gt;=2000, "Platinum VIP", IF(L559&gt;=1000, "Gold", IF(L559&gt;=500, "Silver", "Standard")))</f>
        <v/>
      </c>
    </row>
    <row r="560">
      <c r="A560" s="8" t="inlineStr">
        <is>
          <t>CUST-00556</t>
        </is>
      </c>
      <c r="B560" s="8" t="inlineStr">
        <is>
          <t>Jason Reyes</t>
        </is>
      </c>
      <c r="C560" s="8" t="inlineStr">
        <is>
          <t>Male</t>
        </is>
      </c>
      <c r="D560" s="8" t="n">
        <v>53</v>
      </c>
      <c r="E560" s="8">
        <f>IF(D560&lt;25, "18-24", IF(D560&lt;35, "25-34", IF(D560&lt;50, "35-49", "50+")))</f>
        <v/>
      </c>
      <c r="F560" s="8" t="inlineStr">
        <is>
          <t>Atlanta</t>
        </is>
      </c>
      <c r="G560" s="8" t="inlineStr">
        <is>
          <t>Georgia</t>
        </is>
      </c>
      <c r="H560" s="8" t="inlineStr">
        <is>
          <t>REG-NA</t>
        </is>
      </c>
      <c r="I560" s="8" t="inlineStr">
        <is>
          <t>Consumer</t>
        </is>
      </c>
      <c r="J560" s="8" t="inlineStr">
        <is>
          <t>2021-10-15</t>
        </is>
      </c>
      <c r="K560" s="8">
        <f>COUNTIFS('05_Orders'!$C:$C, A560)</f>
        <v/>
      </c>
      <c r="L560" s="9">
        <f>SUMIFS('05_Orders'!$I:$I, '05_Orders'!$C:$C, A560)</f>
        <v/>
      </c>
      <c r="M560" s="8">
        <f>IF(L560&gt;=2000, "Platinum VIP", IF(L560&gt;=1000, "Gold", IF(L560&gt;=500, "Silver", "Standard")))</f>
        <v/>
      </c>
    </row>
    <row r="561">
      <c r="A561" s="8" t="inlineStr">
        <is>
          <t>CUST-00557</t>
        </is>
      </c>
      <c r="B561" s="8" t="inlineStr">
        <is>
          <t>Thomas Richardson</t>
        </is>
      </c>
      <c r="C561" s="8" t="inlineStr">
        <is>
          <t>Other</t>
        </is>
      </c>
      <c r="D561" s="8" t="n">
        <v>54</v>
      </c>
      <c r="E561" s="8">
        <f>IF(D561&lt;25, "18-24", IF(D561&lt;35, "25-34", IF(D561&lt;50, "35-49", "50+")))</f>
        <v/>
      </c>
      <c r="F561" s="8" t="inlineStr">
        <is>
          <t>Singapore</t>
        </is>
      </c>
      <c r="G561" s="8" t="inlineStr">
        <is>
          <t>Central</t>
        </is>
      </c>
      <c r="H561" s="8" t="inlineStr">
        <is>
          <t>REG-APAC</t>
        </is>
      </c>
      <c r="I561" s="8" t="inlineStr">
        <is>
          <t>Corporate</t>
        </is>
      </c>
      <c r="J561" s="8" t="inlineStr">
        <is>
          <t>2023-03-16</t>
        </is>
      </c>
      <c r="K561" s="8">
        <f>COUNTIFS('05_Orders'!$C:$C, A561)</f>
        <v/>
      </c>
      <c r="L561" s="9">
        <f>SUMIFS('05_Orders'!$I:$I, '05_Orders'!$C:$C, A561)</f>
        <v/>
      </c>
      <c r="M561" s="8">
        <f>IF(L561&gt;=2000, "Platinum VIP", IF(L561&gt;=1000, "Gold", IF(L561&gt;=500, "Silver", "Standard")))</f>
        <v/>
      </c>
    </row>
    <row r="562">
      <c r="A562" s="8" t="inlineStr">
        <is>
          <t>CUST-00558</t>
        </is>
      </c>
      <c r="B562" s="8" t="inlineStr">
        <is>
          <t>Jonathan Collins</t>
        </is>
      </c>
      <c r="C562" s="8" t="inlineStr">
        <is>
          <t>Male</t>
        </is>
      </c>
      <c r="D562" s="8" t="n">
        <v>23</v>
      </c>
      <c r="E562" s="8">
        <f>IF(D562&lt;25, "18-24", IF(D562&lt;35, "25-34", IF(D562&lt;50, "35-49", "50+")))</f>
        <v/>
      </c>
      <c r="F562" s="8" t="inlineStr">
        <is>
          <t>Los Angeles</t>
        </is>
      </c>
      <c r="G562" s="8" t="inlineStr">
        <is>
          <t>California</t>
        </is>
      </c>
      <c r="H562" s="8" t="inlineStr">
        <is>
          <t>REG-NA</t>
        </is>
      </c>
      <c r="I562" s="8" t="inlineStr">
        <is>
          <t>Consumer</t>
        </is>
      </c>
      <c r="J562" s="8" t="inlineStr">
        <is>
          <t>2021-07-19</t>
        </is>
      </c>
      <c r="K562" s="8">
        <f>COUNTIFS('05_Orders'!$C:$C, A562)</f>
        <v/>
      </c>
      <c r="L562" s="9">
        <f>SUMIFS('05_Orders'!$I:$I, '05_Orders'!$C:$C, A562)</f>
        <v/>
      </c>
      <c r="M562" s="8">
        <f>IF(L562&gt;=2000, "Platinum VIP", IF(L562&gt;=1000, "Gold", IF(L562&gt;=500, "Silver", "Standard")))</f>
        <v/>
      </c>
    </row>
    <row r="563">
      <c r="A563" s="8" t="inlineStr">
        <is>
          <t>CUST-00559</t>
        </is>
      </c>
      <c r="B563" s="8" t="inlineStr">
        <is>
          <t>Jessica Patel</t>
        </is>
      </c>
      <c r="C563" s="8" t="inlineStr">
        <is>
          <t>Other</t>
        </is>
      </c>
      <c r="D563" s="8" t="n">
        <v>61</v>
      </c>
      <c r="E563" s="8">
        <f>IF(D563&lt;25, "18-24", IF(D563&lt;35, "25-34", IF(D563&lt;50, "35-49", "50+")))</f>
        <v/>
      </c>
      <c r="F563" s="8" t="inlineStr">
        <is>
          <t>London</t>
        </is>
      </c>
      <c r="G563" s="8" t="inlineStr">
        <is>
          <t>Greater London</t>
        </is>
      </c>
      <c r="H563" s="8" t="inlineStr">
        <is>
          <t>REG-EU</t>
        </is>
      </c>
      <c r="I563" s="8" t="inlineStr">
        <is>
          <t>Corporate</t>
        </is>
      </c>
      <c r="J563" s="8" t="inlineStr">
        <is>
          <t>2023-11-24</t>
        </is>
      </c>
      <c r="K563" s="8">
        <f>COUNTIFS('05_Orders'!$C:$C, A563)</f>
        <v/>
      </c>
      <c r="L563" s="9">
        <f>SUMIFS('05_Orders'!$I:$I, '05_Orders'!$C:$C, A563)</f>
        <v/>
      </c>
      <c r="M563" s="8">
        <f>IF(L563&gt;=2000, "Platinum VIP", IF(L563&gt;=1000, "Gold", IF(L563&gt;=500, "Silver", "Standard")))</f>
        <v/>
      </c>
    </row>
    <row r="564">
      <c r="A564" s="8" t="inlineStr">
        <is>
          <t>CUST-00560</t>
        </is>
      </c>
      <c r="B564" s="8" t="inlineStr">
        <is>
          <t>Alexander Brooks</t>
        </is>
      </c>
      <c r="C564" s="8" t="inlineStr">
        <is>
          <t>Male</t>
        </is>
      </c>
      <c r="D564" s="8" t="n">
        <v>37</v>
      </c>
      <c r="E564" s="8">
        <f>IF(D564&lt;25, "18-24", IF(D564&lt;35, "25-34", IF(D564&lt;50, "35-49", "50+")))</f>
        <v/>
      </c>
      <c r="F564" s="8" t="inlineStr">
        <is>
          <t>London</t>
        </is>
      </c>
      <c r="G564" s="8" t="inlineStr">
        <is>
          <t>Greater London</t>
        </is>
      </c>
      <c r="H564" s="8" t="inlineStr">
        <is>
          <t>REG-EU</t>
        </is>
      </c>
      <c r="I564" s="8" t="inlineStr">
        <is>
          <t>Home Office</t>
        </is>
      </c>
      <c r="J564" s="8" t="inlineStr">
        <is>
          <t>2024-07-01</t>
        </is>
      </c>
      <c r="K564" s="8">
        <f>COUNTIFS('05_Orders'!$C:$C, A564)</f>
        <v/>
      </c>
      <c r="L564" s="9">
        <f>SUMIFS('05_Orders'!$I:$I, '05_Orders'!$C:$C, A564)</f>
        <v/>
      </c>
      <c r="M564" s="8">
        <f>IF(L564&gt;=2000, "Platinum VIP", IF(L564&gt;=1000, "Gold", IF(L564&gt;=500, "Silver", "Standard")))</f>
        <v/>
      </c>
    </row>
    <row r="565">
      <c r="A565" s="8" t="inlineStr">
        <is>
          <t>CUST-00561</t>
        </is>
      </c>
      <c r="B565" s="8" t="inlineStr">
        <is>
          <t>Jessica Gutierrez</t>
        </is>
      </c>
      <c r="C565" s="8" t="inlineStr">
        <is>
          <t>Male</t>
        </is>
      </c>
      <c r="D565" s="8" t="n">
        <v>33</v>
      </c>
      <c r="E565" s="8">
        <f>IF(D565&lt;25, "18-24", IF(D565&lt;35, "25-34", IF(D565&lt;50, "35-49", "50+")))</f>
        <v/>
      </c>
      <c r="F565" s="8" t="inlineStr">
        <is>
          <t>Toronto</t>
        </is>
      </c>
      <c r="G565" s="8" t="inlineStr">
        <is>
          <t>Ontario</t>
        </is>
      </c>
      <c r="H565" s="8" t="inlineStr">
        <is>
          <t>REG-NA</t>
        </is>
      </c>
      <c r="I565" s="8" t="inlineStr">
        <is>
          <t>Consumer</t>
        </is>
      </c>
      <c r="J565" s="8" t="inlineStr">
        <is>
          <t>2023-11-02</t>
        </is>
      </c>
      <c r="K565" s="8">
        <f>COUNTIFS('05_Orders'!$C:$C, A565)</f>
        <v/>
      </c>
      <c r="L565" s="9">
        <f>SUMIFS('05_Orders'!$I:$I, '05_Orders'!$C:$C, A565)</f>
        <v/>
      </c>
      <c r="M565" s="8">
        <f>IF(L565&gt;=2000, "Platinum VIP", IF(L565&gt;=1000, "Gold", IF(L565&gt;=500, "Silver", "Standard")))</f>
        <v/>
      </c>
    </row>
    <row r="566">
      <c r="A566" s="8" t="inlineStr">
        <is>
          <t>CUST-00562</t>
        </is>
      </c>
      <c r="B566" s="8" t="inlineStr">
        <is>
          <t>Lisa Walker</t>
        </is>
      </c>
      <c r="C566" s="8" t="inlineStr">
        <is>
          <t>Other</t>
        </is>
      </c>
      <c r="D566" s="8" t="n">
        <v>34</v>
      </c>
      <c r="E566" s="8">
        <f>IF(D566&lt;25, "18-24", IF(D566&lt;35, "25-34", IF(D566&lt;50, "35-49", "50+")))</f>
        <v/>
      </c>
      <c r="F566" s="8" t="inlineStr">
        <is>
          <t>Bangalore</t>
        </is>
      </c>
      <c r="G566" s="8" t="inlineStr">
        <is>
          <t>Karnataka</t>
        </is>
      </c>
      <c r="H566" s="8" t="inlineStr">
        <is>
          <t>REG-APAC</t>
        </is>
      </c>
      <c r="I566" s="8" t="inlineStr">
        <is>
          <t>Home Office</t>
        </is>
      </c>
      <c r="J566" s="8" t="inlineStr">
        <is>
          <t>2024-06-17</t>
        </is>
      </c>
      <c r="K566" s="8">
        <f>COUNTIFS('05_Orders'!$C:$C, A566)</f>
        <v/>
      </c>
      <c r="L566" s="9">
        <f>SUMIFS('05_Orders'!$I:$I, '05_Orders'!$C:$C, A566)</f>
        <v/>
      </c>
      <c r="M566" s="8">
        <f>IF(L566&gt;=2000, "Platinum VIP", IF(L566&gt;=1000, "Gold", IF(L566&gt;=500, "Silver", "Standard")))</f>
        <v/>
      </c>
    </row>
    <row r="567">
      <c r="A567" s="8" t="inlineStr">
        <is>
          <t>CUST-00563</t>
        </is>
      </c>
      <c r="B567" s="8" t="inlineStr">
        <is>
          <t>Ruth James</t>
        </is>
      </c>
      <c r="C567" s="8" t="inlineStr">
        <is>
          <t>Male</t>
        </is>
      </c>
      <c r="D567" s="8" t="n">
        <v>28</v>
      </c>
      <c r="E567" s="8">
        <f>IF(D567&lt;25, "18-24", IF(D567&lt;35, "25-34", IF(D567&lt;50, "35-49", "50+")))</f>
        <v/>
      </c>
      <c r="F567" s="8" t="inlineStr">
        <is>
          <t>Dublin</t>
        </is>
      </c>
      <c r="G567" s="8" t="inlineStr">
        <is>
          <t>Leinster</t>
        </is>
      </c>
      <c r="H567" s="8" t="inlineStr">
        <is>
          <t>REG-EU</t>
        </is>
      </c>
      <c r="I567" s="8" t="inlineStr">
        <is>
          <t>Consumer</t>
        </is>
      </c>
      <c r="J567" s="8" t="inlineStr">
        <is>
          <t>2023-09-11</t>
        </is>
      </c>
      <c r="K567" s="8">
        <f>COUNTIFS('05_Orders'!$C:$C, A567)</f>
        <v/>
      </c>
      <c r="L567" s="9">
        <f>SUMIFS('05_Orders'!$I:$I, '05_Orders'!$C:$C, A567)</f>
        <v/>
      </c>
      <c r="M567" s="8">
        <f>IF(L567&gt;=2000, "Platinum VIP", IF(L567&gt;=1000, "Gold", IF(L567&gt;=500, "Silver", "Standard")))</f>
        <v/>
      </c>
    </row>
    <row r="568">
      <c r="A568" s="8" t="inlineStr">
        <is>
          <t>CUST-00564</t>
        </is>
      </c>
      <c r="B568" s="8" t="inlineStr">
        <is>
          <t>Debra Scott</t>
        </is>
      </c>
      <c r="C568" s="8" t="inlineStr">
        <is>
          <t>Female</t>
        </is>
      </c>
      <c r="D568" s="8" t="n">
        <v>42</v>
      </c>
      <c r="E568" s="8">
        <f>IF(D568&lt;25, "18-24", IF(D568&lt;35, "25-34", IF(D568&lt;50, "35-49", "50+")))</f>
        <v/>
      </c>
      <c r="F568" s="8" t="inlineStr">
        <is>
          <t>Manchester</t>
        </is>
      </c>
      <c r="G568" s="8" t="inlineStr">
        <is>
          <t>Greater Manchester</t>
        </is>
      </c>
      <c r="H568" s="8" t="inlineStr">
        <is>
          <t>REG-EU</t>
        </is>
      </c>
      <c r="I568" s="8" t="inlineStr">
        <is>
          <t>Consumer</t>
        </is>
      </c>
      <c r="J568" s="8" t="inlineStr">
        <is>
          <t>2023-05-21</t>
        </is>
      </c>
      <c r="K568" s="8">
        <f>COUNTIFS('05_Orders'!$C:$C, A568)</f>
        <v/>
      </c>
      <c r="L568" s="9">
        <f>SUMIFS('05_Orders'!$I:$I, '05_Orders'!$C:$C, A568)</f>
        <v/>
      </c>
      <c r="M568" s="8">
        <f>IF(L568&gt;=2000, "Platinum VIP", IF(L568&gt;=1000, "Gold", IF(L568&gt;=500, "Silver", "Standard")))</f>
        <v/>
      </c>
    </row>
    <row r="569">
      <c r="A569" s="8" t="inlineStr">
        <is>
          <t>CUST-00565</t>
        </is>
      </c>
      <c r="B569" s="8" t="inlineStr">
        <is>
          <t>Scott Hill</t>
        </is>
      </c>
      <c r="C569" s="8" t="inlineStr">
        <is>
          <t>Male</t>
        </is>
      </c>
      <c r="D569" s="8" t="n">
        <v>59</v>
      </c>
      <c r="E569" s="8">
        <f>IF(D569&lt;25, "18-24", IF(D569&lt;35, "25-34", IF(D569&lt;50, "35-49", "50+")))</f>
        <v/>
      </c>
      <c r="F569" s="8" t="inlineStr">
        <is>
          <t>Stockholm</t>
        </is>
      </c>
      <c r="G569" s="8" t="inlineStr">
        <is>
          <t>Stockholm County</t>
        </is>
      </c>
      <c r="H569" s="8" t="inlineStr">
        <is>
          <t>REG-EU</t>
        </is>
      </c>
      <c r="I569" s="8" t="inlineStr">
        <is>
          <t>Consumer</t>
        </is>
      </c>
      <c r="J569" s="8" t="inlineStr">
        <is>
          <t>2022-12-28</t>
        </is>
      </c>
      <c r="K569" s="8">
        <f>COUNTIFS('05_Orders'!$C:$C, A569)</f>
        <v/>
      </c>
      <c r="L569" s="9">
        <f>SUMIFS('05_Orders'!$I:$I, '05_Orders'!$C:$C, A569)</f>
        <v/>
      </c>
      <c r="M569" s="8">
        <f>IF(L569&gt;=2000, "Platinum VIP", IF(L569&gt;=1000, "Gold", IF(L569&gt;=500, "Silver", "Standard")))</f>
        <v/>
      </c>
    </row>
    <row r="570">
      <c r="A570" s="8" t="inlineStr">
        <is>
          <t>CUST-00566</t>
        </is>
      </c>
      <c r="B570" s="8" t="inlineStr">
        <is>
          <t>Christopher Rivera</t>
        </is>
      </c>
      <c r="C570" s="8" t="inlineStr">
        <is>
          <t>Other</t>
        </is>
      </c>
      <c r="D570" s="8" t="n">
        <v>72</v>
      </c>
      <c r="E570" s="8">
        <f>IF(D570&lt;25, "18-24", IF(D570&lt;35, "25-34", IF(D570&lt;50, "35-49", "50+")))</f>
        <v/>
      </c>
      <c r="F570" s="8" t="inlineStr">
        <is>
          <t>Sydney</t>
        </is>
      </c>
      <c r="G570" s="8" t="inlineStr">
        <is>
          <t>New South Wales</t>
        </is>
      </c>
      <c r="H570" s="8" t="inlineStr">
        <is>
          <t>REG-APAC</t>
        </is>
      </c>
      <c r="I570" s="8" t="inlineStr">
        <is>
          <t>Consumer</t>
        </is>
      </c>
      <c r="J570" s="8" t="inlineStr">
        <is>
          <t>2024-12-17</t>
        </is>
      </c>
      <c r="K570" s="8">
        <f>COUNTIFS('05_Orders'!$C:$C, A570)</f>
        <v/>
      </c>
      <c r="L570" s="9">
        <f>SUMIFS('05_Orders'!$I:$I, '05_Orders'!$C:$C, A570)</f>
        <v/>
      </c>
      <c r="M570" s="8">
        <f>IF(L570&gt;=2000, "Platinum VIP", IF(L570&gt;=1000, "Gold", IF(L570&gt;=500, "Silver", "Standard")))</f>
        <v/>
      </c>
    </row>
    <row r="571">
      <c r="A571" s="8" t="inlineStr">
        <is>
          <t>CUST-00567</t>
        </is>
      </c>
      <c r="B571" s="8" t="inlineStr">
        <is>
          <t>Christine Castillo</t>
        </is>
      </c>
      <c r="C571" s="8" t="inlineStr">
        <is>
          <t>Other</t>
        </is>
      </c>
      <c r="D571" s="8" t="n">
        <v>39</v>
      </c>
      <c r="E571" s="8">
        <f>IF(D571&lt;25, "18-24", IF(D571&lt;35, "25-34", IF(D571&lt;50, "35-49", "50+")))</f>
        <v/>
      </c>
      <c r="F571" s="8" t="inlineStr">
        <is>
          <t>Berlin</t>
        </is>
      </c>
      <c r="G571" s="8" t="inlineStr">
        <is>
          <t>Berlin</t>
        </is>
      </c>
      <c r="H571" s="8" t="inlineStr">
        <is>
          <t>REG-EU</t>
        </is>
      </c>
      <c r="I571" s="8" t="inlineStr">
        <is>
          <t>Consumer</t>
        </is>
      </c>
      <c r="J571" s="8" t="inlineStr">
        <is>
          <t>2025-04-11</t>
        </is>
      </c>
      <c r="K571" s="8">
        <f>COUNTIFS('05_Orders'!$C:$C, A571)</f>
        <v/>
      </c>
      <c r="L571" s="9">
        <f>SUMIFS('05_Orders'!$I:$I, '05_Orders'!$C:$C, A571)</f>
        <v/>
      </c>
      <c r="M571" s="8">
        <f>IF(L571&gt;=2000, "Platinum VIP", IF(L571&gt;=1000, "Gold", IF(L571&gt;=500, "Silver", "Standard")))</f>
        <v/>
      </c>
    </row>
    <row r="572">
      <c r="A572" s="8" t="inlineStr">
        <is>
          <t>CUST-00568</t>
        </is>
      </c>
      <c r="B572" s="8" t="inlineStr">
        <is>
          <t>Amy Carter</t>
        </is>
      </c>
      <c r="C572" s="8" t="inlineStr">
        <is>
          <t>Female</t>
        </is>
      </c>
      <c r="D572" s="8" t="n">
        <v>56</v>
      </c>
      <c r="E572" s="8">
        <f>IF(D572&lt;25, "18-24", IF(D572&lt;35, "25-34", IF(D572&lt;50, "35-49", "50+")))</f>
        <v/>
      </c>
      <c r="F572" s="8" t="inlineStr">
        <is>
          <t>Stockholm</t>
        </is>
      </c>
      <c r="G572" s="8" t="inlineStr">
        <is>
          <t>Stockholm County</t>
        </is>
      </c>
      <c r="H572" s="8" t="inlineStr">
        <is>
          <t>REG-EU</t>
        </is>
      </c>
      <c r="I572" s="8" t="inlineStr">
        <is>
          <t>Corporate</t>
        </is>
      </c>
      <c r="J572" s="8" t="inlineStr">
        <is>
          <t>2023-11-05</t>
        </is>
      </c>
      <c r="K572" s="8">
        <f>COUNTIFS('05_Orders'!$C:$C, A572)</f>
        <v/>
      </c>
      <c r="L572" s="9">
        <f>SUMIFS('05_Orders'!$I:$I, '05_Orders'!$C:$C, A572)</f>
        <v/>
      </c>
      <c r="M572" s="8">
        <f>IF(L572&gt;=2000, "Platinum VIP", IF(L572&gt;=1000, "Gold", IF(L572&gt;=500, "Silver", "Standard")))</f>
        <v/>
      </c>
    </row>
    <row r="573">
      <c r="A573" s="8" t="inlineStr">
        <is>
          <t>CUST-00569</t>
        </is>
      </c>
      <c r="B573" s="8" t="inlineStr">
        <is>
          <t>Scott Hall</t>
        </is>
      </c>
      <c r="C573" s="8" t="inlineStr">
        <is>
          <t>Other</t>
        </is>
      </c>
      <c r="D573" s="8" t="n">
        <v>57</v>
      </c>
      <c r="E573" s="8">
        <f>IF(D573&lt;25, "18-24", IF(D573&lt;35, "25-34", IF(D573&lt;50, "35-49", "50+")))</f>
        <v/>
      </c>
      <c r="F573" s="8" t="inlineStr">
        <is>
          <t>Tokyo</t>
        </is>
      </c>
      <c r="G573" s="8" t="inlineStr">
        <is>
          <t>Kanto</t>
        </is>
      </c>
      <c r="H573" s="8" t="inlineStr">
        <is>
          <t>REG-APAC</t>
        </is>
      </c>
      <c r="I573" s="8" t="inlineStr">
        <is>
          <t>Consumer</t>
        </is>
      </c>
      <c r="J573" s="8" t="inlineStr">
        <is>
          <t>2025-02-09</t>
        </is>
      </c>
      <c r="K573" s="8">
        <f>COUNTIFS('05_Orders'!$C:$C, A573)</f>
        <v/>
      </c>
      <c r="L573" s="9">
        <f>SUMIFS('05_Orders'!$I:$I, '05_Orders'!$C:$C, A573)</f>
        <v/>
      </c>
      <c r="M573" s="8">
        <f>IF(L573&gt;=2000, "Platinum VIP", IF(L573&gt;=1000, "Gold", IF(L573&gt;=500, "Silver", "Standard")))</f>
        <v/>
      </c>
    </row>
    <row r="574">
      <c r="A574" s="8" t="inlineStr">
        <is>
          <t>CUST-00570</t>
        </is>
      </c>
      <c r="B574" s="8" t="inlineStr">
        <is>
          <t>Gary Adams</t>
        </is>
      </c>
      <c r="C574" s="8" t="inlineStr">
        <is>
          <t>Male</t>
        </is>
      </c>
      <c r="D574" s="8" t="n">
        <v>67</v>
      </c>
      <c r="E574" s="8">
        <f>IF(D574&lt;25, "18-24", IF(D574&lt;35, "25-34", IF(D574&lt;50, "35-49", "50+")))</f>
        <v/>
      </c>
      <c r="F574" s="8" t="inlineStr">
        <is>
          <t>Sydney</t>
        </is>
      </c>
      <c r="G574" s="8" t="inlineStr">
        <is>
          <t>New South Wales</t>
        </is>
      </c>
      <c r="H574" s="8" t="inlineStr">
        <is>
          <t>REG-APAC</t>
        </is>
      </c>
      <c r="I574" s="8" t="inlineStr">
        <is>
          <t>Consumer</t>
        </is>
      </c>
      <c r="J574" s="8" t="inlineStr">
        <is>
          <t>2021-12-23</t>
        </is>
      </c>
      <c r="K574" s="8">
        <f>COUNTIFS('05_Orders'!$C:$C, A574)</f>
        <v/>
      </c>
      <c r="L574" s="9">
        <f>SUMIFS('05_Orders'!$I:$I, '05_Orders'!$C:$C, A574)</f>
        <v/>
      </c>
      <c r="M574" s="8">
        <f>IF(L574&gt;=2000, "Platinum VIP", IF(L574&gt;=1000, "Gold", IF(L574&gt;=500, "Silver", "Standard")))</f>
        <v/>
      </c>
    </row>
    <row r="575">
      <c r="A575" s="8" t="inlineStr">
        <is>
          <t>CUST-00571</t>
        </is>
      </c>
      <c r="B575" s="8" t="inlineStr">
        <is>
          <t>Linda Ward</t>
        </is>
      </c>
      <c r="C575" s="8" t="inlineStr">
        <is>
          <t>Female</t>
        </is>
      </c>
      <c r="D575" s="8" t="n">
        <v>25</v>
      </c>
      <c r="E575" s="8">
        <f>IF(D575&lt;25, "18-24", IF(D575&lt;35, "25-34", IF(D575&lt;50, "35-49", "50+")))</f>
        <v/>
      </c>
      <c r="F575" s="8" t="inlineStr">
        <is>
          <t>Los Angeles</t>
        </is>
      </c>
      <c r="G575" s="8" t="inlineStr">
        <is>
          <t>California</t>
        </is>
      </c>
      <c r="H575" s="8" t="inlineStr">
        <is>
          <t>REG-NA</t>
        </is>
      </c>
      <c r="I575" s="8" t="inlineStr">
        <is>
          <t>Consumer</t>
        </is>
      </c>
      <c r="J575" s="8" t="inlineStr">
        <is>
          <t>2023-02-06</t>
        </is>
      </c>
      <c r="K575" s="8">
        <f>COUNTIFS('05_Orders'!$C:$C, A575)</f>
        <v/>
      </c>
      <c r="L575" s="9">
        <f>SUMIFS('05_Orders'!$I:$I, '05_Orders'!$C:$C, A575)</f>
        <v/>
      </c>
      <c r="M575" s="8">
        <f>IF(L575&gt;=2000, "Platinum VIP", IF(L575&gt;=1000, "Gold", IF(L575&gt;=500, "Silver", "Standard")))</f>
        <v/>
      </c>
    </row>
    <row r="576">
      <c r="A576" s="8" t="inlineStr">
        <is>
          <t>CUST-00572</t>
        </is>
      </c>
      <c r="B576" s="8" t="inlineStr">
        <is>
          <t>Catherine Edwards</t>
        </is>
      </c>
      <c r="C576" s="8" t="inlineStr">
        <is>
          <t>Female</t>
        </is>
      </c>
      <c r="D576" s="8" t="n">
        <v>26</v>
      </c>
      <c r="E576" s="8">
        <f>IF(D576&lt;25, "18-24", IF(D576&lt;35, "25-34", IF(D576&lt;50, "35-49", "50+")))</f>
        <v/>
      </c>
      <c r="F576" s="8" t="inlineStr">
        <is>
          <t>Medellin</t>
        </is>
      </c>
      <c r="G576" s="8" t="inlineStr">
        <is>
          <t>Antioquia</t>
        </is>
      </c>
      <c r="H576" s="8" t="inlineStr">
        <is>
          <t>REG-LATAM</t>
        </is>
      </c>
      <c r="I576" s="8" t="inlineStr">
        <is>
          <t>Corporate</t>
        </is>
      </c>
      <c r="J576" s="8" t="inlineStr">
        <is>
          <t>2022-02-05</t>
        </is>
      </c>
      <c r="K576" s="8">
        <f>COUNTIFS('05_Orders'!$C:$C, A576)</f>
        <v/>
      </c>
      <c r="L576" s="9">
        <f>SUMIFS('05_Orders'!$I:$I, '05_Orders'!$C:$C, A576)</f>
        <v/>
      </c>
      <c r="M576" s="8">
        <f>IF(L576&gt;=2000, "Platinum VIP", IF(L576&gt;=1000, "Gold", IF(L576&gt;=500, "Silver", "Standard")))</f>
        <v/>
      </c>
    </row>
    <row r="577">
      <c r="A577" s="8" t="inlineStr">
        <is>
          <t>CUST-00573</t>
        </is>
      </c>
      <c r="B577" s="8" t="inlineStr">
        <is>
          <t>Christopher Parker</t>
        </is>
      </c>
      <c r="C577" s="8" t="inlineStr">
        <is>
          <t>Other</t>
        </is>
      </c>
      <c r="D577" s="8" t="n">
        <v>69</v>
      </c>
      <c r="E577" s="8">
        <f>IF(D577&lt;25, "18-24", IF(D577&lt;35, "25-34", IF(D577&lt;50, "35-49", "50+")))</f>
        <v/>
      </c>
      <c r="F577" s="8" t="inlineStr">
        <is>
          <t>Tokyo</t>
        </is>
      </c>
      <c r="G577" s="8" t="inlineStr">
        <is>
          <t>Kanto</t>
        </is>
      </c>
      <c r="H577" s="8" t="inlineStr">
        <is>
          <t>REG-APAC</t>
        </is>
      </c>
      <c r="I577" s="8" t="inlineStr">
        <is>
          <t>Corporate</t>
        </is>
      </c>
      <c r="J577" s="8" t="inlineStr">
        <is>
          <t>2024-07-12</t>
        </is>
      </c>
      <c r="K577" s="8">
        <f>COUNTIFS('05_Orders'!$C:$C, A577)</f>
        <v/>
      </c>
      <c r="L577" s="9">
        <f>SUMIFS('05_Orders'!$I:$I, '05_Orders'!$C:$C, A577)</f>
        <v/>
      </c>
      <c r="M577" s="8">
        <f>IF(L577&gt;=2000, "Platinum VIP", IF(L577&gt;=1000, "Gold", IF(L577&gt;=500, "Silver", "Standard")))</f>
        <v/>
      </c>
    </row>
    <row r="578">
      <c r="A578" s="8" t="inlineStr">
        <is>
          <t>CUST-00574</t>
        </is>
      </c>
      <c r="B578" s="8" t="inlineStr">
        <is>
          <t>James Campbell</t>
        </is>
      </c>
      <c r="C578" s="8" t="inlineStr">
        <is>
          <t>Female</t>
        </is>
      </c>
      <c r="D578" s="8" t="n">
        <v>54</v>
      </c>
      <c r="E578" s="8">
        <f>IF(D578&lt;25, "18-24", IF(D578&lt;35, "25-34", IF(D578&lt;50, "35-49", "50+")))</f>
        <v/>
      </c>
      <c r="F578" s="8" t="inlineStr">
        <is>
          <t>Manchester</t>
        </is>
      </c>
      <c r="G578" s="8" t="inlineStr">
        <is>
          <t>Greater Manchester</t>
        </is>
      </c>
      <c r="H578" s="8" t="inlineStr">
        <is>
          <t>REG-EU</t>
        </is>
      </c>
      <c r="I578" s="8" t="inlineStr">
        <is>
          <t>Consumer</t>
        </is>
      </c>
      <c r="J578" s="8" t="inlineStr">
        <is>
          <t>2024-10-29</t>
        </is>
      </c>
      <c r="K578" s="8">
        <f>COUNTIFS('05_Orders'!$C:$C, A578)</f>
        <v/>
      </c>
      <c r="L578" s="9">
        <f>SUMIFS('05_Orders'!$I:$I, '05_Orders'!$C:$C, A578)</f>
        <v/>
      </c>
      <c r="M578" s="8">
        <f>IF(L578&gt;=2000, "Platinum VIP", IF(L578&gt;=1000, "Gold", IF(L578&gt;=500, "Silver", "Standard")))</f>
        <v/>
      </c>
    </row>
    <row r="579">
      <c r="A579" s="8" t="inlineStr">
        <is>
          <t>CUST-00575</t>
        </is>
      </c>
      <c r="B579" s="8" t="inlineStr">
        <is>
          <t>Anthony Kelly</t>
        </is>
      </c>
      <c r="C579" s="8" t="inlineStr">
        <is>
          <t>Female</t>
        </is>
      </c>
      <c r="D579" s="8" t="n">
        <v>50</v>
      </c>
      <c r="E579" s="8">
        <f>IF(D579&lt;25, "18-24", IF(D579&lt;35, "25-34", IF(D579&lt;50, "35-49", "50+")))</f>
        <v/>
      </c>
      <c r="F579" s="8" t="inlineStr">
        <is>
          <t>Denver</t>
        </is>
      </c>
      <c r="G579" s="8" t="inlineStr">
        <is>
          <t>Colorado</t>
        </is>
      </c>
      <c r="H579" s="8" t="inlineStr">
        <is>
          <t>REG-NA</t>
        </is>
      </c>
      <c r="I579" s="8" t="inlineStr">
        <is>
          <t>Home Office</t>
        </is>
      </c>
      <c r="J579" s="8" t="inlineStr">
        <is>
          <t>2021-10-10</t>
        </is>
      </c>
      <c r="K579" s="8">
        <f>COUNTIFS('05_Orders'!$C:$C, A579)</f>
        <v/>
      </c>
      <c r="L579" s="9">
        <f>SUMIFS('05_Orders'!$I:$I, '05_Orders'!$C:$C, A579)</f>
        <v/>
      </c>
      <c r="M579" s="8">
        <f>IF(L579&gt;=2000, "Platinum VIP", IF(L579&gt;=1000, "Gold", IF(L579&gt;=500, "Silver", "Standard")))</f>
        <v/>
      </c>
    </row>
    <row r="580">
      <c r="A580" s="8" t="inlineStr">
        <is>
          <t>CUST-00576</t>
        </is>
      </c>
      <c r="B580" s="8" t="inlineStr">
        <is>
          <t>Justin Hernandez</t>
        </is>
      </c>
      <c r="C580" s="8" t="inlineStr">
        <is>
          <t>Male</t>
        </is>
      </c>
      <c r="D580" s="8" t="n">
        <v>68</v>
      </c>
      <c r="E580" s="8">
        <f>IF(D580&lt;25, "18-24", IF(D580&lt;35, "25-34", IF(D580&lt;50, "35-49", "50+")))</f>
        <v/>
      </c>
      <c r="F580" s="8" t="inlineStr">
        <is>
          <t>Manchester</t>
        </is>
      </c>
      <c r="G580" s="8" t="inlineStr">
        <is>
          <t>Greater Manchester</t>
        </is>
      </c>
      <c r="H580" s="8" t="inlineStr">
        <is>
          <t>REG-EU</t>
        </is>
      </c>
      <c r="I580" s="8" t="inlineStr">
        <is>
          <t>Consumer</t>
        </is>
      </c>
      <c r="J580" s="8" t="inlineStr">
        <is>
          <t>2022-04-18</t>
        </is>
      </c>
      <c r="K580" s="8">
        <f>COUNTIFS('05_Orders'!$C:$C, A580)</f>
        <v/>
      </c>
      <c r="L580" s="9">
        <f>SUMIFS('05_Orders'!$I:$I, '05_Orders'!$C:$C, A580)</f>
        <v/>
      </c>
      <c r="M580" s="8">
        <f>IF(L580&gt;=2000, "Platinum VIP", IF(L580&gt;=1000, "Gold", IF(L580&gt;=500, "Silver", "Standard")))</f>
        <v/>
      </c>
    </row>
    <row r="581">
      <c r="A581" s="8" t="inlineStr">
        <is>
          <t>CUST-00577</t>
        </is>
      </c>
      <c r="B581" s="8" t="inlineStr">
        <is>
          <t>Donna Allen</t>
        </is>
      </c>
      <c r="C581" s="8" t="inlineStr">
        <is>
          <t>Female</t>
        </is>
      </c>
      <c r="D581" s="8" t="n">
        <v>63</v>
      </c>
      <c r="E581" s="8">
        <f>IF(D581&lt;25, "18-24", IF(D581&lt;35, "25-34", IF(D581&lt;50, "35-49", "50+")))</f>
        <v/>
      </c>
      <c r="F581" s="8" t="inlineStr">
        <is>
          <t>Chicago</t>
        </is>
      </c>
      <c r="G581" s="8" t="inlineStr">
        <is>
          <t>Illinois</t>
        </is>
      </c>
      <c r="H581" s="8" t="inlineStr">
        <is>
          <t>REG-NA</t>
        </is>
      </c>
      <c r="I581" s="8" t="inlineStr">
        <is>
          <t>Enterprise</t>
        </is>
      </c>
      <c r="J581" s="8" t="inlineStr">
        <is>
          <t>2021-06-03</t>
        </is>
      </c>
      <c r="K581" s="8">
        <f>COUNTIFS('05_Orders'!$C:$C, A581)</f>
        <v/>
      </c>
      <c r="L581" s="9">
        <f>SUMIFS('05_Orders'!$I:$I, '05_Orders'!$C:$C, A581)</f>
        <v/>
      </c>
      <c r="M581" s="8">
        <f>IF(L581&gt;=2000, "Platinum VIP", IF(L581&gt;=1000, "Gold", IF(L581&gt;=500, "Silver", "Standard")))</f>
        <v/>
      </c>
    </row>
    <row r="582">
      <c r="A582" s="8" t="inlineStr">
        <is>
          <t>CUST-00578</t>
        </is>
      </c>
      <c r="B582" s="8" t="inlineStr">
        <is>
          <t>Michelle Phillips</t>
        </is>
      </c>
      <c r="C582" s="8" t="inlineStr">
        <is>
          <t>Other</t>
        </is>
      </c>
      <c r="D582" s="8" t="n">
        <v>21</v>
      </c>
      <c r="E582" s="8">
        <f>IF(D582&lt;25, "18-24", IF(D582&lt;35, "25-34", IF(D582&lt;50, "35-49", "50+")))</f>
        <v/>
      </c>
      <c r="F582" s="8" t="inlineStr">
        <is>
          <t>Manchester</t>
        </is>
      </c>
      <c r="G582" s="8" t="inlineStr">
        <is>
          <t>Greater Manchester</t>
        </is>
      </c>
      <c r="H582" s="8" t="inlineStr">
        <is>
          <t>REG-EU</t>
        </is>
      </c>
      <c r="I582" s="8" t="inlineStr">
        <is>
          <t>Corporate</t>
        </is>
      </c>
      <c r="J582" s="8" t="inlineStr">
        <is>
          <t>2022-06-23</t>
        </is>
      </c>
      <c r="K582" s="8">
        <f>COUNTIFS('05_Orders'!$C:$C, A582)</f>
        <v/>
      </c>
      <c r="L582" s="9">
        <f>SUMIFS('05_Orders'!$I:$I, '05_Orders'!$C:$C, A582)</f>
        <v/>
      </c>
      <c r="M582" s="8">
        <f>IF(L582&gt;=2000, "Platinum VIP", IF(L582&gt;=1000, "Gold", IF(L582&gt;=500, "Silver", "Standard")))</f>
        <v/>
      </c>
    </row>
    <row r="583">
      <c r="A583" s="8" t="inlineStr">
        <is>
          <t>CUST-00579</t>
        </is>
      </c>
      <c r="B583" s="8" t="inlineStr">
        <is>
          <t>Maria Davis</t>
        </is>
      </c>
      <c r="C583" s="8" t="inlineStr">
        <is>
          <t>Male</t>
        </is>
      </c>
      <c r="D583" s="8" t="n">
        <v>31</v>
      </c>
      <c r="E583" s="8">
        <f>IF(D583&lt;25, "18-24", IF(D583&lt;35, "25-34", IF(D583&lt;50, "35-49", "50+")))</f>
        <v/>
      </c>
      <c r="F583" s="8" t="inlineStr">
        <is>
          <t>Lyon</t>
        </is>
      </c>
      <c r="G583" s="8" t="inlineStr">
        <is>
          <t>Auvergne-Rhone-Alpes</t>
        </is>
      </c>
      <c r="H583" s="8" t="inlineStr">
        <is>
          <t>REG-EU</t>
        </is>
      </c>
      <c r="I583" s="8" t="inlineStr">
        <is>
          <t>Enterprise</t>
        </is>
      </c>
      <c r="J583" s="8" t="inlineStr">
        <is>
          <t>2024-09-20</t>
        </is>
      </c>
      <c r="K583" s="8">
        <f>COUNTIFS('05_Orders'!$C:$C, A583)</f>
        <v/>
      </c>
      <c r="L583" s="9">
        <f>SUMIFS('05_Orders'!$I:$I, '05_Orders'!$C:$C, A583)</f>
        <v/>
      </c>
      <c r="M583" s="8">
        <f>IF(L583&gt;=2000, "Platinum VIP", IF(L583&gt;=1000, "Gold", IF(L583&gt;=500, "Silver", "Standard")))</f>
        <v/>
      </c>
    </row>
    <row r="584">
      <c r="A584" s="8" t="inlineStr">
        <is>
          <t>CUST-00580</t>
        </is>
      </c>
      <c r="B584" s="8" t="inlineStr">
        <is>
          <t>Justin Ward</t>
        </is>
      </c>
      <c r="C584" s="8" t="inlineStr">
        <is>
          <t>Other</t>
        </is>
      </c>
      <c r="D584" s="8" t="n">
        <v>71</v>
      </c>
      <c r="E584" s="8">
        <f>IF(D584&lt;25, "18-24", IF(D584&lt;35, "25-34", IF(D584&lt;50, "35-49", "50+")))</f>
        <v/>
      </c>
      <c r="F584" s="8" t="inlineStr">
        <is>
          <t>Singapore</t>
        </is>
      </c>
      <c r="G584" s="8" t="inlineStr">
        <is>
          <t>Central</t>
        </is>
      </c>
      <c r="H584" s="8" t="inlineStr">
        <is>
          <t>REG-APAC</t>
        </is>
      </c>
      <c r="I584" s="8" t="inlineStr">
        <is>
          <t>Consumer</t>
        </is>
      </c>
      <c r="J584" s="8" t="inlineStr">
        <is>
          <t>2021-05-25</t>
        </is>
      </c>
      <c r="K584" s="8">
        <f>COUNTIFS('05_Orders'!$C:$C, A584)</f>
        <v/>
      </c>
      <c r="L584" s="9">
        <f>SUMIFS('05_Orders'!$I:$I, '05_Orders'!$C:$C, A584)</f>
        <v/>
      </c>
      <c r="M584" s="8">
        <f>IF(L584&gt;=2000, "Platinum VIP", IF(L584&gt;=1000, "Gold", IF(L584&gt;=500, "Silver", "Standard")))</f>
        <v/>
      </c>
    </row>
    <row r="585">
      <c r="A585" s="8" t="inlineStr">
        <is>
          <t>CUST-00581</t>
        </is>
      </c>
      <c r="B585" s="8" t="inlineStr">
        <is>
          <t>Larry Morris</t>
        </is>
      </c>
      <c r="C585" s="8" t="inlineStr">
        <is>
          <t>Male</t>
        </is>
      </c>
      <c r="D585" s="8" t="n">
        <v>35</v>
      </c>
      <c r="E585" s="8">
        <f>IF(D585&lt;25, "18-24", IF(D585&lt;35, "25-34", IF(D585&lt;50, "35-49", "50+")))</f>
        <v/>
      </c>
      <c r="F585" s="8" t="inlineStr">
        <is>
          <t>Tokyo</t>
        </is>
      </c>
      <c r="G585" s="8" t="inlineStr">
        <is>
          <t>Kanto</t>
        </is>
      </c>
      <c r="H585" s="8" t="inlineStr">
        <is>
          <t>REG-APAC</t>
        </is>
      </c>
      <c r="I585" s="8" t="inlineStr">
        <is>
          <t>Consumer</t>
        </is>
      </c>
      <c r="J585" s="8" t="inlineStr">
        <is>
          <t>2023-11-06</t>
        </is>
      </c>
      <c r="K585" s="8">
        <f>COUNTIFS('05_Orders'!$C:$C, A585)</f>
        <v/>
      </c>
      <c r="L585" s="9">
        <f>SUMIFS('05_Orders'!$I:$I, '05_Orders'!$C:$C, A585)</f>
        <v/>
      </c>
      <c r="M585" s="8">
        <f>IF(L585&gt;=2000, "Platinum VIP", IF(L585&gt;=1000, "Gold", IF(L585&gt;=500, "Silver", "Standard")))</f>
        <v/>
      </c>
    </row>
    <row r="586">
      <c r="A586" s="8" t="inlineStr">
        <is>
          <t>CUST-00582</t>
        </is>
      </c>
      <c r="B586" s="8" t="inlineStr">
        <is>
          <t>Sandra Williams</t>
        </is>
      </c>
      <c r="C586" s="8" t="inlineStr">
        <is>
          <t>Male</t>
        </is>
      </c>
      <c r="D586" s="8" t="n">
        <v>19</v>
      </c>
      <c r="E586" s="8">
        <f>IF(D586&lt;25, "18-24", IF(D586&lt;35, "25-34", IF(D586&lt;50, "35-49", "50+")))</f>
        <v/>
      </c>
      <c r="F586" s="8" t="inlineStr">
        <is>
          <t>Sydney</t>
        </is>
      </c>
      <c r="G586" s="8" t="inlineStr">
        <is>
          <t>New South Wales</t>
        </is>
      </c>
      <c r="H586" s="8" t="inlineStr">
        <is>
          <t>REG-APAC</t>
        </is>
      </c>
      <c r="I586" s="8" t="inlineStr">
        <is>
          <t>Corporate</t>
        </is>
      </c>
      <c r="J586" s="8" t="inlineStr">
        <is>
          <t>2023-02-16</t>
        </is>
      </c>
      <c r="K586" s="8">
        <f>COUNTIFS('05_Orders'!$C:$C, A586)</f>
        <v/>
      </c>
      <c r="L586" s="9">
        <f>SUMIFS('05_Orders'!$I:$I, '05_Orders'!$C:$C, A586)</f>
        <v/>
      </c>
      <c r="M586" s="8">
        <f>IF(L586&gt;=2000, "Platinum VIP", IF(L586&gt;=1000, "Gold", IF(L586&gt;=500, "Silver", "Standard")))</f>
        <v/>
      </c>
    </row>
    <row r="587">
      <c r="A587" s="8" t="inlineStr">
        <is>
          <t>CUST-00583</t>
        </is>
      </c>
      <c r="B587" s="8" t="inlineStr">
        <is>
          <t>Tyler Carter</t>
        </is>
      </c>
      <c r="C587" s="8" t="inlineStr">
        <is>
          <t>Other</t>
        </is>
      </c>
      <c r="D587" s="8" t="n">
        <v>26</v>
      </c>
      <c r="E587" s="8">
        <f>IF(D587&lt;25, "18-24", IF(D587&lt;35, "25-34", IF(D587&lt;50, "35-49", "50+")))</f>
        <v/>
      </c>
      <c r="F587" s="8" t="inlineStr">
        <is>
          <t>Amsterdam</t>
        </is>
      </c>
      <c r="G587" s="8" t="inlineStr">
        <is>
          <t>North Holland</t>
        </is>
      </c>
      <c r="H587" s="8" t="inlineStr">
        <is>
          <t>REG-EU</t>
        </is>
      </c>
      <c r="I587" s="8" t="inlineStr">
        <is>
          <t>Corporate</t>
        </is>
      </c>
      <c r="J587" s="8" t="inlineStr">
        <is>
          <t>2021-08-25</t>
        </is>
      </c>
      <c r="K587" s="8">
        <f>COUNTIFS('05_Orders'!$C:$C, A587)</f>
        <v/>
      </c>
      <c r="L587" s="9">
        <f>SUMIFS('05_Orders'!$I:$I, '05_Orders'!$C:$C, A587)</f>
        <v/>
      </c>
      <c r="M587" s="8">
        <f>IF(L587&gt;=2000, "Platinum VIP", IF(L587&gt;=1000, "Gold", IF(L587&gt;=500, "Silver", "Standard")))</f>
        <v/>
      </c>
    </row>
    <row r="588">
      <c r="A588" s="8" t="inlineStr">
        <is>
          <t>CUST-00584</t>
        </is>
      </c>
      <c r="B588" s="8" t="inlineStr">
        <is>
          <t>Matthew Baker</t>
        </is>
      </c>
      <c r="C588" s="8" t="inlineStr">
        <is>
          <t>Female</t>
        </is>
      </c>
      <c r="D588" s="8" t="n">
        <v>21</v>
      </c>
      <c r="E588" s="8">
        <f>IF(D588&lt;25, "18-24", IF(D588&lt;35, "25-34", IF(D588&lt;50, "35-49", "50+")))</f>
        <v/>
      </c>
      <c r="F588" s="8" t="inlineStr">
        <is>
          <t>Los Angeles</t>
        </is>
      </c>
      <c r="G588" s="8" t="inlineStr">
        <is>
          <t>California</t>
        </is>
      </c>
      <c r="H588" s="8" t="inlineStr">
        <is>
          <t>REG-NA</t>
        </is>
      </c>
      <c r="I588" s="8" t="inlineStr">
        <is>
          <t>Corporate</t>
        </is>
      </c>
      <c r="J588" s="8" t="inlineStr">
        <is>
          <t>2022-04-11</t>
        </is>
      </c>
      <c r="K588" s="8">
        <f>COUNTIFS('05_Orders'!$C:$C, A588)</f>
        <v/>
      </c>
      <c r="L588" s="9">
        <f>SUMIFS('05_Orders'!$I:$I, '05_Orders'!$C:$C, A588)</f>
        <v/>
      </c>
      <c r="M588" s="8">
        <f>IF(L588&gt;=2000, "Platinum VIP", IF(L588&gt;=1000, "Gold", IF(L588&gt;=500, "Silver", "Standard")))</f>
        <v/>
      </c>
    </row>
    <row r="589">
      <c r="A589" s="8" t="inlineStr">
        <is>
          <t>CUST-00585</t>
        </is>
      </c>
      <c r="B589" s="8" t="inlineStr">
        <is>
          <t>Jennifer Johnson</t>
        </is>
      </c>
      <c r="C589" s="8" t="inlineStr">
        <is>
          <t>Other</t>
        </is>
      </c>
      <c r="D589" s="8" t="n">
        <v>33</v>
      </c>
      <c r="E589" s="8">
        <f>IF(D589&lt;25, "18-24", IF(D589&lt;35, "25-34", IF(D589&lt;50, "35-49", "50+")))</f>
        <v/>
      </c>
      <c r="F589" s="8" t="inlineStr">
        <is>
          <t>Tokyo</t>
        </is>
      </c>
      <c r="G589" s="8" t="inlineStr">
        <is>
          <t>Kanto</t>
        </is>
      </c>
      <c r="H589" s="8" t="inlineStr">
        <is>
          <t>REG-APAC</t>
        </is>
      </c>
      <c r="I589" s="8" t="inlineStr">
        <is>
          <t>Consumer</t>
        </is>
      </c>
      <c r="J589" s="8" t="inlineStr">
        <is>
          <t>2023-06-18</t>
        </is>
      </c>
      <c r="K589" s="8">
        <f>COUNTIFS('05_Orders'!$C:$C, A589)</f>
        <v/>
      </c>
      <c r="L589" s="9">
        <f>SUMIFS('05_Orders'!$I:$I, '05_Orders'!$C:$C, A589)</f>
        <v/>
      </c>
      <c r="M589" s="8">
        <f>IF(L589&gt;=2000, "Platinum VIP", IF(L589&gt;=1000, "Gold", IF(L589&gt;=500, "Silver", "Standard")))</f>
        <v/>
      </c>
    </row>
    <row r="590">
      <c r="A590" s="8" t="inlineStr">
        <is>
          <t>CUST-00586</t>
        </is>
      </c>
      <c r="B590" s="8" t="inlineStr">
        <is>
          <t>Ashley Nguyen</t>
        </is>
      </c>
      <c r="C590" s="8" t="inlineStr">
        <is>
          <t>Male</t>
        </is>
      </c>
      <c r="D590" s="8" t="n">
        <v>56</v>
      </c>
      <c r="E590" s="8">
        <f>IF(D590&lt;25, "18-24", IF(D590&lt;35, "25-34", IF(D590&lt;50, "35-49", "50+")))</f>
        <v/>
      </c>
      <c r="F590" s="8" t="inlineStr">
        <is>
          <t>Los Angeles</t>
        </is>
      </c>
      <c r="G590" s="8" t="inlineStr">
        <is>
          <t>California</t>
        </is>
      </c>
      <c r="H590" s="8" t="inlineStr">
        <is>
          <t>REG-NA</t>
        </is>
      </c>
      <c r="I590" s="8" t="inlineStr">
        <is>
          <t>Corporate</t>
        </is>
      </c>
      <c r="J590" s="8" t="inlineStr">
        <is>
          <t>2021-06-06</t>
        </is>
      </c>
      <c r="K590" s="8">
        <f>COUNTIFS('05_Orders'!$C:$C, A590)</f>
        <v/>
      </c>
      <c r="L590" s="9">
        <f>SUMIFS('05_Orders'!$I:$I, '05_Orders'!$C:$C, A590)</f>
        <v/>
      </c>
      <c r="M590" s="8">
        <f>IF(L590&gt;=2000, "Platinum VIP", IF(L590&gt;=1000, "Gold", IF(L590&gt;=500, "Silver", "Standard")))</f>
        <v/>
      </c>
    </row>
    <row r="591">
      <c r="A591" s="8" t="inlineStr">
        <is>
          <t>CUST-00587</t>
        </is>
      </c>
      <c r="B591" s="8" t="inlineStr">
        <is>
          <t>Melissa Lewis</t>
        </is>
      </c>
      <c r="C591" s="8" t="inlineStr">
        <is>
          <t>Female</t>
        </is>
      </c>
      <c r="D591" s="8" t="n">
        <v>63</v>
      </c>
      <c r="E591" s="8">
        <f>IF(D591&lt;25, "18-24", IF(D591&lt;35, "25-34", IF(D591&lt;50, "35-49", "50+")))</f>
        <v/>
      </c>
      <c r="F591" s="8" t="inlineStr">
        <is>
          <t>Seattle</t>
        </is>
      </c>
      <c r="G591" s="8" t="inlineStr">
        <is>
          <t>Washington</t>
        </is>
      </c>
      <c r="H591" s="8" t="inlineStr">
        <is>
          <t>REG-NA</t>
        </is>
      </c>
      <c r="I591" s="8" t="inlineStr">
        <is>
          <t>Home Office</t>
        </is>
      </c>
      <c r="J591" s="8" t="inlineStr">
        <is>
          <t>2022-08-23</t>
        </is>
      </c>
      <c r="K591" s="8">
        <f>COUNTIFS('05_Orders'!$C:$C, A591)</f>
        <v/>
      </c>
      <c r="L591" s="9">
        <f>SUMIFS('05_Orders'!$I:$I, '05_Orders'!$C:$C, A591)</f>
        <v/>
      </c>
      <c r="M591" s="8">
        <f>IF(L591&gt;=2000, "Platinum VIP", IF(L591&gt;=1000, "Gold", IF(L591&gt;=500, "Silver", "Standard")))</f>
        <v/>
      </c>
    </row>
    <row r="592">
      <c r="A592" s="8" t="inlineStr">
        <is>
          <t>CUST-00588</t>
        </is>
      </c>
      <c r="B592" s="8" t="inlineStr">
        <is>
          <t>Anna Cook</t>
        </is>
      </c>
      <c r="C592" s="8" t="inlineStr">
        <is>
          <t>Male</t>
        </is>
      </c>
      <c r="D592" s="8" t="n">
        <v>21</v>
      </c>
      <c r="E592" s="8">
        <f>IF(D592&lt;25, "18-24", IF(D592&lt;35, "25-34", IF(D592&lt;50, "35-49", "50+")))</f>
        <v/>
      </c>
      <c r="F592" s="8" t="inlineStr">
        <is>
          <t>Atlanta</t>
        </is>
      </c>
      <c r="G592" s="8" t="inlineStr">
        <is>
          <t>Georgia</t>
        </is>
      </c>
      <c r="H592" s="8" t="inlineStr">
        <is>
          <t>REG-NA</t>
        </is>
      </c>
      <c r="I592" s="8" t="inlineStr">
        <is>
          <t>Corporate</t>
        </is>
      </c>
      <c r="J592" s="8" t="inlineStr">
        <is>
          <t>2024-06-27</t>
        </is>
      </c>
      <c r="K592" s="8">
        <f>COUNTIFS('05_Orders'!$C:$C, A592)</f>
        <v/>
      </c>
      <c r="L592" s="9">
        <f>SUMIFS('05_Orders'!$I:$I, '05_Orders'!$C:$C, A592)</f>
        <v/>
      </c>
      <c r="M592" s="8">
        <f>IF(L592&gt;=2000, "Platinum VIP", IF(L592&gt;=1000, "Gold", IF(L592&gt;=500, "Silver", "Standard")))</f>
        <v/>
      </c>
    </row>
    <row r="593">
      <c r="A593" s="8" t="inlineStr">
        <is>
          <t>CUST-00589</t>
        </is>
      </c>
      <c r="B593" s="8" t="inlineStr">
        <is>
          <t>Jonathan Robinson</t>
        </is>
      </c>
      <c r="C593" s="8" t="inlineStr">
        <is>
          <t>Female</t>
        </is>
      </c>
      <c r="D593" s="8" t="n">
        <v>65</v>
      </c>
      <c r="E593" s="8">
        <f>IF(D593&lt;25, "18-24", IF(D593&lt;35, "25-34", IF(D593&lt;50, "35-49", "50+")))</f>
        <v/>
      </c>
      <c r="F593" s="8" t="inlineStr">
        <is>
          <t>Manchester</t>
        </is>
      </c>
      <c r="G593" s="8" t="inlineStr">
        <is>
          <t>Greater Manchester</t>
        </is>
      </c>
      <c r="H593" s="8" t="inlineStr">
        <is>
          <t>REG-EU</t>
        </is>
      </c>
      <c r="I593" s="8" t="inlineStr">
        <is>
          <t>Consumer</t>
        </is>
      </c>
      <c r="J593" s="8" t="inlineStr">
        <is>
          <t>2021-10-18</t>
        </is>
      </c>
      <c r="K593" s="8">
        <f>COUNTIFS('05_Orders'!$C:$C, A593)</f>
        <v/>
      </c>
      <c r="L593" s="9">
        <f>SUMIFS('05_Orders'!$I:$I, '05_Orders'!$C:$C, A593)</f>
        <v/>
      </c>
      <c r="M593" s="8">
        <f>IF(L593&gt;=2000, "Platinum VIP", IF(L593&gt;=1000, "Gold", IF(L593&gt;=500, "Silver", "Standard")))</f>
        <v/>
      </c>
    </row>
    <row r="594">
      <c r="A594" s="8" t="inlineStr">
        <is>
          <t>CUST-00590</t>
        </is>
      </c>
      <c r="B594" s="8" t="inlineStr">
        <is>
          <t>Joseph Williams</t>
        </is>
      </c>
      <c r="C594" s="8" t="inlineStr">
        <is>
          <t>Female</t>
        </is>
      </c>
      <c r="D594" s="8" t="n">
        <v>71</v>
      </c>
      <c r="E594" s="8">
        <f>IF(D594&lt;25, "18-24", IF(D594&lt;35, "25-34", IF(D594&lt;50, "35-49", "50+")))</f>
        <v/>
      </c>
      <c r="F594" s="8" t="inlineStr">
        <is>
          <t>Phoenix</t>
        </is>
      </c>
      <c r="G594" s="8" t="inlineStr">
        <is>
          <t>Arizona</t>
        </is>
      </c>
      <c r="H594" s="8" t="inlineStr">
        <is>
          <t>REG-NA</t>
        </is>
      </c>
      <c r="I594" s="8" t="inlineStr">
        <is>
          <t>Corporate</t>
        </is>
      </c>
      <c r="J594" s="8" t="inlineStr">
        <is>
          <t>2022-09-08</t>
        </is>
      </c>
      <c r="K594" s="8">
        <f>COUNTIFS('05_Orders'!$C:$C, A594)</f>
        <v/>
      </c>
      <c r="L594" s="9">
        <f>SUMIFS('05_Orders'!$I:$I, '05_Orders'!$C:$C, A594)</f>
        <v/>
      </c>
      <c r="M594" s="8">
        <f>IF(L594&gt;=2000, "Platinum VIP", IF(L594&gt;=1000, "Gold", IF(L594&gt;=500, "Silver", "Standard")))</f>
        <v/>
      </c>
    </row>
    <row r="595">
      <c r="A595" s="8" t="inlineStr">
        <is>
          <t>CUST-00591</t>
        </is>
      </c>
      <c r="B595" s="8" t="inlineStr">
        <is>
          <t>Shirley Williams</t>
        </is>
      </c>
      <c r="C595" s="8" t="inlineStr">
        <is>
          <t>Female</t>
        </is>
      </c>
      <c r="D595" s="8" t="n">
        <v>42</v>
      </c>
      <c r="E595" s="8">
        <f>IF(D595&lt;25, "18-24", IF(D595&lt;35, "25-34", IF(D595&lt;50, "35-49", "50+")))</f>
        <v/>
      </c>
      <c r="F595" s="8" t="inlineStr">
        <is>
          <t>Munich</t>
        </is>
      </c>
      <c r="G595" s="8" t="inlineStr">
        <is>
          <t>Bavaria</t>
        </is>
      </c>
      <c r="H595" s="8" t="inlineStr">
        <is>
          <t>REG-EU</t>
        </is>
      </c>
      <c r="I595" s="8" t="inlineStr">
        <is>
          <t>Consumer</t>
        </is>
      </c>
      <c r="J595" s="8" t="inlineStr">
        <is>
          <t>2022-01-13</t>
        </is>
      </c>
      <c r="K595" s="8">
        <f>COUNTIFS('05_Orders'!$C:$C, A595)</f>
        <v/>
      </c>
      <c r="L595" s="9">
        <f>SUMIFS('05_Orders'!$I:$I, '05_Orders'!$C:$C, A595)</f>
        <v/>
      </c>
      <c r="M595" s="8">
        <f>IF(L595&gt;=2000, "Platinum VIP", IF(L595&gt;=1000, "Gold", IF(L595&gt;=500, "Silver", "Standard")))</f>
        <v/>
      </c>
    </row>
    <row r="596">
      <c r="A596" s="8" t="inlineStr">
        <is>
          <t>CUST-00592</t>
        </is>
      </c>
      <c r="B596" s="8" t="inlineStr">
        <is>
          <t>Maria Hall</t>
        </is>
      </c>
      <c r="C596" s="8" t="inlineStr">
        <is>
          <t>Male</t>
        </is>
      </c>
      <c r="D596" s="8" t="n">
        <v>56</v>
      </c>
      <c r="E596" s="8">
        <f>IF(D596&lt;25, "18-24", IF(D596&lt;35, "25-34", IF(D596&lt;50, "35-49", "50+")))</f>
        <v/>
      </c>
      <c r="F596" s="8" t="inlineStr">
        <is>
          <t>Hong Kong</t>
        </is>
      </c>
      <c r="G596" s="8" t="inlineStr">
        <is>
          <t>Hong Kong</t>
        </is>
      </c>
      <c r="H596" s="8" t="inlineStr">
        <is>
          <t>REG-APAC</t>
        </is>
      </c>
      <c r="I596" s="8" t="inlineStr">
        <is>
          <t>Enterprise</t>
        </is>
      </c>
      <c r="J596" s="8" t="inlineStr">
        <is>
          <t>2022-06-22</t>
        </is>
      </c>
      <c r="K596" s="8">
        <f>COUNTIFS('05_Orders'!$C:$C, A596)</f>
        <v/>
      </c>
      <c r="L596" s="9">
        <f>SUMIFS('05_Orders'!$I:$I, '05_Orders'!$C:$C, A596)</f>
        <v/>
      </c>
      <c r="M596" s="8">
        <f>IF(L596&gt;=2000, "Platinum VIP", IF(L596&gt;=1000, "Gold", IF(L596&gt;=500, "Silver", "Standard")))</f>
        <v/>
      </c>
    </row>
    <row r="597">
      <c r="A597" s="8" t="inlineStr">
        <is>
          <t>CUST-00593</t>
        </is>
      </c>
      <c r="B597" s="8" t="inlineStr">
        <is>
          <t>Samantha Parker</t>
        </is>
      </c>
      <c r="C597" s="8" t="inlineStr">
        <is>
          <t>Female</t>
        </is>
      </c>
      <c r="D597" s="8" t="n">
        <v>68</v>
      </c>
      <c r="E597" s="8">
        <f>IF(D597&lt;25, "18-24", IF(D597&lt;35, "25-34", IF(D597&lt;50, "35-49", "50+")))</f>
        <v/>
      </c>
      <c r="F597" s="8" t="inlineStr">
        <is>
          <t>Singapore</t>
        </is>
      </c>
      <c r="G597" s="8" t="inlineStr">
        <is>
          <t>Central</t>
        </is>
      </c>
      <c r="H597" s="8" t="inlineStr">
        <is>
          <t>REG-APAC</t>
        </is>
      </c>
      <c r="I597" s="8" t="inlineStr">
        <is>
          <t>Home Office</t>
        </is>
      </c>
      <c r="J597" s="8" t="inlineStr">
        <is>
          <t>2024-02-08</t>
        </is>
      </c>
      <c r="K597" s="8">
        <f>COUNTIFS('05_Orders'!$C:$C, A597)</f>
        <v/>
      </c>
      <c r="L597" s="9">
        <f>SUMIFS('05_Orders'!$I:$I, '05_Orders'!$C:$C, A597)</f>
        <v/>
      </c>
      <c r="M597" s="8">
        <f>IF(L597&gt;=2000, "Platinum VIP", IF(L597&gt;=1000, "Gold", IF(L597&gt;=500, "Silver", "Standard")))</f>
        <v/>
      </c>
    </row>
    <row r="598">
      <c r="A598" s="8" t="inlineStr">
        <is>
          <t>CUST-00594</t>
        </is>
      </c>
      <c r="B598" s="8" t="inlineStr">
        <is>
          <t>Stephen Reyes</t>
        </is>
      </c>
      <c r="C598" s="8" t="inlineStr">
        <is>
          <t>Female</t>
        </is>
      </c>
      <c r="D598" s="8" t="n">
        <v>54</v>
      </c>
      <c r="E598" s="8">
        <f>IF(D598&lt;25, "18-24", IF(D598&lt;35, "25-34", IF(D598&lt;50, "35-49", "50+")))</f>
        <v/>
      </c>
      <c r="F598" s="8" t="inlineStr">
        <is>
          <t>Mumbai</t>
        </is>
      </c>
      <c r="G598" s="8" t="inlineStr">
        <is>
          <t>Maharashtra</t>
        </is>
      </c>
      <c r="H598" s="8" t="inlineStr">
        <is>
          <t>REG-APAC</t>
        </is>
      </c>
      <c r="I598" s="8" t="inlineStr">
        <is>
          <t>Consumer</t>
        </is>
      </c>
      <c r="J598" s="8" t="inlineStr">
        <is>
          <t>2023-02-20</t>
        </is>
      </c>
      <c r="K598" s="8">
        <f>COUNTIFS('05_Orders'!$C:$C, A598)</f>
        <v/>
      </c>
      <c r="L598" s="9">
        <f>SUMIFS('05_Orders'!$I:$I, '05_Orders'!$C:$C, A598)</f>
        <v/>
      </c>
      <c r="M598" s="8">
        <f>IF(L598&gt;=2000, "Platinum VIP", IF(L598&gt;=1000, "Gold", IF(L598&gt;=500, "Silver", "Standard")))</f>
        <v/>
      </c>
    </row>
    <row r="599">
      <c r="A599" s="8" t="inlineStr">
        <is>
          <t>CUST-00595</t>
        </is>
      </c>
      <c r="B599" s="8" t="inlineStr">
        <is>
          <t>Emily Mendoza</t>
        </is>
      </c>
      <c r="C599" s="8" t="inlineStr">
        <is>
          <t>Female</t>
        </is>
      </c>
      <c r="D599" s="8" t="n">
        <v>23</v>
      </c>
      <c r="E599" s="8">
        <f>IF(D599&lt;25, "18-24", IF(D599&lt;35, "25-34", IF(D599&lt;50, "35-49", "50+")))</f>
        <v/>
      </c>
      <c r="F599" s="8" t="inlineStr">
        <is>
          <t>Monterrey</t>
        </is>
      </c>
      <c r="G599" s="8" t="inlineStr">
        <is>
          <t>Nuevo Leon</t>
        </is>
      </c>
      <c r="H599" s="8" t="inlineStr">
        <is>
          <t>REG-LATAM</t>
        </is>
      </c>
      <c r="I599" s="8" t="inlineStr">
        <is>
          <t>Consumer</t>
        </is>
      </c>
      <c r="J599" s="8" t="inlineStr">
        <is>
          <t>2024-03-15</t>
        </is>
      </c>
      <c r="K599" s="8">
        <f>COUNTIFS('05_Orders'!$C:$C, A599)</f>
        <v/>
      </c>
      <c r="L599" s="9">
        <f>SUMIFS('05_Orders'!$I:$I, '05_Orders'!$C:$C, A599)</f>
        <v/>
      </c>
      <c r="M599" s="8">
        <f>IF(L599&gt;=2000, "Platinum VIP", IF(L599&gt;=1000, "Gold", IF(L599&gt;=500, "Silver", "Standard")))</f>
        <v/>
      </c>
    </row>
    <row r="600">
      <c r="A600" s="8" t="inlineStr">
        <is>
          <t>CUST-00596</t>
        </is>
      </c>
      <c r="B600" s="8" t="inlineStr">
        <is>
          <t>Aaron Wood</t>
        </is>
      </c>
      <c r="C600" s="8" t="inlineStr">
        <is>
          <t>Other</t>
        </is>
      </c>
      <c r="D600" s="8" t="n">
        <v>18</v>
      </c>
      <c r="E600" s="8">
        <f>IF(D600&lt;25, "18-24", IF(D600&lt;35, "25-34", IF(D600&lt;50, "35-49", "50+")))</f>
        <v/>
      </c>
      <c r="F600" s="8" t="inlineStr">
        <is>
          <t>Denver</t>
        </is>
      </c>
      <c r="G600" s="8" t="inlineStr">
        <is>
          <t>Colorado</t>
        </is>
      </c>
      <c r="H600" s="8" t="inlineStr">
        <is>
          <t>REG-NA</t>
        </is>
      </c>
      <c r="I600" s="8" t="inlineStr">
        <is>
          <t>Corporate</t>
        </is>
      </c>
      <c r="J600" s="8" t="inlineStr">
        <is>
          <t>2022-06-26</t>
        </is>
      </c>
      <c r="K600" s="8">
        <f>COUNTIFS('05_Orders'!$C:$C, A600)</f>
        <v/>
      </c>
      <c r="L600" s="9">
        <f>SUMIFS('05_Orders'!$I:$I, '05_Orders'!$C:$C, A600)</f>
        <v/>
      </c>
      <c r="M600" s="8">
        <f>IF(L600&gt;=2000, "Platinum VIP", IF(L600&gt;=1000, "Gold", IF(L600&gt;=500, "Silver", "Standard")))</f>
        <v/>
      </c>
    </row>
    <row r="601">
      <c r="A601" s="8" t="inlineStr">
        <is>
          <t>CUST-00597</t>
        </is>
      </c>
      <c r="B601" s="8" t="inlineStr">
        <is>
          <t>Robert Rivera</t>
        </is>
      </c>
      <c r="C601" s="8" t="inlineStr">
        <is>
          <t>Female</t>
        </is>
      </c>
      <c r="D601" s="8" t="n">
        <v>58</v>
      </c>
      <c r="E601" s="8">
        <f>IF(D601&lt;25, "18-24", IF(D601&lt;35, "25-34", IF(D601&lt;50, "35-49", "50+")))</f>
        <v/>
      </c>
      <c r="F601" s="8" t="inlineStr">
        <is>
          <t>Sydney</t>
        </is>
      </c>
      <c r="G601" s="8" t="inlineStr">
        <is>
          <t>New South Wales</t>
        </is>
      </c>
      <c r="H601" s="8" t="inlineStr">
        <is>
          <t>REG-APAC</t>
        </is>
      </c>
      <c r="I601" s="8" t="inlineStr">
        <is>
          <t>Consumer</t>
        </is>
      </c>
      <c r="J601" s="8" t="inlineStr">
        <is>
          <t>2024-04-01</t>
        </is>
      </c>
      <c r="K601" s="8">
        <f>COUNTIFS('05_Orders'!$C:$C, A601)</f>
        <v/>
      </c>
      <c r="L601" s="9">
        <f>SUMIFS('05_Orders'!$I:$I, '05_Orders'!$C:$C, A601)</f>
        <v/>
      </c>
      <c r="M601" s="8">
        <f>IF(L601&gt;=2000, "Platinum VIP", IF(L601&gt;=1000, "Gold", IF(L601&gt;=500, "Silver", "Standard")))</f>
        <v/>
      </c>
    </row>
    <row r="602">
      <c r="A602" s="8" t="inlineStr">
        <is>
          <t>CUST-00598</t>
        </is>
      </c>
      <c r="B602" s="8" t="inlineStr">
        <is>
          <t>William Cruz</t>
        </is>
      </c>
      <c r="C602" s="8" t="inlineStr">
        <is>
          <t>Male</t>
        </is>
      </c>
      <c r="D602" s="8" t="n">
        <v>34</v>
      </c>
      <c r="E602" s="8">
        <f>IF(D602&lt;25, "18-24", IF(D602&lt;35, "25-34", IF(D602&lt;50, "35-49", "50+")))</f>
        <v/>
      </c>
      <c r="F602" s="8" t="inlineStr">
        <is>
          <t>Melbourne</t>
        </is>
      </c>
      <c r="G602" s="8" t="inlineStr">
        <is>
          <t>Victoria</t>
        </is>
      </c>
      <c r="H602" s="8" t="inlineStr">
        <is>
          <t>REG-APAC</t>
        </is>
      </c>
      <c r="I602" s="8" t="inlineStr">
        <is>
          <t>Consumer</t>
        </is>
      </c>
      <c r="J602" s="8" t="inlineStr">
        <is>
          <t>2023-10-11</t>
        </is>
      </c>
      <c r="K602" s="8">
        <f>COUNTIFS('05_Orders'!$C:$C, A602)</f>
        <v/>
      </c>
      <c r="L602" s="9">
        <f>SUMIFS('05_Orders'!$I:$I, '05_Orders'!$C:$C, A602)</f>
        <v/>
      </c>
      <c r="M602" s="8">
        <f>IF(L602&gt;=2000, "Platinum VIP", IF(L602&gt;=1000, "Gold", IF(L602&gt;=500, "Silver", "Standard")))</f>
        <v/>
      </c>
    </row>
    <row r="603">
      <c r="A603" s="8" t="inlineStr">
        <is>
          <t>CUST-00599</t>
        </is>
      </c>
      <c r="B603" s="8" t="inlineStr">
        <is>
          <t>Michael Robinson</t>
        </is>
      </c>
      <c r="C603" s="8" t="inlineStr">
        <is>
          <t>Male</t>
        </is>
      </c>
      <c r="D603" s="8" t="n">
        <v>59</v>
      </c>
      <c r="E603" s="8">
        <f>IF(D603&lt;25, "18-24", IF(D603&lt;35, "25-34", IF(D603&lt;50, "35-49", "50+")))</f>
        <v/>
      </c>
      <c r="F603" s="8" t="inlineStr">
        <is>
          <t>Boston</t>
        </is>
      </c>
      <c r="G603" s="8" t="inlineStr">
        <is>
          <t>Massachusetts</t>
        </is>
      </c>
      <c r="H603" s="8" t="inlineStr">
        <is>
          <t>REG-NA</t>
        </is>
      </c>
      <c r="I603" s="8" t="inlineStr">
        <is>
          <t>Home Office</t>
        </is>
      </c>
      <c r="J603" s="8" t="inlineStr">
        <is>
          <t>2024-04-02</t>
        </is>
      </c>
      <c r="K603" s="8">
        <f>COUNTIFS('05_Orders'!$C:$C, A603)</f>
        <v/>
      </c>
      <c r="L603" s="9">
        <f>SUMIFS('05_Orders'!$I:$I, '05_Orders'!$C:$C, A603)</f>
        <v/>
      </c>
      <c r="M603" s="8">
        <f>IF(L603&gt;=2000, "Platinum VIP", IF(L603&gt;=1000, "Gold", IF(L603&gt;=500, "Silver", "Standard")))</f>
        <v/>
      </c>
    </row>
    <row r="604">
      <c r="A604" s="8" t="inlineStr">
        <is>
          <t>CUST-00600</t>
        </is>
      </c>
      <c r="B604" s="8" t="inlineStr">
        <is>
          <t>Kimberly Allen</t>
        </is>
      </c>
      <c r="C604" s="8" t="inlineStr">
        <is>
          <t>Male</t>
        </is>
      </c>
      <c r="D604" s="8" t="n">
        <v>61</v>
      </c>
      <c r="E604" s="8">
        <f>IF(D604&lt;25, "18-24", IF(D604&lt;35, "25-34", IF(D604&lt;50, "35-49", "50+")))</f>
        <v/>
      </c>
      <c r="F604" s="8" t="inlineStr">
        <is>
          <t>Hong Kong</t>
        </is>
      </c>
      <c r="G604" s="8" t="inlineStr">
        <is>
          <t>Hong Kong</t>
        </is>
      </c>
      <c r="H604" s="8" t="inlineStr">
        <is>
          <t>REG-APAC</t>
        </is>
      </c>
      <c r="I604" s="8" t="inlineStr">
        <is>
          <t>Corporate</t>
        </is>
      </c>
      <c r="J604" s="8" t="inlineStr">
        <is>
          <t>2021-04-02</t>
        </is>
      </c>
      <c r="K604" s="8">
        <f>COUNTIFS('05_Orders'!$C:$C, A604)</f>
        <v/>
      </c>
      <c r="L604" s="9">
        <f>SUMIFS('05_Orders'!$I:$I, '05_Orders'!$C:$C, A604)</f>
        <v/>
      </c>
      <c r="M604" s="8">
        <f>IF(L604&gt;=2000, "Platinum VIP", IF(L604&gt;=1000, "Gold", IF(L604&gt;=500, "Silver", "Standard")))</f>
        <v/>
      </c>
    </row>
    <row r="605">
      <c r="A605" s="8" t="inlineStr">
        <is>
          <t>CUST-00601</t>
        </is>
      </c>
      <c r="B605" s="8" t="inlineStr">
        <is>
          <t>Angela Martinez</t>
        </is>
      </c>
      <c r="C605" s="8" t="inlineStr">
        <is>
          <t>Male</t>
        </is>
      </c>
      <c r="D605" s="8" t="n">
        <v>31</v>
      </c>
      <c r="E605" s="8">
        <f>IF(D605&lt;25, "18-24", IF(D605&lt;35, "25-34", IF(D605&lt;50, "35-49", "50+")))</f>
        <v/>
      </c>
      <c r="F605" s="8" t="inlineStr">
        <is>
          <t>Seattle</t>
        </is>
      </c>
      <c r="G605" s="8" t="inlineStr">
        <is>
          <t>Washington</t>
        </is>
      </c>
      <c r="H605" s="8" t="inlineStr">
        <is>
          <t>REG-NA</t>
        </is>
      </c>
      <c r="I605" s="8" t="inlineStr">
        <is>
          <t>Home Office</t>
        </is>
      </c>
      <c r="J605" s="8" t="inlineStr">
        <is>
          <t>2024-10-26</t>
        </is>
      </c>
      <c r="K605" s="8">
        <f>COUNTIFS('05_Orders'!$C:$C, A605)</f>
        <v/>
      </c>
      <c r="L605" s="9">
        <f>SUMIFS('05_Orders'!$I:$I, '05_Orders'!$C:$C, A605)</f>
        <v/>
      </c>
      <c r="M605" s="8">
        <f>IF(L605&gt;=2000, "Platinum VIP", IF(L605&gt;=1000, "Gold", IF(L605&gt;=500, "Silver", "Standard")))</f>
        <v/>
      </c>
    </row>
    <row r="606">
      <c r="A606" s="8" t="inlineStr">
        <is>
          <t>CUST-00602</t>
        </is>
      </c>
      <c r="B606" s="8" t="inlineStr">
        <is>
          <t>Carol Cox</t>
        </is>
      </c>
      <c r="C606" s="8" t="inlineStr">
        <is>
          <t>Female</t>
        </is>
      </c>
      <c r="D606" s="8" t="n">
        <v>39</v>
      </c>
      <c r="E606" s="8">
        <f>IF(D606&lt;25, "18-24", IF(D606&lt;35, "25-34", IF(D606&lt;50, "35-49", "50+")))</f>
        <v/>
      </c>
      <c r="F606" s="8" t="inlineStr">
        <is>
          <t>Santiago</t>
        </is>
      </c>
      <c r="G606" s="8" t="inlineStr">
        <is>
          <t>Santiago Metro</t>
        </is>
      </c>
      <c r="H606" s="8" t="inlineStr">
        <is>
          <t>REG-LATAM</t>
        </is>
      </c>
      <c r="I606" s="8" t="inlineStr">
        <is>
          <t>Consumer</t>
        </is>
      </c>
      <c r="J606" s="8" t="inlineStr">
        <is>
          <t>2022-08-26</t>
        </is>
      </c>
      <c r="K606" s="8">
        <f>COUNTIFS('05_Orders'!$C:$C, A606)</f>
        <v/>
      </c>
      <c r="L606" s="9">
        <f>SUMIFS('05_Orders'!$I:$I, '05_Orders'!$C:$C, A606)</f>
        <v/>
      </c>
      <c r="M606" s="8">
        <f>IF(L606&gt;=2000, "Platinum VIP", IF(L606&gt;=1000, "Gold", IF(L606&gt;=500, "Silver", "Standard")))</f>
        <v/>
      </c>
    </row>
    <row r="607">
      <c r="A607" s="8" t="inlineStr">
        <is>
          <t>CUST-00603</t>
        </is>
      </c>
      <c r="B607" s="8" t="inlineStr">
        <is>
          <t>Nicole Brown</t>
        </is>
      </c>
      <c r="C607" s="8" t="inlineStr">
        <is>
          <t>Male</t>
        </is>
      </c>
      <c r="D607" s="8" t="n">
        <v>56</v>
      </c>
      <c r="E607" s="8">
        <f>IF(D607&lt;25, "18-24", IF(D607&lt;35, "25-34", IF(D607&lt;50, "35-49", "50+")))</f>
        <v/>
      </c>
      <c r="F607" s="8" t="inlineStr">
        <is>
          <t>Seattle</t>
        </is>
      </c>
      <c r="G607" s="8" t="inlineStr">
        <is>
          <t>Washington</t>
        </is>
      </c>
      <c r="H607" s="8" t="inlineStr">
        <is>
          <t>REG-NA</t>
        </is>
      </c>
      <c r="I607" s="8" t="inlineStr">
        <is>
          <t>Corporate</t>
        </is>
      </c>
      <c r="J607" s="8" t="inlineStr">
        <is>
          <t>2025-05-19</t>
        </is>
      </c>
      <c r="K607" s="8">
        <f>COUNTIFS('05_Orders'!$C:$C, A607)</f>
        <v/>
      </c>
      <c r="L607" s="9">
        <f>SUMIFS('05_Orders'!$I:$I, '05_Orders'!$C:$C, A607)</f>
        <v/>
      </c>
      <c r="M607" s="8">
        <f>IF(L607&gt;=2000, "Platinum VIP", IF(L607&gt;=1000, "Gold", IF(L607&gt;=500, "Silver", "Standard")))</f>
        <v/>
      </c>
    </row>
    <row r="608">
      <c r="A608" s="8" t="inlineStr">
        <is>
          <t>CUST-00604</t>
        </is>
      </c>
      <c r="B608" s="8" t="inlineStr">
        <is>
          <t>Ronald Howard</t>
        </is>
      </c>
      <c r="C608" s="8" t="inlineStr">
        <is>
          <t>Male</t>
        </is>
      </c>
      <c r="D608" s="8" t="n">
        <v>60</v>
      </c>
      <c r="E608" s="8">
        <f>IF(D608&lt;25, "18-24", IF(D608&lt;35, "25-34", IF(D608&lt;50, "35-49", "50+")))</f>
        <v/>
      </c>
      <c r="F608" s="8" t="inlineStr">
        <is>
          <t>Seoul</t>
        </is>
      </c>
      <c r="G608" s="8" t="inlineStr">
        <is>
          <t>Gyeonggi</t>
        </is>
      </c>
      <c r="H608" s="8" t="inlineStr">
        <is>
          <t>REG-APAC</t>
        </is>
      </c>
      <c r="I608" s="8" t="inlineStr">
        <is>
          <t>Home Office</t>
        </is>
      </c>
      <c r="J608" s="8" t="inlineStr">
        <is>
          <t>2024-08-22</t>
        </is>
      </c>
      <c r="K608" s="8">
        <f>COUNTIFS('05_Orders'!$C:$C, A608)</f>
        <v/>
      </c>
      <c r="L608" s="9">
        <f>SUMIFS('05_Orders'!$I:$I, '05_Orders'!$C:$C, A608)</f>
        <v/>
      </c>
      <c r="M608" s="8">
        <f>IF(L608&gt;=2000, "Platinum VIP", IF(L608&gt;=1000, "Gold", IF(L608&gt;=500, "Silver", "Standard")))</f>
        <v/>
      </c>
    </row>
    <row r="609">
      <c r="A609" s="8" t="inlineStr">
        <is>
          <t>CUST-00605</t>
        </is>
      </c>
      <c r="B609" s="8" t="inlineStr">
        <is>
          <t>Eric Kelly</t>
        </is>
      </c>
      <c r="C609" s="8" t="inlineStr">
        <is>
          <t>Other</t>
        </is>
      </c>
      <c r="D609" s="8" t="n">
        <v>53</v>
      </c>
      <c r="E609" s="8">
        <f>IF(D609&lt;25, "18-24", IF(D609&lt;35, "25-34", IF(D609&lt;50, "35-49", "50+")))</f>
        <v/>
      </c>
      <c r="F609" s="8" t="inlineStr">
        <is>
          <t>Mumbai</t>
        </is>
      </c>
      <c r="G609" s="8" t="inlineStr">
        <is>
          <t>Maharashtra</t>
        </is>
      </c>
      <c r="H609" s="8" t="inlineStr">
        <is>
          <t>REG-APAC</t>
        </is>
      </c>
      <c r="I609" s="8" t="inlineStr">
        <is>
          <t>Corporate</t>
        </is>
      </c>
      <c r="J609" s="8" t="inlineStr">
        <is>
          <t>2023-12-17</t>
        </is>
      </c>
      <c r="K609" s="8">
        <f>COUNTIFS('05_Orders'!$C:$C, A609)</f>
        <v/>
      </c>
      <c r="L609" s="9">
        <f>SUMIFS('05_Orders'!$I:$I, '05_Orders'!$C:$C, A609)</f>
        <v/>
      </c>
      <c r="M609" s="8">
        <f>IF(L609&gt;=2000, "Platinum VIP", IF(L609&gt;=1000, "Gold", IF(L609&gt;=500, "Silver", "Standard")))</f>
        <v/>
      </c>
    </row>
    <row r="610">
      <c r="A610" s="8" t="inlineStr">
        <is>
          <t>CUST-00606</t>
        </is>
      </c>
      <c r="B610" s="8" t="inlineStr">
        <is>
          <t>Kevin Wright</t>
        </is>
      </c>
      <c r="C610" s="8" t="inlineStr">
        <is>
          <t>Male</t>
        </is>
      </c>
      <c r="D610" s="8" t="n">
        <v>71</v>
      </c>
      <c r="E610" s="8">
        <f>IF(D610&lt;25, "18-24", IF(D610&lt;35, "25-34", IF(D610&lt;50, "35-49", "50+")))</f>
        <v/>
      </c>
      <c r="F610" s="8" t="inlineStr">
        <is>
          <t>Munich</t>
        </is>
      </c>
      <c r="G610" s="8" t="inlineStr">
        <is>
          <t>Bavaria</t>
        </is>
      </c>
      <c r="H610" s="8" t="inlineStr">
        <is>
          <t>REG-EU</t>
        </is>
      </c>
      <c r="I610" s="8" t="inlineStr">
        <is>
          <t>Consumer</t>
        </is>
      </c>
      <c r="J610" s="8" t="inlineStr">
        <is>
          <t>2025-04-22</t>
        </is>
      </c>
      <c r="K610" s="8">
        <f>COUNTIFS('05_Orders'!$C:$C, A610)</f>
        <v/>
      </c>
      <c r="L610" s="9">
        <f>SUMIFS('05_Orders'!$I:$I, '05_Orders'!$C:$C, A610)</f>
        <v/>
      </c>
      <c r="M610" s="8">
        <f>IF(L610&gt;=2000, "Platinum VIP", IF(L610&gt;=1000, "Gold", IF(L610&gt;=500, "Silver", "Standard")))</f>
        <v/>
      </c>
    </row>
    <row r="611">
      <c r="A611" s="8" t="inlineStr">
        <is>
          <t>CUST-00607</t>
        </is>
      </c>
      <c r="B611" s="8" t="inlineStr">
        <is>
          <t>Raymond Walker</t>
        </is>
      </c>
      <c r="C611" s="8" t="inlineStr">
        <is>
          <t>Female</t>
        </is>
      </c>
      <c r="D611" s="8" t="n">
        <v>64</v>
      </c>
      <c r="E611" s="8">
        <f>IF(D611&lt;25, "18-24", IF(D611&lt;35, "25-34", IF(D611&lt;50, "35-49", "50+")))</f>
        <v/>
      </c>
      <c r="F611" s="8" t="inlineStr">
        <is>
          <t>Buenos Aires</t>
        </is>
      </c>
      <c r="G611" s="8" t="inlineStr">
        <is>
          <t>Buenos Aires</t>
        </is>
      </c>
      <c r="H611" s="8" t="inlineStr">
        <is>
          <t>REG-LATAM</t>
        </is>
      </c>
      <c r="I611" s="8" t="inlineStr">
        <is>
          <t>Consumer</t>
        </is>
      </c>
      <c r="J611" s="8" t="inlineStr">
        <is>
          <t>2022-12-22</t>
        </is>
      </c>
      <c r="K611" s="8">
        <f>COUNTIFS('05_Orders'!$C:$C, A611)</f>
        <v/>
      </c>
      <c r="L611" s="9">
        <f>SUMIFS('05_Orders'!$I:$I, '05_Orders'!$C:$C, A611)</f>
        <v/>
      </c>
      <c r="M611" s="8">
        <f>IF(L611&gt;=2000, "Platinum VIP", IF(L611&gt;=1000, "Gold", IF(L611&gt;=500, "Silver", "Standard")))</f>
        <v/>
      </c>
    </row>
    <row r="612">
      <c r="A612" s="8" t="inlineStr">
        <is>
          <t>CUST-00608</t>
        </is>
      </c>
      <c r="B612" s="8" t="inlineStr">
        <is>
          <t>Sandra Edwards</t>
        </is>
      </c>
      <c r="C612" s="8" t="inlineStr">
        <is>
          <t>Female</t>
        </is>
      </c>
      <c r="D612" s="8" t="n">
        <v>32</v>
      </c>
      <c r="E612" s="8">
        <f>IF(D612&lt;25, "18-24", IF(D612&lt;35, "25-34", IF(D612&lt;50, "35-49", "50+")))</f>
        <v/>
      </c>
      <c r="F612" s="8" t="inlineStr">
        <is>
          <t>Berlin</t>
        </is>
      </c>
      <c r="G612" s="8" t="inlineStr">
        <is>
          <t>Berlin</t>
        </is>
      </c>
      <c r="H612" s="8" t="inlineStr">
        <is>
          <t>REG-EU</t>
        </is>
      </c>
      <c r="I612" s="8" t="inlineStr">
        <is>
          <t>Enterprise</t>
        </is>
      </c>
      <c r="J612" s="8" t="inlineStr">
        <is>
          <t>2022-05-17</t>
        </is>
      </c>
      <c r="K612" s="8">
        <f>COUNTIFS('05_Orders'!$C:$C, A612)</f>
        <v/>
      </c>
      <c r="L612" s="9">
        <f>SUMIFS('05_Orders'!$I:$I, '05_Orders'!$C:$C, A612)</f>
        <v/>
      </c>
      <c r="M612" s="8">
        <f>IF(L612&gt;=2000, "Platinum VIP", IF(L612&gt;=1000, "Gold", IF(L612&gt;=500, "Silver", "Standard")))</f>
        <v/>
      </c>
    </row>
    <row r="613">
      <c r="A613" s="8" t="inlineStr">
        <is>
          <t>CUST-00609</t>
        </is>
      </c>
      <c r="B613" s="8" t="inlineStr">
        <is>
          <t>Kimberly Torres</t>
        </is>
      </c>
      <c r="C613" s="8" t="inlineStr">
        <is>
          <t>Female</t>
        </is>
      </c>
      <c r="D613" s="8" t="n">
        <v>38</v>
      </c>
      <c r="E613" s="8">
        <f>IF(D613&lt;25, "18-24", IF(D613&lt;35, "25-34", IF(D613&lt;50, "35-49", "50+")))</f>
        <v/>
      </c>
      <c r="F613" s="8" t="inlineStr">
        <is>
          <t>Atlanta</t>
        </is>
      </c>
      <c r="G613" s="8" t="inlineStr">
        <is>
          <t>Georgia</t>
        </is>
      </c>
      <c r="H613" s="8" t="inlineStr">
        <is>
          <t>REG-NA</t>
        </is>
      </c>
      <c r="I613" s="8" t="inlineStr">
        <is>
          <t>Consumer</t>
        </is>
      </c>
      <c r="J613" s="8" t="inlineStr">
        <is>
          <t>2021-10-31</t>
        </is>
      </c>
      <c r="K613" s="8">
        <f>COUNTIFS('05_Orders'!$C:$C, A613)</f>
        <v/>
      </c>
      <c r="L613" s="9">
        <f>SUMIFS('05_Orders'!$I:$I, '05_Orders'!$C:$C, A613)</f>
        <v/>
      </c>
      <c r="M613" s="8">
        <f>IF(L613&gt;=2000, "Platinum VIP", IF(L613&gt;=1000, "Gold", IF(L613&gt;=500, "Silver", "Standard")))</f>
        <v/>
      </c>
    </row>
    <row r="614">
      <c r="A614" s="8" t="inlineStr">
        <is>
          <t>CUST-00610</t>
        </is>
      </c>
      <c r="B614" s="8" t="inlineStr">
        <is>
          <t>Jacob Johnson</t>
        </is>
      </c>
      <c r="C614" s="8" t="inlineStr">
        <is>
          <t>Male</t>
        </is>
      </c>
      <c r="D614" s="8" t="n">
        <v>25</v>
      </c>
      <c r="E614" s="8">
        <f>IF(D614&lt;25, "18-24", IF(D614&lt;35, "25-34", IF(D614&lt;50, "35-49", "50+")))</f>
        <v/>
      </c>
      <c r="F614" s="8" t="inlineStr">
        <is>
          <t>Boston</t>
        </is>
      </c>
      <c r="G614" s="8" t="inlineStr">
        <is>
          <t>Massachusetts</t>
        </is>
      </c>
      <c r="H614" s="8" t="inlineStr">
        <is>
          <t>REG-NA</t>
        </is>
      </c>
      <c r="I614" s="8" t="inlineStr">
        <is>
          <t>Corporate</t>
        </is>
      </c>
      <c r="J614" s="8" t="inlineStr">
        <is>
          <t>2023-08-21</t>
        </is>
      </c>
      <c r="K614" s="8">
        <f>COUNTIFS('05_Orders'!$C:$C, A614)</f>
        <v/>
      </c>
      <c r="L614" s="9">
        <f>SUMIFS('05_Orders'!$I:$I, '05_Orders'!$C:$C, A614)</f>
        <v/>
      </c>
      <c r="M614" s="8">
        <f>IF(L614&gt;=2000, "Platinum VIP", IF(L614&gt;=1000, "Gold", IF(L614&gt;=500, "Silver", "Standard")))</f>
        <v/>
      </c>
    </row>
    <row r="615">
      <c r="A615" s="8" t="inlineStr">
        <is>
          <t>CUST-00611</t>
        </is>
      </c>
      <c r="B615" s="8" t="inlineStr">
        <is>
          <t>Raymond Perez</t>
        </is>
      </c>
      <c r="C615" s="8" t="inlineStr">
        <is>
          <t>Male</t>
        </is>
      </c>
      <c r="D615" s="8" t="n">
        <v>26</v>
      </c>
      <c r="E615" s="8">
        <f>IF(D615&lt;25, "18-24", IF(D615&lt;35, "25-34", IF(D615&lt;50, "35-49", "50+")))</f>
        <v/>
      </c>
      <c r="F615" s="8" t="inlineStr">
        <is>
          <t>Dublin</t>
        </is>
      </c>
      <c r="G615" s="8" t="inlineStr">
        <is>
          <t>Leinster</t>
        </is>
      </c>
      <c r="H615" s="8" t="inlineStr">
        <is>
          <t>REG-EU</t>
        </is>
      </c>
      <c r="I615" s="8" t="inlineStr">
        <is>
          <t>Home Office</t>
        </is>
      </c>
      <c r="J615" s="8" t="inlineStr">
        <is>
          <t>2023-05-15</t>
        </is>
      </c>
      <c r="K615" s="8">
        <f>COUNTIFS('05_Orders'!$C:$C, A615)</f>
        <v/>
      </c>
      <c r="L615" s="9">
        <f>SUMIFS('05_Orders'!$I:$I, '05_Orders'!$C:$C, A615)</f>
        <v/>
      </c>
      <c r="M615" s="8">
        <f>IF(L615&gt;=2000, "Platinum VIP", IF(L615&gt;=1000, "Gold", IF(L615&gt;=500, "Silver", "Standard")))</f>
        <v/>
      </c>
    </row>
    <row r="616">
      <c r="A616" s="8" t="inlineStr">
        <is>
          <t>CUST-00612</t>
        </is>
      </c>
      <c r="B616" s="8" t="inlineStr">
        <is>
          <t>Jessica Baker</t>
        </is>
      </c>
      <c r="C616" s="8" t="inlineStr">
        <is>
          <t>Female</t>
        </is>
      </c>
      <c r="D616" s="8" t="n">
        <v>55</v>
      </c>
      <c r="E616" s="8">
        <f>IF(D616&lt;25, "18-24", IF(D616&lt;35, "25-34", IF(D616&lt;50, "35-49", "50+")))</f>
        <v/>
      </c>
      <c r="F616" s="8" t="inlineStr">
        <is>
          <t>Manchester</t>
        </is>
      </c>
      <c r="G616" s="8" t="inlineStr">
        <is>
          <t>Greater Manchester</t>
        </is>
      </c>
      <c r="H616" s="8" t="inlineStr">
        <is>
          <t>REG-EU</t>
        </is>
      </c>
      <c r="I616" s="8" t="inlineStr">
        <is>
          <t>Enterprise</t>
        </is>
      </c>
      <c r="J616" s="8" t="inlineStr">
        <is>
          <t>2021-04-03</t>
        </is>
      </c>
      <c r="K616" s="8">
        <f>COUNTIFS('05_Orders'!$C:$C, A616)</f>
        <v/>
      </c>
      <c r="L616" s="9">
        <f>SUMIFS('05_Orders'!$I:$I, '05_Orders'!$C:$C, A616)</f>
        <v/>
      </c>
      <c r="M616" s="8">
        <f>IF(L616&gt;=2000, "Platinum VIP", IF(L616&gt;=1000, "Gold", IF(L616&gt;=500, "Silver", "Standard")))</f>
        <v/>
      </c>
    </row>
    <row r="617">
      <c r="A617" s="8" t="inlineStr">
        <is>
          <t>CUST-00613</t>
        </is>
      </c>
      <c r="B617" s="8" t="inlineStr">
        <is>
          <t>Samuel Edwards</t>
        </is>
      </c>
      <c r="C617" s="8" t="inlineStr">
        <is>
          <t>Other</t>
        </is>
      </c>
      <c r="D617" s="8" t="n">
        <v>71</v>
      </c>
      <c r="E617" s="8">
        <f>IF(D617&lt;25, "18-24", IF(D617&lt;35, "25-34", IF(D617&lt;50, "35-49", "50+")))</f>
        <v/>
      </c>
      <c r="F617" s="8" t="inlineStr">
        <is>
          <t>Madrid</t>
        </is>
      </c>
      <c r="G617" s="8" t="inlineStr">
        <is>
          <t>Community of Madrid</t>
        </is>
      </c>
      <c r="H617" s="8" t="inlineStr">
        <is>
          <t>REG-EU</t>
        </is>
      </c>
      <c r="I617" s="8" t="inlineStr">
        <is>
          <t>Corporate</t>
        </is>
      </c>
      <c r="J617" s="8" t="inlineStr">
        <is>
          <t>2025-02-11</t>
        </is>
      </c>
      <c r="K617" s="8">
        <f>COUNTIFS('05_Orders'!$C:$C, A617)</f>
        <v/>
      </c>
      <c r="L617" s="9">
        <f>SUMIFS('05_Orders'!$I:$I, '05_Orders'!$C:$C, A617)</f>
        <v/>
      </c>
      <c r="M617" s="8">
        <f>IF(L617&gt;=2000, "Platinum VIP", IF(L617&gt;=1000, "Gold", IF(L617&gt;=500, "Silver", "Standard")))</f>
        <v/>
      </c>
    </row>
    <row r="618">
      <c r="A618" s="8" t="inlineStr">
        <is>
          <t>CUST-00614</t>
        </is>
      </c>
      <c r="B618" s="8" t="inlineStr">
        <is>
          <t>David Martin</t>
        </is>
      </c>
      <c r="C618" s="8" t="inlineStr">
        <is>
          <t>Male</t>
        </is>
      </c>
      <c r="D618" s="8" t="n">
        <v>55</v>
      </c>
      <c r="E618" s="8">
        <f>IF(D618&lt;25, "18-24", IF(D618&lt;35, "25-34", IF(D618&lt;50, "35-49", "50+")))</f>
        <v/>
      </c>
      <c r="F618" s="8" t="inlineStr">
        <is>
          <t>Madrid</t>
        </is>
      </c>
      <c r="G618" s="8" t="inlineStr">
        <is>
          <t>Community of Madrid</t>
        </is>
      </c>
      <c r="H618" s="8" t="inlineStr">
        <is>
          <t>REG-EU</t>
        </is>
      </c>
      <c r="I618" s="8" t="inlineStr">
        <is>
          <t>Consumer</t>
        </is>
      </c>
      <c r="J618" s="8" t="inlineStr">
        <is>
          <t>2023-06-18</t>
        </is>
      </c>
      <c r="K618" s="8">
        <f>COUNTIFS('05_Orders'!$C:$C, A618)</f>
        <v/>
      </c>
      <c r="L618" s="9">
        <f>SUMIFS('05_Orders'!$I:$I, '05_Orders'!$C:$C, A618)</f>
        <v/>
      </c>
      <c r="M618" s="8">
        <f>IF(L618&gt;=2000, "Platinum VIP", IF(L618&gt;=1000, "Gold", IF(L618&gt;=500, "Silver", "Standard")))</f>
        <v/>
      </c>
    </row>
    <row r="619">
      <c r="A619" s="8" t="inlineStr">
        <is>
          <t>CUST-00615</t>
        </is>
      </c>
      <c r="B619" s="8" t="inlineStr">
        <is>
          <t>Sandra Hill</t>
        </is>
      </c>
      <c r="C619" s="8" t="inlineStr">
        <is>
          <t>Female</t>
        </is>
      </c>
      <c r="D619" s="8" t="n">
        <v>39</v>
      </c>
      <c r="E619" s="8">
        <f>IF(D619&lt;25, "18-24", IF(D619&lt;35, "25-34", IF(D619&lt;50, "35-49", "50+")))</f>
        <v/>
      </c>
      <c r="F619" s="8" t="inlineStr">
        <is>
          <t>Boston</t>
        </is>
      </c>
      <c r="G619" s="8" t="inlineStr">
        <is>
          <t>Massachusetts</t>
        </is>
      </c>
      <c r="H619" s="8" t="inlineStr">
        <is>
          <t>REG-NA</t>
        </is>
      </c>
      <c r="I619" s="8" t="inlineStr">
        <is>
          <t>Home Office</t>
        </is>
      </c>
      <c r="J619" s="8" t="inlineStr">
        <is>
          <t>2024-04-02</t>
        </is>
      </c>
      <c r="K619" s="8">
        <f>COUNTIFS('05_Orders'!$C:$C, A619)</f>
        <v/>
      </c>
      <c r="L619" s="9">
        <f>SUMIFS('05_Orders'!$I:$I, '05_Orders'!$C:$C, A619)</f>
        <v/>
      </c>
      <c r="M619" s="8">
        <f>IF(L619&gt;=2000, "Platinum VIP", IF(L619&gt;=1000, "Gold", IF(L619&gt;=500, "Silver", "Standard")))</f>
        <v/>
      </c>
    </row>
    <row r="620">
      <c r="A620" s="8" t="inlineStr">
        <is>
          <t>CUST-00616</t>
        </is>
      </c>
      <c r="B620" s="8" t="inlineStr">
        <is>
          <t>Jerry Thompson</t>
        </is>
      </c>
      <c r="C620" s="8" t="inlineStr">
        <is>
          <t>Male</t>
        </is>
      </c>
      <c r="D620" s="8" t="n">
        <v>20</v>
      </c>
      <c r="E620" s="8">
        <f>IF(D620&lt;25, "18-24", IF(D620&lt;35, "25-34", IF(D620&lt;50, "35-49", "50+")))</f>
        <v/>
      </c>
      <c r="F620" s="8" t="inlineStr">
        <is>
          <t>Sydney</t>
        </is>
      </c>
      <c r="G620" s="8" t="inlineStr">
        <is>
          <t>New South Wales</t>
        </is>
      </c>
      <c r="H620" s="8" t="inlineStr">
        <is>
          <t>REG-APAC</t>
        </is>
      </c>
      <c r="I620" s="8" t="inlineStr">
        <is>
          <t>Consumer</t>
        </is>
      </c>
      <c r="J620" s="8" t="inlineStr">
        <is>
          <t>2022-07-24</t>
        </is>
      </c>
      <c r="K620" s="8">
        <f>COUNTIFS('05_Orders'!$C:$C, A620)</f>
        <v/>
      </c>
      <c r="L620" s="9">
        <f>SUMIFS('05_Orders'!$I:$I, '05_Orders'!$C:$C, A620)</f>
        <v/>
      </c>
      <c r="M620" s="8">
        <f>IF(L620&gt;=2000, "Platinum VIP", IF(L620&gt;=1000, "Gold", IF(L620&gt;=500, "Silver", "Standard")))</f>
        <v/>
      </c>
    </row>
    <row r="621">
      <c r="A621" s="8" t="inlineStr">
        <is>
          <t>CUST-00617</t>
        </is>
      </c>
      <c r="B621" s="8" t="inlineStr">
        <is>
          <t>Jessica Torres</t>
        </is>
      </c>
      <c r="C621" s="8" t="inlineStr">
        <is>
          <t>Female</t>
        </is>
      </c>
      <c r="D621" s="8" t="n">
        <v>49</v>
      </c>
      <c r="E621" s="8">
        <f>IF(D621&lt;25, "18-24", IF(D621&lt;35, "25-34", IF(D621&lt;50, "35-49", "50+")))</f>
        <v/>
      </c>
      <c r="F621" s="8" t="inlineStr">
        <is>
          <t>Berlin</t>
        </is>
      </c>
      <c r="G621" s="8" t="inlineStr">
        <is>
          <t>Berlin</t>
        </is>
      </c>
      <c r="H621" s="8" t="inlineStr">
        <is>
          <t>REG-EU</t>
        </is>
      </c>
      <c r="I621" s="8" t="inlineStr">
        <is>
          <t>Consumer</t>
        </is>
      </c>
      <c r="J621" s="8" t="inlineStr">
        <is>
          <t>2022-06-16</t>
        </is>
      </c>
      <c r="K621" s="8">
        <f>COUNTIFS('05_Orders'!$C:$C, A621)</f>
        <v/>
      </c>
      <c r="L621" s="9">
        <f>SUMIFS('05_Orders'!$I:$I, '05_Orders'!$C:$C, A621)</f>
        <v/>
      </c>
      <c r="M621" s="8">
        <f>IF(L621&gt;=2000, "Platinum VIP", IF(L621&gt;=1000, "Gold", IF(L621&gt;=500, "Silver", "Standard")))</f>
        <v/>
      </c>
    </row>
    <row r="622">
      <c r="A622" s="8" t="inlineStr">
        <is>
          <t>CUST-00618</t>
        </is>
      </c>
      <c r="B622" s="8" t="inlineStr">
        <is>
          <t>Charles Gonzalez</t>
        </is>
      </c>
      <c r="C622" s="8" t="inlineStr">
        <is>
          <t>Male</t>
        </is>
      </c>
      <c r="D622" s="8" t="n">
        <v>53</v>
      </c>
      <c r="E622" s="8">
        <f>IF(D622&lt;25, "18-24", IF(D622&lt;35, "25-34", IF(D622&lt;50, "35-49", "50+")))</f>
        <v/>
      </c>
      <c r="F622" s="8" t="inlineStr">
        <is>
          <t>Osaka</t>
        </is>
      </c>
      <c r="G622" s="8" t="inlineStr">
        <is>
          <t>Kansai</t>
        </is>
      </c>
      <c r="H622" s="8" t="inlineStr">
        <is>
          <t>REG-APAC</t>
        </is>
      </c>
      <c r="I622" s="8" t="inlineStr">
        <is>
          <t>Consumer</t>
        </is>
      </c>
      <c r="J622" s="8" t="inlineStr">
        <is>
          <t>2021-03-23</t>
        </is>
      </c>
      <c r="K622" s="8">
        <f>COUNTIFS('05_Orders'!$C:$C, A622)</f>
        <v/>
      </c>
      <c r="L622" s="9">
        <f>SUMIFS('05_Orders'!$I:$I, '05_Orders'!$C:$C, A622)</f>
        <v/>
      </c>
      <c r="M622" s="8">
        <f>IF(L622&gt;=2000, "Platinum VIP", IF(L622&gt;=1000, "Gold", IF(L622&gt;=500, "Silver", "Standard")))</f>
        <v/>
      </c>
    </row>
    <row r="623">
      <c r="A623" s="8" t="inlineStr">
        <is>
          <t>CUST-00619</t>
        </is>
      </c>
      <c r="B623" s="8" t="inlineStr">
        <is>
          <t>Patricia Mitchell</t>
        </is>
      </c>
      <c r="C623" s="8" t="inlineStr">
        <is>
          <t>Male</t>
        </is>
      </c>
      <c r="D623" s="8" t="n">
        <v>36</v>
      </c>
      <c r="E623" s="8">
        <f>IF(D623&lt;25, "18-24", IF(D623&lt;35, "25-34", IF(D623&lt;50, "35-49", "50+")))</f>
        <v/>
      </c>
      <c r="F623" s="8" t="inlineStr">
        <is>
          <t>Medellin</t>
        </is>
      </c>
      <c r="G623" s="8" t="inlineStr">
        <is>
          <t>Antioquia</t>
        </is>
      </c>
      <c r="H623" s="8" t="inlineStr">
        <is>
          <t>REG-LATAM</t>
        </is>
      </c>
      <c r="I623" s="8" t="inlineStr">
        <is>
          <t>Consumer</t>
        </is>
      </c>
      <c r="J623" s="8" t="inlineStr">
        <is>
          <t>2023-07-01</t>
        </is>
      </c>
      <c r="K623" s="8">
        <f>COUNTIFS('05_Orders'!$C:$C, A623)</f>
        <v/>
      </c>
      <c r="L623" s="9">
        <f>SUMIFS('05_Orders'!$I:$I, '05_Orders'!$C:$C, A623)</f>
        <v/>
      </c>
      <c r="M623" s="8">
        <f>IF(L623&gt;=2000, "Platinum VIP", IF(L623&gt;=1000, "Gold", IF(L623&gt;=500, "Silver", "Standard")))</f>
        <v/>
      </c>
    </row>
    <row r="624">
      <c r="A624" s="8" t="inlineStr">
        <is>
          <t>CUST-00620</t>
        </is>
      </c>
      <c r="B624" s="8" t="inlineStr">
        <is>
          <t>Patrick Thomas</t>
        </is>
      </c>
      <c r="C624" s="8" t="inlineStr">
        <is>
          <t>Female</t>
        </is>
      </c>
      <c r="D624" s="8" t="n">
        <v>45</v>
      </c>
      <c r="E624" s="8">
        <f>IF(D624&lt;25, "18-24", IF(D624&lt;35, "25-34", IF(D624&lt;50, "35-49", "50+")))</f>
        <v/>
      </c>
      <c r="F624" s="8" t="inlineStr">
        <is>
          <t>Manchester</t>
        </is>
      </c>
      <c r="G624" s="8" t="inlineStr">
        <is>
          <t>Greater Manchester</t>
        </is>
      </c>
      <c r="H624" s="8" t="inlineStr">
        <is>
          <t>REG-EU</t>
        </is>
      </c>
      <c r="I624" s="8" t="inlineStr">
        <is>
          <t>Home Office</t>
        </is>
      </c>
      <c r="J624" s="8" t="inlineStr">
        <is>
          <t>2022-07-25</t>
        </is>
      </c>
      <c r="K624" s="8">
        <f>COUNTIFS('05_Orders'!$C:$C, A624)</f>
        <v/>
      </c>
      <c r="L624" s="9">
        <f>SUMIFS('05_Orders'!$I:$I, '05_Orders'!$C:$C, A624)</f>
        <v/>
      </c>
      <c r="M624" s="8">
        <f>IF(L624&gt;=2000, "Platinum VIP", IF(L624&gt;=1000, "Gold", IF(L624&gt;=500, "Silver", "Standard")))</f>
        <v/>
      </c>
    </row>
    <row r="625">
      <c r="A625" s="8" t="inlineStr">
        <is>
          <t>CUST-00621</t>
        </is>
      </c>
      <c r="B625" s="8" t="inlineStr">
        <is>
          <t>Diane Lewis</t>
        </is>
      </c>
      <c r="C625" s="8" t="inlineStr">
        <is>
          <t>Other</t>
        </is>
      </c>
      <c r="D625" s="8" t="n">
        <v>22</v>
      </c>
      <c r="E625" s="8">
        <f>IF(D625&lt;25, "18-24", IF(D625&lt;35, "25-34", IF(D625&lt;50, "35-49", "50+")))</f>
        <v/>
      </c>
      <c r="F625" s="8" t="inlineStr">
        <is>
          <t>Boston</t>
        </is>
      </c>
      <c r="G625" s="8" t="inlineStr">
        <is>
          <t>Massachusetts</t>
        </is>
      </c>
      <c r="H625" s="8" t="inlineStr">
        <is>
          <t>REG-NA</t>
        </is>
      </c>
      <c r="I625" s="8" t="inlineStr">
        <is>
          <t>Consumer</t>
        </is>
      </c>
      <c r="J625" s="8" t="inlineStr">
        <is>
          <t>2023-07-18</t>
        </is>
      </c>
      <c r="K625" s="8">
        <f>COUNTIFS('05_Orders'!$C:$C, A625)</f>
        <v/>
      </c>
      <c r="L625" s="9">
        <f>SUMIFS('05_Orders'!$I:$I, '05_Orders'!$C:$C, A625)</f>
        <v/>
      </c>
      <c r="M625" s="8">
        <f>IF(L625&gt;=2000, "Platinum VIP", IF(L625&gt;=1000, "Gold", IF(L625&gt;=500, "Silver", "Standard")))</f>
        <v/>
      </c>
    </row>
    <row r="626">
      <c r="A626" s="8" t="inlineStr">
        <is>
          <t>CUST-00622</t>
        </is>
      </c>
      <c r="B626" s="8" t="inlineStr">
        <is>
          <t>Kevin Jones</t>
        </is>
      </c>
      <c r="C626" s="8" t="inlineStr">
        <is>
          <t>Female</t>
        </is>
      </c>
      <c r="D626" s="8" t="n">
        <v>24</v>
      </c>
      <c r="E626" s="8">
        <f>IF(D626&lt;25, "18-24", IF(D626&lt;35, "25-34", IF(D626&lt;50, "35-49", "50+")))</f>
        <v/>
      </c>
      <c r="F626" s="8" t="inlineStr">
        <is>
          <t>Monterrey</t>
        </is>
      </c>
      <c r="G626" s="8" t="inlineStr">
        <is>
          <t>Nuevo Leon</t>
        </is>
      </c>
      <c r="H626" s="8" t="inlineStr">
        <is>
          <t>REG-LATAM</t>
        </is>
      </c>
      <c r="I626" s="8" t="inlineStr">
        <is>
          <t>Consumer</t>
        </is>
      </c>
      <c r="J626" s="8" t="inlineStr">
        <is>
          <t>2024-02-18</t>
        </is>
      </c>
      <c r="K626" s="8">
        <f>COUNTIFS('05_Orders'!$C:$C, A626)</f>
        <v/>
      </c>
      <c r="L626" s="9">
        <f>SUMIFS('05_Orders'!$I:$I, '05_Orders'!$C:$C, A626)</f>
        <v/>
      </c>
      <c r="M626" s="8">
        <f>IF(L626&gt;=2000, "Platinum VIP", IF(L626&gt;=1000, "Gold", IF(L626&gt;=500, "Silver", "Standard")))</f>
        <v/>
      </c>
    </row>
    <row r="627">
      <c r="A627" s="8" t="inlineStr">
        <is>
          <t>CUST-00623</t>
        </is>
      </c>
      <c r="B627" s="8" t="inlineStr">
        <is>
          <t>Mary Young</t>
        </is>
      </c>
      <c r="C627" s="8" t="inlineStr">
        <is>
          <t>Male</t>
        </is>
      </c>
      <c r="D627" s="8" t="n">
        <v>55</v>
      </c>
      <c r="E627" s="8">
        <f>IF(D627&lt;25, "18-24", IF(D627&lt;35, "25-34", IF(D627&lt;50, "35-49", "50+")))</f>
        <v/>
      </c>
      <c r="F627" s="8" t="inlineStr">
        <is>
          <t>Houston</t>
        </is>
      </c>
      <c r="G627" s="8" t="inlineStr">
        <is>
          <t>Texas</t>
        </is>
      </c>
      <c r="H627" s="8" t="inlineStr">
        <is>
          <t>REG-NA</t>
        </is>
      </c>
      <c r="I627" s="8" t="inlineStr">
        <is>
          <t>Corporate</t>
        </is>
      </c>
      <c r="J627" s="8" t="inlineStr">
        <is>
          <t>2022-06-28</t>
        </is>
      </c>
      <c r="K627" s="8">
        <f>COUNTIFS('05_Orders'!$C:$C, A627)</f>
        <v/>
      </c>
      <c r="L627" s="9">
        <f>SUMIFS('05_Orders'!$I:$I, '05_Orders'!$C:$C, A627)</f>
        <v/>
      </c>
      <c r="M627" s="8">
        <f>IF(L627&gt;=2000, "Platinum VIP", IF(L627&gt;=1000, "Gold", IF(L627&gt;=500, "Silver", "Standard")))</f>
        <v/>
      </c>
    </row>
    <row r="628">
      <c r="A628" s="8" t="inlineStr">
        <is>
          <t>CUST-00624</t>
        </is>
      </c>
      <c r="B628" s="8" t="inlineStr">
        <is>
          <t>Thomas Sanchez</t>
        </is>
      </c>
      <c r="C628" s="8" t="inlineStr">
        <is>
          <t>Other</t>
        </is>
      </c>
      <c r="D628" s="8" t="n">
        <v>23</v>
      </c>
      <c r="E628" s="8">
        <f>IF(D628&lt;25, "18-24", IF(D628&lt;35, "25-34", IF(D628&lt;50, "35-49", "50+")))</f>
        <v/>
      </c>
      <c r="F628" s="8" t="inlineStr">
        <is>
          <t>Guadalajara</t>
        </is>
      </c>
      <c r="G628" s="8" t="inlineStr">
        <is>
          <t>Jalisco</t>
        </is>
      </c>
      <c r="H628" s="8" t="inlineStr">
        <is>
          <t>REG-LATAM</t>
        </is>
      </c>
      <c r="I628" s="8" t="inlineStr">
        <is>
          <t>Consumer</t>
        </is>
      </c>
      <c r="J628" s="8" t="inlineStr">
        <is>
          <t>2021-05-18</t>
        </is>
      </c>
      <c r="K628" s="8">
        <f>COUNTIFS('05_Orders'!$C:$C, A628)</f>
        <v/>
      </c>
      <c r="L628" s="9">
        <f>SUMIFS('05_Orders'!$I:$I, '05_Orders'!$C:$C, A628)</f>
        <v/>
      </c>
      <c r="M628" s="8">
        <f>IF(L628&gt;=2000, "Platinum VIP", IF(L628&gt;=1000, "Gold", IF(L628&gt;=500, "Silver", "Standard")))</f>
        <v/>
      </c>
    </row>
    <row r="629">
      <c r="A629" s="8" t="inlineStr">
        <is>
          <t>CUST-00625</t>
        </is>
      </c>
      <c r="B629" s="8" t="inlineStr">
        <is>
          <t>Raymond King</t>
        </is>
      </c>
      <c r="C629" s="8" t="inlineStr">
        <is>
          <t>Other</t>
        </is>
      </c>
      <c r="D629" s="8" t="n">
        <v>42</v>
      </c>
      <c r="E629" s="8">
        <f>IF(D629&lt;25, "18-24", IF(D629&lt;35, "25-34", IF(D629&lt;50, "35-49", "50+")))</f>
        <v/>
      </c>
      <c r="F629" s="8" t="inlineStr">
        <is>
          <t>Munich</t>
        </is>
      </c>
      <c r="G629" s="8" t="inlineStr">
        <is>
          <t>Bavaria</t>
        </is>
      </c>
      <c r="H629" s="8" t="inlineStr">
        <is>
          <t>REG-EU</t>
        </is>
      </c>
      <c r="I629" s="8" t="inlineStr">
        <is>
          <t>Corporate</t>
        </is>
      </c>
      <c r="J629" s="8" t="inlineStr">
        <is>
          <t>2023-09-19</t>
        </is>
      </c>
      <c r="K629" s="8">
        <f>COUNTIFS('05_Orders'!$C:$C, A629)</f>
        <v/>
      </c>
      <c r="L629" s="9">
        <f>SUMIFS('05_Orders'!$I:$I, '05_Orders'!$C:$C, A629)</f>
        <v/>
      </c>
      <c r="M629" s="8">
        <f>IF(L629&gt;=2000, "Platinum VIP", IF(L629&gt;=1000, "Gold", IF(L629&gt;=500, "Silver", "Standard")))</f>
        <v/>
      </c>
    </row>
    <row r="630">
      <c r="A630" s="8" t="inlineStr">
        <is>
          <t>CUST-00626</t>
        </is>
      </c>
      <c r="B630" s="8" t="inlineStr">
        <is>
          <t>Donna Bennett</t>
        </is>
      </c>
      <c r="C630" s="8" t="inlineStr">
        <is>
          <t>Female</t>
        </is>
      </c>
      <c r="D630" s="8" t="n">
        <v>49</v>
      </c>
      <c r="E630" s="8">
        <f>IF(D630&lt;25, "18-24", IF(D630&lt;35, "25-34", IF(D630&lt;50, "35-49", "50+")))</f>
        <v/>
      </c>
      <c r="F630" s="8" t="inlineStr">
        <is>
          <t>Seoul</t>
        </is>
      </c>
      <c r="G630" s="8" t="inlineStr">
        <is>
          <t>Gyeonggi</t>
        </is>
      </c>
      <c r="H630" s="8" t="inlineStr">
        <is>
          <t>REG-APAC</t>
        </is>
      </c>
      <c r="I630" s="8" t="inlineStr">
        <is>
          <t>Corporate</t>
        </is>
      </c>
      <c r="J630" s="8" t="inlineStr">
        <is>
          <t>2024-01-18</t>
        </is>
      </c>
      <c r="K630" s="8">
        <f>COUNTIFS('05_Orders'!$C:$C, A630)</f>
        <v/>
      </c>
      <c r="L630" s="9">
        <f>SUMIFS('05_Orders'!$I:$I, '05_Orders'!$C:$C, A630)</f>
        <v/>
      </c>
      <c r="M630" s="8">
        <f>IF(L630&gt;=2000, "Platinum VIP", IF(L630&gt;=1000, "Gold", IF(L630&gt;=500, "Silver", "Standard")))</f>
        <v/>
      </c>
    </row>
    <row r="631">
      <c r="A631" s="8" t="inlineStr">
        <is>
          <t>CUST-00627</t>
        </is>
      </c>
      <c r="B631" s="8" t="inlineStr">
        <is>
          <t>Jerry Ross</t>
        </is>
      </c>
      <c r="C631" s="8" t="inlineStr">
        <is>
          <t>Female</t>
        </is>
      </c>
      <c r="D631" s="8" t="n">
        <v>44</v>
      </c>
      <c r="E631" s="8">
        <f>IF(D631&lt;25, "18-24", IF(D631&lt;35, "25-34", IF(D631&lt;50, "35-49", "50+")))</f>
        <v/>
      </c>
      <c r="F631" s="8" t="inlineStr">
        <is>
          <t>Santiago</t>
        </is>
      </c>
      <c r="G631" s="8" t="inlineStr">
        <is>
          <t>Santiago Metro</t>
        </is>
      </c>
      <c r="H631" s="8" t="inlineStr">
        <is>
          <t>REG-LATAM</t>
        </is>
      </c>
      <c r="I631" s="8" t="inlineStr">
        <is>
          <t>Consumer</t>
        </is>
      </c>
      <c r="J631" s="8" t="inlineStr">
        <is>
          <t>2023-05-21</t>
        </is>
      </c>
      <c r="K631" s="8">
        <f>COUNTIFS('05_Orders'!$C:$C, A631)</f>
        <v/>
      </c>
      <c r="L631" s="9">
        <f>SUMIFS('05_Orders'!$I:$I, '05_Orders'!$C:$C, A631)</f>
        <v/>
      </c>
      <c r="M631" s="8">
        <f>IF(L631&gt;=2000, "Platinum VIP", IF(L631&gt;=1000, "Gold", IF(L631&gt;=500, "Silver", "Standard")))</f>
        <v/>
      </c>
    </row>
    <row r="632">
      <c r="A632" s="8" t="inlineStr">
        <is>
          <t>CUST-00628</t>
        </is>
      </c>
      <c r="B632" s="8" t="inlineStr">
        <is>
          <t>Catherine Gomez</t>
        </is>
      </c>
      <c r="C632" s="8" t="inlineStr">
        <is>
          <t>Other</t>
        </is>
      </c>
      <c r="D632" s="8" t="n">
        <v>26</v>
      </c>
      <c r="E632" s="8">
        <f>IF(D632&lt;25, "18-24", IF(D632&lt;35, "25-34", IF(D632&lt;50, "35-49", "50+")))</f>
        <v/>
      </c>
      <c r="F632" s="8" t="inlineStr">
        <is>
          <t>Bangalore</t>
        </is>
      </c>
      <c r="G632" s="8" t="inlineStr">
        <is>
          <t>Karnataka</t>
        </is>
      </c>
      <c r="H632" s="8" t="inlineStr">
        <is>
          <t>REG-APAC</t>
        </is>
      </c>
      <c r="I632" s="8" t="inlineStr">
        <is>
          <t>Home Office</t>
        </is>
      </c>
      <c r="J632" s="8" t="inlineStr">
        <is>
          <t>2023-09-29</t>
        </is>
      </c>
      <c r="K632" s="8">
        <f>COUNTIFS('05_Orders'!$C:$C, A632)</f>
        <v/>
      </c>
      <c r="L632" s="9">
        <f>SUMIFS('05_Orders'!$I:$I, '05_Orders'!$C:$C, A632)</f>
        <v/>
      </c>
      <c r="M632" s="8">
        <f>IF(L632&gt;=2000, "Platinum VIP", IF(L632&gt;=1000, "Gold", IF(L632&gt;=500, "Silver", "Standard")))</f>
        <v/>
      </c>
    </row>
    <row r="633">
      <c r="A633" s="8" t="inlineStr">
        <is>
          <t>CUST-00629</t>
        </is>
      </c>
      <c r="B633" s="8" t="inlineStr">
        <is>
          <t>Betty Evans</t>
        </is>
      </c>
      <c r="C633" s="8" t="inlineStr">
        <is>
          <t>Male</t>
        </is>
      </c>
      <c r="D633" s="8" t="n">
        <v>53</v>
      </c>
      <c r="E633" s="8">
        <f>IF(D633&lt;25, "18-24", IF(D633&lt;35, "25-34", IF(D633&lt;50, "35-49", "50+")))</f>
        <v/>
      </c>
      <c r="F633" s="8" t="inlineStr">
        <is>
          <t>Melbourne</t>
        </is>
      </c>
      <c r="G633" s="8" t="inlineStr">
        <is>
          <t>Victoria</t>
        </is>
      </c>
      <c r="H633" s="8" t="inlineStr">
        <is>
          <t>REG-APAC</t>
        </is>
      </c>
      <c r="I633" s="8" t="inlineStr">
        <is>
          <t>Corporate</t>
        </is>
      </c>
      <c r="J633" s="8" t="inlineStr">
        <is>
          <t>2023-04-23</t>
        </is>
      </c>
      <c r="K633" s="8">
        <f>COUNTIFS('05_Orders'!$C:$C, A633)</f>
        <v/>
      </c>
      <c r="L633" s="9">
        <f>SUMIFS('05_Orders'!$I:$I, '05_Orders'!$C:$C, A633)</f>
        <v/>
      </c>
      <c r="M633" s="8">
        <f>IF(L633&gt;=2000, "Platinum VIP", IF(L633&gt;=1000, "Gold", IF(L633&gt;=500, "Silver", "Standard")))</f>
        <v/>
      </c>
    </row>
    <row r="634">
      <c r="A634" s="8" t="inlineStr">
        <is>
          <t>CUST-00630</t>
        </is>
      </c>
      <c r="B634" s="8" t="inlineStr">
        <is>
          <t>Andrew Morales</t>
        </is>
      </c>
      <c r="C634" s="8" t="inlineStr">
        <is>
          <t>Other</t>
        </is>
      </c>
      <c r="D634" s="8" t="n">
        <v>32</v>
      </c>
      <c r="E634" s="8">
        <f>IF(D634&lt;25, "18-24", IF(D634&lt;35, "25-34", IF(D634&lt;50, "35-49", "50+")))</f>
        <v/>
      </c>
      <c r="F634" s="8" t="inlineStr">
        <is>
          <t>New York</t>
        </is>
      </c>
      <c r="G634" s="8" t="inlineStr">
        <is>
          <t>New York</t>
        </is>
      </c>
      <c r="H634" s="8" t="inlineStr">
        <is>
          <t>REG-NA</t>
        </is>
      </c>
      <c r="I634" s="8" t="inlineStr">
        <is>
          <t>Consumer</t>
        </is>
      </c>
      <c r="J634" s="8" t="inlineStr">
        <is>
          <t>2023-04-20</t>
        </is>
      </c>
      <c r="K634" s="8">
        <f>COUNTIFS('05_Orders'!$C:$C, A634)</f>
        <v/>
      </c>
      <c r="L634" s="9">
        <f>SUMIFS('05_Orders'!$I:$I, '05_Orders'!$C:$C, A634)</f>
        <v/>
      </c>
      <c r="M634" s="8">
        <f>IF(L634&gt;=2000, "Platinum VIP", IF(L634&gt;=1000, "Gold", IF(L634&gt;=500, "Silver", "Standard")))</f>
        <v/>
      </c>
    </row>
    <row r="635">
      <c r="A635" s="8" t="inlineStr">
        <is>
          <t>CUST-00631</t>
        </is>
      </c>
      <c r="B635" s="8" t="inlineStr">
        <is>
          <t>Joseph Ward</t>
        </is>
      </c>
      <c r="C635" s="8" t="inlineStr">
        <is>
          <t>Other</t>
        </is>
      </c>
      <c r="D635" s="8" t="n">
        <v>45</v>
      </c>
      <c r="E635" s="8">
        <f>IF(D635&lt;25, "18-24", IF(D635&lt;35, "25-34", IF(D635&lt;50, "35-49", "50+")))</f>
        <v/>
      </c>
      <c r="F635" s="8" t="inlineStr">
        <is>
          <t>Boston</t>
        </is>
      </c>
      <c r="G635" s="8" t="inlineStr">
        <is>
          <t>Massachusetts</t>
        </is>
      </c>
      <c r="H635" s="8" t="inlineStr">
        <is>
          <t>REG-NA</t>
        </is>
      </c>
      <c r="I635" s="8" t="inlineStr">
        <is>
          <t>Consumer</t>
        </is>
      </c>
      <c r="J635" s="8" t="inlineStr">
        <is>
          <t>2025-01-19</t>
        </is>
      </c>
      <c r="K635" s="8">
        <f>COUNTIFS('05_Orders'!$C:$C, A635)</f>
        <v/>
      </c>
      <c r="L635" s="9">
        <f>SUMIFS('05_Orders'!$I:$I, '05_Orders'!$C:$C, A635)</f>
        <v/>
      </c>
      <c r="M635" s="8">
        <f>IF(L635&gt;=2000, "Platinum VIP", IF(L635&gt;=1000, "Gold", IF(L635&gt;=500, "Silver", "Standard")))</f>
        <v/>
      </c>
    </row>
    <row r="636">
      <c r="A636" s="8" t="inlineStr">
        <is>
          <t>CUST-00632</t>
        </is>
      </c>
      <c r="B636" s="8" t="inlineStr">
        <is>
          <t>Melissa Foster</t>
        </is>
      </c>
      <c r="C636" s="8" t="inlineStr">
        <is>
          <t>Other</t>
        </is>
      </c>
      <c r="D636" s="8" t="n">
        <v>22</v>
      </c>
      <c r="E636" s="8">
        <f>IF(D636&lt;25, "18-24", IF(D636&lt;35, "25-34", IF(D636&lt;50, "35-49", "50+")))</f>
        <v/>
      </c>
      <c r="F636" s="8" t="inlineStr">
        <is>
          <t>Dublin</t>
        </is>
      </c>
      <c r="G636" s="8" t="inlineStr">
        <is>
          <t>Leinster</t>
        </is>
      </c>
      <c r="H636" s="8" t="inlineStr">
        <is>
          <t>REG-EU</t>
        </is>
      </c>
      <c r="I636" s="8" t="inlineStr">
        <is>
          <t>Consumer</t>
        </is>
      </c>
      <c r="J636" s="8" t="inlineStr">
        <is>
          <t>2024-01-02</t>
        </is>
      </c>
      <c r="K636" s="8">
        <f>COUNTIFS('05_Orders'!$C:$C, A636)</f>
        <v/>
      </c>
      <c r="L636" s="9">
        <f>SUMIFS('05_Orders'!$I:$I, '05_Orders'!$C:$C, A636)</f>
        <v/>
      </c>
      <c r="M636" s="8">
        <f>IF(L636&gt;=2000, "Platinum VIP", IF(L636&gt;=1000, "Gold", IF(L636&gt;=500, "Silver", "Standard")))</f>
        <v/>
      </c>
    </row>
    <row r="637">
      <c r="A637" s="8" t="inlineStr">
        <is>
          <t>CUST-00633</t>
        </is>
      </c>
      <c r="B637" s="8" t="inlineStr">
        <is>
          <t>Sandra Nguyen</t>
        </is>
      </c>
      <c r="C637" s="8" t="inlineStr">
        <is>
          <t>Male</t>
        </is>
      </c>
      <c r="D637" s="8" t="n">
        <v>41</v>
      </c>
      <c r="E637" s="8">
        <f>IF(D637&lt;25, "18-24", IF(D637&lt;35, "25-34", IF(D637&lt;50, "35-49", "50+")))</f>
        <v/>
      </c>
      <c r="F637" s="8" t="inlineStr">
        <is>
          <t>Houston</t>
        </is>
      </c>
      <c r="G637" s="8" t="inlineStr">
        <is>
          <t>Texas</t>
        </is>
      </c>
      <c r="H637" s="8" t="inlineStr">
        <is>
          <t>REG-NA</t>
        </is>
      </c>
      <c r="I637" s="8" t="inlineStr">
        <is>
          <t>Corporate</t>
        </is>
      </c>
      <c r="J637" s="8" t="inlineStr">
        <is>
          <t>2022-05-25</t>
        </is>
      </c>
      <c r="K637" s="8">
        <f>COUNTIFS('05_Orders'!$C:$C, A637)</f>
        <v/>
      </c>
      <c r="L637" s="9">
        <f>SUMIFS('05_Orders'!$I:$I, '05_Orders'!$C:$C, A637)</f>
        <v/>
      </c>
      <c r="M637" s="8">
        <f>IF(L637&gt;=2000, "Platinum VIP", IF(L637&gt;=1000, "Gold", IF(L637&gt;=500, "Silver", "Standard")))</f>
        <v/>
      </c>
    </row>
    <row r="638">
      <c r="A638" s="8" t="inlineStr">
        <is>
          <t>CUST-00634</t>
        </is>
      </c>
      <c r="B638" s="8" t="inlineStr">
        <is>
          <t>Susan Cook</t>
        </is>
      </c>
      <c r="C638" s="8" t="inlineStr">
        <is>
          <t>Female</t>
        </is>
      </c>
      <c r="D638" s="8" t="n">
        <v>68</v>
      </c>
      <c r="E638" s="8">
        <f>IF(D638&lt;25, "18-24", IF(D638&lt;35, "25-34", IF(D638&lt;50, "35-49", "50+")))</f>
        <v/>
      </c>
      <c r="F638" s="8" t="inlineStr">
        <is>
          <t>Berlin</t>
        </is>
      </c>
      <c r="G638" s="8" t="inlineStr">
        <is>
          <t>Berlin</t>
        </is>
      </c>
      <c r="H638" s="8" t="inlineStr">
        <is>
          <t>REG-EU</t>
        </is>
      </c>
      <c r="I638" s="8" t="inlineStr">
        <is>
          <t>Consumer</t>
        </is>
      </c>
      <c r="J638" s="8" t="inlineStr">
        <is>
          <t>2021-02-19</t>
        </is>
      </c>
      <c r="K638" s="8">
        <f>COUNTIFS('05_Orders'!$C:$C, A638)</f>
        <v/>
      </c>
      <c r="L638" s="9">
        <f>SUMIFS('05_Orders'!$I:$I, '05_Orders'!$C:$C, A638)</f>
        <v/>
      </c>
      <c r="M638" s="8">
        <f>IF(L638&gt;=2000, "Platinum VIP", IF(L638&gt;=1000, "Gold", IF(L638&gt;=500, "Silver", "Standard")))</f>
        <v/>
      </c>
    </row>
    <row r="639">
      <c r="A639" s="8" t="inlineStr">
        <is>
          <t>CUST-00635</t>
        </is>
      </c>
      <c r="B639" s="8" t="inlineStr">
        <is>
          <t>Jessica Carter</t>
        </is>
      </c>
      <c r="C639" s="8" t="inlineStr">
        <is>
          <t>Other</t>
        </is>
      </c>
      <c r="D639" s="8" t="n">
        <v>43</v>
      </c>
      <c r="E639" s="8">
        <f>IF(D639&lt;25, "18-24", IF(D639&lt;35, "25-34", IF(D639&lt;50, "35-49", "50+")))</f>
        <v/>
      </c>
      <c r="F639" s="8" t="inlineStr">
        <is>
          <t>Phoenix</t>
        </is>
      </c>
      <c r="G639" s="8" t="inlineStr">
        <is>
          <t>Arizona</t>
        </is>
      </c>
      <c r="H639" s="8" t="inlineStr">
        <is>
          <t>REG-NA</t>
        </is>
      </c>
      <c r="I639" s="8" t="inlineStr">
        <is>
          <t>Home Office</t>
        </is>
      </c>
      <c r="J639" s="8" t="inlineStr">
        <is>
          <t>2021-06-06</t>
        </is>
      </c>
      <c r="K639" s="8">
        <f>COUNTIFS('05_Orders'!$C:$C, A639)</f>
        <v/>
      </c>
      <c r="L639" s="9">
        <f>SUMIFS('05_Orders'!$I:$I, '05_Orders'!$C:$C, A639)</f>
        <v/>
      </c>
      <c r="M639" s="8">
        <f>IF(L639&gt;=2000, "Platinum VIP", IF(L639&gt;=1000, "Gold", IF(L639&gt;=500, "Silver", "Standard")))</f>
        <v/>
      </c>
    </row>
    <row r="640">
      <c r="A640" s="8" t="inlineStr">
        <is>
          <t>CUST-00636</t>
        </is>
      </c>
      <c r="B640" s="8" t="inlineStr">
        <is>
          <t>Mary Myers</t>
        </is>
      </c>
      <c r="C640" s="8" t="inlineStr">
        <is>
          <t>Other</t>
        </is>
      </c>
      <c r="D640" s="8" t="n">
        <v>56</v>
      </c>
      <c r="E640" s="8">
        <f>IF(D640&lt;25, "18-24", IF(D640&lt;35, "25-34", IF(D640&lt;50, "35-49", "50+")))</f>
        <v/>
      </c>
      <c r="F640" s="8" t="inlineStr">
        <is>
          <t>Rio de Janeiro</t>
        </is>
      </c>
      <c r="G640" s="8" t="inlineStr">
        <is>
          <t>Rio de Janeiro State</t>
        </is>
      </c>
      <c r="H640" s="8" t="inlineStr">
        <is>
          <t>REG-LATAM</t>
        </is>
      </c>
      <c r="I640" s="8" t="inlineStr">
        <is>
          <t>Corporate</t>
        </is>
      </c>
      <c r="J640" s="8" t="inlineStr">
        <is>
          <t>2023-03-13</t>
        </is>
      </c>
      <c r="K640" s="8">
        <f>COUNTIFS('05_Orders'!$C:$C, A640)</f>
        <v/>
      </c>
      <c r="L640" s="9">
        <f>SUMIFS('05_Orders'!$I:$I, '05_Orders'!$C:$C, A640)</f>
        <v/>
      </c>
      <c r="M640" s="8">
        <f>IF(L640&gt;=2000, "Platinum VIP", IF(L640&gt;=1000, "Gold", IF(L640&gt;=500, "Silver", "Standard")))</f>
        <v/>
      </c>
    </row>
    <row r="641">
      <c r="A641" s="8" t="inlineStr">
        <is>
          <t>CUST-00637</t>
        </is>
      </c>
      <c r="B641" s="8" t="inlineStr">
        <is>
          <t>Angela Myers</t>
        </is>
      </c>
      <c r="C641" s="8" t="inlineStr">
        <is>
          <t>Male</t>
        </is>
      </c>
      <c r="D641" s="8" t="n">
        <v>37</v>
      </c>
      <c r="E641" s="8">
        <f>IF(D641&lt;25, "18-24", IF(D641&lt;35, "25-34", IF(D641&lt;50, "35-49", "50+")))</f>
        <v/>
      </c>
      <c r="F641" s="8" t="inlineStr">
        <is>
          <t>Houston</t>
        </is>
      </c>
      <c r="G641" s="8" t="inlineStr">
        <is>
          <t>Texas</t>
        </is>
      </c>
      <c r="H641" s="8" t="inlineStr">
        <is>
          <t>REG-NA</t>
        </is>
      </c>
      <c r="I641" s="8" t="inlineStr">
        <is>
          <t>Consumer</t>
        </is>
      </c>
      <c r="J641" s="8" t="inlineStr">
        <is>
          <t>2024-09-05</t>
        </is>
      </c>
      <c r="K641" s="8">
        <f>COUNTIFS('05_Orders'!$C:$C, A641)</f>
        <v/>
      </c>
      <c r="L641" s="9">
        <f>SUMIFS('05_Orders'!$I:$I, '05_Orders'!$C:$C, A641)</f>
        <v/>
      </c>
      <c r="M641" s="8">
        <f>IF(L641&gt;=2000, "Platinum VIP", IF(L641&gt;=1000, "Gold", IF(L641&gt;=500, "Silver", "Standard")))</f>
        <v/>
      </c>
    </row>
    <row r="642">
      <c r="A642" s="8" t="inlineStr">
        <is>
          <t>CUST-00638</t>
        </is>
      </c>
      <c r="B642" s="8" t="inlineStr">
        <is>
          <t>Jason Bailey</t>
        </is>
      </c>
      <c r="C642" s="8" t="inlineStr">
        <is>
          <t>Female</t>
        </is>
      </c>
      <c r="D642" s="8" t="n">
        <v>45</v>
      </c>
      <c r="E642" s="8">
        <f>IF(D642&lt;25, "18-24", IF(D642&lt;35, "25-34", IF(D642&lt;50, "35-49", "50+")))</f>
        <v/>
      </c>
      <c r="F642" s="8" t="inlineStr">
        <is>
          <t>Boston</t>
        </is>
      </c>
      <c r="G642" s="8" t="inlineStr">
        <is>
          <t>Massachusetts</t>
        </is>
      </c>
      <c r="H642" s="8" t="inlineStr">
        <is>
          <t>REG-NA</t>
        </is>
      </c>
      <c r="I642" s="8" t="inlineStr">
        <is>
          <t>Corporate</t>
        </is>
      </c>
      <c r="J642" s="8" t="inlineStr">
        <is>
          <t>2023-02-23</t>
        </is>
      </c>
      <c r="K642" s="8">
        <f>COUNTIFS('05_Orders'!$C:$C, A642)</f>
        <v/>
      </c>
      <c r="L642" s="9">
        <f>SUMIFS('05_Orders'!$I:$I, '05_Orders'!$C:$C, A642)</f>
        <v/>
      </c>
      <c r="M642" s="8">
        <f>IF(L642&gt;=2000, "Platinum VIP", IF(L642&gt;=1000, "Gold", IF(L642&gt;=500, "Silver", "Standard")))</f>
        <v/>
      </c>
    </row>
    <row r="643">
      <c r="A643" s="8" t="inlineStr">
        <is>
          <t>CUST-00639</t>
        </is>
      </c>
      <c r="B643" s="8" t="inlineStr">
        <is>
          <t>Anna Alvarez</t>
        </is>
      </c>
      <c r="C643" s="8" t="inlineStr">
        <is>
          <t>Male</t>
        </is>
      </c>
      <c r="D643" s="8" t="n">
        <v>46</v>
      </c>
      <c r="E643" s="8">
        <f>IF(D643&lt;25, "18-24", IF(D643&lt;35, "25-34", IF(D643&lt;50, "35-49", "50+")))</f>
        <v/>
      </c>
      <c r="F643" s="8" t="inlineStr">
        <is>
          <t>New York</t>
        </is>
      </c>
      <c r="G643" s="8" t="inlineStr">
        <is>
          <t>New York</t>
        </is>
      </c>
      <c r="H643" s="8" t="inlineStr">
        <is>
          <t>REG-NA</t>
        </is>
      </c>
      <c r="I643" s="8" t="inlineStr">
        <is>
          <t>Consumer</t>
        </is>
      </c>
      <c r="J643" s="8" t="inlineStr">
        <is>
          <t>2022-04-21</t>
        </is>
      </c>
      <c r="K643" s="8">
        <f>COUNTIFS('05_Orders'!$C:$C, A643)</f>
        <v/>
      </c>
      <c r="L643" s="9">
        <f>SUMIFS('05_Orders'!$I:$I, '05_Orders'!$C:$C, A643)</f>
        <v/>
      </c>
      <c r="M643" s="8">
        <f>IF(L643&gt;=2000, "Platinum VIP", IF(L643&gt;=1000, "Gold", IF(L643&gt;=500, "Silver", "Standard")))</f>
        <v/>
      </c>
    </row>
    <row r="644">
      <c r="A644" s="8" t="inlineStr">
        <is>
          <t>CUST-00640</t>
        </is>
      </c>
      <c r="B644" s="8" t="inlineStr">
        <is>
          <t>Charles Watson</t>
        </is>
      </c>
      <c r="C644" s="8" t="inlineStr">
        <is>
          <t>Male</t>
        </is>
      </c>
      <c r="D644" s="8" t="n">
        <v>24</v>
      </c>
      <c r="E644" s="8">
        <f>IF(D644&lt;25, "18-24", IF(D644&lt;35, "25-34", IF(D644&lt;50, "35-49", "50+")))</f>
        <v/>
      </c>
      <c r="F644" s="8" t="inlineStr">
        <is>
          <t>Munich</t>
        </is>
      </c>
      <c r="G644" s="8" t="inlineStr">
        <is>
          <t>Bavaria</t>
        </is>
      </c>
      <c r="H644" s="8" t="inlineStr">
        <is>
          <t>REG-EU</t>
        </is>
      </c>
      <c r="I644" s="8" t="inlineStr">
        <is>
          <t>Home Office</t>
        </is>
      </c>
      <c r="J644" s="8" t="inlineStr">
        <is>
          <t>2023-10-01</t>
        </is>
      </c>
      <c r="K644" s="8">
        <f>COUNTIFS('05_Orders'!$C:$C, A644)</f>
        <v/>
      </c>
      <c r="L644" s="9">
        <f>SUMIFS('05_Orders'!$I:$I, '05_Orders'!$C:$C, A644)</f>
        <v/>
      </c>
      <c r="M644" s="8">
        <f>IF(L644&gt;=2000, "Platinum VIP", IF(L644&gt;=1000, "Gold", IF(L644&gt;=500, "Silver", "Standard")))</f>
        <v/>
      </c>
    </row>
    <row r="645">
      <c r="A645" s="8" t="inlineStr">
        <is>
          <t>CUST-00641</t>
        </is>
      </c>
      <c r="B645" s="8" t="inlineStr">
        <is>
          <t>Jonathan Castillo</t>
        </is>
      </c>
      <c r="C645" s="8" t="inlineStr">
        <is>
          <t>Other</t>
        </is>
      </c>
      <c r="D645" s="8" t="n">
        <v>66</v>
      </c>
      <c r="E645" s="8">
        <f>IF(D645&lt;25, "18-24", IF(D645&lt;35, "25-34", IF(D645&lt;50, "35-49", "50+")))</f>
        <v/>
      </c>
      <c r="F645" s="8" t="inlineStr">
        <is>
          <t>Toronto</t>
        </is>
      </c>
      <c r="G645" s="8" t="inlineStr">
        <is>
          <t>Ontario</t>
        </is>
      </c>
      <c r="H645" s="8" t="inlineStr">
        <is>
          <t>REG-NA</t>
        </is>
      </c>
      <c r="I645" s="8" t="inlineStr">
        <is>
          <t>Consumer</t>
        </is>
      </c>
      <c r="J645" s="8" t="inlineStr">
        <is>
          <t>2022-09-30</t>
        </is>
      </c>
      <c r="K645" s="8">
        <f>COUNTIFS('05_Orders'!$C:$C, A645)</f>
        <v/>
      </c>
      <c r="L645" s="9">
        <f>SUMIFS('05_Orders'!$I:$I, '05_Orders'!$C:$C, A645)</f>
        <v/>
      </c>
      <c r="M645" s="8">
        <f>IF(L645&gt;=2000, "Platinum VIP", IF(L645&gt;=1000, "Gold", IF(L645&gt;=500, "Silver", "Standard")))</f>
        <v/>
      </c>
    </row>
    <row r="646">
      <c r="A646" s="8" t="inlineStr">
        <is>
          <t>CUST-00642</t>
        </is>
      </c>
      <c r="B646" s="8" t="inlineStr">
        <is>
          <t>Brandon Evans</t>
        </is>
      </c>
      <c r="C646" s="8" t="inlineStr">
        <is>
          <t>Male</t>
        </is>
      </c>
      <c r="D646" s="8" t="n">
        <v>35</v>
      </c>
      <c r="E646" s="8">
        <f>IF(D646&lt;25, "18-24", IF(D646&lt;35, "25-34", IF(D646&lt;50, "35-49", "50+")))</f>
        <v/>
      </c>
      <c r="F646" s="8" t="inlineStr">
        <is>
          <t>Dublin</t>
        </is>
      </c>
      <c r="G646" s="8" t="inlineStr">
        <is>
          <t>Leinster</t>
        </is>
      </c>
      <c r="H646" s="8" t="inlineStr">
        <is>
          <t>REG-EU</t>
        </is>
      </c>
      <c r="I646" s="8" t="inlineStr">
        <is>
          <t>Home Office</t>
        </is>
      </c>
      <c r="J646" s="8" t="inlineStr">
        <is>
          <t>2024-01-23</t>
        </is>
      </c>
      <c r="K646" s="8">
        <f>COUNTIFS('05_Orders'!$C:$C, A646)</f>
        <v/>
      </c>
      <c r="L646" s="9">
        <f>SUMIFS('05_Orders'!$I:$I, '05_Orders'!$C:$C, A646)</f>
        <v/>
      </c>
      <c r="M646" s="8">
        <f>IF(L646&gt;=2000, "Platinum VIP", IF(L646&gt;=1000, "Gold", IF(L646&gt;=500, "Silver", "Standard")))</f>
        <v/>
      </c>
    </row>
    <row r="647">
      <c r="A647" s="8" t="inlineStr">
        <is>
          <t>CUST-00643</t>
        </is>
      </c>
      <c r="B647" s="8" t="inlineStr">
        <is>
          <t>Amy Rogers</t>
        </is>
      </c>
      <c r="C647" s="8" t="inlineStr">
        <is>
          <t>Other</t>
        </is>
      </c>
      <c r="D647" s="8" t="n">
        <v>72</v>
      </c>
      <c r="E647" s="8">
        <f>IF(D647&lt;25, "18-24", IF(D647&lt;35, "25-34", IF(D647&lt;50, "35-49", "50+")))</f>
        <v/>
      </c>
      <c r="F647" s="8" t="inlineStr">
        <is>
          <t>Tokyo</t>
        </is>
      </c>
      <c r="G647" s="8" t="inlineStr">
        <is>
          <t>Kanto</t>
        </is>
      </c>
      <c r="H647" s="8" t="inlineStr">
        <is>
          <t>REG-APAC</t>
        </is>
      </c>
      <c r="I647" s="8" t="inlineStr">
        <is>
          <t>Enterprise</t>
        </is>
      </c>
      <c r="J647" s="8" t="inlineStr">
        <is>
          <t>2023-05-22</t>
        </is>
      </c>
      <c r="K647" s="8">
        <f>COUNTIFS('05_Orders'!$C:$C, A647)</f>
        <v/>
      </c>
      <c r="L647" s="9">
        <f>SUMIFS('05_Orders'!$I:$I, '05_Orders'!$C:$C, A647)</f>
        <v/>
      </c>
      <c r="M647" s="8">
        <f>IF(L647&gt;=2000, "Platinum VIP", IF(L647&gt;=1000, "Gold", IF(L647&gt;=500, "Silver", "Standard")))</f>
        <v/>
      </c>
    </row>
    <row r="648">
      <c r="A648" s="8" t="inlineStr">
        <is>
          <t>CUST-00644</t>
        </is>
      </c>
      <c r="B648" s="8" t="inlineStr">
        <is>
          <t>Ruth Thomas</t>
        </is>
      </c>
      <c r="C648" s="8" t="inlineStr">
        <is>
          <t>Male</t>
        </is>
      </c>
      <c r="D648" s="8" t="n">
        <v>30</v>
      </c>
      <c r="E648" s="8">
        <f>IF(D648&lt;25, "18-24", IF(D648&lt;35, "25-34", IF(D648&lt;50, "35-49", "50+")))</f>
        <v/>
      </c>
      <c r="F648" s="8" t="inlineStr">
        <is>
          <t>Manchester</t>
        </is>
      </c>
      <c r="G648" s="8" t="inlineStr">
        <is>
          <t>Greater Manchester</t>
        </is>
      </c>
      <c r="H648" s="8" t="inlineStr">
        <is>
          <t>REG-EU</t>
        </is>
      </c>
      <c r="I648" s="8" t="inlineStr">
        <is>
          <t>Consumer</t>
        </is>
      </c>
      <c r="J648" s="8" t="inlineStr">
        <is>
          <t>2023-05-19</t>
        </is>
      </c>
      <c r="K648" s="8">
        <f>COUNTIFS('05_Orders'!$C:$C, A648)</f>
        <v/>
      </c>
      <c r="L648" s="9">
        <f>SUMIFS('05_Orders'!$I:$I, '05_Orders'!$C:$C, A648)</f>
        <v/>
      </c>
      <c r="M648" s="8">
        <f>IF(L648&gt;=2000, "Platinum VIP", IF(L648&gt;=1000, "Gold", IF(L648&gt;=500, "Silver", "Standard")))</f>
        <v/>
      </c>
    </row>
    <row r="649">
      <c r="A649" s="8" t="inlineStr">
        <is>
          <t>CUST-00645</t>
        </is>
      </c>
      <c r="B649" s="8" t="inlineStr">
        <is>
          <t>Larry Turner</t>
        </is>
      </c>
      <c r="C649" s="8" t="inlineStr">
        <is>
          <t>Female</t>
        </is>
      </c>
      <c r="D649" s="8" t="n">
        <v>18</v>
      </c>
      <c r="E649" s="8">
        <f>IF(D649&lt;25, "18-24", IF(D649&lt;35, "25-34", IF(D649&lt;50, "35-49", "50+")))</f>
        <v/>
      </c>
      <c r="F649" s="8" t="inlineStr">
        <is>
          <t>Atlanta</t>
        </is>
      </c>
      <c r="G649" s="8" t="inlineStr">
        <is>
          <t>Georgia</t>
        </is>
      </c>
      <c r="H649" s="8" t="inlineStr">
        <is>
          <t>REG-NA</t>
        </is>
      </c>
      <c r="I649" s="8" t="inlineStr">
        <is>
          <t>Enterprise</t>
        </is>
      </c>
      <c r="J649" s="8" t="inlineStr">
        <is>
          <t>2025-01-14</t>
        </is>
      </c>
      <c r="K649" s="8">
        <f>COUNTIFS('05_Orders'!$C:$C, A649)</f>
        <v/>
      </c>
      <c r="L649" s="9">
        <f>SUMIFS('05_Orders'!$I:$I, '05_Orders'!$C:$C, A649)</f>
        <v/>
      </c>
      <c r="M649" s="8">
        <f>IF(L649&gt;=2000, "Platinum VIP", IF(L649&gt;=1000, "Gold", IF(L649&gt;=500, "Silver", "Standard")))</f>
        <v/>
      </c>
    </row>
    <row r="650">
      <c r="A650" s="8" t="inlineStr">
        <is>
          <t>CUST-00646</t>
        </is>
      </c>
      <c r="B650" s="8" t="inlineStr">
        <is>
          <t>Deborah Reed</t>
        </is>
      </c>
      <c r="C650" s="8" t="inlineStr">
        <is>
          <t>Other</t>
        </is>
      </c>
      <c r="D650" s="8" t="n">
        <v>28</v>
      </c>
      <c r="E650" s="8">
        <f>IF(D650&lt;25, "18-24", IF(D650&lt;35, "25-34", IF(D650&lt;50, "35-49", "50+")))</f>
        <v/>
      </c>
      <c r="F650" s="8" t="inlineStr">
        <is>
          <t>Boston</t>
        </is>
      </c>
      <c r="G650" s="8" t="inlineStr">
        <is>
          <t>Massachusetts</t>
        </is>
      </c>
      <c r="H650" s="8" t="inlineStr">
        <is>
          <t>REG-NA</t>
        </is>
      </c>
      <c r="I650" s="8" t="inlineStr">
        <is>
          <t>Corporate</t>
        </is>
      </c>
      <c r="J650" s="8" t="inlineStr">
        <is>
          <t>2024-06-11</t>
        </is>
      </c>
      <c r="K650" s="8">
        <f>COUNTIFS('05_Orders'!$C:$C, A650)</f>
        <v/>
      </c>
      <c r="L650" s="9">
        <f>SUMIFS('05_Orders'!$I:$I, '05_Orders'!$C:$C, A650)</f>
        <v/>
      </c>
      <c r="M650" s="8">
        <f>IF(L650&gt;=2000, "Platinum VIP", IF(L650&gt;=1000, "Gold", IF(L650&gt;=500, "Silver", "Standard")))</f>
        <v/>
      </c>
    </row>
    <row r="651">
      <c r="A651" s="8" t="inlineStr">
        <is>
          <t>CUST-00647</t>
        </is>
      </c>
      <c r="B651" s="8" t="inlineStr">
        <is>
          <t>Anthony Nelson</t>
        </is>
      </c>
      <c r="C651" s="8" t="inlineStr">
        <is>
          <t>Other</t>
        </is>
      </c>
      <c r="D651" s="8" t="n">
        <v>64</v>
      </c>
      <c r="E651" s="8">
        <f>IF(D651&lt;25, "18-24", IF(D651&lt;35, "25-34", IF(D651&lt;50, "35-49", "50+")))</f>
        <v/>
      </c>
      <c r="F651" s="8" t="inlineStr">
        <is>
          <t>Mexico City</t>
        </is>
      </c>
      <c r="G651" s="8" t="inlineStr">
        <is>
          <t>CDMX</t>
        </is>
      </c>
      <c r="H651" s="8" t="inlineStr">
        <is>
          <t>REG-LATAM</t>
        </is>
      </c>
      <c r="I651" s="8" t="inlineStr">
        <is>
          <t>Consumer</t>
        </is>
      </c>
      <c r="J651" s="8" t="inlineStr">
        <is>
          <t>2025-01-04</t>
        </is>
      </c>
      <c r="K651" s="8">
        <f>COUNTIFS('05_Orders'!$C:$C, A651)</f>
        <v/>
      </c>
      <c r="L651" s="9">
        <f>SUMIFS('05_Orders'!$I:$I, '05_Orders'!$C:$C, A651)</f>
        <v/>
      </c>
      <c r="M651" s="8">
        <f>IF(L651&gt;=2000, "Platinum VIP", IF(L651&gt;=1000, "Gold", IF(L651&gt;=500, "Silver", "Standard")))</f>
        <v/>
      </c>
    </row>
    <row r="652">
      <c r="A652" s="8" t="inlineStr">
        <is>
          <t>CUST-00648</t>
        </is>
      </c>
      <c r="B652" s="8" t="inlineStr">
        <is>
          <t>William Smith</t>
        </is>
      </c>
      <c r="C652" s="8" t="inlineStr">
        <is>
          <t>Female</t>
        </is>
      </c>
      <c r="D652" s="8" t="n">
        <v>62</v>
      </c>
      <c r="E652" s="8">
        <f>IF(D652&lt;25, "18-24", IF(D652&lt;35, "25-34", IF(D652&lt;50, "35-49", "50+")))</f>
        <v/>
      </c>
      <c r="F652" s="8" t="inlineStr">
        <is>
          <t>Los Angeles</t>
        </is>
      </c>
      <c r="G652" s="8" t="inlineStr">
        <is>
          <t>California</t>
        </is>
      </c>
      <c r="H652" s="8" t="inlineStr">
        <is>
          <t>REG-NA</t>
        </is>
      </c>
      <c r="I652" s="8" t="inlineStr">
        <is>
          <t>Corporate</t>
        </is>
      </c>
      <c r="J652" s="8" t="inlineStr">
        <is>
          <t>2022-11-09</t>
        </is>
      </c>
      <c r="K652" s="8">
        <f>COUNTIFS('05_Orders'!$C:$C, A652)</f>
        <v/>
      </c>
      <c r="L652" s="9">
        <f>SUMIFS('05_Orders'!$I:$I, '05_Orders'!$C:$C, A652)</f>
        <v/>
      </c>
      <c r="M652" s="8">
        <f>IF(L652&gt;=2000, "Platinum VIP", IF(L652&gt;=1000, "Gold", IF(L652&gt;=500, "Silver", "Standard")))</f>
        <v/>
      </c>
    </row>
    <row r="653">
      <c r="A653" s="8" t="inlineStr">
        <is>
          <t>CUST-00649</t>
        </is>
      </c>
      <c r="B653" s="8" t="inlineStr">
        <is>
          <t>Katherine Bailey</t>
        </is>
      </c>
      <c r="C653" s="8" t="inlineStr">
        <is>
          <t>Male</t>
        </is>
      </c>
      <c r="D653" s="8" t="n">
        <v>40</v>
      </c>
      <c r="E653" s="8">
        <f>IF(D653&lt;25, "18-24", IF(D653&lt;35, "25-34", IF(D653&lt;50, "35-49", "50+")))</f>
        <v/>
      </c>
      <c r="F653" s="8" t="inlineStr">
        <is>
          <t>Munich</t>
        </is>
      </c>
      <c r="G653" s="8" t="inlineStr">
        <is>
          <t>Bavaria</t>
        </is>
      </c>
      <c r="H653" s="8" t="inlineStr">
        <is>
          <t>REG-EU</t>
        </is>
      </c>
      <c r="I653" s="8" t="inlineStr">
        <is>
          <t>Consumer</t>
        </is>
      </c>
      <c r="J653" s="8" t="inlineStr">
        <is>
          <t>2023-05-23</t>
        </is>
      </c>
      <c r="K653" s="8">
        <f>COUNTIFS('05_Orders'!$C:$C, A653)</f>
        <v/>
      </c>
      <c r="L653" s="9">
        <f>SUMIFS('05_Orders'!$I:$I, '05_Orders'!$C:$C, A653)</f>
        <v/>
      </c>
      <c r="M653" s="8">
        <f>IF(L653&gt;=2000, "Platinum VIP", IF(L653&gt;=1000, "Gold", IF(L653&gt;=500, "Silver", "Standard")))</f>
        <v/>
      </c>
    </row>
    <row r="654">
      <c r="A654" s="8" t="inlineStr">
        <is>
          <t>CUST-00650</t>
        </is>
      </c>
      <c r="B654" s="8" t="inlineStr">
        <is>
          <t>Steven Bailey</t>
        </is>
      </c>
      <c r="C654" s="8" t="inlineStr">
        <is>
          <t>Other</t>
        </is>
      </c>
      <c r="D654" s="8" t="n">
        <v>59</v>
      </c>
      <c r="E654" s="8">
        <f>IF(D654&lt;25, "18-24", IF(D654&lt;35, "25-34", IF(D654&lt;50, "35-49", "50+")))</f>
        <v/>
      </c>
      <c r="F654" s="8" t="inlineStr">
        <is>
          <t>Manchester</t>
        </is>
      </c>
      <c r="G654" s="8" t="inlineStr">
        <is>
          <t>Greater Manchester</t>
        </is>
      </c>
      <c r="H654" s="8" t="inlineStr">
        <is>
          <t>REG-EU</t>
        </is>
      </c>
      <c r="I654" s="8" t="inlineStr">
        <is>
          <t>Corporate</t>
        </is>
      </c>
      <c r="J654" s="8" t="inlineStr">
        <is>
          <t>2021-07-30</t>
        </is>
      </c>
      <c r="K654" s="8">
        <f>COUNTIFS('05_Orders'!$C:$C, A654)</f>
        <v/>
      </c>
      <c r="L654" s="9">
        <f>SUMIFS('05_Orders'!$I:$I, '05_Orders'!$C:$C, A654)</f>
        <v/>
      </c>
      <c r="M654" s="8">
        <f>IF(L654&gt;=2000, "Platinum VIP", IF(L654&gt;=1000, "Gold", IF(L654&gt;=500, "Silver", "Standard")))</f>
        <v/>
      </c>
    </row>
    <row r="655">
      <c r="A655" s="8" t="inlineStr">
        <is>
          <t>CUST-00651</t>
        </is>
      </c>
      <c r="B655" s="8" t="inlineStr">
        <is>
          <t>Jonathan Ramos</t>
        </is>
      </c>
      <c r="C655" s="8" t="inlineStr">
        <is>
          <t>Other</t>
        </is>
      </c>
      <c r="D655" s="8" t="n">
        <v>67</v>
      </c>
      <c r="E655" s="8">
        <f>IF(D655&lt;25, "18-24", IF(D655&lt;35, "25-34", IF(D655&lt;50, "35-49", "50+")))</f>
        <v/>
      </c>
      <c r="F655" s="8" t="inlineStr">
        <is>
          <t>Denver</t>
        </is>
      </c>
      <c r="G655" s="8" t="inlineStr">
        <is>
          <t>Colorado</t>
        </is>
      </c>
      <c r="H655" s="8" t="inlineStr">
        <is>
          <t>REG-NA</t>
        </is>
      </c>
      <c r="I655" s="8" t="inlineStr">
        <is>
          <t>Home Office</t>
        </is>
      </c>
      <c r="J655" s="8" t="inlineStr">
        <is>
          <t>2024-04-27</t>
        </is>
      </c>
      <c r="K655" s="8">
        <f>COUNTIFS('05_Orders'!$C:$C, A655)</f>
        <v/>
      </c>
      <c r="L655" s="9">
        <f>SUMIFS('05_Orders'!$I:$I, '05_Orders'!$C:$C, A655)</f>
        <v/>
      </c>
      <c r="M655" s="8">
        <f>IF(L655&gt;=2000, "Platinum VIP", IF(L655&gt;=1000, "Gold", IF(L655&gt;=500, "Silver", "Standard")))</f>
        <v/>
      </c>
    </row>
    <row r="656">
      <c r="A656" s="8" t="inlineStr">
        <is>
          <t>CUST-00652</t>
        </is>
      </c>
      <c r="B656" s="8" t="inlineStr">
        <is>
          <t>Gary Clark</t>
        </is>
      </c>
      <c r="C656" s="8" t="inlineStr">
        <is>
          <t>Male</t>
        </is>
      </c>
      <c r="D656" s="8" t="n">
        <v>18</v>
      </c>
      <c r="E656" s="8">
        <f>IF(D656&lt;25, "18-24", IF(D656&lt;35, "25-34", IF(D656&lt;50, "35-49", "50+")))</f>
        <v/>
      </c>
      <c r="F656" s="8" t="inlineStr">
        <is>
          <t>Sydney</t>
        </is>
      </c>
      <c r="G656" s="8" t="inlineStr">
        <is>
          <t>New South Wales</t>
        </is>
      </c>
      <c r="H656" s="8" t="inlineStr">
        <is>
          <t>REG-APAC</t>
        </is>
      </c>
      <c r="I656" s="8" t="inlineStr">
        <is>
          <t>Consumer</t>
        </is>
      </c>
      <c r="J656" s="8" t="inlineStr">
        <is>
          <t>2024-06-13</t>
        </is>
      </c>
      <c r="K656" s="8">
        <f>COUNTIFS('05_Orders'!$C:$C, A656)</f>
        <v/>
      </c>
      <c r="L656" s="9">
        <f>SUMIFS('05_Orders'!$I:$I, '05_Orders'!$C:$C, A656)</f>
        <v/>
      </c>
      <c r="M656" s="8">
        <f>IF(L656&gt;=2000, "Platinum VIP", IF(L656&gt;=1000, "Gold", IF(L656&gt;=500, "Silver", "Standard")))</f>
        <v/>
      </c>
    </row>
    <row r="657">
      <c r="A657" s="8" t="inlineStr">
        <is>
          <t>CUST-00653</t>
        </is>
      </c>
      <c r="B657" s="8" t="inlineStr">
        <is>
          <t>Michael Moore</t>
        </is>
      </c>
      <c r="C657" s="8" t="inlineStr">
        <is>
          <t>Other</t>
        </is>
      </c>
      <c r="D657" s="8" t="n">
        <v>69</v>
      </c>
      <c r="E657" s="8">
        <f>IF(D657&lt;25, "18-24", IF(D657&lt;35, "25-34", IF(D657&lt;50, "35-49", "50+")))</f>
        <v/>
      </c>
      <c r="F657" s="8" t="inlineStr">
        <is>
          <t>Madrid</t>
        </is>
      </c>
      <c r="G657" s="8" t="inlineStr">
        <is>
          <t>Community of Madrid</t>
        </is>
      </c>
      <c r="H657" s="8" t="inlineStr">
        <is>
          <t>REG-EU</t>
        </is>
      </c>
      <c r="I657" s="8" t="inlineStr">
        <is>
          <t>Consumer</t>
        </is>
      </c>
      <c r="J657" s="8" t="inlineStr">
        <is>
          <t>2023-10-22</t>
        </is>
      </c>
      <c r="K657" s="8">
        <f>COUNTIFS('05_Orders'!$C:$C, A657)</f>
        <v/>
      </c>
      <c r="L657" s="9">
        <f>SUMIFS('05_Orders'!$I:$I, '05_Orders'!$C:$C, A657)</f>
        <v/>
      </c>
      <c r="M657" s="8">
        <f>IF(L657&gt;=2000, "Platinum VIP", IF(L657&gt;=1000, "Gold", IF(L657&gt;=500, "Silver", "Standard")))</f>
        <v/>
      </c>
    </row>
    <row r="658">
      <c r="A658" s="8" t="inlineStr">
        <is>
          <t>CUST-00654</t>
        </is>
      </c>
      <c r="B658" s="8" t="inlineStr">
        <is>
          <t>Patrick Stewart</t>
        </is>
      </c>
      <c r="C658" s="8" t="inlineStr">
        <is>
          <t>Female</t>
        </is>
      </c>
      <c r="D658" s="8" t="n">
        <v>37</v>
      </c>
      <c r="E658" s="8">
        <f>IF(D658&lt;25, "18-24", IF(D658&lt;35, "25-34", IF(D658&lt;50, "35-49", "50+")))</f>
        <v/>
      </c>
      <c r="F658" s="8" t="inlineStr">
        <is>
          <t>Hong Kong</t>
        </is>
      </c>
      <c r="G658" s="8" t="inlineStr">
        <is>
          <t>Hong Kong</t>
        </is>
      </c>
      <c r="H658" s="8" t="inlineStr">
        <is>
          <t>REG-APAC</t>
        </is>
      </c>
      <c r="I658" s="8" t="inlineStr">
        <is>
          <t>Corporate</t>
        </is>
      </c>
      <c r="J658" s="8" t="inlineStr">
        <is>
          <t>2024-05-24</t>
        </is>
      </c>
      <c r="K658" s="8">
        <f>COUNTIFS('05_Orders'!$C:$C, A658)</f>
        <v/>
      </c>
      <c r="L658" s="9">
        <f>SUMIFS('05_Orders'!$I:$I, '05_Orders'!$C:$C, A658)</f>
        <v/>
      </c>
      <c r="M658" s="8">
        <f>IF(L658&gt;=2000, "Platinum VIP", IF(L658&gt;=1000, "Gold", IF(L658&gt;=500, "Silver", "Standard")))</f>
        <v/>
      </c>
    </row>
    <row r="659">
      <c r="A659" s="8" t="inlineStr">
        <is>
          <t>CUST-00655</t>
        </is>
      </c>
      <c r="B659" s="8" t="inlineStr">
        <is>
          <t>Carolyn Jackson</t>
        </is>
      </c>
      <c r="C659" s="8" t="inlineStr">
        <is>
          <t>Female</t>
        </is>
      </c>
      <c r="D659" s="8" t="n">
        <v>53</v>
      </c>
      <c r="E659" s="8">
        <f>IF(D659&lt;25, "18-24", IF(D659&lt;35, "25-34", IF(D659&lt;50, "35-49", "50+")))</f>
        <v/>
      </c>
      <c r="F659" s="8" t="inlineStr">
        <is>
          <t>Paris</t>
        </is>
      </c>
      <c r="G659" s="8" t="inlineStr">
        <is>
          <t>Ile-de-France</t>
        </is>
      </c>
      <c r="H659" s="8" t="inlineStr">
        <is>
          <t>REG-EU</t>
        </is>
      </c>
      <c r="I659" s="8" t="inlineStr">
        <is>
          <t>Corporate</t>
        </is>
      </c>
      <c r="J659" s="8" t="inlineStr">
        <is>
          <t>2024-02-17</t>
        </is>
      </c>
      <c r="K659" s="8">
        <f>COUNTIFS('05_Orders'!$C:$C, A659)</f>
        <v/>
      </c>
      <c r="L659" s="9">
        <f>SUMIFS('05_Orders'!$I:$I, '05_Orders'!$C:$C, A659)</f>
        <v/>
      </c>
      <c r="M659" s="8">
        <f>IF(L659&gt;=2000, "Platinum VIP", IF(L659&gt;=1000, "Gold", IF(L659&gt;=500, "Silver", "Standard")))</f>
        <v/>
      </c>
    </row>
    <row r="660">
      <c r="A660" s="8" t="inlineStr">
        <is>
          <t>CUST-00656</t>
        </is>
      </c>
      <c r="B660" s="8" t="inlineStr">
        <is>
          <t>Kathleen Foster</t>
        </is>
      </c>
      <c r="C660" s="8" t="inlineStr">
        <is>
          <t>Other</t>
        </is>
      </c>
      <c r="D660" s="8" t="n">
        <v>40</v>
      </c>
      <c r="E660" s="8">
        <f>IF(D660&lt;25, "18-24", IF(D660&lt;35, "25-34", IF(D660&lt;50, "35-49", "50+")))</f>
        <v/>
      </c>
      <c r="F660" s="8" t="inlineStr">
        <is>
          <t>Sydney</t>
        </is>
      </c>
      <c r="G660" s="8" t="inlineStr">
        <is>
          <t>New South Wales</t>
        </is>
      </c>
      <c r="H660" s="8" t="inlineStr">
        <is>
          <t>REG-APAC</t>
        </is>
      </c>
      <c r="I660" s="8" t="inlineStr">
        <is>
          <t>Corporate</t>
        </is>
      </c>
      <c r="J660" s="8" t="inlineStr">
        <is>
          <t>2022-01-27</t>
        </is>
      </c>
      <c r="K660" s="8">
        <f>COUNTIFS('05_Orders'!$C:$C, A660)</f>
        <v/>
      </c>
      <c r="L660" s="9">
        <f>SUMIFS('05_Orders'!$I:$I, '05_Orders'!$C:$C, A660)</f>
        <v/>
      </c>
      <c r="M660" s="8">
        <f>IF(L660&gt;=2000, "Platinum VIP", IF(L660&gt;=1000, "Gold", IF(L660&gt;=500, "Silver", "Standard")))</f>
        <v/>
      </c>
    </row>
    <row r="661">
      <c r="A661" s="8" t="inlineStr">
        <is>
          <t>CUST-00657</t>
        </is>
      </c>
      <c r="B661" s="8" t="inlineStr">
        <is>
          <t>Ryan Campbell</t>
        </is>
      </c>
      <c r="C661" s="8" t="inlineStr">
        <is>
          <t>Other</t>
        </is>
      </c>
      <c r="D661" s="8" t="n">
        <v>30</v>
      </c>
      <c r="E661" s="8">
        <f>IF(D661&lt;25, "18-24", IF(D661&lt;35, "25-34", IF(D661&lt;50, "35-49", "50+")))</f>
        <v/>
      </c>
      <c r="F661" s="8" t="inlineStr">
        <is>
          <t>Phoenix</t>
        </is>
      </c>
      <c r="G661" s="8" t="inlineStr">
        <is>
          <t>Arizona</t>
        </is>
      </c>
      <c r="H661" s="8" t="inlineStr">
        <is>
          <t>REG-NA</t>
        </is>
      </c>
      <c r="I661" s="8" t="inlineStr">
        <is>
          <t>Consumer</t>
        </is>
      </c>
      <c r="J661" s="8" t="inlineStr">
        <is>
          <t>2023-01-26</t>
        </is>
      </c>
      <c r="K661" s="8">
        <f>COUNTIFS('05_Orders'!$C:$C, A661)</f>
        <v/>
      </c>
      <c r="L661" s="9">
        <f>SUMIFS('05_Orders'!$I:$I, '05_Orders'!$C:$C, A661)</f>
        <v/>
      </c>
      <c r="M661" s="8">
        <f>IF(L661&gt;=2000, "Platinum VIP", IF(L661&gt;=1000, "Gold", IF(L661&gt;=500, "Silver", "Standard")))</f>
        <v/>
      </c>
    </row>
    <row r="662">
      <c r="A662" s="8" t="inlineStr">
        <is>
          <t>CUST-00658</t>
        </is>
      </c>
      <c r="B662" s="8" t="inlineStr">
        <is>
          <t>Gregory Scott</t>
        </is>
      </c>
      <c r="C662" s="8" t="inlineStr">
        <is>
          <t>Other</t>
        </is>
      </c>
      <c r="D662" s="8" t="n">
        <v>48</v>
      </c>
      <c r="E662" s="8">
        <f>IF(D662&lt;25, "18-24", IF(D662&lt;35, "25-34", IF(D662&lt;50, "35-49", "50+")))</f>
        <v/>
      </c>
      <c r="F662" s="8" t="inlineStr">
        <is>
          <t>Phoenix</t>
        </is>
      </c>
      <c r="G662" s="8" t="inlineStr">
        <is>
          <t>Arizona</t>
        </is>
      </c>
      <c r="H662" s="8" t="inlineStr">
        <is>
          <t>REG-NA</t>
        </is>
      </c>
      <c r="I662" s="8" t="inlineStr">
        <is>
          <t>Consumer</t>
        </is>
      </c>
      <c r="J662" s="8" t="inlineStr">
        <is>
          <t>2021-04-28</t>
        </is>
      </c>
      <c r="K662" s="8">
        <f>COUNTIFS('05_Orders'!$C:$C, A662)</f>
        <v/>
      </c>
      <c r="L662" s="9">
        <f>SUMIFS('05_Orders'!$I:$I, '05_Orders'!$C:$C, A662)</f>
        <v/>
      </c>
      <c r="M662" s="8">
        <f>IF(L662&gt;=2000, "Platinum VIP", IF(L662&gt;=1000, "Gold", IF(L662&gt;=500, "Silver", "Standard")))</f>
        <v/>
      </c>
    </row>
    <row r="663">
      <c r="A663" s="8" t="inlineStr">
        <is>
          <t>CUST-00659</t>
        </is>
      </c>
      <c r="B663" s="8" t="inlineStr">
        <is>
          <t>Emma Watson</t>
        </is>
      </c>
      <c r="C663" s="8" t="inlineStr">
        <is>
          <t>Female</t>
        </is>
      </c>
      <c r="D663" s="8" t="n">
        <v>49</v>
      </c>
      <c r="E663" s="8">
        <f>IF(D663&lt;25, "18-24", IF(D663&lt;35, "25-34", IF(D663&lt;50, "35-49", "50+")))</f>
        <v/>
      </c>
      <c r="F663" s="8" t="inlineStr">
        <is>
          <t>Boston</t>
        </is>
      </c>
      <c r="G663" s="8" t="inlineStr">
        <is>
          <t>Massachusetts</t>
        </is>
      </c>
      <c r="H663" s="8" t="inlineStr">
        <is>
          <t>REG-NA</t>
        </is>
      </c>
      <c r="I663" s="8" t="inlineStr">
        <is>
          <t>Home Office</t>
        </is>
      </c>
      <c r="J663" s="8" t="inlineStr">
        <is>
          <t>2021-03-20</t>
        </is>
      </c>
      <c r="K663" s="8">
        <f>COUNTIFS('05_Orders'!$C:$C, A663)</f>
        <v/>
      </c>
      <c r="L663" s="9">
        <f>SUMIFS('05_Orders'!$I:$I, '05_Orders'!$C:$C, A663)</f>
        <v/>
      </c>
      <c r="M663" s="8">
        <f>IF(L663&gt;=2000, "Platinum VIP", IF(L663&gt;=1000, "Gold", IF(L663&gt;=500, "Silver", "Standard")))</f>
        <v/>
      </c>
    </row>
    <row r="664">
      <c r="A664" s="8" t="inlineStr">
        <is>
          <t>CUST-00660</t>
        </is>
      </c>
      <c r="B664" s="8" t="inlineStr">
        <is>
          <t>Daniel Taylor</t>
        </is>
      </c>
      <c r="C664" s="8" t="inlineStr">
        <is>
          <t>Male</t>
        </is>
      </c>
      <c r="D664" s="8" t="n">
        <v>44</v>
      </c>
      <c r="E664" s="8">
        <f>IF(D664&lt;25, "18-24", IF(D664&lt;35, "25-34", IF(D664&lt;50, "35-49", "50+")))</f>
        <v/>
      </c>
      <c r="F664" s="8" t="inlineStr">
        <is>
          <t>Tokyo</t>
        </is>
      </c>
      <c r="G664" s="8" t="inlineStr">
        <is>
          <t>Kanto</t>
        </is>
      </c>
      <c r="H664" s="8" t="inlineStr">
        <is>
          <t>REG-APAC</t>
        </is>
      </c>
      <c r="I664" s="8" t="inlineStr">
        <is>
          <t>Consumer</t>
        </is>
      </c>
      <c r="J664" s="8" t="inlineStr">
        <is>
          <t>2024-07-29</t>
        </is>
      </c>
      <c r="K664" s="8">
        <f>COUNTIFS('05_Orders'!$C:$C, A664)</f>
        <v/>
      </c>
      <c r="L664" s="9">
        <f>SUMIFS('05_Orders'!$I:$I, '05_Orders'!$C:$C, A664)</f>
        <v/>
      </c>
      <c r="M664" s="8">
        <f>IF(L664&gt;=2000, "Platinum VIP", IF(L664&gt;=1000, "Gold", IF(L664&gt;=500, "Silver", "Standard")))</f>
        <v/>
      </c>
    </row>
    <row r="665">
      <c r="A665" s="8" t="inlineStr">
        <is>
          <t>CUST-00661</t>
        </is>
      </c>
      <c r="B665" s="8" t="inlineStr">
        <is>
          <t>Matthew Wood</t>
        </is>
      </c>
      <c r="C665" s="8" t="inlineStr">
        <is>
          <t>Other</t>
        </is>
      </c>
      <c r="D665" s="8" t="n">
        <v>65</v>
      </c>
      <c r="E665" s="8">
        <f>IF(D665&lt;25, "18-24", IF(D665&lt;35, "25-34", IF(D665&lt;50, "35-49", "50+")))</f>
        <v/>
      </c>
      <c r="F665" s="8" t="inlineStr">
        <is>
          <t>Seattle</t>
        </is>
      </c>
      <c r="G665" s="8" t="inlineStr">
        <is>
          <t>Washington</t>
        </is>
      </c>
      <c r="H665" s="8" t="inlineStr">
        <is>
          <t>REG-NA</t>
        </is>
      </c>
      <c r="I665" s="8" t="inlineStr">
        <is>
          <t>Home Office</t>
        </is>
      </c>
      <c r="J665" s="8" t="inlineStr">
        <is>
          <t>2021-12-13</t>
        </is>
      </c>
      <c r="K665" s="8">
        <f>COUNTIFS('05_Orders'!$C:$C, A665)</f>
        <v/>
      </c>
      <c r="L665" s="9">
        <f>SUMIFS('05_Orders'!$I:$I, '05_Orders'!$C:$C, A665)</f>
        <v/>
      </c>
      <c r="M665" s="8">
        <f>IF(L665&gt;=2000, "Platinum VIP", IF(L665&gt;=1000, "Gold", IF(L665&gt;=500, "Silver", "Standard")))</f>
        <v/>
      </c>
    </row>
    <row r="666">
      <c r="A666" s="8" t="inlineStr">
        <is>
          <t>CUST-00662</t>
        </is>
      </c>
      <c r="B666" s="8" t="inlineStr">
        <is>
          <t>Debra Phillips</t>
        </is>
      </c>
      <c r="C666" s="8" t="inlineStr">
        <is>
          <t>Female</t>
        </is>
      </c>
      <c r="D666" s="8" t="n">
        <v>71</v>
      </c>
      <c r="E666" s="8">
        <f>IF(D666&lt;25, "18-24", IF(D666&lt;35, "25-34", IF(D666&lt;50, "35-49", "50+")))</f>
        <v/>
      </c>
      <c r="F666" s="8" t="inlineStr">
        <is>
          <t>London</t>
        </is>
      </c>
      <c r="G666" s="8" t="inlineStr">
        <is>
          <t>Greater London</t>
        </is>
      </c>
      <c r="H666" s="8" t="inlineStr">
        <is>
          <t>REG-EU</t>
        </is>
      </c>
      <c r="I666" s="8" t="inlineStr">
        <is>
          <t>Consumer</t>
        </is>
      </c>
      <c r="J666" s="8" t="inlineStr">
        <is>
          <t>2025-04-09</t>
        </is>
      </c>
      <c r="K666" s="8">
        <f>COUNTIFS('05_Orders'!$C:$C, A666)</f>
        <v/>
      </c>
      <c r="L666" s="9">
        <f>SUMIFS('05_Orders'!$I:$I, '05_Orders'!$C:$C, A666)</f>
        <v/>
      </c>
      <c r="M666" s="8">
        <f>IF(L666&gt;=2000, "Platinum VIP", IF(L666&gt;=1000, "Gold", IF(L666&gt;=500, "Silver", "Standard")))</f>
        <v/>
      </c>
    </row>
    <row r="667">
      <c r="A667" s="8" t="inlineStr">
        <is>
          <t>CUST-00663</t>
        </is>
      </c>
      <c r="B667" s="8" t="inlineStr">
        <is>
          <t>Emily Cox</t>
        </is>
      </c>
      <c r="C667" s="8" t="inlineStr">
        <is>
          <t>Male</t>
        </is>
      </c>
      <c r="D667" s="8" t="n">
        <v>62</v>
      </c>
      <c r="E667" s="8">
        <f>IF(D667&lt;25, "18-24", IF(D667&lt;35, "25-34", IF(D667&lt;50, "35-49", "50+")))</f>
        <v/>
      </c>
      <c r="F667" s="8" t="inlineStr">
        <is>
          <t>Berlin</t>
        </is>
      </c>
      <c r="G667" s="8" t="inlineStr">
        <is>
          <t>Berlin</t>
        </is>
      </c>
      <c r="H667" s="8" t="inlineStr">
        <is>
          <t>REG-EU</t>
        </is>
      </c>
      <c r="I667" s="8" t="inlineStr">
        <is>
          <t>Corporate</t>
        </is>
      </c>
      <c r="J667" s="8" t="inlineStr">
        <is>
          <t>2021-01-07</t>
        </is>
      </c>
      <c r="K667" s="8">
        <f>COUNTIFS('05_Orders'!$C:$C, A667)</f>
        <v/>
      </c>
      <c r="L667" s="9">
        <f>SUMIFS('05_Orders'!$I:$I, '05_Orders'!$C:$C, A667)</f>
        <v/>
      </c>
      <c r="M667" s="8">
        <f>IF(L667&gt;=2000, "Platinum VIP", IF(L667&gt;=1000, "Gold", IF(L667&gt;=500, "Silver", "Standard")))</f>
        <v/>
      </c>
    </row>
    <row r="668">
      <c r="A668" s="8" t="inlineStr">
        <is>
          <t>CUST-00664</t>
        </is>
      </c>
      <c r="B668" s="8" t="inlineStr">
        <is>
          <t>Catherine Lopez</t>
        </is>
      </c>
      <c r="C668" s="8" t="inlineStr">
        <is>
          <t>Other</t>
        </is>
      </c>
      <c r="D668" s="8" t="n">
        <v>47</v>
      </c>
      <c r="E668" s="8">
        <f>IF(D668&lt;25, "18-24", IF(D668&lt;35, "25-34", IF(D668&lt;50, "35-49", "50+")))</f>
        <v/>
      </c>
      <c r="F668" s="8" t="inlineStr">
        <is>
          <t>Los Angeles</t>
        </is>
      </c>
      <c r="G668" s="8" t="inlineStr">
        <is>
          <t>California</t>
        </is>
      </c>
      <c r="H668" s="8" t="inlineStr">
        <is>
          <t>REG-NA</t>
        </is>
      </c>
      <c r="I668" s="8" t="inlineStr">
        <is>
          <t>Consumer</t>
        </is>
      </c>
      <c r="J668" s="8" t="inlineStr">
        <is>
          <t>2021-06-26</t>
        </is>
      </c>
      <c r="K668" s="8">
        <f>COUNTIFS('05_Orders'!$C:$C, A668)</f>
        <v/>
      </c>
      <c r="L668" s="9">
        <f>SUMIFS('05_Orders'!$I:$I, '05_Orders'!$C:$C, A668)</f>
        <v/>
      </c>
      <c r="M668" s="8">
        <f>IF(L668&gt;=2000, "Platinum VIP", IF(L668&gt;=1000, "Gold", IF(L668&gt;=500, "Silver", "Standard")))</f>
        <v/>
      </c>
    </row>
    <row r="669">
      <c r="A669" s="8" t="inlineStr">
        <is>
          <t>CUST-00665</t>
        </is>
      </c>
      <c r="B669" s="8" t="inlineStr">
        <is>
          <t>Aaron Johnson</t>
        </is>
      </c>
      <c r="C669" s="8" t="inlineStr">
        <is>
          <t>Male</t>
        </is>
      </c>
      <c r="D669" s="8" t="n">
        <v>58</v>
      </c>
      <c r="E669" s="8">
        <f>IF(D669&lt;25, "18-24", IF(D669&lt;35, "25-34", IF(D669&lt;50, "35-49", "50+")))</f>
        <v/>
      </c>
      <c r="F669" s="8" t="inlineStr">
        <is>
          <t>Los Angeles</t>
        </is>
      </c>
      <c r="G669" s="8" t="inlineStr">
        <is>
          <t>California</t>
        </is>
      </c>
      <c r="H669" s="8" t="inlineStr">
        <is>
          <t>REG-NA</t>
        </is>
      </c>
      <c r="I669" s="8" t="inlineStr">
        <is>
          <t>Home Office</t>
        </is>
      </c>
      <c r="J669" s="8" t="inlineStr">
        <is>
          <t>2022-05-21</t>
        </is>
      </c>
      <c r="K669" s="8">
        <f>COUNTIFS('05_Orders'!$C:$C, A669)</f>
        <v/>
      </c>
      <c r="L669" s="9">
        <f>SUMIFS('05_Orders'!$I:$I, '05_Orders'!$C:$C, A669)</f>
        <v/>
      </c>
      <c r="M669" s="8">
        <f>IF(L669&gt;=2000, "Platinum VIP", IF(L669&gt;=1000, "Gold", IF(L669&gt;=500, "Silver", "Standard")))</f>
        <v/>
      </c>
    </row>
    <row r="670">
      <c r="A670" s="8" t="inlineStr">
        <is>
          <t>CUST-00666</t>
        </is>
      </c>
      <c r="B670" s="8" t="inlineStr">
        <is>
          <t>Ruth Long</t>
        </is>
      </c>
      <c r="C670" s="8" t="inlineStr">
        <is>
          <t>Other</t>
        </is>
      </c>
      <c r="D670" s="8" t="n">
        <v>26</v>
      </c>
      <c r="E670" s="8">
        <f>IF(D670&lt;25, "18-24", IF(D670&lt;35, "25-34", IF(D670&lt;50, "35-49", "50+")))</f>
        <v/>
      </c>
      <c r="F670" s="8" t="inlineStr">
        <is>
          <t>Atlanta</t>
        </is>
      </c>
      <c r="G670" s="8" t="inlineStr">
        <is>
          <t>Georgia</t>
        </is>
      </c>
      <c r="H670" s="8" t="inlineStr">
        <is>
          <t>REG-NA</t>
        </is>
      </c>
      <c r="I670" s="8" t="inlineStr">
        <is>
          <t>Corporate</t>
        </is>
      </c>
      <c r="J670" s="8" t="inlineStr">
        <is>
          <t>2021-12-31</t>
        </is>
      </c>
      <c r="K670" s="8">
        <f>COUNTIFS('05_Orders'!$C:$C, A670)</f>
        <v/>
      </c>
      <c r="L670" s="9">
        <f>SUMIFS('05_Orders'!$I:$I, '05_Orders'!$C:$C, A670)</f>
        <v/>
      </c>
      <c r="M670" s="8">
        <f>IF(L670&gt;=2000, "Platinum VIP", IF(L670&gt;=1000, "Gold", IF(L670&gt;=500, "Silver", "Standard")))</f>
        <v/>
      </c>
    </row>
    <row r="671">
      <c r="A671" s="8" t="inlineStr">
        <is>
          <t>CUST-00667</t>
        </is>
      </c>
      <c r="B671" s="8" t="inlineStr">
        <is>
          <t>Andrew Sanchez</t>
        </is>
      </c>
      <c r="C671" s="8" t="inlineStr">
        <is>
          <t>Male</t>
        </is>
      </c>
      <c r="D671" s="8" t="n">
        <v>36</v>
      </c>
      <c r="E671" s="8">
        <f>IF(D671&lt;25, "18-24", IF(D671&lt;35, "25-34", IF(D671&lt;50, "35-49", "50+")))</f>
        <v/>
      </c>
      <c r="F671" s="8" t="inlineStr">
        <is>
          <t>Toronto</t>
        </is>
      </c>
      <c r="G671" s="8" t="inlineStr">
        <is>
          <t>Ontario</t>
        </is>
      </c>
      <c r="H671" s="8" t="inlineStr">
        <is>
          <t>REG-NA</t>
        </is>
      </c>
      <c r="I671" s="8" t="inlineStr">
        <is>
          <t>Consumer</t>
        </is>
      </c>
      <c r="J671" s="8" t="inlineStr">
        <is>
          <t>2023-10-01</t>
        </is>
      </c>
      <c r="K671" s="8">
        <f>COUNTIFS('05_Orders'!$C:$C, A671)</f>
        <v/>
      </c>
      <c r="L671" s="9">
        <f>SUMIFS('05_Orders'!$I:$I, '05_Orders'!$C:$C, A671)</f>
        <v/>
      </c>
      <c r="M671" s="8">
        <f>IF(L671&gt;=2000, "Platinum VIP", IF(L671&gt;=1000, "Gold", IF(L671&gt;=500, "Silver", "Standard")))</f>
        <v/>
      </c>
    </row>
    <row r="672">
      <c r="A672" s="8" t="inlineStr">
        <is>
          <t>CUST-00668</t>
        </is>
      </c>
      <c r="B672" s="8" t="inlineStr">
        <is>
          <t>Samuel Mendoza</t>
        </is>
      </c>
      <c r="C672" s="8" t="inlineStr">
        <is>
          <t>Male</t>
        </is>
      </c>
      <c r="D672" s="8" t="n">
        <v>20</v>
      </c>
      <c r="E672" s="8">
        <f>IF(D672&lt;25, "18-24", IF(D672&lt;35, "25-34", IF(D672&lt;50, "35-49", "50+")))</f>
        <v/>
      </c>
      <c r="F672" s="8" t="inlineStr">
        <is>
          <t>Medellin</t>
        </is>
      </c>
      <c r="G672" s="8" t="inlineStr">
        <is>
          <t>Antioquia</t>
        </is>
      </c>
      <c r="H672" s="8" t="inlineStr">
        <is>
          <t>REG-LATAM</t>
        </is>
      </c>
      <c r="I672" s="8" t="inlineStr">
        <is>
          <t>Consumer</t>
        </is>
      </c>
      <c r="J672" s="8" t="inlineStr">
        <is>
          <t>2024-01-07</t>
        </is>
      </c>
      <c r="K672" s="8">
        <f>COUNTIFS('05_Orders'!$C:$C, A672)</f>
        <v/>
      </c>
      <c r="L672" s="9">
        <f>SUMIFS('05_Orders'!$I:$I, '05_Orders'!$C:$C, A672)</f>
        <v/>
      </c>
      <c r="M672" s="8">
        <f>IF(L672&gt;=2000, "Platinum VIP", IF(L672&gt;=1000, "Gold", IF(L672&gt;=500, "Silver", "Standard")))</f>
        <v/>
      </c>
    </row>
    <row r="673">
      <c r="A673" s="8" t="inlineStr">
        <is>
          <t>CUST-00669</t>
        </is>
      </c>
      <c r="B673" s="8" t="inlineStr">
        <is>
          <t>Rachel Torres</t>
        </is>
      </c>
      <c r="C673" s="8" t="inlineStr">
        <is>
          <t>Male</t>
        </is>
      </c>
      <c r="D673" s="8" t="n">
        <v>39</v>
      </c>
      <c r="E673" s="8">
        <f>IF(D673&lt;25, "18-24", IF(D673&lt;35, "25-34", IF(D673&lt;50, "35-49", "50+")))</f>
        <v/>
      </c>
      <c r="F673" s="8" t="inlineStr">
        <is>
          <t>Dublin</t>
        </is>
      </c>
      <c r="G673" s="8" t="inlineStr">
        <is>
          <t>Leinster</t>
        </is>
      </c>
      <c r="H673" s="8" t="inlineStr">
        <is>
          <t>REG-EU</t>
        </is>
      </c>
      <c r="I673" s="8" t="inlineStr">
        <is>
          <t>Corporate</t>
        </is>
      </c>
      <c r="J673" s="8" t="inlineStr">
        <is>
          <t>2025-03-02</t>
        </is>
      </c>
      <c r="K673" s="8">
        <f>COUNTIFS('05_Orders'!$C:$C, A673)</f>
        <v/>
      </c>
      <c r="L673" s="9">
        <f>SUMIFS('05_Orders'!$I:$I, '05_Orders'!$C:$C, A673)</f>
        <v/>
      </c>
      <c r="M673" s="8">
        <f>IF(L673&gt;=2000, "Platinum VIP", IF(L673&gt;=1000, "Gold", IF(L673&gt;=500, "Silver", "Standard")))</f>
        <v/>
      </c>
    </row>
    <row r="674">
      <c r="A674" s="8" t="inlineStr">
        <is>
          <t>CUST-00670</t>
        </is>
      </c>
      <c r="B674" s="8" t="inlineStr">
        <is>
          <t>Kathleen King</t>
        </is>
      </c>
      <c r="C674" s="8" t="inlineStr">
        <is>
          <t>Male</t>
        </is>
      </c>
      <c r="D674" s="8" t="n">
        <v>25</v>
      </c>
      <c r="E674" s="8">
        <f>IF(D674&lt;25, "18-24", IF(D674&lt;35, "25-34", IF(D674&lt;50, "35-49", "50+")))</f>
        <v/>
      </c>
      <c r="F674" s="8" t="inlineStr">
        <is>
          <t>Berlin</t>
        </is>
      </c>
      <c r="G674" s="8" t="inlineStr">
        <is>
          <t>Berlin</t>
        </is>
      </c>
      <c r="H674" s="8" t="inlineStr">
        <is>
          <t>REG-EU</t>
        </is>
      </c>
      <c r="I674" s="8" t="inlineStr">
        <is>
          <t>Consumer</t>
        </is>
      </c>
      <c r="J674" s="8" t="inlineStr">
        <is>
          <t>2023-08-15</t>
        </is>
      </c>
      <c r="K674" s="8">
        <f>COUNTIFS('05_Orders'!$C:$C, A674)</f>
        <v/>
      </c>
      <c r="L674" s="9">
        <f>SUMIFS('05_Orders'!$I:$I, '05_Orders'!$C:$C, A674)</f>
        <v/>
      </c>
      <c r="M674" s="8">
        <f>IF(L674&gt;=2000, "Platinum VIP", IF(L674&gt;=1000, "Gold", IF(L674&gt;=500, "Silver", "Standard")))</f>
        <v/>
      </c>
    </row>
    <row r="675">
      <c r="A675" s="8" t="inlineStr">
        <is>
          <t>CUST-00671</t>
        </is>
      </c>
      <c r="B675" s="8" t="inlineStr">
        <is>
          <t>Robert Adams</t>
        </is>
      </c>
      <c r="C675" s="8" t="inlineStr">
        <is>
          <t>Other</t>
        </is>
      </c>
      <c r="D675" s="8" t="n">
        <v>24</v>
      </c>
      <c r="E675" s="8">
        <f>IF(D675&lt;25, "18-24", IF(D675&lt;35, "25-34", IF(D675&lt;50, "35-49", "50+")))</f>
        <v/>
      </c>
      <c r="F675" s="8" t="inlineStr">
        <is>
          <t>London</t>
        </is>
      </c>
      <c r="G675" s="8" t="inlineStr">
        <is>
          <t>Greater London</t>
        </is>
      </c>
      <c r="H675" s="8" t="inlineStr">
        <is>
          <t>REG-EU</t>
        </is>
      </c>
      <c r="I675" s="8" t="inlineStr">
        <is>
          <t>Consumer</t>
        </is>
      </c>
      <c r="J675" s="8" t="inlineStr">
        <is>
          <t>2023-09-01</t>
        </is>
      </c>
      <c r="K675" s="8">
        <f>COUNTIFS('05_Orders'!$C:$C, A675)</f>
        <v/>
      </c>
      <c r="L675" s="9">
        <f>SUMIFS('05_Orders'!$I:$I, '05_Orders'!$C:$C, A675)</f>
        <v/>
      </c>
      <c r="M675" s="8">
        <f>IF(L675&gt;=2000, "Platinum VIP", IF(L675&gt;=1000, "Gold", IF(L675&gt;=500, "Silver", "Standard")))</f>
        <v/>
      </c>
    </row>
    <row r="676">
      <c r="A676" s="8" t="inlineStr">
        <is>
          <t>CUST-00672</t>
        </is>
      </c>
      <c r="B676" s="8" t="inlineStr">
        <is>
          <t>Michelle Lee</t>
        </is>
      </c>
      <c r="C676" s="8" t="inlineStr">
        <is>
          <t>Female</t>
        </is>
      </c>
      <c r="D676" s="8" t="n">
        <v>52</v>
      </c>
      <c r="E676" s="8">
        <f>IF(D676&lt;25, "18-24", IF(D676&lt;35, "25-34", IF(D676&lt;50, "35-49", "50+")))</f>
        <v/>
      </c>
      <c r="F676" s="8" t="inlineStr">
        <is>
          <t>New York</t>
        </is>
      </c>
      <c r="G676" s="8" t="inlineStr">
        <is>
          <t>New York</t>
        </is>
      </c>
      <c r="H676" s="8" t="inlineStr">
        <is>
          <t>REG-NA</t>
        </is>
      </c>
      <c r="I676" s="8" t="inlineStr">
        <is>
          <t>Consumer</t>
        </is>
      </c>
      <c r="J676" s="8" t="inlineStr">
        <is>
          <t>2024-06-16</t>
        </is>
      </c>
      <c r="K676" s="8">
        <f>COUNTIFS('05_Orders'!$C:$C, A676)</f>
        <v/>
      </c>
      <c r="L676" s="9">
        <f>SUMIFS('05_Orders'!$I:$I, '05_Orders'!$C:$C, A676)</f>
        <v/>
      </c>
      <c r="M676" s="8">
        <f>IF(L676&gt;=2000, "Platinum VIP", IF(L676&gt;=1000, "Gold", IF(L676&gt;=500, "Silver", "Standard")))</f>
        <v/>
      </c>
    </row>
    <row r="677">
      <c r="A677" s="8" t="inlineStr">
        <is>
          <t>CUST-00673</t>
        </is>
      </c>
      <c r="B677" s="8" t="inlineStr">
        <is>
          <t>Ashley Allen</t>
        </is>
      </c>
      <c r="C677" s="8" t="inlineStr">
        <is>
          <t>Other</t>
        </is>
      </c>
      <c r="D677" s="8" t="n">
        <v>41</v>
      </c>
      <c r="E677" s="8">
        <f>IF(D677&lt;25, "18-24", IF(D677&lt;35, "25-34", IF(D677&lt;50, "35-49", "50+")))</f>
        <v/>
      </c>
      <c r="F677" s="8" t="inlineStr">
        <is>
          <t>Madrid</t>
        </is>
      </c>
      <c r="G677" s="8" t="inlineStr">
        <is>
          <t>Community of Madrid</t>
        </is>
      </c>
      <c r="H677" s="8" t="inlineStr">
        <is>
          <t>REG-EU</t>
        </is>
      </c>
      <c r="I677" s="8" t="inlineStr">
        <is>
          <t>Corporate</t>
        </is>
      </c>
      <c r="J677" s="8" t="inlineStr">
        <is>
          <t>2022-09-07</t>
        </is>
      </c>
      <c r="K677" s="8">
        <f>COUNTIFS('05_Orders'!$C:$C, A677)</f>
        <v/>
      </c>
      <c r="L677" s="9">
        <f>SUMIFS('05_Orders'!$I:$I, '05_Orders'!$C:$C, A677)</f>
        <v/>
      </c>
      <c r="M677" s="8">
        <f>IF(L677&gt;=2000, "Platinum VIP", IF(L677&gt;=1000, "Gold", IF(L677&gt;=500, "Silver", "Standard")))</f>
        <v/>
      </c>
    </row>
    <row r="678">
      <c r="A678" s="8" t="inlineStr">
        <is>
          <t>CUST-00674</t>
        </is>
      </c>
      <c r="B678" s="8" t="inlineStr">
        <is>
          <t>Eric Wilson</t>
        </is>
      </c>
      <c r="C678" s="8" t="inlineStr">
        <is>
          <t>Female</t>
        </is>
      </c>
      <c r="D678" s="8" t="n">
        <v>45</v>
      </c>
      <c r="E678" s="8">
        <f>IF(D678&lt;25, "18-24", IF(D678&lt;35, "25-34", IF(D678&lt;50, "35-49", "50+")))</f>
        <v/>
      </c>
      <c r="F678" s="8" t="inlineStr">
        <is>
          <t>Auckland</t>
        </is>
      </c>
      <c r="G678" s="8" t="inlineStr">
        <is>
          <t>Auckland Region</t>
        </is>
      </c>
      <c r="H678" s="8" t="inlineStr">
        <is>
          <t>REG-APAC</t>
        </is>
      </c>
      <c r="I678" s="8" t="inlineStr">
        <is>
          <t>Consumer</t>
        </is>
      </c>
      <c r="J678" s="8" t="inlineStr">
        <is>
          <t>2021-02-28</t>
        </is>
      </c>
      <c r="K678" s="8">
        <f>COUNTIFS('05_Orders'!$C:$C, A678)</f>
        <v/>
      </c>
      <c r="L678" s="9">
        <f>SUMIFS('05_Orders'!$I:$I, '05_Orders'!$C:$C, A678)</f>
        <v/>
      </c>
      <c r="M678" s="8">
        <f>IF(L678&gt;=2000, "Platinum VIP", IF(L678&gt;=1000, "Gold", IF(L678&gt;=500, "Silver", "Standard")))</f>
        <v/>
      </c>
    </row>
    <row r="679">
      <c r="A679" s="8" t="inlineStr">
        <is>
          <t>CUST-00675</t>
        </is>
      </c>
      <c r="B679" s="8" t="inlineStr">
        <is>
          <t>Catherine Ortiz</t>
        </is>
      </c>
      <c r="C679" s="8" t="inlineStr">
        <is>
          <t>Male</t>
        </is>
      </c>
      <c r="D679" s="8" t="n">
        <v>54</v>
      </c>
      <c r="E679" s="8">
        <f>IF(D679&lt;25, "18-24", IF(D679&lt;35, "25-34", IF(D679&lt;50, "35-49", "50+")))</f>
        <v/>
      </c>
      <c r="F679" s="8" t="inlineStr">
        <is>
          <t>Osaka</t>
        </is>
      </c>
      <c r="G679" s="8" t="inlineStr">
        <is>
          <t>Kansai</t>
        </is>
      </c>
      <c r="H679" s="8" t="inlineStr">
        <is>
          <t>REG-APAC</t>
        </is>
      </c>
      <c r="I679" s="8" t="inlineStr">
        <is>
          <t>Corporate</t>
        </is>
      </c>
      <c r="J679" s="8" t="inlineStr">
        <is>
          <t>2021-04-21</t>
        </is>
      </c>
      <c r="K679" s="8">
        <f>COUNTIFS('05_Orders'!$C:$C, A679)</f>
        <v/>
      </c>
      <c r="L679" s="9">
        <f>SUMIFS('05_Orders'!$I:$I, '05_Orders'!$C:$C, A679)</f>
        <v/>
      </c>
      <c r="M679" s="8">
        <f>IF(L679&gt;=2000, "Platinum VIP", IF(L679&gt;=1000, "Gold", IF(L679&gt;=500, "Silver", "Standard")))</f>
        <v/>
      </c>
    </row>
    <row r="680">
      <c r="A680" s="8" t="inlineStr">
        <is>
          <t>CUST-00676</t>
        </is>
      </c>
      <c r="B680" s="8" t="inlineStr">
        <is>
          <t>Jacob Gomez</t>
        </is>
      </c>
      <c r="C680" s="8" t="inlineStr">
        <is>
          <t>Male</t>
        </is>
      </c>
      <c r="D680" s="8" t="n">
        <v>47</v>
      </c>
      <c r="E680" s="8">
        <f>IF(D680&lt;25, "18-24", IF(D680&lt;35, "25-34", IF(D680&lt;50, "35-49", "50+")))</f>
        <v/>
      </c>
      <c r="F680" s="8" t="inlineStr">
        <is>
          <t>Chicago</t>
        </is>
      </c>
      <c r="G680" s="8" t="inlineStr">
        <is>
          <t>Illinois</t>
        </is>
      </c>
      <c r="H680" s="8" t="inlineStr">
        <is>
          <t>REG-NA</t>
        </is>
      </c>
      <c r="I680" s="8" t="inlineStr">
        <is>
          <t>Consumer</t>
        </is>
      </c>
      <c r="J680" s="8" t="inlineStr">
        <is>
          <t>2021-12-19</t>
        </is>
      </c>
      <c r="K680" s="8">
        <f>COUNTIFS('05_Orders'!$C:$C, A680)</f>
        <v/>
      </c>
      <c r="L680" s="9">
        <f>SUMIFS('05_Orders'!$I:$I, '05_Orders'!$C:$C, A680)</f>
        <v/>
      </c>
      <c r="M680" s="8">
        <f>IF(L680&gt;=2000, "Platinum VIP", IF(L680&gt;=1000, "Gold", IF(L680&gt;=500, "Silver", "Standard")))</f>
        <v/>
      </c>
    </row>
    <row r="681">
      <c r="A681" s="8" t="inlineStr">
        <is>
          <t>CUST-00677</t>
        </is>
      </c>
      <c r="B681" s="8" t="inlineStr">
        <is>
          <t>Barbara Castillo</t>
        </is>
      </c>
      <c r="C681" s="8" t="inlineStr">
        <is>
          <t>Male</t>
        </is>
      </c>
      <c r="D681" s="8" t="n">
        <v>27</v>
      </c>
      <c r="E681" s="8">
        <f>IF(D681&lt;25, "18-24", IF(D681&lt;35, "25-34", IF(D681&lt;50, "35-49", "50+")))</f>
        <v/>
      </c>
      <c r="F681" s="8" t="inlineStr">
        <is>
          <t>Lyon</t>
        </is>
      </c>
      <c r="G681" s="8" t="inlineStr">
        <is>
          <t>Auvergne-Rhone-Alpes</t>
        </is>
      </c>
      <c r="H681" s="8" t="inlineStr">
        <is>
          <t>REG-EU</t>
        </is>
      </c>
      <c r="I681" s="8" t="inlineStr">
        <is>
          <t>Consumer</t>
        </is>
      </c>
      <c r="J681" s="8" t="inlineStr">
        <is>
          <t>2021-11-23</t>
        </is>
      </c>
      <c r="K681" s="8">
        <f>COUNTIFS('05_Orders'!$C:$C, A681)</f>
        <v/>
      </c>
      <c r="L681" s="9">
        <f>SUMIFS('05_Orders'!$I:$I, '05_Orders'!$C:$C, A681)</f>
        <v/>
      </c>
      <c r="M681" s="8">
        <f>IF(L681&gt;=2000, "Platinum VIP", IF(L681&gt;=1000, "Gold", IF(L681&gt;=500, "Silver", "Standard")))</f>
        <v/>
      </c>
    </row>
    <row r="682">
      <c r="A682" s="8" t="inlineStr">
        <is>
          <t>CUST-00678</t>
        </is>
      </c>
      <c r="B682" s="8" t="inlineStr">
        <is>
          <t>Gary Bennett</t>
        </is>
      </c>
      <c r="C682" s="8" t="inlineStr">
        <is>
          <t>Female</t>
        </is>
      </c>
      <c r="D682" s="8" t="n">
        <v>71</v>
      </c>
      <c r="E682" s="8">
        <f>IF(D682&lt;25, "18-24", IF(D682&lt;35, "25-34", IF(D682&lt;50, "35-49", "50+")))</f>
        <v/>
      </c>
      <c r="F682" s="8" t="inlineStr">
        <is>
          <t>Munich</t>
        </is>
      </c>
      <c r="G682" s="8" t="inlineStr">
        <is>
          <t>Bavaria</t>
        </is>
      </c>
      <c r="H682" s="8" t="inlineStr">
        <is>
          <t>REG-EU</t>
        </is>
      </c>
      <c r="I682" s="8" t="inlineStr">
        <is>
          <t>Home Office</t>
        </is>
      </c>
      <c r="J682" s="8" t="inlineStr">
        <is>
          <t>2021-07-16</t>
        </is>
      </c>
      <c r="K682" s="8">
        <f>COUNTIFS('05_Orders'!$C:$C, A682)</f>
        <v/>
      </c>
      <c r="L682" s="9">
        <f>SUMIFS('05_Orders'!$I:$I, '05_Orders'!$C:$C, A682)</f>
        <v/>
      </c>
      <c r="M682" s="8">
        <f>IF(L682&gt;=2000, "Platinum VIP", IF(L682&gt;=1000, "Gold", IF(L682&gt;=500, "Silver", "Standard")))</f>
        <v/>
      </c>
    </row>
    <row r="683">
      <c r="A683" s="8" t="inlineStr">
        <is>
          <t>CUST-00679</t>
        </is>
      </c>
      <c r="B683" s="8" t="inlineStr">
        <is>
          <t>Carol Torres</t>
        </is>
      </c>
      <c r="C683" s="8" t="inlineStr">
        <is>
          <t>Other</t>
        </is>
      </c>
      <c r="D683" s="8" t="n">
        <v>64</v>
      </c>
      <c r="E683" s="8">
        <f>IF(D683&lt;25, "18-24", IF(D683&lt;35, "25-34", IF(D683&lt;50, "35-49", "50+")))</f>
        <v/>
      </c>
      <c r="F683" s="8" t="inlineStr">
        <is>
          <t>Auckland</t>
        </is>
      </c>
      <c r="G683" s="8" t="inlineStr">
        <is>
          <t>Auckland Region</t>
        </is>
      </c>
      <c r="H683" s="8" t="inlineStr">
        <is>
          <t>REG-APAC</t>
        </is>
      </c>
      <c r="I683" s="8" t="inlineStr">
        <is>
          <t>Consumer</t>
        </is>
      </c>
      <c r="J683" s="8" t="inlineStr">
        <is>
          <t>2021-05-27</t>
        </is>
      </c>
      <c r="K683" s="8">
        <f>COUNTIFS('05_Orders'!$C:$C, A683)</f>
        <v/>
      </c>
      <c r="L683" s="9">
        <f>SUMIFS('05_Orders'!$I:$I, '05_Orders'!$C:$C, A683)</f>
        <v/>
      </c>
      <c r="M683" s="8">
        <f>IF(L683&gt;=2000, "Platinum VIP", IF(L683&gt;=1000, "Gold", IF(L683&gt;=500, "Silver", "Standard")))</f>
        <v/>
      </c>
    </row>
    <row r="684">
      <c r="A684" s="8" t="inlineStr">
        <is>
          <t>CUST-00680</t>
        </is>
      </c>
      <c r="B684" s="8" t="inlineStr">
        <is>
          <t>Emma Thompson</t>
        </is>
      </c>
      <c r="C684" s="8" t="inlineStr">
        <is>
          <t>Male</t>
        </is>
      </c>
      <c r="D684" s="8" t="n">
        <v>41</v>
      </c>
      <c r="E684" s="8">
        <f>IF(D684&lt;25, "18-24", IF(D684&lt;35, "25-34", IF(D684&lt;50, "35-49", "50+")))</f>
        <v/>
      </c>
      <c r="F684" s="8" t="inlineStr">
        <is>
          <t>Boston</t>
        </is>
      </c>
      <c r="G684" s="8" t="inlineStr">
        <is>
          <t>Massachusetts</t>
        </is>
      </c>
      <c r="H684" s="8" t="inlineStr">
        <is>
          <t>REG-NA</t>
        </is>
      </c>
      <c r="I684" s="8" t="inlineStr">
        <is>
          <t>Home Office</t>
        </is>
      </c>
      <c r="J684" s="8" t="inlineStr">
        <is>
          <t>2024-06-04</t>
        </is>
      </c>
      <c r="K684" s="8">
        <f>COUNTIFS('05_Orders'!$C:$C, A684)</f>
        <v/>
      </c>
      <c r="L684" s="9">
        <f>SUMIFS('05_Orders'!$I:$I, '05_Orders'!$C:$C, A684)</f>
        <v/>
      </c>
      <c r="M684" s="8">
        <f>IF(L684&gt;=2000, "Platinum VIP", IF(L684&gt;=1000, "Gold", IF(L684&gt;=500, "Silver", "Standard")))</f>
        <v/>
      </c>
    </row>
    <row r="685">
      <c r="A685" s="8" t="inlineStr">
        <is>
          <t>CUST-00681</t>
        </is>
      </c>
      <c r="B685" s="8" t="inlineStr">
        <is>
          <t>Shirley Harris</t>
        </is>
      </c>
      <c r="C685" s="8" t="inlineStr">
        <is>
          <t>Male</t>
        </is>
      </c>
      <c r="D685" s="8" t="n">
        <v>31</v>
      </c>
      <c r="E685" s="8">
        <f>IF(D685&lt;25, "18-24", IF(D685&lt;35, "25-34", IF(D685&lt;50, "35-49", "50+")))</f>
        <v/>
      </c>
      <c r="F685" s="8" t="inlineStr">
        <is>
          <t>Los Angeles</t>
        </is>
      </c>
      <c r="G685" s="8" t="inlineStr">
        <is>
          <t>California</t>
        </is>
      </c>
      <c r="H685" s="8" t="inlineStr">
        <is>
          <t>REG-NA</t>
        </is>
      </c>
      <c r="I685" s="8" t="inlineStr">
        <is>
          <t>Consumer</t>
        </is>
      </c>
      <c r="J685" s="8" t="inlineStr">
        <is>
          <t>2024-09-01</t>
        </is>
      </c>
      <c r="K685" s="8">
        <f>COUNTIFS('05_Orders'!$C:$C, A685)</f>
        <v/>
      </c>
      <c r="L685" s="9">
        <f>SUMIFS('05_Orders'!$I:$I, '05_Orders'!$C:$C, A685)</f>
        <v/>
      </c>
      <c r="M685" s="8">
        <f>IF(L685&gt;=2000, "Platinum VIP", IF(L685&gt;=1000, "Gold", IF(L685&gt;=500, "Silver", "Standard")))</f>
        <v/>
      </c>
    </row>
    <row r="686">
      <c r="A686" s="8" t="inlineStr">
        <is>
          <t>CUST-00682</t>
        </is>
      </c>
      <c r="B686" s="8" t="inlineStr">
        <is>
          <t>Amy Jones</t>
        </is>
      </c>
      <c r="C686" s="8" t="inlineStr">
        <is>
          <t>Female</t>
        </is>
      </c>
      <c r="D686" s="8" t="n">
        <v>44</v>
      </c>
      <c r="E686" s="8">
        <f>IF(D686&lt;25, "18-24", IF(D686&lt;35, "25-34", IF(D686&lt;50, "35-49", "50+")))</f>
        <v/>
      </c>
      <c r="F686" s="8" t="inlineStr">
        <is>
          <t>Atlanta</t>
        </is>
      </c>
      <c r="G686" s="8" t="inlineStr">
        <is>
          <t>Georgia</t>
        </is>
      </c>
      <c r="H686" s="8" t="inlineStr">
        <is>
          <t>REG-NA</t>
        </is>
      </c>
      <c r="I686" s="8" t="inlineStr">
        <is>
          <t>Corporate</t>
        </is>
      </c>
      <c r="J686" s="8" t="inlineStr">
        <is>
          <t>2021-08-06</t>
        </is>
      </c>
      <c r="K686" s="8">
        <f>COUNTIFS('05_Orders'!$C:$C, A686)</f>
        <v/>
      </c>
      <c r="L686" s="9">
        <f>SUMIFS('05_Orders'!$I:$I, '05_Orders'!$C:$C, A686)</f>
        <v/>
      </c>
      <c r="M686" s="8">
        <f>IF(L686&gt;=2000, "Platinum VIP", IF(L686&gt;=1000, "Gold", IF(L686&gt;=500, "Silver", "Standard")))</f>
        <v/>
      </c>
    </row>
    <row r="687">
      <c r="A687" s="8" t="inlineStr">
        <is>
          <t>CUST-00683</t>
        </is>
      </c>
      <c r="B687" s="8" t="inlineStr">
        <is>
          <t>Rebecca Johnson</t>
        </is>
      </c>
      <c r="C687" s="8" t="inlineStr">
        <is>
          <t>Male</t>
        </is>
      </c>
      <c r="D687" s="8" t="n">
        <v>45</v>
      </c>
      <c r="E687" s="8">
        <f>IF(D687&lt;25, "18-24", IF(D687&lt;35, "25-34", IF(D687&lt;50, "35-49", "50+")))</f>
        <v/>
      </c>
      <c r="F687" s="8" t="inlineStr">
        <is>
          <t>Boston</t>
        </is>
      </c>
      <c r="G687" s="8" t="inlineStr">
        <is>
          <t>Massachusetts</t>
        </is>
      </c>
      <c r="H687" s="8" t="inlineStr">
        <is>
          <t>REG-NA</t>
        </is>
      </c>
      <c r="I687" s="8" t="inlineStr">
        <is>
          <t>Consumer</t>
        </is>
      </c>
      <c r="J687" s="8" t="inlineStr">
        <is>
          <t>2023-07-21</t>
        </is>
      </c>
      <c r="K687" s="8">
        <f>COUNTIFS('05_Orders'!$C:$C, A687)</f>
        <v/>
      </c>
      <c r="L687" s="9">
        <f>SUMIFS('05_Orders'!$I:$I, '05_Orders'!$C:$C, A687)</f>
        <v/>
      </c>
      <c r="M687" s="8">
        <f>IF(L687&gt;=2000, "Platinum VIP", IF(L687&gt;=1000, "Gold", IF(L687&gt;=500, "Silver", "Standard")))</f>
        <v/>
      </c>
    </row>
    <row r="688">
      <c r="A688" s="8" t="inlineStr">
        <is>
          <t>CUST-00684</t>
        </is>
      </c>
      <c r="B688" s="8" t="inlineStr">
        <is>
          <t>Michael Hill</t>
        </is>
      </c>
      <c r="C688" s="8" t="inlineStr">
        <is>
          <t>Female</t>
        </is>
      </c>
      <c r="D688" s="8" t="n">
        <v>34</v>
      </c>
      <c r="E688" s="8">
        <f>IF(D688&lt;25, "18-24", IF(D688&lt;35, "25-34", IF(D688&lt;50, "35-49", "50+")))</f>
        <v/>
      </c>
      <c r="F688" s="8" t="inlineStr">
        <is>
          <t>Tokyo</t>
        </is>
      </c>
      <c r="G688" s="8" t="inlineStr">
        <is>
          <t>Kanto</t>
        </is>
      </c>
      <c r="H688" s="8" t="inlineStr">
        <is>
          <t>REG-APAC</t>
        </is>
      </c>
      <c r="I688" s="8" t="inlineStr">
        <is>
          <t>Corporate</t>
        </is>
      </c>
      <c r="J688" s="8" t="inlineStr">
        <is>
          <t>2023-07-12</t>
        </is>
      </c>
      <c r="K688" s="8">
        <f>COUNTIFS('05_Orders'!$C:$C, A688)</f>
        <v/>
      </c>
      <c r="L688" s="9">
        <f>SUMIFS('05_Orders'!$I:$I, '05_Orders'!$C:$C, A688)</f>
        <v/>
      </c>
      <c r="M688" s="8">
        <f>IF(L688&gt;=2000, "Platinum VIP", IF(L688&gt;=1000, "Gold", IF(L688&gt;=500, "Silver", "Standard")))</f>
        <v/>
      </c>
    </row>
    <row r="689">
      <c r="A689" s="8" t="inlineStr">
        <is>
          <t>CUST-00685</t>
        </is>
      </c>
      <c r="B689" s="8" t="inlineStr">
        <is>
          <t>Edward Anderson</t>
        </is>
      </c>
      <c r="C689" s="8" t="inlineStr">
        <is>
          <t>Male</t>
        </is>
      </c>
      <c r="D689" s="8" t="n">
        <v>45</v>
      </c>
      <c r="E689" s="8">
        <f>IF(D689&lt;25, "18-24", IF(D689&lt;35, "25-34", IF(D689&lt;50, "35-49", "50+")))</f>
        <v/>
      </c>
      <c r="F689" s="8" t="inlineStr">
        <is>
          <t>Amsterdam</t>
        </is>
      </c>
      <c r="G689" s="8" t="inlineStr">
        <is>
          <t>North Holland</t>
        </is>
      </c>
      <c r="H689" s="8" t="inlineStr">
        <is>
          <t>REG-EU</t>
        </is>
      </c>
      <c r="I689" s="8" t="inlineStr">
        <is>
          <t>Home Office</t>
        </is>
      </c>
      <c r="J689" s="8" t="inlineStr">
        <is>
          <t>2021-06-13</t>
        </is>
      </c>
      <c r="K689" s="8">
        <f>COUNTIFS('05_Orders'!$C:$C, A689)</f>
        <v/>
      </c>
      <c r="L689" s="9">
        <f>SUMIFS('05_Orders'!$I:$I, '05_Orders'!$C:$C, A689)</f>
        <v/>
      </c>
      <c r="M689" s="8">
        <f>IF(L689&gt;=2000, "Platinum VIP", IF(L689&gt;=1000, "Gold", IF(L689&gt;=500, "Silver", "Standard")))</f>
        <v/>
      </c>
    </row>
    <row r="690">
      <c r="A690" s="8" t="inlineStr">
        <is>
          <t>CUST-00686</t>
        </is>
      </c>
      <c r="B690" s="8" t="inlineStr">
        <is>
          <t>Margaret Rogers</t>
        </is>
      </c>
      <c r="C690" s="8" t="inlineStr">
        <is>
          <t>Other</t>
        </is>
      </c>
      <c r="D690" s="8" t="n">
        <v>64</v>
      </c>
      <c r="E690" s="8">
        <f>IF(D690&lt;25, "18-24", IF(D690&lt;35, "25-34", IF(D690&lt;50, "35-49", "50+")))</f>
        <v/>
      </c>
      <c r="F690" s="8" t="inlineStr">
        <is>
          <t>Seoul</t>
        </is>
      </c>
      <c r="G690" s="8" t="inlineStr">
        <is>
          <t>Gyeonggi</t>
        </is>
      </c>
      <c r="H690" s="8" t="inlineStr">
        <is>
          <t>REG-APAC</t>
        </is>
      </c>
      <c r="I690" s="8" t="inlineStr">
        <is>
          <t>Consumer</t>
        </is>
      </c>
      <c r="J690" s="8" t="inlineStr">
        <is>
          <t>2022-07-31</t>
        </is>
      </c>
      <c r="K690" s="8">
        <f>COUNTIFS('05_Orders'!$C:$C, A690)</f>
        <v/>
      </c>
      <c r="L690" s="9">
        <f>SUMIFS('05_Orders'!$I:$I, '05_Orders'!$C:$C, A690)</f>
        <v/>
      </c>
      <c r="M690" s="8">
        <f>IF(L690&gt;=2000, "Platinum VIP", IF(L690&gt;=1000, "Gold", IF(L690&gt;=500, "Silver", "Standard")))</f>
        <v/>
      </c>
    </row>
    <row r="691">
      <c r="A691" s="8" t="inlineStr">
        <is>
          <t>CUST-00687</t>
        </is>
      </c>
      <c r="B691" s="8" t="inlineStr">
        <is>
          <t>Brandon Mendoza</t>
        </is>
      </c>
      <c r="C691" s="8" t="inlineStr">
        <is>
          <t>Female</t>
        </is>
      </c>
      <c r="D691" s="8" t="n">
        <v>34</v>
      </c>
      <c r="E691" s="8">
        <f>IF(D691&lt;25, "18-24", IF(D691&lt;35, "25-34", IF(D691&lt;50, "35-49", "50+")))</f>
        <v/>
      </c>
      <c r="F691" s="8" t="inlineStr">
        <is>
          <t>Paris</t>
        </is>
      </c>
      <c r="G691" s="8" t="inlineStr">
        <is>
          <t>Ile-de-France</t>
        </is>
      </c>
      <c r="H691" s="8" t="inlineStr">
        <is>
          <t>REG-EU</t>
        </is>
      </c>
      <c r="I691" s="8" t="inlineStr">
        <is>
          <t>Home Office</t>
        </is>
      </c>
      <c r="J691" s="8" t="inlineStr">
        <is>
          <t>2021-02-18</t>
        </is>
      </c>
      <c r="K691" s="8">
        <f>COUNTIFS('05_Orders'!$C:$C, A691)</f>
        <v/>
      </c>
      <c r="L691" s="9">
        <f>SUMIFS('05_Orders'!$I:$I, '05_Orders'!$C:$C, A691)</f>
        <v/>
      </c>
      <c r="M691" s="8">
        <f>IF(L691&gt;=2000, "Platinum VIP", IF(L691&gt;=1000, "Gold", IF(L691&gt;=500, "Silver", "Standard")))</f>
        <v/>
      </c>
    </row>
    <row r="692">
      <c r="A692" s="8" t="inlineStr">
        <is>
          <t>CUST-00688</t>
        </is>
      </c>
      <c r="B692" s="8" t="inlineStr">
        <is>
          <t>Carol Hill</t>
        </is>
      </c>
      <c r="C692" s="8" t="inlineStr">
        <is>
          <t>Other</t>
        </is>
      </c>
      <c r="D692" s="8" t="n">
        <v>20</v>
      </c>
      <c r="E692" s="8">
        <f>IF(D692&lt;25, "18-24", IF(D692&lt;35, "25-34", IF(D692&lt;50, "35-49", "50+")))</f>
        <v/>
      </c>
      <c r="F692" s="8" t="inlineStr">
        <is>
          <t>Lyon</t>
        </is>
      </c>
      <c r="G692" s="8" t="inlineStr">
        <is>
          <t>Auvergne-Rhone-Alpes</t>
        </is>
      </c>
      <c r="H692" s="8" t="inlineStr">
        <is>
          <t>REG-EU</t>
        </is>
      </c>
      <c r="I692" s="8" t="inlineStr">
        <is>
          <t>Corporate</t>
        </is>
      </c>
      <c r="J692" s="8" t="inlineStr">
        <is>
          <t>2023-12-25</t>
        </is>
      </c>
      <c r="K692" s="8">
        <f>COUNTIFS('05_Orders'!$C:$C, A692)</f>
        <v/>
      </c>
      <c r="L692" s="9">
        <f>SUMIFS('05_Orders'!$I:$I, '05_Orders'!$C:$C, A692)</f>
        <v/>
      </c>
      <c r="M692" s="8">
        <f>IF(L692&gt;=2000, "Platinum VIP", IF(L692&gt;=1000, "Gold", IF(L692&gt;=500, "Silver", "Standard")))</f>
        <v/>
      </c>
    </row>
    <row r="693">
      <c r="A693" s="8" t="inlineStr">
        <is>
          <t>CUST-00689</t>
        </is>
      </c>
      <c r="B693" s="8" t="inlineStr">
        <is>
          <t>Janet Jackson</t>
        </is>
      </c>
      <c r="C693" s="8" t="inlineStr">
        <is>
          <t>Other</t>
        </is>
      </c>
      <c r="D693" s="8" t="n">
        <v>49</v>
      </c>
      <c r="E693" s="8">
        <f>IF(D693&lt;25, "18-24", IF(D693&lt;35, "25-34", IF(D693&lt;50, "35-49", "50+")))</f>
        <v/>
      </c>
      <c r="F693" s="8" t="inlineStr">
        <is>
          <t>Paris</t>
        </is>
      </c>
      <c r="G693" s="8" t="inlineStr">
        <is>
          <t>Ile-de-France</t>
        </is>
      </c>
      <c r="H693" s="8" t="inlineStr">
        <is>
          <t>REG-EU</t>
        </is>
      </c>
      <c r="I693" s="8" t="inlineStr">
        <is>
          <t>Consumer</t>
        </is>
      </c>
      <c r="J693" s="8" t="inlineStr">
        <is>
          <t>2023-07-28</t>
        </is>
      </c>
      <c r="K693" s="8">
        <f>COUNTIFS('05_Orders'!$C:$C, A693)</f>
        <v/>
      </c>
      <c r="L693" s="9">
        <f>SUMIFS('05_Orders'!$I:$I, '05_Orders'!$C:$C, A693)</f>
        <v/>
      </c>
      <c r="M693" s="8">
        <f>IF(L693&gt;=2000, "Platinum VIP", IF(L693&gt;=1000, "Gold", IF(L693&gt;=500, "Silver", "Standard")))</f>
        <v/>
      </c>
    </row>
    <row r="694">
      <c r="A694" s="8" t="inlineStr">
        <is>
          <t>CUST-00690</t>
        </is>
      </c>
      <c r="B694" s="8" t="inlineStr">
        <is>
          <t>Janet Ortiz</t>
        </is>
      </c>
      <c r="C694" s="8" t="inlineStr">
        <is>
          <t>Other</t>
        </is>
      </c>
      <c r="D694" s="8" t="n">
        <v>47</v>
      </c>
      <c r="E694" s="8">
        <f>IF(D694&lt;25, "18-24", IF(D694&lt;35, "25-34", IF(D694&lt;50, "35-49", "50+")))</f>
        <v/>
      </c>
      <c r="F694" s="8" t="inlineStr">
        <is>
          <t>Seattle</t>
        </is>
      </c>
      <c r="G694" s="8" t="inlineStr">
        <is>
          <t>Washington</t>
        </is>
      </c>
      <c r="H694" s="8" t="inlineStr">
        <is>
          <t>REG-NA</t>
        </is>
      </c>
      <c r="I694" s="8" t="inlineStr">
        <is>
          <t>Consumer</t>
        </is>
      </c>
      <c r="J694" s="8" t="inlineStr">
        <is>
          <t>2021-10-28</t>
        </is>
      </c>
      <c r="K694" s="8">
        <f>COUNTIFS('05_Orders'!$C:$C, A694)</f>
        <v/>
      </c>
      <c r="L694" s="9">
        <f>SUMIFS('05_Orders'!$I:$I, '05_Orders'!$C:$C, A694)</f>
        <v/>
      </c>
      <c r="M694" s="8">
        <f>IF(L694&gt;=2000, "Platinum VIP", IF(L694&gt;=1000, "Gold", IF(L694&gt;=500, "Silver", "Standard")))</f>
        <v/>
      </c>
    </row>
    <row r="695">
      <c r="A695" s="8" t="inlineStr">
        <is>
          <t>CUST-00691</t>
        </is>
      </c>
      <c r="B695" s="8" t="inlineStr">
        <is>
          <t>Angela Castillo</t>
        </is>
      </c>
      <c r="C695" s="8" t="inlineStr">
        <is>
          <t>Male</t>
        </is>
      </c>
      <c r="D695" s="8" t="n">
        <v>39</v>
      </c>
      <c r="E695" s="8">
        <f>IF(D695&lt;25, "18-24", IF(D695&lt;35, "25-34", IF(D695&lt;50, "35-49", "50+")))</f>
        <v/>
      </c>
      <c r="F695" s="8" t="inlineStr">
        <is>
          <t>Bogota</t>
        </is>
      </c>
      <c r="G695" s="8" t="inlineStr">
        <is>
          <t>Cundinamarca</t>
        </is>
      </c>
      <c r="H695" s="8" t="inlineStr">
        <is>
          <t>REG-LATAM</t>
        </is>
      </c>
      <c r="I695" s="8" t="inlineStr">
        <is>
          <t>Consumer</t>
        </is>
      </c>
      <c r="J695" s="8" t="inlineStr">
        <is>
          <t>2021-02-15</t>
        </is>
      </c>
      <c r="K695" s="8">
        <f>COUNTIFS('05_Orders'!$C:$C, A695)</f>
        <v/>
      </c>
      <c r="L695" s="9">
        <f>SUMIFS('05_Orders'!$I:$I, '05_Orders'!$C:$C, A695)</f>
        <v/>
      </c>
      <c r="M695" s="8">
        <f>IF(L695&gt;=2000, "Platinum VIP", IF(L695&gt;=1000, "Gold", IF(L695&gt;=500, "Silver", "Standard")))</f>
        <v/>
      </c>
    </row>
    <row r="696">
      <c r="A696" s="8" t="inlineStr">
        <is>
          <t>CUST-00692</t>
        </is>
      </c>
      <c r="B696" s="8" t="inlineStr">
        <is>
          <t>David Parker</t>
        </is>
      </c>
      <c r="C696" s="8" t="inlineStr">
        <is>
          <t>Male</t>
        </is>
      </c>
      <c r="D696" s="8" t="n">
        <v>68</v>
      </c>
      <c r="E696" s="8">
        <f>IF(D696&lt;25, "18-24", IF(D696&lt;35, "25-34", IF(D696&lt;50, "35-49", "50+")))</f>
        <v/>
      </c>
      <c r="F696" s="8" t="inlineStr">
        <is>
          <t>Phoenix</t>
        </is>
      </c>
      <c r="G696" s="8" t="inlineStr">
        <is>
          <t>Arizona</t>
        </is>
      </c>
      <c r="H696" s="8" t="inlineStr">
        <is>
          <t>REG-NA</t>
        </is>
      </c>
      <c r="I696" s="8" t="inlineStr">
        <is>
          <t>Enterprise</t>
        </is>
      </c>
      <c r="J696" s="8" t="inlineStr">
        <is>
          <t>2024-06-14</t>
        </is>
      </c>
      <c r="K696" s="8">
        <f>COUNTIFS('05_Orders'!$C:$C, A696)</f>
        <v/>
      </c>
      <c r="L696" s="9">
        <f>SUMIFS('05_Orders'!$I:$I, '05_Orders'!$C:$C, A696)</f>
        <v/>
      </c>
      <c r="M696" s="8">
        <f>IF(L696&gt;=2000, "Platinum VIP", IF(L696&gt;=1000, "Gold", IF(L696&gt;=500, "Silver", "Standard")))</f>
        <v/>
      </c>
    </row>
    <row r="697">
      <c r="A697" s="8" t="inlineStr">
        <is>
          <t>CUST-00693</t>
        </is>
      </c>
      <c r="B697" s="8" t="inlineStr">
        <is>
          <t>Deborah Kelly</t>
        </is>
      </c>
      <c r="C697" s="8" t="inlineStr">
        <is>
          <t>Female</t>
        </is>
      </c>
      <c r="D697" s="8" t="n">
        <v>31</v>
      </c>
      <c r="E697" s="8">
        <f>IF(D697&lt;25, "18-24", IF(D697&lt;35, "25-34", IF(D697&lt;50, "35-49", "50+")))</f>
        <v/>
      </c>
      <c r="F697" s="8" t="inlineStr">
        <is>
          <t>Seoul</t>
        </is>
      </c>
      <c r="G697" s="8" t="inlineStr">
        <is>
          <t>Gyeonggi</t>
        </is>
      </c>
      <c r="H697" s="8" t="inlineStr">
        <is>
          <t>REG-APAC</t>
        </is>
      </c>
      <c r="I697" s="8" t="inlineStr">
        <is>
          <t>Consumer</t>
        </is>
      </c>
      <c r="J697" s="8" t="inlineStr">
        <is>
          <t>2024-11-11</t>
        </is>
      </c>
      <c r="K697" s="8">
        <f>COUNTIFS('05_Orders'!$C:$C, A697)</f>
        <v/>
      </c>
      <c r="L697" s="9">
        <f>SUMIFS('05_Orders'!$I:$I, '05_Orders'!$C:$C, A697)</f>
        <v/>
      </c>
      <c r="M697" s="8">
        <f>IF(L697&gt;=2000, "Platinum VIP", IF(L697&gt;=1000, "Gold", IF(L697&gt;=500, "Silver", "Standard")))</f>
        <v/>
      </c>
    </row>
    <row r="698">
      <c r="A698" s="8" t="inlineStr">
        <is>
          <t>CUST-00694</t>
        </is>
      </c>
      <c r="B698" s="8" t="inlineStr">
        <is>
          <t>Lisa Gray</t>
        </is>
      </c>
      <c r="C698" s="8" t="inlineStr">
        <is>
          <t>Female</t>
        </is>
      </c>
      <c r="D698" s="8" t="n">
        <v>35</v>
      </c>
      <c r="E698" s="8">
        <f>IF(D698&lt;25, "18-24", IF(D698&lt;35, "25-34", IF(D698&lt;50, "35-49", "50+")))</f>
        <v/>
      </c>
      <c r="F698" s="8" t="inlineStr">
        <is>
          <t>Houston</t>
        </is>
      </c>
      <c r="G698" s="8" t="inlineStr">
        <is>
          <t>Texas</t>
        </is>
      </c>
      <c r="H698" s="8" t="inlineStr">
        <is>
          <t>REG-NA</t>
        </is>
      </c>
      <c r="I698" s="8" t="inlineStr">
        <is>
          <t>Consumer</t>
        </is>
      </c>
      <c r="J698" s="8" t="inlineStr">
        <is>
          <t>2023-04-29</t>
        </is>
      </c>
      <c r="K698" s="8">
        <f>COUNTIFS('05_Orders'!$C:$C, A698)</f>
        <v/>
      </c>
      <c r="L698" s="9">
        <f>SUMIFS('05_Orders'!$I:$I, '05_Orders'!$C:$C, A698)</f>
        <v/>
      </c>
      <c r="M698" s="8">
        <f>IF(L698&gt;=2000, "Platinum VIP", IF(L698&gt;=1000, "Gold", IF(L698&gt;=500, "Silver", "Standard")))</f>
        <v/>
      </c>
    </row>
    <row r="699">
      <c r="A699" s="8" t="inlineStr">
        <is>
          <t>CUST-00695</t>
        </is>
      </c>
      <c r="B699" s="8" t="inlineStr">
        <is>
          <t>Katherine Green</t>
        </is>
      </c>
      <c r="C699" s="8" t="inlineStr">
        <is>
          <t>Male</t>
        </is>
      </c>
      <c r="D699" s="8" t="n">
        <v>32</v>
      </c>
      <c r="E699" s="8">
        <f>IF(D699&lt;25, "18-24", IF(D699&lt;35, "25-34", IF(D699&lt;50, "35-49", "50+")))</f>
        <v/>
      </c>
      <c r="F699" s="8" t="inlineStr">
        <is>
          <t>Seattle</t>
        </is>
      </c>
      <c r="G699" s="8" t="inlineStr">
        <is>
          <t>Washington</t>
        </is>
      </c>
      <c r="H699" s="8" t="inlineStr">
        <is>
          <t>REG-NA</t>
        </is>
      </c>
      <c r="I699" s="8" t="inlineStr">
        <is>
          <t>Consumer</t>
        </is>
      </c>
      <c r="J699" s="8" t="inlineStr">
        <is>
          <t>2024-06-06</t>
        </is>
      </c>
      <c r="K699" s="8">
        <f>COUNTIFS('05_Orders'!$C:$C, A699)</f>
        <v/>
      </c>
      <c r="L699" s="9">
        <f>SUMIFS('05_Orders'!$I:$I, '05_Orders'!$C:$C, A699)</f>
        <v/>
      </c>
      <c r="M699" s="8">
        <f>IF(L699&gt;=2000, "Platinum VIP", IF(L699&gt;=1000, "Gold", IF(L699&gt;=500, "Silver", "Standard")))</f>
        <v/>
      </c>
    </row>
    <row r="700">
      <c r="A700" s="8" t="inlineStr">
        <is>
          <t>CUST-00696</t>
        </is>
      </c>
      <c r="B700" s="8" t="inlineStr">
        <is>
          <t>Katherine Kim</t>
        </is>
      </c>
      <c r="C700" s="8" t="inlineStr">
        <is>
          <t>Female</t>
        </is>
      </c>
      <c r="D700" s="8" t="n">
        <v>52</v>
      </c>
      <c r="E700" s="8">
        <f>IF(D700&lt;25, "18-24", IF(D700&lt;35, "25-34", IF(D700&lt;50, "35-49", "50+")))</f>
        <v/>
      </c>
      <c r="F700" s="8" t="inlineStr">
        <is>
          <t>Boston</t>
        </is>
      </c>
      <c r="G700" s="8" t="inlineStr">
        <is>
          <t>Massachusetts</t>
        </is>
      </c>
      <c r="H700" s="8" t="inlineStr">
        <is>
          <t>REG-NA</t>
        </is>
      </c>
      <c r="I700" s="8" t="inlineStr">
        <is>
          <t>Consumer</t>
        </is>
      </c>
      <c r="J700" s="8" t="inlineStr">
        <is>
          <t>2022-11-29</t>
        </is>
      </c>
      <c r="K700" s="8">
        <f>COUNTIFS('05_Orders'!$C:$C, A700)</f>
        <v/>
      </c>
      <c r="L700" s="9">
        <f>SUMIFS('05_Orders'!$I:$I, '05_Orders'!$C:$C, A700)</f>
        <v/>
      </c>
      <c r="M700" s="8">
        <f>IF(L700&gt;=2000, "Platinum VIP", IF(L700&gt;=1000, "Gold", IF(L700&gt;=500, "Silver", "Standard")))</f>
        <v/>
      </c>
    </row>
    <row r="701">
      <c r="A701" s="8" t="inlineStr">
        <is>
          <t>CUST-00697</t>
        </is>
      </c>
      <c r="B701" s="8" t="inlineStr">
        <is>
          <t>Shirley Clark</t>
        </is>
      </c>
      <c r="C701" s="8" t="inlineStr">
        <is>
          <t>Other</t>
        </is>
      </c>
      <c r="D701" s="8" t="n">
        <v>62</v>
      </c>
      <c r="E701" s="8">
        <f>IF(D701&lt;25, "18-24", IF(D701&lt;35, "25-34", IF(D701&lt;50, "35-49", "50+")))</f>
        <v/>
      </c>
      <c r="F701" s="8" t="inlineStr">
        <is>
          <t>Atlanta</t>
        </is>
      </c>
      <c r="G701" s="8" t="inlineStr">
        <is>
          <t>Georgia</t>
        </is>
      </c>
      <c r="H701" s="8" t="inlineStr">
        <is>
          <t>REG-NA</t>
        </is>
      </c>
      <c r="I701" s="8" t="inlineStr">
        <is>
          <t>Consumer</t>
        </is>
      </c>
      <c r="J701" s="8" t="inlineStr">
        <is>
          <t>2021-03-08</t>
        </is>
      </c>
      <c r="K701" s="8">
        <f>COUNTIFS('05_Orders'!$C:$C, A701)</f>
        <v/>
      </c>
      <c r="L701" s="9">
        <f>SUMIFS('05_Orders'!$I:$I, '05_Orders'!$C:$C, A701)</f>
        <v/>
      </c>
      <c r="M701" s="8">
        <f>IF(L701&gt;=2000, "Platinum VIP", IF(L701&gt;=1000, "Gold", IF(L701&gt;=500, "Silver", "Standard")))</f>
        <v/>
      </c>
    </row>
    <row r="702">
      <c r="A702" s="8" t="inlineStr">
        <is>
          <t>CUST-00698</t>
        </is>
      </c>
      <c r="B702" s="8" t="inlineStr">
        <is>
          <t>George Hernandez</t>
        </is>
      </c>
      <c r="C702" s="8" t="inlineStr">
        <is>
          <t>Male</t>
        </is>
      </c>
      <c r="D702" s="8" t="n">
        <v>65</v>
      </c>
      <c r="E702" s="8">
        <f>IF(D702&lt;25, "18-24", IF(D702&lt;35, "25-34", IF(D702&lt;50, "35-49", "50+")))</f>
        <v/>
      </c>
      <c r="F702" s="8" t="inlineStr">
        <is>
          <t>Santiago</t>
        </is>
      </c>
      <c r="G702" s="8" t="inlineStr">
        <is>
          <t>Santiago Metro</t>
        </is>
      </c>
      <c r="H702" s="8" t="inlineStr">
        <is>
          <t>REG-LATAM</t>
        </is>
      </c>
      <c r="I702" s="8" t="inlineStr">
        <is>
          <t>Consumer</t>
        </is>
      </c>
      <c r="J702" s="8" t="inlineStr">
        <is>
          <t>2025-03-18</t>
        </is>
      </c>
      <c r="K702" s="8">
        <f>COUNTIFS('05_Orders'!$C:$C, A702)</f>
        <v/>
      </c>
      <c r="L702" s="9">
        <f>SUMIFS('05_Orders'!$I:$I, '05_Orders'!$C:$C, A702)</f>
        <v/>
      </c>
      <c r="M702" s="8">
        <f>IF(L702&gt;=2000, "Platinum VIP", IF(L702&gt;=1000, "Gold", IF(L702&gt;=500, "Silver", "Standard")))</f>
        <v/>
      </c>
    </row>
    <row r="703">
      <c r="A703" s="8" t="inlineStr">
        <is>
          <t>CUST-00699</t>
        </is>
      </c>
      <c r="B703" s="8" t="inlineStr">
        <is>
          <t>Nancy Richardson</t>
        </is>
      </c>
      <c r="C703" s="8" t="inlineStr">
        <is>
          <t>Female</t>
        </is>
      </c>
      <c r="D703" s="8" t="n">
        <v>54</v>
      </c>
      <c r="E703" s="8">
        <f>IF(D703&lt;25, "18-24", IF(D703&lt;35, "25-34", IF(D703&lt;50, "35-49", "50+")))</f>
        <v/>
      </c>
      <c r="F703" s="8" t="inlineStr">
        <is>
          <t>London</t>
        </is>
      </c>
      <c r="G703" s="8" t="inlineStr">
        <is>
          <t>Greater London</t>
        </is>
      </c>
      <c r="H703" s="8" t="inlineStr">
        <is>
          <t>REG-EU</t>
        </is>
      </c>
      <c r="I703" s="8" t="inlineStr">
        <is>
          <t>Corporate</t>
        </is>
      </c>
      <c r="J703" s="8" t="inlineStr">
        <is>
          <t>2022-08-05</t>
        </is>
      </c>
      <c r="K703" s="8">
        <f>COUNTIFS('05_Orders'!$C:$C, A703)</f>
        <v/>
      </c>
      <c r="L703" s="9">
        <f>SUMIFS('05_Orders'!$I:$I, '05_Orders'!$C:$C, A703)</f>
        <v/>
      </c>
      <c r="M703" s="8">
        <f>IF(L703&gt;=2000, "Platinum VIP", IF(L703&gt;=1000, "Gold", IF(L703&gt;=500, "Silver", "Standard")))</f>
        <v/>
      </c>
    </row>
    <row r="704">
      <c r="A704" s="8" t="inlineStr">
        <is>
          <t>CUST-00700</t>
        </is>
      </c>
      <c r="B704" s="8" t="inlineStr">
        <is>
          <t>Thomas Carter</t>
        </is>
      </c>
      <c r="C704" s="8" t="inlineStr">
        <is>
          <t>Other</t>
        </is>
      </c>
      <c r="D704" s="8" t="n">
        <v>72</v>
      </c>
      <c r="E704" s="8">
        <f>IF(D704&lt;25, "18-24", IF(D704&lt;35, "25-34", IF(D704&lt;50, "35-49", "50+")))</f>
        <v/>
      </c>
      <c r="F704" s="8" t="inlineStr">
        <is>
          <t>Atlanta</t>
        </is>
      </c>
      <c r="G704" s="8" t="inlineStr">
        <is>
          <t>Georgia</t>
        </is>
      </c>
      <c r="H704" s="8" t="inlineStr">
        <is>
          <t>REG-NA</t>
        </is>
      </c>
      <c r="I704" s="8" t="inlineStr">
        <is>
          <t>Consumer</t>
        </is>
      </c>
      <c r="J704" s="8" t="inlineStr">
        <is>
          <t>2021-08-15</t>
        </is>
      </c>
      <c r="K704" s="8">
        <f>COUNTIFS('05_Orders'!$C:$C, A704)</f>
        <v/>
      </c>
      <c r="L704" s="9">
        <f>SUMIFS('05_Orders'!$I:$I, '05_Orders'!$C:$C, A704)</f>
        <v/>
      </c>
      <c r="M704" s="8">
        <f>IF(L704&gt;=2000, "Platinum VIP", IF(L704&gt;=1000, "Gold", IF(L704&gt;=500, "Silver", "Standard")))</f>
        <v/>
      </c>
    </row>
    <row r="705">
      <c r="A705" s="8" t="inlineStr">
        <is>
          <t>CUST-00701</t>
        </is>
      </c>
      <c r="B705" s="8" t="inlineStr">
        <is>
          <t>Dennis Phillips</t>
        </is>
      </c>
      <c r="C705" s="8" t="inlineStr">
        <is>
          <t>Other</t>
        </is>
      </c>
      <c r="D705" s="8" t="n">
        <v>44</v>
      </c>
      <c r="E705" s="8">
        <f>IF(D705&lt;25, "18-24", IF(D705&lt;35, "25-34", IF(D705&lt;50, "35-49", "50+")))</f>
        <v/>
      </c>
      <c r="F705" s="8" t="inlineStr">
        <is>
          <t>Houston</t>
        </is>
      </c>
      <c r="G705" s="8" t="inlineStr">
        <is>
          <t>Texas</t>
        </is>
      </c>
      <c r="H705" s="8" t="inlineStr">
        <is>
          <t>REG-NA</t>
        </is>
      </c>
      <c r="I705" s="8" t="inlineStr">
        <is>
          <t>Consumer</t>
        </is>
      </c>
      <c r="J705" s="8" t="inlineStr">
        <is>
          <t>2024-05-12</t>
        </is>
      </c>
      <c r="K705" s="8">
        <f>COUNTIFS('05_Orders'!$C:$C, A705)</f>
        <v/>
      </c>
      <c r="L705" s="9">
        <f>SUMIFS('05_Orders'!$I:$I, '05_Orders'!$C:$C, A705)</f>
        <v/>
      </c>
      <c r="M705" s="8">
        <f>IF(L705&gt;=2000, "Platinum VIP", IF(L705&gt;=1000, "Gold", IF(L705&gt;=500, "Silver", "Standard")))</f>
        <v/>
      </c>
    </row>
    <row r="706">
      <c r="A706" s="8" t="inlineStr">
        <is>
          <t>CUST-00702</t>
        </is>
      </c>
      <c r="B706" s="8" t="inlineStr">
        <is>
          <t>Rachel Brooks</t>
        </is>
      </c>
      <c r="C706" s="8" t="inlineStr">
        <is>
          <t>Other</t>
        </is>
      </c>
      <c r="D706" s="8" t="n">
        <v>38</v>
      </c>
      <c r="E706" s="8">
        <f>IF(D706&lt;25, "18-24", IF(D706&lt;35, "25-34", IF(D706&lt;50, "35-49", "50+")))</f>
        <v/>
      </c>
      <c r="F706" s="8" t="inlineStr">
        <is>
          <t>Dublin</t>
        </is>
      </c>
      <c r="G706" s="8" t="inlineStr">
        <is>
          <t>Leinster</t>
        </is>
      </c>
      <c r="H706" s="8" t="inlineStr">
        <is>
          <t>REG-EU</t>
        </is>
      </c>
      <c r="I706" s="8" t="inlineStr">
        <is>
          <t>Consumer</t>
        </is>
      </c>
      <c r="J706" s="8" t="inlineStr">
        <is>
          <t>2023-04-08</t>
        </is>
      </c>
      <c r="K706" s="8">
        <f>COUNTIFS('05_Orders'!$C:$C, A706)</f>
        <v/>
      </c>
      <c r="L706" s="9">
        <f>SUMIFS('05_Orders'!$I:$I, '05_Orders'!$C:$C, A706)</f>
        <v/>
      </c>
      <c r="M706" s="8">
        <f>IF(L706&gt;=2000, "Platinum VIP", IF(L706&gt;=1000, "Gold", IF(L706&gt;=500, "Silver", "Standard")))</f>
        <v/>
      </c>
    </row>
    <row r="707">
      <c r="A707" s="8" t="inlineStr">
        <is>
          <t>CUST-00703</t>
        </is>
      </c>
      <c r="B707" s="8" t="inlineStr">
        <is>
          <t>Daniel Phillips</t>
        </is>
      </c>
      <c r="C707" s="8" t="inlineStr">
        <is>
          <t>Female</t>
        </is>
      </c>
      <c r="D707" s="8" t="n">
        <v>18</v>
      </c>
      <c r="E707" s="8">
        <f>IF(D707&lt;25, "18-24", IF(D707&lt;35, "25-34", IF(D707&lt;50, "35-49", "50+")))</f>
        <v/>
      </c>
      <c r="F707" s="8" t="inlineStr">
        <is>
          <t>Lyon</t>
        </is>
      </c>
      <c r="G707" s="8" t="inlineStr">
        <is>
          <t>Auvergne-Rhone-Alpes</t>
        </is>
      </c>
      <c r="H707" s="8" t="inlineStr">
        <is>
          <t>REG-EU</t>
        </is>
      </c>
      <c r="I707" s="8" t="inlineStr">
        <is>
          <t>Home Office</t>
        </is>
      </c>
      <c r="J707" s="8" t="inlineStr">
        <is>
          <t>2024-09-05</t>
        </is>
      </c>
      <c r="K707" s="8">
        <f>COUNTIFS('05_Orders'!$C:$C, A707)</f>
        <v/>
      </c>
      <c r="L707" s="9">
        <f>SUMIFS('05_Orders'!$I:$I, '05_Orders'!$C:$C, A707)</f>
        <v/>
      </c>
      <c r="M707" s="8">
        <f>IF(L707&gt;=2000, "Platinum VIP", IF(L707&gt;=1000, "Gold", IF(L707&gt;=500, "Silver", "Standard")))</f>
        <v/>
      </c>
    </row>
    <row r="708">
      <c r="A708" s="8" t="inlineStr">
        <is>
          <t>CUST-00704</t>
        </is>
      </c>
      <c r="B708" s="8" t="inlineStr">
        <is>
          <t>Laura Evans</t>
        </is>
      </c>
      <c r="C708" s="8" t="inlineStr">
        <is>
          <t>Male</t>
        </is>
      </c>
      <c r="D708" s="8" t="n">
        <v>58</v>
      </c>
      <c r="E708" s="8">
        <f>IF(D708&lt;25, "18-24", IF(D708&lt;35, "25-34", IF(D708&lt;50, "35-49", "50+")))</f>
        <v/>
      </c>
      <c r="F708" s="8" t="inlineStr">
        <is>
          <t>Houston</t>
        </is>
      </c>
      <c r="G708" s="8" t="inlineStr">
        <is>
          <t>Texas</t>
        </is>
      </c>
      <c r="H708" s="8" t="inlineStr">
        <is>
          <t>REG-NA</t>
        </is>
      </c>
      <c r="I708" s="8" t="inlineStr">
        <is>
          <t>Consumer</t>
        </is>
      </c>
      <c r="J708" s="8" t="inlineStr">
        <is>
          <t>2024-06-23</t>
        </is>
      </c>
      <c r="K708" s="8">
        <f>COUNTIFS('05_Orders'!$C:$C, A708)</f>
        <v/>
      </c>
      <c r="L708" s="9">
        <f>SUMIFS('05_Orders'!$I:$I, '05_Orders'!$C:$C, A708)</f>
        <v/>
      </c>
      <c r="M708" s="8">
        <f>IF(L708&gt;=2000, "Platinum VIP", IF(L708&gt;=1000, "Gold", IF(L708&gt;=500, "Silver", "Standard")))</f>
        <v/>
      </c>
    </row>
    <row r="709">
      <c r="A709" s="8" t="inlineStr">
        <is>
          <t>CUST-00705</t>
        </is>
      </c>
      <c r="B709" s="8" t="inlineStr">
        <is>
          <t>John Adams</t>
        </is>
      </c>
      <c r="C709" s="8" t="inlineStr">
        <is>
          <t>Other</t>
        </is>
      </c>
      <c r="D709" s="8" t="n">
        <v>45</v>
      </c>
      <c r="E709" s="8">
        <f>IF(D709&lt;25, "18-24", IF(D709&lt;35, "25-34", IF(D709&lt;50, "35-49", "50+")))</f>
        <v/>
      </c>
      <c r="F709" s="8" t="inlineStr">
        <is>
          <t>Toronto</t>
        </is>
      </c>
      <c r="G709" s="8" t="inlineStr">
        <is>
          <t>Ontario</t>
        </is>
      </c>
      <c r="H709" s="8" t="inlineStr">
        <is>
          <t>REG-NA</t>
        </is>
      </c>
      <c r="I709" s="8" t="inlineStr">
        <is>
          <t>Corporate</t>
        </is>
      </c>
      <c r="J709" s="8" t="inlineStr">
        <is>
          <t>2023-01-29</t>
        </is>
      </c>
      <c r="K709" s="8">
        <f>COUNTIFS('05_Orders'!$C:$C, A709)</f>
        <v/>
      </c>
      <c r="L709" s="9">
        <f>SUMIFS('05_Orders'!$I:$I, '05_Orders'!$C:$C, A709)</f>
        <v/>
      </c>
      <c r="M709" s="8">
        <f>IF(L709&gt;=2000, "Platinum VIP", IF(L709&gt;=1000, "Gold", IF(L709&gt;=500, "Silver", "Standard")))</f>
        <v/>
      </c>
    </row>
    <row r="710">
      <c r="A710" s="8" t="inlineStr">
        <is>
          <t>CUST-00706</t>
        </is>
      </c>
      <c r="B710" s="8" t="inlineStr">
        <is>
          <t>Angela Harris</t>
        </is>
      </c>
      <c r="C710" s="8" t="inlineStr">
        <is>
          <t>Male</t>
        </is>
      </c>
      <c r="D710" s="8" t="n">
        <v>47</v>
      </c>
      <c r="E710" s="8">
        <f>IF(D710&lt;25, "18-24", IF(D710&lt;35, "25-34", IF(D710&lt;50, "35-49", "50+")))</f>
        <v/>
      </c>
      <c r="F710" s="8" t="inlineStr">
        <is>
          <t>Houston</t>
        </is>
      </c>
      <c r="G710" s="8" t="inlineStr">
        <is>
          <t>Texas</t>
        </is>
      </c>
      <c r="H710" s="8" t="inlineStr">
        <is>
          <t>REG-NA</t>
        </is>
      </c>
      <c r="I710" s="8" t="inlineStr">
        <is>
          <t>Consumer</t>
        </is>
      </c>
      <c r="J710" s="8" t="inlineStr">
        <is>
          <t>2024-12-30</t>
        </is>
      </c>
      <c r="K710" s="8">
        <f>COUNTIFS('05_Orders'!$C:$C, A710)</f>
        <v/>
      </c>
      <c r="L710" s="9">
        <f>SUMIFS('05_Orders'!$I:$I, '05_Orders'!$C:$C, A710)</f>
        <v/>
      </c>
      <c r="M710" s="8">
        <f>IF(L710&gt;=2000, "Platinum VIP", IF(L710&gt;=1000, "Gold", IF(L710&gt;=500, "Silver", "Standard")))</f>
        <v/>
      </c>
    </row>
    <row r="711">
      <c r="A711" s="8" t="inlineStr">
        <is>
          <t>CUST-00707</t>
        </is>
      </c>
      <c r="B711" s="8" t="inlineStr">
        <is>
          <t>Anthony Kelly</t>
        </is>
      </c>
      <c r="C711" s="8" t="inlineStr">
        <is>
          <t>Female</t>
        </is>
      </c>
      <c r="D711" s="8" t="n">
        <v>47</v>
      </c>
      <c r="E711" s="8">
        <f>IF(D711&lt;25, "18-24", IF(D711&lt;35, "25-34", IF(D711&lt;50, "35-49", "50+")))</f>
        <v/>
      </c>
      <c r="F711" s="8" t="inlineStr">
        <is>
          <t>Denver</t>
        </is>
      </c>
      <c r="G711" s="8" t="inlineStr">
        <is>
          <t>Colorado</t>
        </is>
      </c>
      <c r="H711" s="8" t="inlineStr">
        <is>
          <t>REG-NA</t>
        </is>
      </c>
      <c r="I711" s="8" t="inlineStr">
        <is>
          <t>Consumer</t>
        </is>
      </c>
      <c r="J711" s="8" t="inlineStr">
        <is>
          <t>2022-05-11</t>
        </is>
      </c>
      <c r="K711" s="8">
        <f>COUNTIFS('05_Orders'!$C:$C, A711)</f>
        <v/>
      </c>
      <c r="L711" s="9">
        <f>SUMIFS('05_Orders'!$I:$I, '05_Orders'!$C:$C, A711)</f>
        <v/>
      </c>
      <c r="M711" s="8">
        <f>IF(L711&gt;=2000, "Platinum VIP", IF(L711&gt;=1000, "Gold", IF(L711&gt;=500, "Silver", "Standard")))</f>
        <v/>
      </c>
    </row>
    <row r="712">
      <c r="A712" s="8" t="inlineStr">
        <is>
          <t>CUST-00708</t>
        </is>
      </c>
      <c r="B712" s="8" t="inlineStr">
        <is>
          <t>Emma Nelson</t>
        </is>
      </c>
      <c r="C712" s="8" t="inlineStr">
        <is>
          <t>Male</t>
        </is>
      </c>
      <c r="D712" s="8" t="n">
        <v>33</v>
      </c>
      <c r="E712" s="8">
        <f>IF(D712&lt;25, "18-24", IF(D712&lt;35, "25-34", IF(D712&lt;50, "35-49", "50+")))</f>
        <v/>
      </c>
      <c r="F712" s="8" t="inlineStr">
        <is>
          <t>Manchester</t>
        </is>
      </c>
      <c r="G712" s="8" t="inlineStr">
        <is>
          <t>Greater Manchester</t>
        </is>
      </c>
      <c r="H712" s="8" t="inlineStr">
        <is>
          <t>REG-EU</t>
        </is>
      </c>
      <c r="I712" s="8" t="inlineStr">
        <is>
          <t>Consumer</t>
        </is>
      </c>
      <c r="J712" s="8" t="inlineStr">
        <is>
          <t>2021-03-08</t>
        </is>
      </c>
      <c r="K712" s="8">
        <f>COUNTIFS('05_Orders'!$C:$C, A712)</f>
        <v/>
      </c>
      <c r="L712" s="9">
        <f>SUMIFS('05_Orders'!$I:$I, '05_Orders'!$C:$C, A712)</f>
        <v/>
      </c>
      <c r="M712" s="8">
        <f>IF(L712&gt;=2000, "Platinum VIP", IF(L712&gt;=1000, "Gold", IF(L712&gt;=500, "Silver", "Standard")))</f>
        <v/>
      </c>
    </row>
    <row r="713">
      <c r="A713" s="8" t="inlineStr">
        <is>
          <t>CUST-00709</t>
        </is>
      </c>
      <c r="B713" s="8" t="inlineStr">
        <is>
          <t>Stephanie Martinez</t>
        </is>
      </c>
      <c r="C713" s="8" t="inlineStr">
        <is>
          <t>Female</t>
        </is>
      </c>
      <c r="D713" s="8" t="n">
        <v>34</v>
      </c>
      <c r="E713" s="8">
        <f>IF(D713&lt;25, "18-24", IF(D713&lt;35, "25-34", IF(D713&lt;50, "35-49", "50+")))</f>
        <v/>
      </c>
      <c r="F713" s="8" t="inlineStr">
        <is>
          <t>Mumbai</t>
        </is>
      </c>
      <c r="G713" s="8" t="inlineStr">
        <is>
          <t>Maharashtra</t>
        </is>
      </c>
      <c r="H713" s="8" t="inlineStr">
        <is>
          <t>REG-APAC</t>
        </is>
      </c>
      <c r="I713" s="8" t="inlineStr">
        <is>
          <t>Consumer</t>
        </is>
      </c>
      <c r="J713" s="8" t="inlineStr">
        <is>
          <t>2025-05-10</t>
        </is>
      </c>
      <c r="K713" s="8">
        <f>COUNTIFS('05_Orders'!$C:$C, A713)</f>
        <v/>
      </c>
      <c r="L713" s="9">
        <f>SUMIFS('05_Orders'!$I:$I, '05_Orders'!$C:$C, A713)</f>
        <v/>
      </c>
      <c r="M713" s="8">
        <f>IF(L713&gt;=2000, "Platinum VIP", IF(L713&gt;=1000, "Gold", IF(L713&gt;=500, "Silver", "Standard")))</f>
        <v/>
      </c>
    </row>
    <row r="714">
      <c r="A714" s="8" t="inlineStr">
        <is>
          <t>CUST-00710</t>
        </is>
      </c>
      <c r="B714" s="8" t="inlineStr">
        <is>
          <t>Jack Davis</t>
        </is>
      </c>
      <c r="C714" s="8" t="inlineStr">
        <is>
          <t>Female</t>
        </is>
      </c>
      <c r="D714" s="8" t="n">
        <v>69</v>
      </c>
      <c r="E714" s="8">
        <f>IF(D714&lt;25, "18-24", IF(D714&lt;35, "25-34", IF(D714&lt;50, "35-49", "50+")))</f>
        <v/>
      </c>
      <c r="F714" s="8" t="inlineStr">
        <is>
          <t>New York</t>
        </is>
      </c>
      <c r="G714" s="8" t="inlineStr">
        <is>
          <t>New York</t>
        </is>
      </c>
      <c r="H714" s="8" t="inlineStr">
        <is>
          <t>REG-NA</t>
        </is>
      </c>
      <c r="I714" s="8" t="inlineStr">
        <is>
          <t>Consumer</t>
        </is>
      </c>
      <c r="J714" s="8" t="inlineStr">
        <is>
          <t>2025-01-07</t>
        </is>
      </c>
      <c r="K714" s="8">
        <f>COUNTIFS('05_Orders'!$C:$C, A714)</f>
        <v/>
      </c>
      <c r="L714" s="9">
        <f>SUMIFS('05_Orders'!$I:$I, '05_Orders'!$C:$C, A714)</f>
        <v/>
      </c>
      <c r="M714" s="8">
        <f>IF(L714&gt;=2000, "Platinum VIP", IF(L714&gt;=1000, "Gold", IF(L714&gt;=500, "Silver", "Standard")))</f>
        <v/>
      </c>
    </row>
    <row r="715">
      <c r="A715" s="8" t="inlineStr">
        <is>
          <t>CUST-00711</t>
        </is>
      </c>
      <c r="B715" s="8" t="inlineStr">
        <is>
          <t>Susan Jackson</t>
        </is>
      </c>
      <c r="C715" s="8" t="inlineStr">
        <is>
          <t>Female</t>
        </is>
      </c>
      <c r="D715" s="8" t="n">
        <v>66</v>
      </c>
      <c r="E715" s="8">
        <f>IF(D715&lt;25, "18-24", IF(D715&lt;35, "25-34", IF(D715&lt;50, "35-49", "50+")))</f>
        <v/>
      </c>
      <c r="F715" s="8" t="inlineStr">
        <is>
          <t>Tokyo</t>
        </is>
      </c>
      <c r="G715" s="8" t="inlineStr">
        <is>
          <t>Kanto</t>
        </is>
      </c>
      <c r="H715" s="8" t="inlineStr">
        <is>
          <t>REG-APAC</t>
        </is>
      </c>
      <c r="I715" s="8" t="inlineStr">
        <is>
          <t>Corporate</t>
        </is>
      </c>
      <c r="J715" s="8" t="inlineStr">
        <is>
          <t>2023-01-21</t>
        </is>
      </c>
      <c r="K715" s="8">
        <f>COUNTIFS('05_Orders'!$C:$C, A715)</f>
        <v/>
      </c>
      <c r="L715" s="9">
        <f>SUMIFS('05_Orders'!$I:$I, '05_Orders'!$C:$C, A715)</f>
        <v/>
      </c>
      <c r="M715" s="8">
        <f>IF(L715&gt;=2000, "Platinum VIP", IF(L715&gt;=1000, "Gold", IF(L715&gt;=500, "Silver", "Standard")))</f>
        <v/>
      </c>
    </row>
    <row r="716">
      <c r="A716" s="8" t="inlineStr">
        <is>
          <t>CUST-00712</t>
        </is>
      </c>
      <c r="B716" s="8" t="inlineStr">
        <is>
          <t>Anthony King</t>
        </is>
      </c>
      <c r="C716" s="8" t="inlineStr">
        <is>
          <t>Male</t>
        </is>
      </c>
      <c r="D716" s="8" t="n">
        <v>39</v>
      </c>
      <c r="E716" s="8">
        <f>IF(D716&lt;25, "18-24", IF(D716&lt;35, "25-34", IF(D716&lt;50, "35-49", "50+")))</f>
        <v/>
      </c>
      <c r="F716" s="8" t="inlineStr">
        <is>
          <t>Manchester</t>
        </is>
      </c>
      <c r="G716" s="8" t="inlineStr">
        <is>
          <t>Greater Manchester</t>
        </is>
      </c>
      <c r="H716" s="8" t="inlineStr">
        <is>
          <t>REG-EU</t>
        </is>
      </c>
      <c r="I716" s="8" t="inlineStr">
        <is>
          <t>Consumer</t>
        </is>
      </c>
      <c r="J716" s="8" t="inlineStr">
        <is>
          <t>2024-12-23</t>
        </is>
      </c>
      <c r="K716" s="8">
        <f>COUNTIFS('05_Orders'!$C:$C, A716)</f>
        <v/>
      </c>
      <c r="L716" s="9">
        <f>SUMIFS('05_Orders'!$I:$I, '05_Orders'!$C:$C, A716)</f>
        <v/>
      </c>
      <c r="M716" s="8">
        <f>IF(L716&gt;=2000, "Platinum VIP", IF(L716&gt;=1000, "Gold", IF(L716&gt;=500, "Silver", "Standard")))</f>
        <v/>
      </c>
    </row>
    <row r="717">
      <c r="A717" s="8" t="inlineStr">
        <is>
          <t>CUST-00713</t>
        </is>
      </c>
      <c r="B717" s="8" t="inlineStr">
        <is>
          <t>Ryan Nelson</t>
        </is>
      </c>
      <c r="C717" s="8" t="inlineStr">
        <is>
          <t>Female</t>
        </is>
      </c>
      <c r="D717" s="8" t="n">
        <v>62</v>
      </c>
      <c r="E717" s="8">
        <f>IF(D717&lt;25, "18-24", IF(D717&lt;35, "25-34", IF(D717&lt;50, "35-49", "50+")))</f>
        <v/>
      </c>
      <c r="F717" s="8" t="inlineStr">
        <is>
          <t>Phoenix</t>
        </is>
      </c>
      <c r="G717" s="8" t="inlineStr">
        <is>
          <t>Arizona</t>
        </is>
      </c>
      <c r="H717" s="8" t="inlineStr">
        <is>
          <t>REG-NA</t>
        </is>
      </c>
      <c r="I717" s="8" t="inlineStr">
        <is>
          <t>Corporate</t>
        </is>
      </c>
      <c r="J717" s="8" t="inlineStr">
        <is>
          <t>2025-04-09</t>
        </is>
      </c>
      <c r="K717" s="8">
        <f>COUNTIFS('05_Orders'!$C:$C, A717)</f>
        <v/>
      </c>
      <c r="L717" s="9">
        <f>SUMIFS('05_Orders'!$I:$I, '05_Orders'!$C:$C, A717)</f>
        <v/>
      </c>
      <c r="M717" s="8">
        <f>IF(L717&gt;=2000, "Platinum VIP", IF(L717&gt;=1000, "Gold", IF(L717&gt;=500, "Silver", "Standard")))</f>
        <v/>
      </c>
    </row>
    <row r="718">
      <c r="A718" s="8" t="inlineStr">
        <is>
          <t>CUST-00714</t>
        </is>
      </c>
      <c r="B718" s="8" t="inlineStr">
        <is>
          <t>Justin Campbell</t>
        </is>
      </c>
      <c r="C718" s="8" t="inlineStr">
        <is>
          <t>Other</t>
        </is>
      </c>
      <c r="D718" s="8" t="n">
        <v>36</v>
      </c>
      <c r="E718" s="8">
        <f>IF(D718&lt;25, "18-24", IF(D718&lt;35, "25-34", IF(D718&lt;50, "35-49", "50+")))</f>
        <v/>
      </c>
      <c r="F718" s="8" t="inlineStr">
        <is>
          <t>Chicago</t>
        </is>
      </c>
      <c r="G718" s="8" t="inlineStr">
        <is>
          <t>Illinois</t>
        </is>
      </c>
      <c r="H718" s="8" t="inlineStr">
        <is>
          <t>REG-NA</t>
        </is>
      </c>
      <c r="I718" s="8" t="inlineStr">
        <is>
          <t>Corporate</t>
        </is>
      </c>
      <c r="J718" s="8" t="inlineStr">
        <is>
          <t>2022-09-17</t>
        </is>
      </c>
      <c r="K718" s="8">
        <f>COUNTIFS('05_Orders'!$C:$C, A718)</f>
        <v/>
      </c>
      <c r="L718" s="9">
        <f>SUMIFS('05_Orders'!$I:$I, '05_Orders'!$C:$C, A718)</f>
        <v/>
      </c>
      <c r="M718" s="8">
        <f>IF(L718&gt;=2000, "Platinum VIP", IF(L718&gt;=1000, "Gold", IF(L718&gt;=500, "Silver", "Standard")))</f>
        <v/>
      </c>
    </row>
    <row r="719">
      <c r="A719" s="8" t="inlineStr">
        <is>
          <t>CUST-00715</t>
        </is>
      </c>
      <c r="B719" s="8" t="inlineStr">
        <is>
          <t>Raymond Taylor</t>
        </is>
      </c>
      <c r="C719" s="8" t="inlineStr">
        <is>
          <t>Male</t>
        </is>
      </c>
      <c r="D719" s="8" t="n">
        <v>45</v>
      </c>
      <c r="E719" s="8">
        <f>IF(D719&lt;25, "18-24", IF(D719&lt;35, "25-34", IF(D719&lt;50, "35-49", "50+")))</f>
        <v/>
      </c>
      <c r="F719" s="8" t="inlineStr">
        <is>
          <t>Atlanta</t>
        </is>
      </c>
      <c r="G719" s="8" t="inlineStr">
        <is>
          <t>Georgia</t>
        </is>
      </c>
      <c r="H719" s="8" t="inlineStr">
        <is>
          <t>REG-NA</t>
        </is>
      </c>
      <c r="I719" s="8" t="inlineStr">
        <is>
          <t>Consumer</t>
        </is>
      </c>
      <c r="J719" s="8" t="inlineStr">
        <is>
          <t>2022-04-12</t>
        </is>
      </c>
      <c r="K719" s="8">
        <f>COUNTIFS('05_Orders'!$C:$C, A719)</f>
        <v/>
      </c>
      <c r="L719" s="9">
        <f>SUMIFS('05_Orders'!$I:$I, '05_Orders'!$C:$C, A719)</f>
        <v/>
      </c>
      <c r="M719" s="8">
        <f>IF(L719&gt;=2000, "Platinum VIP", IF(L719&gt;=1000, "Gold", IF(L719&gt;=500, "Silver", "Standard")))</f>
        <v/>
      </c>
    </row>
    <row r="720">
      <c r="A720" s="8" t="inlineStr">
        <is>
          <t>CUST-00716</t>
        </is>
      </c>
      <c r="B720" s="8" t="inlineStr">
        <is>
          <t>Kimberly Campbell</t>
        </is>
      </c>
      <c r="C720" s="8" t="inlineStr">
        <is>
          <t>Other</t>
        </is>
      </c>
      <c r="D720" s="8" t="n">
        <v>50</v>
      </c>
      <c r="E720" s="8">
        <f>IF(D720&lt;25, "18-24", IF(D720&lt;35, "25-34", IF(D720&lt;50, "35-49", "50+")))</f>
        <v/>
      </c>
      <c r="F720" s="8" t="inlineStr">
        <is>
          <t>Mumbai</t>
        </is>
      </c>
      <c r="G720" s="8" t="inlineStr">
        <is>
          <t>Maharashtra</t>
        </is>
      </c>
      <c r="H720" s="8" t="inlineStr">
        <is>
          <t>REG-APAC</t>
        </is>
      </c>
      <c r="I720" s="8" t="inlineStr">
        <is>
          <t>Consumer</t>
        </is>
      </c>
      <c r="J720" s="8" t="inlineStr">
        <is>
          <t>2024-06-20</t>
        </is>
      </c>
      <c r="K720" s="8">
        <f>COUNTIFS('05_Orders'!$C:$C, A720)</f>
        <v/>
      </c>
      <c r="L720" s="9">
        <f>SUMIFS('05_Orders'!$I:$I, '05_Orders'!$C:$C, A720)</f>
        <v/>
      </c>
      <c r="M720" s="8">
        <f>IF(L720&gt;=2000, "Platinum VIP", IF(L720&gt;=1000, "Gold", IF(L720&gt;=500, "Silver", "Standard")))</f>
        <v/>
      </c>
    </row>
    <row r="721">
      <c r="A721" s="8" t="inlineStr">
        <is>
          <t>CUST-00717</t>
        </is>
      </c>
      <c r="B721" s="8" t="inlineStr">
        <is>
          <t>Eric Green</t>
        </is>
      </c>
      <c r="C721" s="8" t="inlineStr">
        <is>
          <t>Other</t>
        </is>
      </c>
      <c r="D721" s="8" t="n">
        <v>41</v>
      </c>
      <c r="E721" s="8">
        <f>IF(D721&lt;25, "18-24", IF(D721&lt;35, "25-34", IF(D721&lt;50, "35-49", "50+")))</f>
        <v/>
      </c>
      <c r="F721" s="8" t="inlineStr">
        <is>
          <t>Toronto</t>
        </is>
      </c>
      <c r="G721" s="8" t="inlineStr">
        <is>
          <t>Ontario</t>
        </is>
      </c>
      <c r="H721" s="8" t="inlineStr">
        <is>
          <t>REG-NA</t>
        </is>
      </c>
      <c r="I721" s="8" t="inlineStr">
        <is>
          <t>Corporate</t>
        </is>
      </c>
      <c r="J721" s="8" t="inlineStr">
        <is>
          <t>2023-12-12</t>
        </is>
      </c>
      <c r="K721" s="8">
        <f>COUNTIFS('05_Orders'!$C:$C, A721)</f>
        <v/>
      </c>
      <c r="L721" s="9">
        <f>SUMIFS('05_Orders'!$I:$I, '05_Orders'!$C:$C, A721)</f>
        <v/>
      </c>
      <c r="M721" s="8">
        <f>IF(L721&gt;=2000, "Platinum VIP", IF(L721&gt;=1000, "Gold", IF(L721&gt;=500, "Silver", "Standard")))</f>
        <v/>
      </c>
    </row>
    <row r="722">
      <c r="A722" s="8" t="inlineStr">
        <is>
          <t>CUST-00718</t>
        </is>
      </c>
      <c r="B722" s="8" t="inlineStr">
        <is>
          <t>William Baker</t>
        </is>
      </c>
      <c r="C722" s="8" t="inlineStr">
        <is>
          <t>Male</t>
        </is>
      </c>
      <c r="D722" s="8" t="n">
        <v>37</v>
      </c>
      <c r="E722" s="8">
        <f>IF(D722&lt;25, "18-24", IF(D722&lt;35, "25-34", IF(D722&lt;50, "35-49", "50+")))</f>
        <v/>
      </c>
      <c r="F722" s="8" t="inlineStr">
        <is>
          <t>Chicago</t>
        </is>
      </c>
      <c r="G722" s="8" t="inlineStr">
        <is>
          <t>Illinois</t>
        </is>
      </c>
      <c r="H722" s="8" t="inlineStr">
        <is>
          <t>REG-NA</t>
        </is>
      </c>
      <c r="I722" s="8" t="inlineStr">
        <is>
          <t>Consumer</t>
        </is>
      </c>
      <c r="J722" s="8" t="inlineStr">
        <is>
          <t>2025-05-13</t>
        </is>
      </c>
      <c r="K722" s="8">
        <f>COUNTIFS('05_Orders'!$C:$C, A722)</f>
        <v/>
      </c>
      <c r="L722" s="9">
        <f>SUMIFS('05_Orders'!$I:$I, '05_Orders'!$C:$C, A722)</f>
        <v/>
      </c>
      <c r="M722" s="8">
        <f>IF(L722&gt;=2000, "Platinum VIP", IF(L722&gt;=1000, "Gold", IF(L722&gt;=500, "Silver", "Standard")))</f>
        <v/>
      </c>
    </row>
    <row r="723">
      <c r="A723" s="8" t="inlineStr">
        <is>
          <t>CUST-00719</t>
        </is>
      </c>
      <c r="B723" s="8" t="inlineStr">
        <is>
          <t>Justin Brooks</t>
        </is>
      </c>
      <c r="C723" s="8" t="inlineStr">
        <is>
          <t>Male</t>
        </is>
      </c>
      <c r="D723" s="8" t="n">
        <v>71</v>
      </c>
      <c r="E723" s="8">
        <f>IF(D723&lt;25, "18-24", IF(D723&lt;35, "25-34", IF(D723&lt;50, "35-49", "50+")))</f>
        <v/>
      </c>
      <c r="F723" s="8" t="inlineStr">
        <is>
          <t>Mumbai</t>
        </is>
      </c>
      <c r="G723" s="8" t="inlineStr">
        <is>
          <t>Maharashtra</t>
        </is>
      </c>
      <c r="H723" s="8" t="inlineStr">
        <is>
          <t>REG-APAC</t>
        </is>
      </c>
      <c r="I723" s="8" t="inlineStr">
        <is>
          <t>Home Office</t>
        </is>
      </c>
      <c r="J723" s="8" t="inlineStr">
        <is>
          <t>2025-02-27</t>
        </is>
      </c>
      <c r="K723" s="8">
        <f>COUNTIFS('05_Orders'!$C:$C, A723)</f>
        <v/>
      </c>
      <c r="L723" s="9">
        <f>SUMIFS('05_Orders'!$I:$I, '05_Orders'!$C:$C, A723)</f>
        <v/>
      </c>
      <c r="M723" s="8">
        <f>IF(L723&gt;=2000, "Platinum VIP", IF(L723&gt;=1000, "Gold", IF(L723&gt;=500, "Silver", "Standard")))</f>
        <v/>
      </c>
    </row>
    <row r="724">
      <c r="A724" s="8" t="inlineStr">
        <is>
          <t>CUST-00720</t>
        </is>
      </c>
      <c r="B724" s="8" t="inlineStr">
        <is>
          <t>Brian Cook</t>
        </is>
      </c>
      <c r="C724" s="8" t="inlineStr">
        <is>
          <t>Male</t>
        </is>
      </c>
      <c r="D724" s="8" t="n">
        <v>35</v>
      </c>
      <c r="E724" s="8">
        <f>IF(D724&lt;25, "18-24", IF(D724&lt;35, "25-34", IF(D724&lt;50, "35-49", "50+")))</f>
        <v/>
      </c>
      <c r="F724" s="8" t="inlineStr">
        <is>
          <t>Dublin</t>
        </is>
      </c>
      <c r="G724" s="8" t="inlineStr">
        <is>
          <t>Leinster</t>
        </is>
      </c>
      <c r="H724" s="8" t="inlineStr">
        <is>
          <t>REG-EU</t>
        </is>
      </c>
      <c r="I724" s="8" t="inlineStr">
        <is>
          <t>Home Office</t>
        </is>
      </c>
      <c r="J724" s="8" t="inlineStr">
        <is>
          <t>2024-01-07</t>
        </is>
      </c>
      <c r="K724" s="8">
        <f>COUNTIFS('05_Orders'!$C:$C, A724)</f>
        <v/>
      </c>
      <c r="L724" s="9">
        <f>SUMIFS('05_Orders'!$I:$I, '05_Orders'!$C:$C, A724)</f>
        <v/>
      </c>
      <c r="M724" s="8">
        <f>IF(L724&gt;=2000, "Platinum VIP", IF(L724&gt;=1000, "Gold", IF(L724&gt;=500, "Silver", "Standard")))</f>
        <v/>
      </c>
    </row>
    <row r="725">
      <c r="A725" s="8" t="inlineStr">
        <is>
          <t>CUST-00721</t>
        </is>
      </c>
      <c r="B725" s="8" t="inlineStr">
        <is>
          <t>Ashley Young</t>
        </is>
      </c>
      <c r="C725" s="8" t="inlineStr">
        <is>
          <t>Female</t>
        </is>
      </c>
      <c r="D725" s="8" t="n">
        <v>69</v>
      </c>
      <c r="E725" s="8">
        <f>IF(D725&lt;25, "18-24", IF(D725&lt;35, "25-34", IF(D725&lt;50, "35-49", "50+")))</f>
        <v/>
      </c>
      <c r="F725" s="8" t="inlineStr">
        <is>
          <t>Sydney</t>
        </is>
      </c>
      <c r="G725" s="8" t="inlineStr">
        <is>
          <t>New South Wales</t>
        </is>
      </c>
      <c r="H725" s="8" t="inlineStr">
        <is>
          <t>REG-APAC</t>
        </is>
      </c>
      <c r="I725" s="8" t="inlineStr">
        <is>
          <t>Consumer</t>
        </is>
      </c>
      <c r="J725" s="8" t="inlineStr">
        <is>
          <t>2025-01-09</t>
        </is>
      </c>
      <c r="K725" s="8">
        <f>COUNTIFS('05_Orders'!$C:$C, A725)</f>
        <v/>
      </c>
      <c r="L725" s="9">
        <f>SUMIFS('05_Orders'!$I:$I, '05_Orders'!$C:$C, A725)</f>
        <v/>
      </c>
      <c r="M725" s="8">
        <f>IF(L725&gt;=2000, "Platinum VIP", IF(L725&gt;=1000, "Gold", IF(L725&gt;=500, "Silver", "Standard")))</f>
        <v/>
      </c>
    </row>
    <row r="726">
      <c r="A726" s="8" t="inlineStr">
        <is>
          <t>CUST-00722</t>
        </is>
      </c>
      <c r="B726" s="8" t="inlineStr">
        <is>
          <t>Barbara Myers</t>
        </is>
      </c>
      <c r="C726" s="8" t="inlineStr">
        <is>
          <t>Male</t>
        </is>
      </c>
      <c r="D726" s="8" t="n">
        <v>64</v>
      </c>
      <c r="E726" s="8">
        <f>IF(D726&lt;25, "18-24", IF(D726&lt;35, "25-34", IF(D726&lt;50, "35-49", "50+")))</f>
        <v/>
      </c>
      <c r="F726" s="8" t="inlineStr">
        <is>
          <t>Tokyo</t>
        </is>
      </c>
      <c r="G726" s="8" t="inlineStr">
        <is>
          <t>Kanto</t>
        </is>
      </c>
      <c r="H726" s="8" t="inlineStr">
        <is>
          <t>REG-APAC</t>
        </is>
      </c>
      <c r="I726" s="8" t="inlineStr">
        <is>
          <t>Home Office</t>
        </is>
      </c>
      <c r="J726" s="8" t="inlineStr">
        <is>
          <t>2021-09-29</t>
        </is>
      </c>
      <c r="K726" s="8">
        <f>COUNTIFS('05_Orders'!$C:$C, A726)</f>
        <v/>
      </c>
      <c r="L726" s="9">
        <f>SUMIFS('05_Orders'!$I:$I, '05_Orders'!$C:$C, A726)</f>
        <v/>
      </c>
      <c r="M726" s="8">
        <f>IF(L726&gt;=2000, "Platinum VIP", IF(L726&gt;=1000, "Gold", IF(L726&gt;=500, "Silver", "Standard")))</f>
        <v/>
      </c>
    </row>
    <row r="727">
      <c r="A727" s="8" t="inlineStr">
        <is>
          <t>CUST-00723</t>
        </is>
      </c>
      <c r="B727" s="8" t="inlineStr">
        <is>
          <t>Scott Morris</t>
        </is>
      </c>
      <c r="C727" s="8" t="inlineStr">
        <is>
          <t>Female</t>
        </is>
      </c>
      <c r="D727" s="8" t="n">
        <v>24</v>
      </c>
      <c r="E727" s="8">
        <f>IF(D727&lt;25, "18-24", IF(D727&lt;35, "25-34", IF(D727&lt;50, "35-49", "50+")))</f>
        <v/>
      </c>
      <c r="F727" s="8" t="inlineStr">
        <is>
          <t>London</t>
        </is>
      </c>
      <c r="G727" s="8" t="inlineStr">
        <is>
          <t>Greater London</t>
        </is>
      </c>
      <c r="H727" s="8" t="inlineStr">
        <is>
          <t>REG-EU</t>
        </is>
      </c>
      <c r="I727" s="8" t="inlineStr">
        <is>
          <t>Consumer</t>
        </is>
      </c>
      <c r="J727" s="8" t="inlineStr">
        <is>
          <t>2024-07-22</t>
        </is>
      </c>
      <c r="K727" s="8">
        <f>COUNTIFS('05_Orders'!$C:$C, A727)</f>
        <v/>
      </c>
      <c r="L727" s="9">
        <f>SUMIFS('05_Orders'!$I:$I, '05_Orders'!$C:$C, A727)</f>
        <v/>
      </c>
      <c r="M727" s="8">
        <f>IF(L727&gt;=2000, "Platinum VIP", IF(L727&gt;=1000, "Gold", IF(L727&gt;=500, "Silver", "Standard")))</f>
        <v/>
      </c>
    </row>
    <row r="728">
      <c r="A728" s="8" t="inlineStr">
        <is>
          <t>CUST-00724</t>
        </is>
      </c>
      <c r="B728" s="8" t="inlineStr">
        <is>
          <t>Richard Cooper</t>
        </is>
      </c>
      <c r="C728" s="8" t="inlineStr">
        <is>
          <t>Other</t>
        </is>
      </c>
      <c r="D728" s="8" t="n">
        <v>31</v>
      </c>
      <c r="E728" s="8">
        <f>IF(D728&lt;25, "18-24", IF(D728&lt;35, "25-34", IF(D728&lt;50, "35-49", "50+")))</f>
        <v/>
      </c>
      <c r="F728" s="8" t="inlineStr">
        <is>
          <t>Paris</t>
        </is>
      </c>
      <c r="G728" s="8" t="inlineStr">
        <is>
          <t>Ile-de-France</t>
        </is>
      </c>
      <c r="H728" s="8" t="inlineStr">
        <is>
          <t>REG-EU</t>
        </is>
      </c>
      <c r="I728" s="8" t="inlineStr">
        <is>
          <t>Corporate</t>
        </is>
      </c>
      <c r="J728" s="8" t="inlineStr">
        <is>
          <t>2024-04-06</t>
        </is>
      </c>
      <c r="K728" s="8">
        <f>COUNTIFS('05_Orders'!$C:$C, A728)</f>
        <v/>
      </c>
      <c r="L728" s="9">
        <f>SUMIFS('05_Orders'!$I:$I, '05_Orders'!$C:$C, A728)</f>
        <v/>
      </c>
      <c r="M728" s="8">
        <f>IF(L728&gt;=2000, "Platinum VIP", IF(L728&gt;=1000, "Gold", IF(L728&gt;=500, "Silver", "Standard")))</f>
        <v/>
      </c>
    </row>
    <row r="729">
      <c r="A729" s="8" t="inlineStr">
        <is>
          <t>CUST-00725</t>
        </is>
      </c>
      <c r="B729" s="8" t="inlineStr">
        <is>
          <t>Gregory Harris</t>
        </is>
      </c>
      <c r="C729" s="8" t="inlineStr">
        <is>
          <t>Other</t>
        </is>
      </c>
      <c r="D729" s="8" t="n">
        <v>69</v>
      </c>
      <c r="E729" s="8">
        <f>IF(D729&lt;25, "18-24", IF(D729&lt;35, "25-34", IF(D729&lt;50, "35-49", "50+")))</f>
        <v/>
      </c>
      <c r="F729" s="8" t="inlineStr">
        <is>
          <t>Madrid</t>
        </is>
      </c>
      <c r="G729" s="8" t="inlineStr">
        <is>
          <t>Community of Madrid</t>
        </is>
      </c>
      <c r="H729" s="8" t="inlineStr">
        <is>
          <t>REG-EU</t>
        </is>
      </c>
      <c r="I729" s="8" t="inlineStr">
        <is>
          <t>Enterprise</t>
        </is>
      </c>
      <c r="J729" s="8" t="inlineStr">
        <is>
          <t>2022-05-31</t>
        </is>
      </c>
      <c r="K729" s="8">
        <f>COUNTIFS('05_Orders'!$C:$C, A729)</f>
        <v/>
      </c>
      <c r="L729" s="9">
        <f>SUMIFS('05_Orders'!$I:$I, '05_Orders'!$C:$C, A729)</f>
        <v/>
      </c>
      <c r="M729" s="8">
        <f>IF(L729&gt;=2000, "Platinum VIP", IF(L729&gt;=1000, "Gold", IF(L729&gt;=500, "Silver", "Standard")))</f>
        <v/>
      </c>
    </row>
    <row r="730">
      <c r="A730" s="8" t="inlineStr">
        <is>
          <t>CUST-00726</t>
        </is>
      </c>
      <c r="B730" s="8" t="inlineStr">
        <is>
          <t>Eric Morris</t>
        </is>
      </c>
      <c r="C730" s="8" t="inlineStr">
        <is>
          <t>Other</t>
        </is>
      </c>
      <c r="D730" s="8" t="n">
        <v>36</v>
      </c>
      <c r="E730" s="8">
        <f>IF(D730&lt;25, "18-24", IF(D730&lt;35, "25-34", IF(D730&lt;50, "35-49", "50+")))</f>
        <v/>
      </c>
      <c r="F730" s="8" t="inlineStr">
        <is>
          <t>Bogota</t>
        </is>
      </c>
      <c r="G730" s="8" t="inlineStr">
        <is>
          <t>Cundinamarca</t>
        </is>
      </c>
      <c r="H730" s="8" t="inlineStr">
        <is>
          <t>REG-LATAM</t>
        </is>
      </c>
      <c r="I730" s="8" t="inlineStr">
        <is>
          <t>Consumer</t>
        </is>
      </c>
      <c r="J730" s="8" t="inlineStr">
        <is>
          <t>2023-12-26</t>
        </is>
      </c>
      <c r="K730" s="8">
        <f>COUNTIFS('05_Orders'!$C:$C, A730)</f>
        <v/>
      </c>
      <c r="L730" s="9">
        <f>SUMIFS('05_Orders'!$I:$I, '05_Orders'!$C:$C, A730)</f>
        <v/>
      </c>
      <c r="M730" s="8">
        <f>IF(L730&gt;=2000, "Platinum VIP", IF(L730&gt;=1000, "Gold", IF(L730&gt;=500, "Silver", "Standard")))</f>
        <v/>
      </c>
    </row>
    <row r="731">
      <c r="A731" s="8" t="inlineStr">
        <is>
          <t>CUST-00727</t>
        </is>
      </c>
      <c r="B731" s="8" t="inlineStr">
        <is>
          <t>Ryan Anderson</t>
        </is>
      </c>
      <c r="C731" s="8" t="inlineStr">
        <is>
          <t>Male</t>
        </is>
      </c>
      <c r="D731" s="8" t="n">
        <v>49</v>
      </c>
      <c r="E731" s="8">
        <f>IF(D731&lt;25, "18-24", IF(D731&lt;35, "25-34", IF(D731&lt;50, "35-49", "50+")))</f>
        <v/>
      </c>
      <c r="F731" s="8" t="inlineStr">
        <is>
          <t>Boston</t>
        </is>
      </c>
      <c r="G731" s="8" t="inlineStr">
        <is>
          <t>Massachusetts</t>
        </is>
      </c>
      <c r="H731" s="8" t="inlineStr">
        <is>
          <t>REG-NA</t>
        </is>
      </c>
      <c r="I731" s="8" t="inlineStr">
        <is>
          <t>Consumer</t>
        </is>
      </c>
      <c r="J731" s="8" t="inlineStr">
        <is>
          <t>2021-12-01</t>
        </is>
      </c>
      <c r="K731" s="8">
        <f>COUNTIFS('05_Orders'!$C:$C, A731)</f>
        <v/>
      </c>
      <c r="L731" s="9">
        <f>SUMIFS('05_Orders'!$I:$I, '05_Orders'!$C:$C, A731)</f>
        <v/>
      </c>
      <c r="M731" s="8">
        <f>IF(L731&gt;=2000, "Platinum VIP", IF(L731&gt;=1000, "Gold", IF(L731&gt;=500, "Silver", "Standard")))</f>
        <v/>
      </c>
    </row>
    <row r="732">
      <c r="A732" s="8" t="inlineStr">
        <is>
          <t>CUST-00728</t>
        </is>
      </c>
      <c r="B732" s="8" t="inlineStr">
        <is>
          <t>Ryan Baker</t>
        </is>
      </c>
      <c r="C732" s="8" t="inlineStr">
        <is>
          <t>Other</t>
        </is>
      </c>
      <c r="D732" s="8" t="n">
        <v>61</v>
      </c>
      <c r="E732" s="8">
        <f>IF(D732&lt;25, "18-24", IF(D732&lt;35, "25-34", IF(D732&lt;50, "35-49", "50+")))</f>
        <v/>
      </c>
      <c r="F732" s="8" t="inlineStr">
        <is>
          <t>Berlin</t>
        </is>
      </c>
      <c r="G732" s="8" t="inlineStr">
        <is>
          <t>Berlin</t>
        </is>
      </c>
      <c r="H732" s="8" t="inlineStr">
        <is>
          <t>REG-EU</t>
        </is>
      </c>
      <c r="I732" s="8" t="inlineStr">
        <is>
          <t>Consumer</t>
        </is>
      </c>
      <c r="J732" s="8" t="inlineStr">
        <is>
          <t>2021-08-11</t>
        </is>
      </c>
      <c r="K732" s="8">
        <f>COUNTIFS('05_Orders'!$C:$C, A732)</f>
        <v/>
      </c>
      <c r="L732" s="9">
        <f>SUMIFS('05_Orders'!$I:$I, '05_Orders'!$C:$C, A732)</f>
        <v/>
      </c>
      <c r="M732" s="8">
        <f>IF(L732&gt;=2000, "Platinum VIP", IF(L732&gt;=1000, "Gold", IF(L732&gt;=500, "Silver", "Standard")))</f>
        <v/>
      </c>
    </row>
    <row r="733">
      <c r="A733" s="8" t="inlineStr">
        <is>
          <t>CUST-00729</t>
        </is>
      </c>
      <c r="B733" s="8" t="inlineStr">
        <is>
          <t>Helen Stewart</t>
        </is>
      </c>
      <c r="C733" s="8" t="inlineStr">
        <is>
          <t>Male</t>
        </is>
      </c>
      <c r="D733" s="8" t="n">
        <v>61</v>
      </c>
      <c r="E733" s="8">
        <f>IF(D733&lt;25, "18-24", IF(D733&lt;35, "25-34", IF(D733&lt;50, "35-49", "50+")))</f>
        <v/>
      </c>
      <c r="F733" s="8" t="inlineStr">
        <is>
          <t>Denver</t>
        </is>
      </c>
      <c r="G733" s="8" t="inlineStr">
        <is>
          <t>Colorado</t>
        </is>
      </c>
      <c r="H733" s="8" t="inlineStr">
        <is>
          <t>REG-NA</t>
        </is>
      </c>
      <c r="I733" s="8" t="inlineStr">
        <is>
          <t>Consumer</t>
        </is>
      </c>
      <c r="J733" s="8" t="inlineStr">
        <is>
          <t>2024-10-08</t>
        </is>
      </c>
      <c r="K733" s="8">
        <f>COUNTIFS('05_Orders'!$C:$C, A733)</f>
        <v/>
      </c>
      <c r="L733" s="9">
        <f>SUMIFS('05_Orders'!$I:$I, '05_Orders'!$C:$C, A733)</f>
        <v/>
      </c>
      <c r="M733" s="8">
        <f>IF(L733&gt;=2000, "Platinum VIP", IF(L733&gt;=1000, "Gold", IF(L733&gt;=500, "Silver", "Standard")))</f>
        <v/>
      </c>
    </row>
    <row r="734">
      <c r="A734" s="8" t="inlineStr">
        <is>
          <t>CUST-00730</t>
        </is>
      </c>
      <c r="B734" s="8" t="inlineStr">
        <is>
          <t>Christopher Ward</t>
        </is>
      </c>
      <c r="C734" s="8" t="inlineStr">
        <is>
          <t>Other</t>
        </is>
      </c>
      <c r="D734" s="8" t="n">
        <v>28</v>
      </c>
      <c r="E734" s="8">
        <f>IF(D734&lt;25, "18-24", IF(D734&lt;35, "25-34", IF(D734&lt;50, "35-49", "50+")))</f>
        <v/>
      </c>
      <c r="F734" s="8" t="inlineStr">
        <is>
          <t>Boston</t>
        </is>
      </c>
      <c r="G734" s="8" t="inlineStr">
        <is>
          <t>Massachusetts</t>
        </is>
      </c>
      <c r="H734" s="8" t="inlineStr">
        <is>
          <t>REG-NA</t>
        </is>
      </c>
      <c r="I734" s="8" t="inlineStr">
        <is>
          <t>Enterprise</t>
        </is>
      </c>
      <c r="J734" s="8" t="inlineStr">
        <is>
          <t>2024-08-31</t>
        </is>
      </c>
      <c r="K734" s="8">
        <f>COUNTIFS('05_Orders'!$C:$C, A734)</f>
        <v/>
      </c>
      <c r="L734" s="9">
        <f>SUMIFS('05_Orders'!$I:$I, '05_Orders'!$C:$C, A734)</f>
        <v/>
      </c>
      <c r="M734" s="8">
        <f>IF(L734&gt;=2000, "Platinum VIP", IF(L734&gt;=1000, "Gold", IF(L734&gt;=500, "Silver", "Standard")))</f>
        <v/>
      </c>
    </row>
    <row r="735">
      <c r="A735" s="8" t="inlineStr">
        <is>
          <t>CUST-00731</t>
        </is>
      </c>
      <c r="B735" s="8" t="inlineStr">
        <is>
          <t>Kimberly Stewart</t>
        </is>
      </c>
      <c r="C735" s="8" t="inlineStr">
        <is>
          <t>Female</t>
        </is>
      </c>
      <c r="D735" s="8" t="n">
        <v>41</v>
      </c>
      <c r="E735" s="8">
        <f>IF(D735&lt;25, "18-24", IF(D735&lt;35, "25-34", IF(D735&lt;50, "35-49", "50+")))</f>
        <v/>
      </c>
      <c r="F735" s="8" t="inlineStr">
        <is>
          <t>Seattle</t>
        </is>
      </c>
      <c r="G735" s="8" t="inlineStr">
        <is>
          <t>Washington</t>
        </is>
      </c>
      <c r="H735" s="8" t="inlineStr">
        <is>
          <t>REG-NA</t>
        </is>
      </c>
      <c r="I735" s="8" t="inlineStr">
        <is>
          <t>Corporate</t>
        </is>
      </c>
      <c r="J735" s="8" t="inlineStr">
        <is>
          <t>2025-03-07</t>
        </is>
      </c>
      <c r="K735" s="8">
        <f>COUNTIFS('05_Orders'!$C:$C, A735)</f>
        <v/>
      </c>
      <c r="L735" s="9">
        <f>SUMIFS('05_Orders'!$I:$I, '05_Orders'!$C:$C, A735)</f>
        <v/>
      </c>
      <c r="M735" s="8">
        <f>IF(L735&gt;=2000, "Platinum VIP", IF(L735&gt;=1000, "Gold", IF(L735&gt;=500, "Silver", "Standard")))</f>
        <v/>
      </c>
    </row>
    <row r="736">
      <c r="A736" s="8" t="inlineStr">
        <is>
          <t>CUST-00732</t>
        </is>
      </c>
      <c r="B736" s="8" t="inlineStr">
        <is>
          <t>James Ross</t>
        </is>
      </c>
      <c r="C736" s="8" t="inlineStr">
        <is>
          <t>Female</t>
        </is>
      </c>
      <c r="D736" s="8" t="n">
        <v>21</v>
      </c>
      <c r="E736" s="8">
        <f>IF(D736&lt;25, "18-24", IF(D736&lt;35, "25-34", IF(D736&lt;50, "35-49", "50+")))</f>
        <v/>
      </c>
      <c r="F736" s="8" t="inlineStr">
        <is>
          <t>Santiago</t>
        </is>
      </c>
      <c r="G736" s="8" t="inlineStr">
        <is>
          <t>Santiago Metro</t>
        </is>
      </c>
      <c r="H736" s="8" t="inlineStr">
        <is>
          <t>REG-LATAM</t>
        </is>
      </c>
      <c r="I736" s="8" t="inlineStr">
        <is>
          <t>Corporate</t>
        </is>
      </c>
      <c r="J736" s="8" t="inlineStr">
        <is>
          <t>2021-10-14</t>
        </is>
      </c>
      <c r="K736" s="8">
        <f>COUNTIFS('05_Orders'!$C:$C, A736)</f>
        <v/>
      </c>
      <c r="L736" s="9">
        <f>SUMIFS('05_Orders'!$I:$I, '05_Orders'!$C:$C, A736)</f>
        <v/>
      </c>
      <c r="M736" s="8">
        <f>IF(L736&gt;=2000, "Platinum VIP", IF(L736&gt;=1000, "Gold", IF(L736&gt;=500, "Silver", "Standard")))</f>
        <v/>
      </c>
    </row>
    <row r="737">
      <c r="A737" s="8" t="inlineStr">
        <is>
          <t>CUST-00733</t>
        </is>
      </c>
      <c r="B737" s="8" t="inlineStr">
        <is>
          <t>Anthony James</t>
        </is>
      </c>
      <c r="C737" s="8" t="inlineStr">
        <is>
          <t>Other</t>
        </is>
      </c>
      <c r="D737" s="8" t="n">
        <v>34</v>
      </c>
      <c r="E737" s="8">
        <f>IF(D737&lt;25, "18-24", IF(D737&lt;35, "25-34", IF(D737&lt;50, "35-49", "50+")))</f>
        <v/>
      </c>
      <c r="F737" s="8" t="inlineStr">
        <is>
          <t>Seattle</t>
        </is>
      </c>
      <c r="G737" s="8" t="inlineStr">
        <is>
          <t>Washington</t>
        </is>
      </c>
      <c r="H737" s="8" t="inlineStr">
        <is>
          <t>REG-NA</t>
        </is>
      </c>
      <c r="I737" s="8" t="inlineStr">
        <is>
          <t>Consumer</t>
        </is>
      </c>
      <c r="J737" s="8" t="inlineStr">
        <is>
          <t>2023-05-26</t>
        </is>
      </c>
      <c r="K737" s="8">
        <f>COUNTIFS('05_Orders'!$C:$C, A737)</f>
        <v/>
      </c>
      <c r="L737" s="9">
        <f>SUMIFS('05_Orders'!$I:$I, '05_Orders'!$C:$C, A737)</f>
        <v/>
      </c>
      <c r="M737" s="8">
        <f>IF(L737&gt;=2000, "Platinum VIP", IF(L737&gt;=1000, "Gold", IF(L737&gt;=500, "Silver", "Standard")))</f>
        <v/>
      </c>
    </row>
    <row r="738">
      <c r="A738" s="8" t="inlineStr">
        <is>
          <t>CUST-00734</t>
        </is>
      </c>
      <c r="B738" s="8" t="inlineStr">
        <is>
          <t>Betty Richardson</t>
        </is>
      </c>
      <c r="C738" s="8" t="inlineStr">
        <is>
          <t>Other</t>
        </is>
      </c>
      <c r="D738" s="8" t="n">
        <v>46</v>
      </c>
      <c r="E738" s="8">
        <f>IF(D738&lt;25, "18-24", IF(D738&lt;35, "25-34", IF(D738&lt;50, "35-49", "50+")))</f>
        <v/>
      </c>
      <c r="F738" s="8" t="inlineStr">
        <is>
          <t>Tokyo</t>
        </is>
      </c>
      <c r="G738" s="8" t="inlineStr">
        <is>
          <t>Kanto</t>
        </is>
      </c>
      <c r="H738" s="8" t="inlineStr">
        <is>
          <t>REG-APAC</t>
        </is>
      </c>
      <c r="I738" s="8" t="inlineStr">
        <is>
          <t>Consumer</t>
        </is>
      </c>
      <c r="J738" s="8" t="inlineStr">
        <is>
          <t>2021-11-25</t>
        </is>
      </c>
      <c r="K738" s="8">
        <f>COUNTIFS('05_Orders'!$C:$C, A738)</f>
        <v/>
      </c>
      <c r="L738" s="9">
        <f>SUMIFS('05_Orders'!$I:$I, '05_Orders'!$C:$C, A738)</f>
        <v/>
      </c>
      <c r="M738" s="8">
        <f>IF(L738&gt;=2000, "Platinum VIP", IF(L738&gt;=1000, "Gold", IF(L738&gt;=500, "Silver", "Standard")))</f>
        <v/>
      </c>
    </row>
    <row r="739">
      <c r="A739" s="8" t="inlineStr">
        <is>
          <t>CUST-00735</t>
        </is>
      </c>
      <c r="B739" s="8" t="inlineStr">
        <is>
          <t>Jennifer Jimenez</t>
        </is>
      </c>
      <c r="C739" s="8" t="inlineStr">
        <is>
          <t>Other</t>
        </is>
      </c>
      <c r="D739" s="8" t="n">
        <v>42</v>
      </c>
      <c r="E739" s="8">
        <f>IF(D739&lt;25, "18-24", IF(D739&lt;35, "25-34", IF(D739&lt;50, "35-49", "50+")))</f>
        <v/>
      </c>
      <c r="F739" s="8" t="inlineStr">
        <is>
          <t>Madrid</t>
        </is>
      </c>
      <c r="G739" s="8" t="inlineStr">
        <is>
          <t>Community of Madrid</t>
        </is>
      </c>
      <c r="H739" s="8" t="inlineStr">
        <is>
          <t>REG-EU</t>
        </is>
      </c>
      <c r="I739" s="8" t="inlineStr">
        <is>
          <t>Consumer</t>
        </is>
      </c>
      <c r="J739" s="8" t="inlineStr">
        <is>
          <t>2024-05-27</t>
        </is>
      </c>
      <c r="K739" s="8">
        <f>COUNTIFS('05_Orders'!$C:$C, A739)</f>
        <v/>
      </c>
      <c r="L739" s="9">
        <f>SUMIFS('05_Orders'!$I:$I, '05_Orders'!$C:$C, A739)</f>
        <v/>
      </c>
      <c r="M739" s="8">
        <f>IF(L739&gt;=2000, "Platinum VIP", IF(L739&gt;=1000, "Gold", IF(L739&gt;=500, "Silver", "Standard")))</f>
        <v/>
      </c>
    </row>
    <row r="740">
      <c r="A740" s="8" t="inlineStr">
        <is>
          <t>CUST-00736</t>
        </is>
      </c>
      <c r="B740" s="8" t="inlineStr">
        <is>
          <t>Stephen Mitchell</t>
        </is>
      </c>
      <c r="C740" s="8" t="inlineStr">
        <is>
          <t>Female</t>
        </is>
      </c>
      <c r="D740" s="8" t="n">
        <v>36</v>
      </c>
      <c r="E740" s="8">
        <f>IF(D740&lt;25, "18-24", IF(D740&lt;35, "25-34", IF(D740&lt;50, "35-49", "50+")))</f>
        <v/>
      </c>
      <c r="F740" s="8" t="inlineStr">
        <is>
          <t>Chicago</t>
        </is>
      </c>
      <c r="G740" s="8" t="inlineStr">
        <is>
          <t>Illinois</t>
        </is>
      </c>
      <c r="H740" s="8" t="inlineStr">
        <is>
          <t>REG-NA</t>
        </is>
      </c>
      <c r="I740" s="8" t="inlineStr">
        <is>
          <t>Home Office</t>
        </is>
      </c>
      <c r="J740" s="8" t="inlineStr">
        <is>
          <t>2021-06-01</t>
        </is>
      </c>
      <c r="K740" s="8">
        <f>COUNTIFS('05_Orders'!$C:$C, A740)</f>
        <v/>
      </c>
      <c r="L740" s="9">
        <f>SUMIFS('05_Orders'!$I:$I, '05_Orders'!$C:$C, A740)</f>
        <v/>
      </c>
      <c r="M740" s="8">
        <f>IF(L740&gt;=2000, "Platinum VIP", IF(L740&gt;=1000, "Gold", IF(L740&gt;=500, "Silver", "Standard")))</f>
        <v/>
      </c>
    </row>
    <row r="741">
      <c r="A741" s="8" t="inlineStr">
        <is>
          <t>CUST-00737</t>
        </is>
      </c>
      <c r="B741" s="8" t="inlineStr">
        <is>
          <t>Karen Ramos</t>
        </is>
      </c>
      <c r="C741" s="8" t="inlineStr">
        <is>
          <t>Female</t>
        </is>
      </c>
      <c r="D741" s="8" t="n">
        <v>54</v>
      </c>
      <c r="E741" s="8">
        <f>IF(D741&lt;25, "18-24", IF(D741&lt;35, "25-34", IF(D741&lt;50, "35-49", "50+")))</f>
        <v/>
      </c>
      <c r="F741" s="8" t="inlineStr">
        <is>
          <t>Los Angeles</t>
        </is>
      </c>
      <c r="G741" s="8" t="inlineStr">
        <is>
          <t>California</t>
        </is>
      </c>
      <c r="H741" s="8" t="inlineStr">
        <is>
          <t>REG-NA</t>
        </is>
      </c>
      <c r="I741" s="8" t="inlineStr">
        <is>
          <t>Consumer</t>
        </is>
      </c>
      <c r="J741" s="8" t="inlineStr">
        <is>
          <t>2022-11-03</t>
        </is>
      </c>
      <c r="K741" s="8">
        <f>COUNTIFS('05_Orders'!$C:$C, A741)</f>
        <v/>
      </c>
      <c r="L741" s="9">
        <f>SUMIFS('05_Orders'!$I:$I, '05_Orders'!$C:$C, A741)</f>
        <v/>
      </c>
      <c r="M741" s="8">
        <f>IF(L741&gt;=2000, "Platinum VIP", IF(L741&gt;=1000, "Gold", IF(L741&gt;=500, "Silver", "Standard")))</f>
        <v/>
      </c>
    </row>
    <row r="742">
      <c r="A742" s="8" t="inlineStr">
        <is>
          <t>CUST-00738</t>
        </is>
      </c>
      <c r="B742" s="8" t="inlineStr">
        <is>
          <t>Donna Ruiz</t>
        </is>
      </c>
      <c r="C742" s="8" t="inlineStr">
        <is>
          <t>Male</t>
        </is>
      </c>
      <c r="D742" s="8" t="n">
        <v>26</v>
      </c>
      <c r="E742" s="8">
        <f>IF(D742&lt;25, "18-24", IF(D742&lt;35, "25-34", IF(D742&lt;50, "35-49", "50+")))</f>
        <v/>
      </c>
      <c r="F742" s="8" t="inlineStr">
        <is>
          <t>Tokyo</t>
        </is>
      </c>
      <c r="G742" s="8" t="inlineStr">
        <is>
          <t>Kanto</t>
        </is>
      </c>
      <c r="H742" s="8" t="inlineStr">
        <is>
          <t>REG-APAC</t>
        </is>
      </c>
      <c r="I742" s="8" t="inlineStr">
        <is>
          <t>Home Office</t>
        </is>
      </c>
      <c r="J742" s="8" t="inlineStr">
        <is>
          <t>2024-12-03</t>
        </is>
      </c>
      <c r="K742" s="8">
        <f>COUNTIFS('05_Orders'!$C:$C, A742)</f>
        <v/>
      </c>
      <c r="L742" s="9">
        <f>SUMIFS('05_Orders'!$I:$I, '05_Orders'!$C:$C, A742)</f>
        <v/>
      </c>
      <c r="M742" s="8">
        <f>IF(L742&gt;=2000, "Platinum VIP", IF(L742&gt;=1000, "Gold", IF(L742&gt;=500, "Silver", "Standard")))</f>
        <v/>
      </c>
    </row>
    <row r="743">
      <c r="A743" s="8" t="inlineStr">
        <is>
          <t>CUST-00739</t>
        </is>
      </c>
      <c r="B743" s="8" t="inlineStr">
        <is>
          <t>Cynthia Myers</t>
        </is>
      </c>
      <c r="C743" s="8" t="inlineStr">
        <is>
          <t>Male</t>
        </is>
      </c>
      <c r="D743" s="8" t="n">
        <v>29</v>
      </c>
      <c r="E743" s="8">
        <f>IF(D743&lt;25, "18-24", IF(D743&lt;35, "25-34", IF(D743&lt;50, "35-49", "50+")))</f>
        <v/>
      </c>
      <c r="F743" s="8" t="inlineStr">
        <is>
          <t>Houston</t>
        </is>
      </c>
      <c r="G743" s="8" t="inlineStr">
        <is>
          <t>Texas</t>
        </is>
      </c>
      <c r="H743" s="8" t="inlineStr">
        <is>
          <t>REG-NA</t>
        </is>
      </c>
      <c r="I743" s="8" t="inlineStr">
        <is>
          <t>Consumer</t>
        </is>
      </c>
      <c r="J743" s="8" t="inlineStr">
        <is>
          <t>2022-11-14</t>
        </is>
      </c>
      <c r="K743" s="8">
        <f>COUNTIFS('05_Orders'!$C:$C, A743)</f>
        <v/>
      </c>
      <c r="L743" s="9">
        <f>SUMIFS('05_Orders'!$I:$I, '05_Orders'!$C:$C, A743)</f>
        <v/>
      </c>
      <c r="M743" s="8">
        <f>IF(L743&gt;=2000, "Platinum VIP", IF(L743&gt;=1000, "Gold", IF(L743&gt;=500, "Silver", "Standard")))</f>
        <v/>
      </c>
    </row>
    <row r="744">
      <c r="A744" s="8" t="inlineStr">
        <is>
          <t>CUST-00740</t>
        </is>
      </c>
      <c r="B744" s="8" t="inlineStr">
        <is>
          <t>John Moore</t>
        </is>
      </c>
      <c r="C744" s="8" t="inlineStr">
        <is>
          <t>Male</t>
        </is>
      </c>
      <c r="D744" s="8" t="n">
        <v>59</v>
      </c>
      <c r="E744" s="8">
        <f>IF(D744&lt;25, "18-24", IF(D744&lt;35, "25-34", IF(D744&lt;50, "35-49", "50+")))</f>
        <v/>
      </c>
      <c r="F744" s="8" t="inlineStr">
        <is>
          <t>Atlanta</t>
        </is>
      </c>
      <c r="G744" s="8" t="inlineStr">
        <is>
          <t>Georgia</t>
        </is>
      </c>
      <c r="H744" s="8" t="inlineStr">
        <is>
          <t>REG-NA</t>
        </is>
      </c>
      <c r="I744" s="8" t="inlineStr">
        <is>
          <t>Home Office</t>
        </is>
      </c>
      <c r="J744" s="8" t="inlineStr">
        <is>
          <t>2021-04-09</t>
        </is>
      </c>
      <c r="K744" s="8">
        <f>COUNTIFS('05_Orders'!$C:$C, A744)</f>
        <v/>
      </c>
      <c r="L744" s="9">
        <f>SUMIFS('05_Orders'!$I:$I, '05_Orders'!$C:$C, A744)</f>
        <v/>
      </c>
      <c r="M744" s="8">
        <f>IF(L744&gt;=2000, "Platinum VIP", IF(L744&gt;=1000, "Gold", IF(L744&gt;=500, "Silver", "Standard")))</f>
        <v/>
      </c>
    </row>
    <row r="745">
      <c r="A745" s="8" t="inlineStr">
        <is>
          <t>CUST-00741</t>
        </is>
      </c>
      <c r="B745" s="8" t="inlineStr">
        <is>
          <t>Justin Parker</t>
        </is>
      </c>
      <c r="C745" s="8" t="inlineStr">
        <is>
          <t>Male</t>
        </is>
      </c>
      <c r="D745" s="8" t="n">
        <v>50</v>
      </c>
      <c r="E745" s="8">
        <f>IF(D745&lt;25, "18-24", IF(D745&lt;35, "25-34", IF(D745&lt;50, "35-49", "50+")))</f>
        <v/>
      </c>
      <c r="F745" s="8" t="inlineStr">
        <is>
          <t>Hong Kong</t>
        </is>
      </c>
      <c r="G745" s="8" t="inlineStr">
        <is>
          <t>Hong Kong</t>
        </is>
      </c>
      <c r="H745" s="8" t="inlineStr">
        <is>
          <t>REG-APAC</t>
        </is>
      </c>
      <c r="I745" s="8" t="inlineStr">
        <is>
          <t>Home Office</t>
        </is>
      </c>
      <c r="J745" s="8" t="inlineStr">
        <is>
          <t>2023-10-05</t>
        </is>
      </c>
      <c r="K745" s="8">
        <f>COUNTIFS('05_Orders'!$C:$C, A745)</f>
        <v/>
      </c>
      <c r="L745" s="9">
        <f>SUMIFS('05_Orders'!$I:$I, '05_Orders'!$C:$C, A745)</f>
        <v/>
      </c>
      <c r="M745" s="8">
        <f>IF(L745&gt;=2000, "Platinum VIP", IF(L745&gt;=1000, "Gold", IF(L745&gt;=500, "Silver", "Standard")))</f>
        <v/>
      </c>
    </row>
    <row r="746">
      <c r="A746" s="8" t="inlineStr">
        <is>
          <t>CUST-00742</t>
        </is>
      </c>
      <c r="B746" s="8" t="inlineStr">
        <is>
          <t>Barbara Bailey</t>
        </is>
      </c>
      <c r="C746" s="8" t="inlineStr">
        <is>
          <t>Male</t>
        </is>
      </c>
      <c r="D746" s="8" t="n">
        <v>52</v>
      </c>
      <c r="E746" s="8">
        <f>IF(D746&lt;25, "18-24", IF(D746&lt;35, "25-34", IF(D746&lt;50, "35-49", "50+")))</f>
        <v/>
      </c>
      <c r="F746" s="8" t="inlineStr">
        <is>
          <t>Boston</t>
        </is>
      </c>
      <c r="G746" s="8" t="inlineStr">
        <is>
          <t>Massachusetts</t>
        </is>
      </c>
      <c r="H746" s="8" t="inlineStr">
        <is>
          <t>REG-NA</t>
        </is>
      </c>
      <c r="I746" s="8" t="inlineStr">
        <is>
          <t>Home Office</t>
        </is>
      </c>
      <c r="J746" s="8" t="inlineStr">
        <is>
          <t>2021-06-29</t>
        </is>
      </c>
      <c r="K746" s="8">
        <f>COUNTIFS('05_Orders'!$C:$C, A746)</f>
        <v/>
      </c>
      <c r="L746" s="9">
        <f>SUMIFS('05_Orders'!$I:$I, '05_Orders'!$C:$C, A746)</f>
        <v/>
      </c>
      <c r="M746" s="8">
        <f>IF(L746&gt;=2000, "Platinum VIP", IF(L746&gt;=1000, "Gold", IF(L746&gt;=500, "Silver", "Standard")))</f>
        <v/>
      </c>
    </row>
    <row r="747">
      <c r="A747" s="8" t="inlineStr">
        <is>
          <t>CUST-00743</t>
        </is>
      </c>
      <c r="B747" s="8" t="inlineStr">
        <is>
          <t>Elizabeth Foster</t>
        </is>
      </c>
      <c r="C747" s="8" t="inlineStr">
        <is>
          <t>Other</t>
        </is>
      </c>
      <c r="D747" s="8" t="n">
        <v>45</v>
      </c>
      <c r="E747" s="8">
        <f>IF(D747&lt;25, "18-24", IF(D747&lt;35, "25-34", IF(D747&lt;50, "35-49", "50+")))</f>
        <v/>
      </c>
      <c r="F747" s="8" t="inlineStr">
        <is>
          <t>Bangalore</t>
        </is>
      </c>
      <c r="G747" s="8" t="inlineStr">
        <is>
          <t>Karnataka</t>
        </is>
      </c>
      <c r="H747" s="8" t="inlineStr">
        <is>
          <t>REG-APAC</t>
        </is>
      </c>
      <c r="I747" s="8" t="inlineStr">
        <is>
          <t>Consumer</t>
        </is>
      </c>
      <c r="J747" s="8" t="inlineStr">
        <is>
          <t>2025-02-22</t>
        </is>
      </c>
      <c r="K747" s="8">
        <f>COUNTIFS('05_Orders'!$C:$C, A747)</f>
        <v/>
      </c>
      <c r="L747" s="9">
        <f>SUMIFS('05_Orders'!$I:$I, '05_Orders'!$C:$C, A747)</f>
        <v/>
      </c>
      <c r="M747" s="8">
        <f>IF(L747&gt;=2000, "Platinum VIP", IF(L747&gt;=1000, "Gold", IF(L747&gt;=500, "Silver", "Standard")))</f>
        <v/>
      </c>
    </row>
    <row r="748">
      <c r="A748" s="8" t="inlineStr">
        <is>
          <t>CUST-00744</t>
        </is>
      </c>
      <c r="B748" s="8" t="inlineStr">
        <is>
          <t>Jacob Ortiz</t>
        </is>
      </c>
      <c r="C748" s="8" t="inlineStr">
        <is>
          <t>Other</t>
        </is>
      </c>
      <c r="D748" s="8" t="n">
        <v>65</v>
      </c>
      <c r="E748" s="8">
        <f>IF(D748&lt;25, "18-24", IF(D748&lt;35, "25-34", IF(D748&lt;50, "35-49", "50+")))</f>
        <v/>
      </c>
      <c r="F748" s="8" t="inlineStr">
        <is>
          <t>Seoul</t>
        </is>
      </c>
      <c r="G748" s="8" t="inlineStr">
        <is>
          <t>Gyeonggi</t>
        </is>
      </c>
      <c r="H748" s="8" t="inlineStr">
        <is>
          <t>REG-APAC</t>
        </is>
      </c>
      <c r="I748" s="8" t="inlineStr">
        <is>
          <t>Home Office</t>
        </is>
      </c>
      <c r="J748" s="8" t="inlineStr">
        <is>
          <t>2023-04-03</t>
        </is>
      </c>
      <c r="K748" s="8">
        <f>COUNTIFS('05_Orders'!$C:$C, A748)</f>
        <v/>
      </c>
      <c r="L748" s="9">
        <f>SUMIFS('05_Orders'!$I:$I, '05_Orders'!$C:$C, A748)</f>
        <v/>
      </c>
      <c r="M748" s="8">
        <f>IF(L748&gt;=2000, "Platinum VIP", IF(L748&gt;=1000, "Gold", IF(L748&gt;=500, "Silver", "Standard")))</f>
        <v/>
      </c>
    </row>
    <row r="749">
      <c r="A749" s="8" t="inlineStr">
        <is>
          <t>CUST-00745</t>
        </is>
      </c>
      <c r="B749" s="8" t="inlineStr">
        <is>
          <t>Mark Adams</t>
        </is>
      </c>
      <c r="C749" s="8" t="inlineStr">
        <is>
          <t>Female</t>
        </is>
      </c>
      <c r="D749" s="8" t="n">
        <v>27</v>
      </c>
      <c r="E749" s="8">
        <f>IF(D749&lt;25, "18-24", IF(D749&lt;35, "25-34", IF(D749&lt;50, "35-49", "50+")))</f>
        <v/>
      </c>
      <c r="F749" s="8" t="inlineStr">
        <is>
          <t>Houston</t>
        </is>
      </c>
      <c r="G749" s="8" t="inlineStr">
        <is>
          <t>Texas</t>
        </is>
      </c>
      <c r="H749" s="8" t="inlineStr">
        <is>
          <t>REG-NA</t>
        </is>
      </c>
      <c r="I749" s="8" t="inlineStr">
        <is>
          <t>Corporate</t>
        </is>
      </c>
      <c r="J749" s="8" t="inlineStr">
        <is>
          <t>2025-04-22</t>
        </is>
      </c>
      <c r="K749" s="8">
        <f>COUNTIFS('05_Orders'!$C:$C, A749)</f>
        <v/>
      </c>
      <c r="L749" s="9">
        <f>SUMIFS('05_Orders'!$I:$I, '05_Orders'!$C:$C, A749)</f>
        <v/>
      </c>
      <c r="M749" s="8">
        <f>IF(L749&gt;=2000, "Platinum VIP", IF(L749&gt;=1000, "Gold", IF(L749&gt;=500, "Silver", "Standard")))</f>
        <v/>
      </c>
    </row>
    <row r="750">
      <c r="A750" s="8" t="inlineStr">
        <is>
          <t>CUST-00746</t>
        </is>
      </c>
      <c r="B750" s="8" t="inlineStr">
        <is>
          <t>Pamela Rivera</t>
        </is>
      </c>
      <c r="C750" s="8" t="inlineStr">
        <is>
          <t>Other</t>
        </is>
      </c>
      <c r="D750" s="8" t="n">
        <v>54</v>
      </c>
      <c r="E750" s="8">
        <f>IF(D750&lt;25, "18-24", IF(D750&lt;35, "25-34", IF(D750&lt;50, "35-49", "50+")))</f>
        <v/>
      </c>
      <c r="F750" s="8" t="inlineStr">
        <is>
          <t>Chicago</t>
        </is>
      </c>
      <c r="G750" s="8" t="inlineStr">
        <is>
          <t>Illinois</t>
        </is>
      </c>
      <c r="H750" s="8" t="inlineStr">
        <is>
          <t>REG-NA</t>
        </is>
      </c>
      <c r="I750" s="8" t="inlineStr">
        <is>
          <t>Consumer</t>
        </is>
      </c>
      <c r="J750" s="8" t="inlineStr">
        <is>
          <t>2022-01-07</t>
        </is>
      </c>
      <c r="K750" s="8">
        <f>COUNTIFS('05_Orders'!$C:$C, A750)</f>
        <v/>
      </c>
      <c r="L750" s="9">
        <f>SUMIFS('05_Orders'!$I:$I, '05_Orders'!$C:$C, A750)</f>
        <v/>
      </c>
      <c r="M750" s="8">
        <f>IF(L750&gt;=2000, "Platinum VIP", IF(L750&gt;=1000, "Gold", IF(L750&gt;=500, "Silver", "Standard")))</f>
        <v/>
      </c>
    </row>
    <row r="751">
      <c r="A751" s="8" t="inlineStr">
        <is>
          <t>CUST-00747</t>
        </is>
      </c>
      <c r="B751" s="8" t="inlineStr">
        <is>
          <t>Thomas Cooper</t>
        </is>
      </c>
      <c r="C751" s="8" t="inlineStr">
        <is>
          <t>Female</t>
        </is>
      </c>
      <c r="D751" s="8" t="n">
        <v>22</v>
      </c>
      <c r="E751" s="8">
        <f>IF(D751&lt;25, "18-24", IF(D751&lt;35, "25-34", IF(D751&lt;50, "35-49", "50+")))</f>
        <v/>
      </c>
      <c r="F751" s="8" t="inlineStr">
        <is>
          <t>Seattle</t>
        </is>
      </c>
      <c r="G751" s="8" t="inlineStr">
        <is>
          <t>Washington</t>
        </is>
      </c>
      <c r="H751" s="8" t="inlineStr">
        <is>
          <t>REG-NA</t>
        </is>
      </c>
      <c r="I751" s="8" t="inlineStr">
        <is>
          <t>Enterprise</t>
        </is>
      </c>
      <c r="J751" s="8" t="inlineStr">
        <is>
          <t>2024-09-09</t>
        </is>
      </c>
      <c r="K751" s="8">
        <f>COUNTIFS('05_Orders'!$C:$C, A751)</f>
        <v/>
      </c>
      <c r="L751" s="9">
        <f>SUMIFS('05_Orders'!$I:$I, '05_Orders'!$C:$C, A751)</f>
        <v/>
      </c>
      <c r="M751" s="8">
        <f>IF(L751&gt;=2000, "Platinum VIP", IF(L751&gt;=1000, "Gold", IF(L751&gt;=500, "Silver", "Standard")))</f>
        <v/>
      </c>
    </row>
    <row r="752">
      <c r="A752" s="8" t="inlineStr">
        <is>
          <t>CUST-00748</t>
        </is>
      </c>
      <c r="B752" s="8" t="inlineStr">
        <is>
          <t>Betty Foster</t>
        </is>
      </c>
      <c r="C752" s="8" t="inlineStr">
        <is>
          <t>Female</t>
        </is>
      </c>
      <c r="D752" s="8" t="n">
        <v>45</v>
      </c>
      <c r="E752" s="8">
        <f>IF(D752&lt;25, "18-24", IF(D752&lt;35, "25-34", IF(D752&lt;50, "35-49", "50+")))</f>
        <v/>
      </c>
      <c r="F752" s="8" t="inlineStr">
        <is>
          <t>Toronto</t>
        </is>
      </c>
      <c r="G752" s="8" t="inlineStr">
        <is>
          <t>Ontario</t>
        </is>
      </c>
      <c r="H752" s="8" t="inlineStr">
        <is>
          <t>REG-NA</t>
        </is>
      </c>
      <c r="I752" s="8" t="inlineStr">
        <is>
          <t>Consumer</t>
        </is>
      </c>
      <c r="J752" s="8" t="inlineStr">
        <is>
          <t>2023-02-08</t>
        </is>
      </c>
      <c r="K752" s="8">
        <f>COUNTIFS('05_Orders'!$C:$C, A752)</f>
        <v/>
      </c>
      <c r="L752" s="9">
        <f>SUMIFS('05_Orders'!$I:$I, '05_Orders'!$C:$C, A752)</f>
        <v/>
      </c>
      <c r="M752" s="8">
        <f>IF(L752&gt;=2000, "Platinum VIP", IF(L752&gt;=1000, "Gold", IF(L752&gt;=500, "Silver", "Standard")))</f>
        <v/>
      </c>
    </row>
    <row r="753">
      <c r="A753" s="8" t="inlineStr">
        <is>
          <t>CUST-00749</t>
        </is>
      </c>
      <c r="B753" s="8" t="inlineStr">
        <is>
          <t>Michael Edwards</t>
        </is>
      </c>
      <c r="C753" s="8" t="inlineStr">
        <is>
          <t>Female</t>
        </is>
      </c>
      <c r="D753" s="8" t="n">
        <v>43</v>
      </c>
      <c r="E753" s="8">
        <f>IF(D753&lt;25, "18-24", IF(D753&lt;35, "25-34", IF(D753&lt;50, "35-49", "50+")))</f>
        <v/>
      </c>
      <c r="F753" s="8" t="inlineStr">
        <is>
          <t>Atlanta</t>
        </is>
      </c>
      <c r="G753" s="8" t="inlineStr">
        <is>
          <t>Georgia</t>
        </is>
      </c>
      <c r="H753" s="8" t="inlineStr">
        <is>
          <t>REG-NA</t>
        </is>
      </c>
      <c r="I753" s="8" t="inlineStr">
        <is>
          <t>Corporate</t>
        </is>
      </c>
      <c r="J753" s="8" t="inlineStr">
        <is>
          <t>2021-09-13</t>
        </is>
      </c>
      <c r="K753" s="8">
        <f>COUNTIFS('05_Orders'!$C:$C, A753)</f>
        <v/>
      </c>
      <c r="L753" s="9">
        <f>SUMIFS('05_Orders'!$I:$I, '05_Orders'!$C:$C, A753)</f>
        <v/>
      </c>
      <c r="M753" s="8">
        <f>IF(L753&gt;=2000, "Platinum VIP", IF(L753&gt;=1000, "Gold", IF(L753&gt;=500, "Silver", "Standard")))</f>
        <v/>
      </c>
    </row>
    <row r="754">
      <c r="A754" s="8" t="inlineStr">
        <is>
          <t>CUST-00750</t>
        </is>
      </c>
      <c r="B754" s="8" t="inlineStr">
        <is>
          <t>Jessica Lee</t>
        </is>
      </c>
      <c r="C754" s="8" t="inlineStr">
        <is>
          <t>Male</t>
        </is>
      </c>
      <c r="D754" s="8" t="n">
        <v>25</v>
      </c>
      <c r="E754" s="8">
        <f>IF(D754&lt;25, "18-24", IF(D754&lt;35, "25-34", IF(D754&lt;50, "35-49", "50+")))</f>
        <v/>
      </c>
      <c r="F754" s="8" t="inlineStr">
        <is>
          <t>Medellin</t>
        </is>
      </c>
      <c r="G754" s="8" t="inlineStr">
        <is>
          <t>Antioquia</t>
        </is>
      </c>
      <c r="H754" s="8" t="inlineStr">
        <is>
          <t>REG-LATAM</t>
        </is>
      </c>
      <c r="I754" s="8" t="inlineStr">
        <is>
          <t>Consumer</t>
        </is>
      </c>
      <c r="J754" s="8" t="inlineStr">
        <is>
          <t>2022-10-11</t>
        </is>
      </c>
      <c r="K754" s="8">
        <f>COUNTIFS('05_Orders'!$C:$C, A754)</f>
        <v/>
      </c>
      <c r="L754" s="9">
        <f>SUMIFS('05_Orders'!$I:$I, '05_Orders'!$C:$C, A754)</f>
        <v/>
      </c>
      <c r="M754" s="8">
        <f>IF(L754&gt;=2000, "Platinum VIP", IF(L754&gt;=1000, "Gold", IF(L754&gt;=500, "Silver", "Standard")))</f>
        <v/>
      </c>
    </row>
    <row r="755">
      <c r="A755" s="8" t="inlineStr">
        <is>
          <t>CUST-00751</t>
        </is>
      </c>
      <c r="B755" s="8" t="inlineStr">
        <is>
          <t>Amy Allen</t>
        </is>
      </c>
      <c r="C755" s="8" t="inlineStr">
        <is>
          <t>Other</t>
        </is>
      </c>
      <c r="D755" s="8" t="n">
        <v>25</v>
      </c>
      <c r="E755" s="8">
        <f>IF(D755&lt;25, "18-24", IF(D755&lt;35, "25-34", IF(D755&lt;50, "35-49", "50+")))</f>
        <v/>
      </c>
      <c r="F755" s="8" t="inlineStr">
        <is>
          <t>Sao Paulo</t>
        </is>
      </c>
      <c r="G755" s="8" t="inlineStr">
        <is>
          <t>Sao Paulo State</t>
        </is>
      </c>
      <c r="H755" s="8" t="inlineStr">
        <is>
          <t>REG-LATAM</t>
        </is>
      </c>
      <c r="I755" s="8" t="inlineStr">
        <is>
          <t>Consumer</t>
        </is>
      </c>
      <c r="J755" s="8" t="inlineStr">
        <is>
          <t>2023-05-11</t>
        </is>
      </c>
      <c r="K755" s="8">
        <f>COUNTIFS('05_Orders'!$C:$C, A755)</f>
        <v/>
      </c>
      <c r="L755" s="9">
        <f>SUMIFS('05_Orders'!$I:$I, '05_Orders'!$C:$C, A755)</f>
        <v/>
      </c>
      <c r="M755" s="8">
        <f>IF(L755&gt;=2000, "Platinum VIP", IF(L755&gt;=1000, "Gold", IF(L755&gt;=500, "Silver", "Standard")))</f>
        <v/>
      </c>
    </row>
    <row r="756">
      <c r="A756" s="8" t="inlineStr">
        <is>
          <t>CUST-00752</t>
        </is>
      </c>
      <c r="B756" s="8" t="inlineStr">
        <is>
          <t>William Parker</t>
        </is>
      </c>
      <c r="C756" s="8" t="inlineStr">
        <is>
          <t>Other</t>
        </is>
      </c>
      <c r="D756" s="8" t="n">
        <v>37</v>
      </c>
      <c r="E756" s="8">
        <f>IF(D756&lt;25, "18-24", IF(D756&lt;35, "25-34", IF(D756&lt;50, "35-49", "50+")))</f>
        <v/>
      </c>
      <c r="F756" s="8" t="inlineStr">
        <is>
          <t>Los Angeles</t>
        </is>
      </c>
      <c r="G756" s="8" t="inlineStr">
        <is>
          <t>California</t>
        </is>
      </c>
      <c r="H756" s="8" t="inlineStr">
        <is>
          <t>REG-NA</t>
        </is>
      </c>
      <c r="I756" s="8" t="inlineStr">
        <is>
          <t>Corporate</t>
        </is>
      </c>
      <c r="J756" s="8" t="inlineStr">
        <is>
          <t>2023-03-10</t>
        </is>
      </c>
      <c r="K756" s="8">
        <f>COUNTIFS('05_Orders'!$C:$C, A756)</f>
        <v/>
      </c>
      <c r="L756" s="9">
        <f>SUMIFS('05_Orders'!$I:$I, '05_Orders'!$C:$C, A756)</f>
        <v/>
      </c>
      <c r="M756" s="8">
        <f>IF(L756&gt;=2000, "Platinum VIP", IF(L756&gt;=1000, "Gold", IF(L756&gt;=500, "Silver", "Standard")))</f>
        <v/>
      </c>
    </row>
    <row r="757">
      <c r="A757" s="8" t="inlineStr">
        <is>
          <t>CUST-00753</t>
        </is>
      </c>
      <c r="B757" s="8" t="inlineStr">
        <is>
          <t>Carol Garcia</t>
        </is>
      </c>
      <c r="C757" s="8" t="inlineStr">
        <is>
          <t>Male</t>
        </is>
      </c>
      <c r="D757" s="8" t="n">
        <v>72</v>
      </c>
      <c r="E757" s="8">
        <f>IF(D757&lt;25, "18-24", IF(D757&lt;35, "25-34", IF(D757&lt;50, "35-49", "50+")))</f>
        <v/>
      </c>
      <c r="F757" s="8" t="inlineStr">
        <is>
          <t>Denver</t>
        </is>
      </c>
      <c r="G757" s="8" t="inlineStr">
        <is>
          <t>Colorado</t>
        </is>
      </c>
      <c r="H757" s="8" t="inlineStr">
        <is>
          <t>REG-NA</t>
        </is>
      </c>
      <c r="I757" s="8" t="inlineStr">
        <is>
          <t>Consumer</t>
        </is>
      </c>
      <c r="J757" s="8" t="inlineStr">
        <is>
          <t>2023-11-29</t>
        </is>
      </c>
      <c r="K757" s="8">
        <f>COUNTIFS('05_Orders'!$C:$C, A757)</f>
        <v/>
      </c>
      <c r="L757" s="9">
        <f>SUMIFS('05_Orders'!$I:$I, '05_Orders'!$C:$C, A757)</f>
        <v/>
      </c>
      <c r="M757" s="8">
        <f>IF(L757&gt;=2000, "Platinum VIP", IF(L757&gt;=1000, "Gold", IF(L757&gt;=500, "Silver", "Standard")))</f>
        <v/>
      </c>
    </row>
    <row r="758">
      <c r="A758" s="8" t="inlineStr">
        <is>
          <t>CUST-00754</t>
        </is>
      </c>
      <c r="B758" s="8" t="inlineStr">
        <is>
          <t>Anthony Patel</t>
        </is>
      </c>
      <c r="C758" s="8" t="inlineStr">
        <is>
          <t>Other</t>
        </is>
      </c>
      <c r="D758" s="8" t="n">
        <v>36</v>
      </c>
      <c r="E758" s="8">
        <f>IF(D758&lt;25, "18-24", IF(D758&lt;35, "25-34", IF(D758&lt;50, "35-49", "50+")))</f>
        <v/>
      </c>
      <c r="F758" s="8" t="inlineStr">
        <is>
          <t>Atlanta</t>
        </is>
      </c>
      <c r="G758" s="8" t="inlineStr">
        <is>
          <t>Georgia</t>
        </is>
      </c>
      <c r="H758" s="8" t="inlineStr">
        <is>
          <t>REG-NA</t>
        </is>
      </c>
      <c r="I758" s="8" t="inlineStr">
        <is>
          <t>Home Office</t>
        </is>
      </c>
      <c r="J758" s="8" t="inlineStr">
        <is>
          <t>2023-05-09</t>
        </is>
      </c>
      <c r="K758" s="8">
        <f>COUNTIFS('05_Orders'!$C:$C, A758)</f>
        <v/>
      </c>
      <c r="L758" s="9">
        <f>SUMIFS('05_Orders'!$I:$I, '05_Orders'!$C:$C, A758)</f>
        <v/>
      </c>
      <c r="M758" s="8">
        <f>IF(L758&gt;=2000, "Platinum VIP", IF(L758&gt;=1000, "Gold", IF(L758&gt;=500, "Silver", "Standard")))</f>
        <v/>
      </c>
    </row>
    <row r="759">
      <c r="A759" s="8" t="inlineStr">
        <is>
          <t>CUST-00755</t>
        </is>
      </c>
      <c r="B759" s="8" t="inlineStr">
        <is>
          <t>Debra White</t>
        </is>
      </c>
      <c r="C759" s="8" t="inlineStr">
        <is>
          <t>Female</t>
        </is>
      </c>
      <c r="D759" s="8" t="n">
        <v>25</v>
      </c>
      <c r="E759" s="8">
        <f>IF(D759&lt;25, "18-24", IF(D759&lt;35, "25-34", IF(D759&lt;50, "35-49", "50+")))</f>
        <v/>
      </c>
      <c r="F759" s="8" t="inlineStr">
        <is>
          <t>Singapore</t>
        </is>
      </c>
      <c r="G759" s="8" t="inlineStr">
        <is>
          <t>Central</t>
        </is>
      </c>
      <c r="H759" s="8" t="inlineStr">
        <is>
          <t>REG-APAC</t>
        </is>
      </c>
      <c r="I759" s="8" t="inlineStr">
        <is>
          <t>Corporate</t>
        </is>
      </c>
      <c r="J759" s="8" t="inlineStr">
        <is>
          <t>2022-09-19</t>
        </is>
      </c>
      <c r="K759" s="8">
        <f>COUNTIFS('05_Orders'!$C:$C, A759)</f>
        <v/>
      </c>
      <c r="L759" s="9">
        <f>SUMIFS('05_Orders'!$I:$I, '05_Orders'!$C:$C, A759)</f>
        <v/>
      </c>
      <c r="M759" s="8">
        <f>IF(L759&gt;=2000, "Platinum VIP", IF(L759&gt;=1000, "Gold", IF(L759&gt;=500, "Silver", "Standard")))</f>
        <v/>
      </c>
    </row>
    <row r="760">
      <c r="A760" s="8" t="inlineStr">
        <is>
          <t>CUST-00756</t>
        </is>
      </c>
      <c r="B760" s="8" t="inlineStr">
        <is>
          <t>Patricia Brown</t>
        </is>
      </c>
      <c r="C760" s="8" t="inlineStr">
        <is>
          <t>Female</t>
        </is>
      </c>
      <c r="D760" s="8" t="n">
        <v>19</v>
      </c>
      <c r="E760" s="8">
        <f>IF(D760&lt;25, "18-24", IF(D760&lt;35, "25-34", IF(D760&lt;50, "35-49", "50+")))</f>
        <v/>
      </c>
      <c r="F760" s="8" t="inlineStr">
        <is>
          <t>Singapore</t>
        </is>
      </c>
      <c r="G760" s="8" t="inlineStr">
        <is>
          <t>Central</t>
        </is>
      </c>
      <c r="H760" s="8" t="inlineStr">
        <is>
          <t>REG-APAC</t>
        </is>
      </c>
      <c r="I760" s="8" t="inlineStr">
        <is>
          <t>Corporate</t>
        </is>
      </c>
      <c r="J760" s="8" t="inlineStr">
        <is>
          <t>2021-10-23</t>
        </is>
      </c>
      <c r="K760" s="8">
        <f>COUNTIFS('05_Orders'!$C:$C, A760)</f>
        <v/>
      </c>
      <c r="L760" s="9">
        <f>SUMIFS('05_Orders'!$I:$I, '05_Orders'!$C:$C, A760)</f>
        <v/>
      </c>
      <c r="M760" s="8">
        <f>IF(L760&gt;=2000, "Platinum VIP", IF(L760&gt;=1000, "Gold", IF(L760&gt;=500, "Silver", "Standard")))</f>
        <v/>
      </c>
    </row>
    <row r="761">
      <c r="A761" s="8" t="inlineStr">
        <is>
          <t>CUST-00757</t>
        </is>
      </c>
      <c r="B761" s="8" t="inlineStr">
        <is>
          <t>Helen Perez</t>
        </is>
      </c>
      <c r="C761" s="8" t="inlineStr">
        <is>
          <t>Male</t>
        </is>
      </c>
      <c r="D761" s="8" t="n">
        <v>24</v>
      </c>
      <c r="E761" s="8">
        <f>IF(D761&lt;25, "18-24", IF(D761&lt;35, "25-34", IF(D761&lt;50, "35-49", "50+")))</f>
        <v/>
      </c>
      <c r="F761" s="8" t="inlineStr">
        <is>
          <t>Houston</t>
        </is>
      </c>
      <c r="G761" s="8" t="inlineStr">
        <is>
          <t>Texas</t>
        </is>
      </c>
      <c r="H761" s="8" t="inlineStr">
        <is>
          <t>REG-NA</t>
        </is>
      </c>
      <c r="I761" s="8" t="inlineStr">
        <is>
          <t>Consumer</t>
        </is>
      </c>
      <c r="J761" s="8" t="inlineStr">
        <is>
          <t>2021-05-16</t>
        </is>
      </c>
      <c r="K761" s="8">
        <f>COUNTIFS('05_Orders'!$C:$C, A761)</f>
        <v/>
      </c>
      <c r="L761" s="9">
        <f>SUMIFS('05_Orders'!$I:$I, '05_Orders'!$C:$C, A761)</f>
        <v/>
      </c>
      <c r="M761" s="8">
        <f>IF(L761&gt;=2000, "Platinum VIP", IF(L761&gt;=1000, "Gold", IF(L761&gt;=500, "Silver", "Standard")))</f>
        <v/>
      </c>
    </row>
    <row r="762">
      <c r="A762" s="8" t="inlineStr">
        <is>
          <t>CUST-00758</t>
        </is>
      </c>
      <c r="B762" s="8" t="inlineStr">
        <is>
          <t>Stephen Cruz</t>
        </is>
      </c>
      <c r="C762" s="8" t="inlineStr">
        <is>
          <t>Male</t>
        </is>
      </c>
      <c r="D762" s="8" t="n">
        <v>72</v>
      </c>
      <c r="E762" s="8">
        <f>IF(D762&lt;25, "18-24", IF(D762&lt;35, "25-34", IF(D762&lt;50, "35-49", "50+")))</f>
        <v/>
      </c>
      <c r="F762" s="8" t="inlineStr">
        <is>
          <t>London</t>
        </is>
      </c>
      <c r="G762" s="8" t="inlineStr">
        <is>
          <t>Greater London</t>
        </is>
      </c>
      <c r="H762" s="8" t="inlineStr">
        <is>
          <t>REG-EU</t>
        </is>
      </c>
      <c r="I762" s="8" t="inlineStr">
        <is>
          <t>Consumer</t>
        </is>
      </c>
      <c r="J762" s="8" t="inlineStr">
        <is>
          <t>2023-08-20</t>
        </is>
      </c>
      <c r="K762" s="8">
        <f>COUNTIFS('05_Orders'!$C:$C, A762)</f>
        <v/>
      </c>
      <c r="L762" s="9">
        <f>SUMIFS('05_Orders'!$I:$I, '05_Orders'!$C:$C, A762)</f>
        <v/>
      </c>
      <c r="M762" s="8">
        <f>IF(L762&gt;=2000, "Platinum VIP", IF(L762&gt;=1000, "Gold", IF(L762&gt;=500, "Silver", "Standard")))</f>
        <v/>
      </c>
    </row>
    <row r="763">
      <c r="A763" s="8" t="inlineStr">
        <is>
          <t>CUST-00759</t>
        </is>
      </c>
      <c r="B763" s="8" t="inlineStr">
        <is>
          <t>Benjamin Bennett</t>
        </is>
      </c>
      <c r="C763" s="8" t="inlineStr">
        <is>
          <t>Other</t>
        </is>
      </c>
      <c r="D763" s="8" t="n">
        <v>24</v>
      </c>
      <c r="E763" s="8">
        <f>IF(D763&lt;25, "18-24", IF(D763&lt;35, "25-34", IF(D763&lt;50, "35-49", "50+")))</f>
        <v/>
      </c>
      <c r="F763" s="8" t="inlineStr">
        <is>
          <t>Stockholm</t>
        </is>
      </c>
      <c r="G763" s="8" t="inlineStr">
        <is>
          <t>Stockholm County</t>
        </is>
      </c>
      <c r="H763" s="8" t="inlineStr">
        <is>
          <t>REG-EU</t>
        </is>
      </c>
      <c r="I763" s="8" t="inlineStr">
        <is>
          <t>Consumer</t>
        </is>
      </c>
      <c r="J763" s="8" t="inlineStr">
        <is>
          <t>2022-03-26</t>
        </is>
      </c>
      <c r="K763" s="8">
        <f>COUNTIFS('05_Orders'!$C:$C, A763)</f>
        <v/>
      </c>
      <c r="L763" s="9">
        <f>SUMIFS('05_Orders'!$I:$I, '05_Orders'!$C:$C, A763)</f>
        <v/>
      </c>
      <c r="M763" s="8">
        <f>IF(L763&gt;=2000, "Platinum VIP", IF(L763&gt;=1000, "Gold", IF(L763&gt;=500, "Silver", "Standard")))</f>
        <v/>
      </c>
    </row>
    <row r="764">
      <c r="A764" s="8" t="inlineStr">
        <is>
          <t>CUST-00760</t>
        </is>
      </c>
      <c r="B764" s="8" t="inlineStr">
        <is>
          <t>Ruth Gonzalez</t>
        </is>
      </c>
      <c r="C764" s="8" t="inlineStr">
        <is>
          <t>Other</t>
        </is>
      </c>
      <c r="D764" s="8" t="n">
        <v>43</v>
      </c>
      <c r="E764" s="8">
        <f>IF(D764&lt;25, "18-24", IF(D764&lt;35, "25-34", IF(D764&lt;50, "35-49", "50+")))</f>
        <v/>
      </c>
      <c r="F764" s="8" t="inlineStr">
        <is>
          <t>Denver</t>
        </is>
      </c>
      <c r="G764" s="8" t="inlineStr">
        <is>
          <t>Colorado</t>
        </is>
      </c>
      <c r="H764" s="8" t="inlineStr">
        <is>
          <t>REG-NA</t>
        </is>
      </c>
      <c r="I764" s="8" t="inlineStr">
        <is>
          <t>Consumer</t>
        </is>
      </c>
      <c r="J764" s="8" t="inlineStr">
        <is>
          <t>2022-04-09</t>
        </is>
      </c>
      <c r="K764" s="8">
        <f>COUNTIFS('05_Orders'!$C:$C, A764)</f>
        <v/>
      </c>
      <c r="L764" s="9">
        <f>SUMIFS('05_Orders'!$I:$I, '05_Orders'!$C:$C, A764)</f>
        <v/>
      </c>
      <c r="M764" s="8">
        <f>IF(L764&gt;=2000, "Platinum VIP", IF(L764&gt;=1000, "Gold", IF(L764&gt;=500, "Silver", "Standard")))</f>
        <v/>
      </c>
    </row>
    <row r="765">
      <c r="A765" s="8" t="inlineStr">
        <is>
          <t>CUST-00761</t>
        </is>
      </c>
      <c r="B765" s="8" t="inlineStr">
        <is>
          <t>Kathleen Bennett</t>
        </is>
      </c>
      <c r="C765" s="8" t="inlineStr">
        <is>
          <t>Other</t>
        </is>
      </c>
      <c r="D765" s="8" t="n">
        <v>51</v>
      </c>
      <c r="E765" s="8">
        <f>IF(D765&lt;25, "18-24", IF(D765&lt;35, "25-34", IF(D765&lt;50, "35-49", "50+")))</f>
        <v/>
      </c>
      <c r="F765" s="8" t="inlineStr">
        <is>
          <t>Paris</t>
        </is>
      </c>
      <c r="G765" s="8" t="inlineStr">
        <is>
          <t>Ile-de-France</t>
        </is>
      </c>
      <c r="H765" s="8" t="inlineStr">
        <is>
          <t>REG-EU</t>
        </is>
      </c>
      <c r="I765" s="8" t="inlineStr">
        <is>
          <t>Corporate</t>
        </is>
      </c>
      <c r="J765" s="8" t="inlineStr">
        <is>
          <t>2021-09-27</t>
        </is>
      </c>
      <c r="K765" s="8">
        <f>COUNTIFS('05_Orders'!$C:$C, A765)</f>
        <v/>
      </c>
      <c r="L765" s="9">
        <f>SUMIFS('05_Orders'!$I:$I, '05_Orders'!$C:$C, A765)</f>
        <v/>
      </c>
      <c r="M765" s="8">
        <f>IF(L765&gt;=2000, "Platinum VIP", IF(L765&gt;=1000, "Gold", IF(L765&gt;=500, "Silver", "Standard")))</f>
        <v/>
      </c>
    </row>
    <row r="766">
      <c r="A766" s="8" t="inlineStr">
        <is>
          <t>CUST-00762</t>
        </is>
      </c>
      <c r="B766" s="8" t="inlineStr">
        <is>
          <t>Robert Myers</t>
        </is>
      </c>
      <c r="C766" s="8" t="inlineStr">
        <is>
          <t>Female</t>
        </is>
      </c>
      <c r="D766" s="8" t="n">
        <v>58</v>
      </c>
      <c r="E766" s="8">
        <f>IF(D766&lt;25, "18-24", IF(D766&lt;35, "25-34", IF(D766&lt;50, "35-49", "50+")))</f>
        <v/>
      </c>
      <c r="F766" s="8" t="inlineStr">
        <is>
          <t>Houston</t>
        </is>
      </c>
      <c r="G766" s="8" t="inlineStr">
        <is>
          <t>Texas</t>
        </is>
      </c>
      <c r="H766" s="8" t="inlineStr">
        <is>
          <t>REG-NA</t>
        </is>
      </c>
      <c r="I766" s="8" t="inlineStr">
        <is>
          <t>Enterprise</t>
        </is>
      </c>
      <c r="J766" s="8" t="inlineStr">
        <is>
          <t>2021-01-30</t>
        </is>
      </c>
      <c r="K766" s="8">
        <f>COUNTIFS('05_Orders'!$C:$C, A766)</f>
        <v/>
      </c>
      <c r="L766" s="9">
        <f>SUMIFS('05_Orders'!$I:$I, '05_Orders'!$C:$C, A766)</f>
        <v/>
      </c>
      <c r="M766" s="8">
        <f>IF(L766&gt;=2000, "Platinum VIP", IF(L766&gt;=1000, "Gold", IF(L766&gt;=500, "Silver", "Standard")))</f>
        <v/>
      </c>
    </row>
    <row r="767">
      <c r="A767" s="8" t="inlineStr">
        <is>
          <t>CUST-00763</t>
        </is>
      </c>
      <c r="B767" s="8" t="inlineStr">
        <is>
          <t>Carol Johnson</t>
        </is>
      </c>
      <c r="C767" s="8" t="inlineStr">
        <is>
          <t>Other</t>
        </is>
      </c>
      <c r="D767" s="8" t="n">
        <v>48</v>
      </c>
      <c r="E767" s="8">
        <f>IF(D767&lt;25, "18-24", IF(D767&lt;35, "25-34", IF(D767&lt;50, "35-49", "50+")))</f>
        <v/>
      </c>
      <c r="F767" s="8" t="inlineStr">
        <is>
          <t>Lyon</t>
        </is>
      </c>
      <c r="G767" s="8" t="inlineStr">
        <is>
          <t>Auvergne-Rhone-Alpes</t>
        </is>
      </c>
      <c r="H767" s="8" t="inlineStr">
        <is>
          <t>REG-EU</t>
        </is>
      </c>
      <c r="I767" s="8" t="inlineStr">
        <is>
          <t>Consumer</t>
        </is>
      </c>
      <c r="J767" s="8" t="inlineStr">
        <is>
          <t>2024-03-28</t>
        </is>
      </c>
      <c r="K767" s="8">
        <f>COUNTIFS('05_Orders'!$C:$C, A767)</f>
        <v/>
      </c>
      <c r="L767" s="9">
        <f>SUMIFS('05_Orders'!$I:$I, '05_Orders'!$C:$C, A767)</f>
        <v/>
      </c>
      <c r="M767" s="8">
        <f>IF(L767&gt;=2000, "Platinum VIP", IF(L767&gt;=1000, "Gold", IF(L767&gt;=500, "Silver", "Standard")))</f>
        <v/>
      </c>
    </row>
    <row r="768">
      <c r="A768" s="8" t="inlineStr">
        <is>
          <t>CUST-00764</t>
        </is>
      </c>
      <c r="B768" s="8" t="inlineStr">
        <is>
          <t>Ryan Thomas</t>
        </is>
      </c>
      <c r="C768" s="8" t="inlineStr">
        <is>
          <t>Other</t>
        </is>
      </c>
      <c r="D768" s="8" t="n">
        <v>35</v>
      </c>
      <c r="E768" s="8">
        <f>IF(D768&lt;25, "18-24", IF(D768&lt;35, "25-34", IF(D768&lt;50, "35-49", "50+")))</f>
        <v/>
      </c>
      <c r="F768" s="8" t="inlineStr">
        <is>
          <t>Dublin</t>
        </is>
      </c>
      <c r="G768" s="8" t="inlineStr">
        <is>
          <t>Leinster</t>
        </is>
      </c>
      <c r="H768" s="8" t="inlineStr">
        <is>
          <t>REG-EU</t>
        </is>
      </c>
      <c r="I768" s="8" t="inlineStr">
        <is>
          <t>Enterprise</t>
        </is>
      </c>
      <c r="J768" s="8" t="inlineStr">
        <is>
          <t>2022-11-22</t>
        </is>
      </c>
      <c r="K768" s="8">
        <f>COUNTIFS('05_Orders'!$C:$C, A768)</f>
        <v/>
      </c>
      <c r="L768" s="9">
        <f>SUMIFS('05_Orders'!$I:$I, '05_Orders'!$C:$C, A768)</f>
        <v/>
      </c>
      <c r="M768" s="8">
        <f>IF(L768&gt;=2000, "Platinum VIP", IF(L768&gt;=1000, "Gold", IF(L768&gt;=500, "Silver", "Standard")))</f>
        <v/>
      </c>
    </row>
    <row r="769">
      <c r="A769" s="8" t="inlineStr">
        <is>
          <t>CUST-00765</t>
        </is>
      </c>
      <c r="B769" s="8" t="inlineStr">
        <is>
          <t>Tyler Peterson</t>
        </is>
      </c>
      <c r="C769" s="8" t="inlineStr">
        <is>
          <t>Female</t>
        </is>
      </c>
      <c r="D769" s="8" t="n">
        <v>60</v>
      </c>
      <c r="E769" s="8">
        <f>IF(D769&lt;25, "18-24", IF(D769&lt;35, "25-34", IF(D769&lt;50, "35-49", "50+")))</f>
        <v/>
      </c>
      <c r="F769" s="8" t="inlineStr">
        <is>
          <t>Seattle</t>
        </is>
      </c>
      <c r="G769" s="8" t="inlineStr">
        <is>
          <t>Washington</t>
        </is>
      </c>
      <c r="H769" s="8" t="inlineStr">
        <is>
          <t>REG-NA</t>
        </is>
      </c>
      <c r="I769" s="8" t="inlineStr">
        <is>
          <t>Home Office</t>
        </is>
      </c>
      <c r="J769" s="8" t="inlineStr">
        <is>
          <t>2022-06-23</t>
        </is>
      </c>
      <c r="K769" s="8">
        <f>COUNTIFS('05_Orders'!$C:$C, A769)</f>
        <v/>
      </c>
      <c r="L769" s="9">
        <f>SUMIFS('05_Orders'!$I:$I, '05_Orders'!$C:$C, A769)</f>
        <v/>
      </c>
      <c r="M769" s="8">
        <f>IF(L769&gt;=2000, "Platinum VIP", IF(L769&gt;=1000, "Gold", IF(L769&gt;=500, "Silver", "Standard")))</f>
        <v/>
      </c>
    </row>
    <row r="770">
      <c r="A770" s="8" t="inlineStr">
        <is>
          <t>CUST-00766</t>
        </is>
      </c>
      <c r="B770" s="8" t="inlineStr">
        <is>
          <t>Thomas Gonzalez</t>
        </is>
      </c>
      <c r="C770" s="8" t="inlineStr">
        <is>
          <t>Male</t>
        </is>
      </c>
      <c r="D770" s="8" t="n">
        <v>47</v>
      </c>
      <c r="E770" s="8">
        <f>IF(D770&lt;25, "18-24", IF(D770&lt;35, "25-34", IF(D770&lt;50, "35-49", "50+")))</f>
        <v/>
      </c>
      <c r="F770" s="8" t="inlineStr">
        <is>
          <t>Tokyo</t>
        </is>
      </c>
      <c r="G770" s="8" t="inlineStr">
        <is>
          <t>Kanto</t>
        </is>
      </c>
      <c r="H770" s="8" t="inlineStr">
        <is>
          <t>REG-APAC</t>
        </is>
      </c>
      <c r="I770" s="8" t="inlineStr">
        <is>
          <t>Corporate</t>
        </is>
      </c>
      <c r="J770" s="8" t="inlineStr">
        <is>
          <t>2022-08-29</t>
        </is>
      </c>
      <c r="K770" s="8">
        <f>COUNTIFS('05_Orders'!$C:$C, A770)</f>
        <v/>
      </c>
      <c r="L770" s="9">
        <f>SUMIFS('05_Orders'!$I:$I, '05_Orders'!$C:$C, A770)</f>
        <v/>
      </c>
      <c r="M770" s="8">
        <f>IF(L770&gt;=2000, "Platinum VIP", IF(L770&gt;=1000, "Gold", IF(L770&gt;=500, "Silver", "Standard")))</f>
        <v/>
      </c>
    </row>
    <row r="771">
      <c r="A771" s="8" t="inlineStr">
        <is>
          <t>CUST-00767</t>
        </is>
      </c>
      <c r="B771" s="8" t="inlineStr">
        <is>
          <t>David Cook</t>
        </is>
      </c>
      <c r="C771" s="8" t="inlineStr">
        <is>
          <t>Male</t>
        </is>
      </c>
      <c r="D771" s="8" t="n">
        <v>43</v>
      </c>
      <c r="E771" s="8">
        <f>IF(D771&lt;25, "18-24", IF(D771&lt;35, "25-34", IF(D771&lt;50, "35-49", "50+")))</f>
        <v/>
      </c>
      <c r="F771" s="8" t="inlineStr">
        <is>
          <t>Mumbai</t>
        </is>
      </c>
      <c r="G771" s="8" t="inlineStr">
        <is>
          <t>Maharashtra</t>
        </is>
      </c>
      <c r="H771" s="8" t="inlineStr">
        <is>
          <t>REG-APAC</t>
        </is>
      </c>
      <c r="I771" s="8" t="inlineStr">
        <is>
          <t>Consumer</t>
        </is>
      </c>
      <c r="J771" s="8" t="inlineStr">
        <is>
          <t>2024-10-25</t>
        </is>
      </c>
      <c r="K771" s="8">
        <f>COUNTIFS('05_Orders'!$C:$C, A771)</f>
        <v/>
      </c>
      <c r="L771" s="9">
        <f>SUMIFS('05_Orders'!$I:$I, '05_Orders'!$C:$C, A771)</f>
        <v/>
      </c>
      <c r="M771" s="8">
        <f>IF(L771&gt;=2000, "Platinum VIP", IF(L771&gt;=1000, "Gold", IF(L771&gt;=500, "Silver", "Standard")))</f>
        <v/>
      </c>
    </row>
    <row r="772">
      <c r="A772" s="8" t="inlineStr">
        <is>
          <t>CUST-00768</t>
        </is>
      </c>
      <c r="B772" s="8" t="inlineStr">
        <is>
          <t>Brandon Jimenez</t>
        </is>
      </c>
      <c r="C772" s="8" t="inlineStr">
        <is>
          <t>Male</t>
        </is>
      </c>
      <c r="D772" s="8" t="n">
        <v>54</v>
      </c>
      <c r="E772" s="8">
        <f>IF(D772&lt;25, "18-24", IF(D772&lt;35, "25-34", IF(D772&lt;50, "35-49", "50+")))</f>
        <v/>
      </c>
      <c r="F772" s="8" t="inlineStr">
        <is>
          <t>Mumbai</t>
        </is>
      </c>
      <c r="G772" s="8" t="inlineStr">
        <is>
          <t>Maharashtra</t>
        </is>
      </c>
      <c r="H772" s="8" t="inlineStr">
        <is>
          <t>REG-APAC</t>
        </is>
      </c>
      <c r="I772" s="8" t="inlineStr">
        <is>
          <t>Consumer</t>
        </is>
      </c>
      <c r="J772" s="8" t="inlineStr">
        <is>
          <t>2023-12-28</t>
        </is>
      </c>
      <c r="K772" s="8">
        <f>COUNTIFS('05_Orders'!$C:$C, A772)</f>
        <v/>
      </c>
      <c r="L772" s="9">
        <f>SUMIFS('05_Orders'!$I:$I, '05_Orders'!$C:$C, A772)</f>
        <v/>
      </c>
      <c r="M772" s="8">
        <f>IF(L772&gt;=2000, "Platinum VIP", IF(L772&gt;=1000, "Gold", IF(L772&gt;=500, "Silver", "Standard")))</f>
        <v/>
      </c>
    </row>
    <row r="773">
      <c r="A773" s="8" t="inlineStr">
        <is>
          <t>CUST-00769</t>
        </is>
      </c>
      <c r="B773" s="8" t="inlineStr">
        <is>
          <t>Deborah Lee</t>
        </is>
      </c>
      <c r="C773" s="8" t="inlineStr">
        <is>
          <t>Male</t>
        </is>
      </c>
      <c r="D773" s="8" t="n">
        <v>61</v>
      </c>
      <c r="E773" s="8">
        <f>IF(D773&lt;25, "18-24", IF(D773&lt;35, "25-34", IF(D773&lt;50, "35-49", "50+")))</f>
        <v/>
      </c>
      <c r="F773" s="8" t="inlineStr">
        <is>
          <t>Denver</t>
        </is>
      </c>
      <c r="G773" s="8" t="inlineStr">
        <is>
          <t>Colorado</t>
        </is>
      </c>
      <c r="H773" s="8" t="inlineStr">
        <is>
          <t>REG-NA</t>
        </is>
      </c>
      <c r="I773" s="8" t="inlineStr">
        <is>
          <t>Consumer</t>
        </is>
      </c>
      <c r="J773" s="8" t="inlineStr">
        <is>
          <t>2025-03-19</t>
        </is>
      </c>
      <c r="K773" s="8">
        <f>COUNTIFS('05_Orders'!$C:$C, A773)</f>
        <v/>
      </c>
      <c r="L773" s="9">
        <f>SUMIFS('05_Orders'!$I:$I, '05_Orders'!$C:$C, A773)</f>
        <v/>
      </c>
      <c r="M773" s="8">
        <f>IF(L773&gt;=2000, "Platinum VIP", IF(L773&gt;=1000, "Gold", IF(L773&gt;=500, "Silver", "Standard")))</f>
        <v/>
      </c>
    </row>
    <row r="774">
      <c r="A774" s="8" t="inlineStr">
        <is>
          <t>CUST-00770</t>
        </is>
      </c>
      <c r="B774" s="8" t="inlineStr">
        <is>
          <t>Margaret Scott</t>
        </is>
      </c>
      <c r="C774" s="8" t="inlineStr">
        <is>
          <t>Male</t>
        </is>
      </c>
      <c r="D774" s="8" t="n">
        <v>43</v>
      </c>
      <c r="E774" s="8">
        <f>IF(D774&lt;25, "18-24", IF(D774&lt;35, "25-34", IF(D774&lt;50, "35-49", "50+")))</f>
        <v/>
      </c>
      <c r="F774" s="8" t="inlineStr">
        <is>
          <t>Boston</t>
        </is>
      </c>
      <c r="G774" s="8" t="inlineStr">
        <is>
          <t>Massachusetts</t>
        </is>
      </c>
      <c r="H774" s="8" t="inlineStr">
        <is>
          <t>REG-NA</t>
        </is>
      </c>
      <c r="I774" s="8" t="inlineStr">
        <is>
          <t>Enterprise</t>
        </is>
      </c>
      <c r="J774" s="8" t="inlineStr">
        <is>
          <t>2023-09-03</t>
        </is>
      </c>
      <c r="K774" s="8">
        <f>COUNTIFS('05_Orders'!$C:$C, A774)</f>
        <v/>
      </c>
      <c r="L774" s="9">
        <f>SUMIFS('05_Orders'!$I:$I, '05_Orders'!$C:$C, A774)</f>
        <v/>
      </c>
      <c r="M774" s="8">
        <f>IF(L774&gt;=2000, "Platinum VIP", IF(L774&gt;=1000, "Gold", IF(L774&gt;=500, "Silver", "Standard")))</f>
        <v/>
      </c>
    </row>
    <row r="775">
      <c r="A775" s="8" t="inlineStr">
        <is>
          <t>CUST-00771</t>
        </is>
      </c>
      <c r="B775" s="8" t="inlineStr">
        <is>
          <t>Steven Price</t>
        </is>
      </c>
      <c r="C775" s="8" t="inlineStr">
        <is>
          <t>Other</t>
        </is>
      </c>
      <c r="D775" s="8" t="n">
        <v>60</v>
      </c>
      <c r="E775" s="8">
        <f>IF(D775&lt;25, "18-24", IF(D775&lt;35, "25-34", IF(D775&lt;50, "35-49", "50+")))</f>
        <v/>
      </c>
      <c r="F775" s="8" t="inlineStr">
        <is>
          <t>Denver</t>
        </is>
      </c>
      <c r="G775" s="8" t="inlineStr">
        <is>
          <t>Colorado</t>
        </is>
      </c>
      <c r="H775" s="8" t="inlineStr">
        <is>
          <t>REG-NA</t>
        </is>
      </c>
      <c r="I775" s="8" t="inlineStr">
        <is>
          <t>Corporate</t>
        </is>
      </c>
      <c r="J775" s="8" t="inlineStr">
        <is>
          <t>2021-05-17</t>
        </is>
      </c>
      <c r="K775" s="8">
        <f>COUNTIFS('05_Orders'!$C:$C, A775)</f>
        <v/>
      </c>
      <c r="L775" s="9">
        <f>SUMIFS('05_Orders'!$I:$I, '05_Orders'!$C:$C, A775)</f>
        <v/>
      </c>
      <c r="M775" s="8">
        <f>IF(L775&gt;=2000, "Platinum VIP", IF(L775&gt;=1000, "Gold", IF(L775&gt;=500, "Silver", "Standard")))</f>
        <v/>
      </c>
    </row>
    <row r="776">
      <c r="A776" s="8" t="inlineStr">
        <is>
          <t>CUST-00772</t>
        </is>
      </c>
      <c r="B776" s="8" t="inlineStr">
        <is>
          <t>Maria Young</t>
        </is>
      </c>
      <c r="C776" s="8" t="inlineStr">
        <is>
          <t>Female</t>
        </is>
      </c>
      <c r="D776" s="8" t="n">
        <v>68</v>
      </c>
      <c r="E776" s="8">
        <f>IF(D776&lt;25, "18-24", IF(D776&lt;35, "25-34", IF(D776&lt;50, "35-49", "50+")))</f>
        <v/>
      </c>
      <c r="F776" s="8" t="inlineStr">
        <is>
          <t>Atlanta</t>
        </is>
      </c>
      <c r="G776" s="8" t="inlineStr">
        <is>
          <t>Georgia</t>
        </is>
      </c>
      <c r="H776" s="8" t="inlineStr">
        <is>
          <t>REG-NA</t>
        </is>
      </c>
      <c r="I776" s="8" t="inlineStr">
        <is>
          <t>Consumer</t>
        </is>
      </c>
      <c r="J776" s="8" t="inlineStr">
        <is>
          <t>2022-02-01</t>
        </is>
      </c>
      <c r="K776" s="8">
        <f>COUNTIFS('05_Orders'!$C:$C, A776)</f>
        <v/>
      </c>
      <c r="L776" s="9">
        <f>SUMIFS('05_Orders'!$I:$I, '05_Orders'!$C:$C, A776)</f>
        <v/>
      </c>
      <c r="M776" s="8">
        <f>IF(L776&gt;=2000, "Platinum VIP", IF(L776&gt;=1000, "Gold", IF(L776&gt;=500, "Silver", "Standard")))</f>
        <v/>
      </c>
    </row>
    <row r="777">
      <c r="A777" s="8" t="inlineStr">
        <is>
          <t>CUST-00773</t>
        </is>
      </c>
      <c r="B777" s="8" t="inlineStr">
        <is>
          <t>Sarah Phillips</t>
        </is>
      </c>
      <c r="C777" s="8" t="inlineStr">
        <is>
          <t>Male</t>
        </is>
      </c>
      <c r="D777" s="8" t="n">
        <v>64</v>
      </c>
      <c r="E777" s="8">
        <f>IF(D777&lt;25, "18-24", IF(D777&lt;35, "25-34", IF(D777&lt;50, "35-49", "50+")))</f>
        <v/>
      </c>
      <c r="F777" s="8" t="inlineStr">
        <is>
          <t>Osaka</t>
        </is>
      </c>
      <c r="G777" s="8" t="inlineStr">
        <is>
          <t>Kansai</t>
        </is>
      </c>
      <c r="H777" s="8" t="inlineStr">
        <is>
          <t>REG-APAC</t>
        </is>
      </c>
      <c r="I777" s="8" t="inlineStr">
        <is>
          <t>Consumer</t>
        </is>
      </c>
      <c r="J777" s="8" t="inlineStr">
        <is>
          <t>2021-10-19</t>
        </is>
      </c>
      <c r="K777" s="8">
        <f>COUNTIFS('05_Orders'!$C:$C, A777)</f>
        <v/>
      </c>
      <c r="L777" s="9">
        <f>SUMIFS('05_Orders'!$I:$I, '05_Orders'!$C:$C, A777)</f>
        <v/>
      </c>
      <c r="M777" s="8">
        <f>IF(L777&gt;=2000, "Platinum VIP", IF(L777&gt;=1000, "Gold", IF(L777&gt;=500, "Silver", "Standard")))</f>
        <v/>
      </c>
    </row>
    <row r="778">
      <c r="A778" s="8" t="inlineStr">
        <is>
          <t>CUST-00774</t>
        </is>
      </c>
      <c r="B778" s="8" t="inlineStr">
        <is>
          <t>Michelle Ortiz</t>
        </is>
      </c>
      <c r="C778" s="8" t="inlineStr">
        <is>
          <t>Male</t>
        </is>
      </c>
      <c r="D778" s="8" t="n">
        <v>67</v>
      </c>
      <c r="E778" s="8">
        <f>IF(D778&lt;25, "18-24", IF(D778&lt;35, "25-34", IF(D778&lt;50, "35-49", "50+")))</f>
        <v/>
      </c>
      <c r="F778" s="8" t="inlineStr">
        <is>
          <t>Madrid</t>
        </is>
      </c>
      <c r="G778" s="8" t="inlineStr">
        <is>
          <t>Community of Madrid</t>
        </is>
      </c>
      <c r="H778" s="8" t="inlineStr">
        <is>
          <t>REG-EU</t>
        </is>
      </c>
      <c r="I778" s="8" t="inlineStr">
        <is>
          <t>Consumer</t>
        </is>
      </c>
      <c r="J778" s="8" t="inlineStr">
        <is>
          <t>2023-06-17</t>
        </is>
      </c>
      <c r="K778" s="8">
        <f>COUNTIFS('05_Orders'!$C:$C, A778)</f>
        <v/>
      </c>
      <c r="L778" s="9">
        <f>SUMIFS('05_Orders'!$I:$I, '05_Orders'!$C:$C, A778)</f>
        <v/>
      </c>
      <c r="M778" s="8">
        <f>IF(L778&gt;=2000, "Platinum VIP", IF(L778&gt;=1000, "Gold", IF(L778&gt;=500, "Silver", "Standard")))</f>
        <v/>
      </c>
    </row>
    <row r="779">
      <c r="A779" s="8" t="inlineStr">
        <is>
          <t>CUST-00775</t>
        </is>
      </c>
      <c r="B779" s="8" t="inlineStr">
        <is>
          <t>Elizabeth Long</t>
        </is>
      </c>
      <c r="C779" s="8" t="inlineStr">
        <is>
          <t>Other</t>
        </is>
      </c>
      <c r="D779" s="8" t="n">
        <v>39</v>
      </c>
      <c r="E779" s="8">
        <f>IF(D779&lt;25, "18-24", IF(D779&lt;35, "25-34", IF(D779&lt;50, "35-49", "50+")))</f>
        <v/>
      </c>
      <c r="F779" s="8" t="inlineStr">
        <is>
          <t>Singapore</t>
        </is>
      </c>
      <c r="G779" s="8" t="inlineStr">
        <is>
          <t>Central</t>
        </is>
      </c>
      <c r="H779" s="8" t="inlineStr">
        <is>
          <t>REG-APAC</t>
        </is>
      </c>
      <c r="I779" s="8" t="inlineStr">
        <is>
          <t>Consumer</t>
        </is>
      </c>
      <c r="J779" s="8" t="inlineStr">
        <is>
          <t>2022-06-08</t>
        </is>
      </c>
      <c r="K779" s="8">
        <f>COUNTIFS('05_Orders'!$C:$C, A779)</f>
        <v/>
      </c>
      <c r="L779" s="9">
        <f>SUMIFS('05_Orders'!$I:$I, '05_Orders'!$C:$C, A779)</f>
        <v/>
      </c>
      <c r="M779" s="8">
        <f>IF(L779&gt;=2000, "Platinum VIP", IF(L779&gt;=1000, "Gold", IF(L779&gt;=500, "Silver", "Standard")))</f>
        <v/>
      </c>
    </row>
    <row r="780">
      <c r="A780" s="8" t="inlineStr">
        <is>
          <t>CUST-00776</t>
        </is>
      </c>
      <c r="B780" s="8" t="inlineStr">
        <is>
          <t>Raymond Morales</t>
        </is>
      </c>
      <c r="C780" s="8" t="inlineStr">
        <is>
          <t>Female</t>
        </is>
      </c>
      <c r="D780" s="8" t="n">
        <v>32</v>
      </c>
      <c r="E780" s="8">
        <f>IF(D780&lt;25, "18-24", IF(D780&lt;35, "25-34", IF(D780&lt;50, "35-49", "50+")))</f>
        <v/>
      </c>
      <c r="F780" s="8" t="inlineStr">
        <is>
          <t>Manchester</t>
        </is>
      </c>
      <c r="G780" s="8" t="inlineStr">
        <is>
          <t>Greater Manchester</t>
        </is>
      </c>
      <c r="H780" s="8" t="inlineStr">
        <is>
          <t>REG-EU</t>
        </is>
      </c>
      <c r="I780" s="8" t="inlineStr">
        <is>
          <t>Enterprise</t>
        </is>
      </c>
      <c r="J780" s="8" t="inlineStr">
        <is>
          <t>2024-05-20</t>
        </is>
      </c>
      <c r="K780" s="8">
        <f>COUNTIFS('05_Orders'!$C:$C, A780)</f>
        <v/>
      </c>
      <c r="L780" s="9">
        <f>SUMIFS('05_Orders'!$I:$I, '05_Orders'!$C:$C, A780)</f>
        <v/>
      </c>
      <c r="M780" s="8">
        <f>IF(L780&gt;=2000, "Platinum VIP", IF(L780&gt;=1000, "Gold", IF(L780&gt;=500, "Silver", "Standard")))</f>
        <v/>
      </c>
    </row>
    <row r="781">
      <c r="A781" s="8" t="inlineStr">
        <is>
          <t>CUST-00777</t>
        </is>
      </c>
      <c r="B781" s="8" t="inlineStr">
        <is>
          <t>Shirley Hughes</t>
        </is>
      </c>
      <c r="C781" s="8" t="inlineStr">
        <is>
          <t>Female</t>
        </is>
      </c>
      <c r="D781" s="8" t="n">
        <v>44</v>
      </c>
      <c r="E781" s="8">
        <f>IF(D781&lt;25, "18-24", IF(D781&lt;35, "25-34", IF(D781&lt;50, "35-49", "50+")))</f>
        <v/>
      </c>
      <c r="F781" s="8" t="inlineStr">
        <is>
          <t>Los Angeles</t>
        </is>
      </c>
      <c r="G781" s="8" t="inlineStr">
        <is>
          <t>California</t>
        </is>
      </c>
      <c r="H781" s="8" t="inlineStr">
        <is>
          <t>REG-NA</t>
        </is>
      </c>
      <c r="I781" s="8" t="inlineStr">
        <is>
          <t>Home Office</t>
        </is>
      </c>
      <c r="J781" s="8" t="inlineStr">
        <is>
          <t>2022-07-28</t>
        </is>
      </c>
      <c r="K781" s="8">
        <f>COUNTIFS('05_Orders'!$C:$C, A781)</f>
        <v/>
      </c>
      <c r="L781" s="9">
        <f>SUMIFS('05_Orders'!$I:$I, '05_Orders'!$C:$C, A781)</f>
        <v/>
      </c>
      <c r="M781" s="8">
        <f>IF(L781&gt;=2000, "Platinum VIP", IF(L781&gt;=1000, "Gold", IF(L781&gt;=500, "Silver", "Standard")))</f>
        <v/>
      </c>
    </row>
    <row r="782">
      <c r="A782" s="8" t="inlineStr">
        <is>
          <t>CUST-00778</t>
        </is>
      </c>
      <c r="B782" s="8" t="inlineStr">
        <is>
          <t>Brian Turner</t>
        </is>
      </c>
      <c r="C782" s="8" t="inlineStr">
        <is>
          <t>Other</t>
        </is>
      </c>
      <c r="D782" s="8" t="n">
        <v>71</v>
      </c>
      <c r="E782" s="8">
        <f>IF(D782&lt;25, "18-24", IF(D782&lt;35, "25-34", IF(D782&lt;50, "35-49", "50+")))</f>
        <v/>
      </c>
      <c r="F782" s="8" t="inlineStr">
        <is>
          <t>Seattle</t>
        </is>
      </c>
      <c r="G782" s="8" t="inlineStr">
        <is>
          <t>Washington</t>
        </is>
      </c>
      <c r="H782" s="8" t="inlineStr">
        <is>
          <t>REG-NA</t>
        </is>
      </c>
      <c r="I782" s="8" t="inlineStr">
        <is>
          <t>Consumer</t>
        </is>
      </c>
      <c r="J782" s="8" t="inlineStr">
        <is>
          <t>2021-07-27</t>
        </is>
      </c>
      <c r="K782" s="8">
        <f>COUNTIFS('05_Orders'!$C:$C, A782)</f>
        <v/>
      </c>
      <c r="L782" s="9">
        <f>SUMIFS('05_Orders'!$I:$I, '05_Orders'!$C:$C, A782)</f>
        <v/>
      </c>
      <c r="M782" s="8">
        <f>IF(L782&gt;=2000, "Platinum VIP", IF(L782&gt;=1000, "Gold", IF(L782&gt;=500, "Silver", "Standard")))</f>
        <v/>
      </c>
    </row>
    <row r="783">
      <c r="A783" s="8" t="inlineStr">
        <is>
          <t>CUST-00779</t>
        </is>
      </c>
      <c r="B783" s="8" t="inlineStr">
        <is>
          <t>Sharon Bennett</t>
        </is>
      </c>
      <c r="C783" s="8" t="inlineStr">
        <is>
          <t>Female</t>
        </is>
      </c>
      <c r="D783" s="8" t="n">
        <v>24</v>
      </c>
      <c r="E783" s="8">
        <f>IF(D783&lt;25, "18-24", IF(D783&lt;35, "25-34", IF(D783&lt;50, "35-49", "50+")))</f>
        <v/>
      </c>
      <c r="F783" s="8" t="inlineStr">
        <is>
          <t>Lima</t>
        </is>
      </c>
      <c r="G783" s="8" t="inlineStr">
        <is>
          <t>Lima Province</t>
        </is>
      </c>
      <c r="H783" s="8" t="inlineStr">
        <is>
          <t>REG-LATAM</t>
        </is>
      </c>
      <c r="I783" s="8" t="inlineStr">
        <is>
          <t>Corporate</t>
        </is>
      </c>
      <c r="J783" s="8" t="inlineStr">
        <is>
          <t>2024-03-04</t>
        </is>
      </c>
      <c r="K783" s="8">
        <f>COUNTIFS('05_Orders'!$C:$C, A783)</f>
        <v/>
      </c>
      <c r="L783" s="9">
        <f>SUMIFS('05_Orders'!$I:$I, '05_Orders'!$C:$C, A783)</f>
        <v/>
      </c>
      <c r="M783" s="8">
        <f>IF(L783&gt;=2000, "Platinum VIP", IF(L783&gt;=1000, "Gold", IF(L783&gt;=500, "Silver", "Standard")))</f>
        <v/>
      </c>
    </row>
    <row r="784">
      <c r="A784" s="8" t="inlineStr">
        <is>
          <t>CUST-00780</t>
        </is>
      </c>
      <c r="B784" s="8" t="inlineStr">
        <is>
          <t>Emma Wilson</t>
        </is>
      </c>
      <c r="C784" s="8" t="inlineStr">
        <is>
          <t>Other</t>
        </is>
      </c>
      <c r="D784" s="8" t="n">
        <v>71</v>
      </c>
      <c r="E784" s="8">
        <f>IF(D784&lt;25, "18-24", IF(D784&lt;35, "25-34", IF(D784&lt;50, "35-49", "50+")))</f>
        <v/>
      </c>
      <c r="F784" s="8" t="inlineStr">
        <is>
          <t>Tokyo</t>
        </is>
      </c>
      <c r="G784" s="8" t="inlineStr">
        <is>
          <t>Kanto</t>
        </is>
      </c>
      <c r="H784" s="8" t="inlineStr">
        <is>
          <t>REG-APAC</t>
        </is>
      </c>
      <c r="I784" s="8" t="inlineStr">
        <is>
          <t>Corporate</t>
        </is>
      </c>
      <c r="J784" s="8" t="inlineStr">
        <is>
          <t>2021-08-29</t>
        </is>
      </c>
      <c r="K784" s="8">
        <f>COUNTIFS('05_Orders'!$C:$C, A784)</f>
        <v/>
      </c>
      <c r="L784" s="9">
        <f>SUMIFS('05_Orders'!$I:$I, '05_Orders'!$C:$C, A784)</f>
        <v/>
      </c>
      <c r="M784" s="8">
        <f>IF(L784&gt;=2000, "Platinum VIP", IF(L784&gt;=1000, "Gold", IF(L784&gt;=500, "Silver", "Standard")))</f>
        <v/>
      </c>
    </row>
    <row r="785">
      <c r="A785" s="8" t="inlineStr">
        <is>
          <t>CUST-00781</t>
        </is>
      </c>
      <c r="B785" s="8" t="inlineStr">
        <is>
          <t>Emma Turner</t>
        </is>
      </c>
      <c r="C785" s="8" t="inlineStr">
        <is>
          <t>Female</t>
        </is>
      </c>
      <c r="D785" s="8" t="n">
        <v>63</v>
      </c>
      <c r="E785" s="8">
        <f>IF(D785&lt;25, "18-24", IF(D785&lt;35, "25-34", IF(D785&lt;50, "35-49", "50+")))</f>
        <v/>
      </c>
      <c r="F785" s="8" t="inlineStr">
        <is>
          <t>Hong Kong</t>
        </is>
      </c>
      <c r="G785" s="8" t="inlineStr">
        <is>
          <t>Hong Kong</t>
        </is>
      </c>
      <c r="H785" s="8" t="inlineStr">
        <is>
          <t>REG-APAC</t>
        </is>
      </c>
      <c r="I785" s="8" t="inlineStr">
        <is>
          <t>Corporate</t>
        </is>
      </c>
      <c r="J785" s="8" t="inlineStr">
        <is>
          <t>2023-06-21</t>
        </is>
      </c>
      <c r="K785" s="8">
        <f>COUNTIFS('05_Orders'!$C:$C, A785)</f>
        <v/>
      </c>
      <c r="L785" s="9">
        <f>SUMIFS('05_Orders'!$I:$I, '05_Orders'!$C:$C, A785)</f>
        <v/>
      </c>
      <c r="M785" s="8">
        <f>IF(L785&gt;=2000, "Platinum VIP", IF(L785&gt;=1000, "Gold", IF(L785&gt;=500, "Silver", "Standard")))</f>
        <v/>
      </c>
    </row>
    <row r="786">
      <c r="A786" s="8" t="inlineStr">
        <is>
          <t>CUST-00782</t>
        </is>
      </c>
      <c r="B786" s="8" t="inlineStr">
        <is>
          <t>Samuel Myers</t>
        </is>
      </c>
      <c r="C786" s="8" t="inlineStr">
        <is>
          <t>Female</t>
        </is>
      </c>
      <c r="D786" s="8" t="n">
        <v>60</v>
      </c>
      <c r="E786" s="8">
        <f>IF(D786&lt;25, "18-24", IF(D786&lt;35, "25-34", IF(D786&lt;50, "35-49", "50+")))</f>
        <v/>
      </c>
      <c r="F786" s="8" t="inlineStr">
        <is>
          <t>Guadalajara</t>
        </is>
      </c>
      <c r="G786" s="8" t="inlineStr">
        <is>
          <t>Jalisco</t>
        </is>
      </c>
      <c r="H786" s="8" t="inlineStr">
        <is>
          <t>REG-LATAM</t>
        </is>
      </c>
      <c r="I786" s="8" t="inlineStr">
        <is>
          <t>Corporate</t>
        </is>
      </c>
      <c r="J786" s="8" t="inlineStr">
        <is>
          <t>2021-02-19</t>
        </is>
      </c>
      <c r="K786" s="8">
        <f>COUNTIFS('05_Orders'!$C:$C, A786)</f>
        <v/>
      </c>
      <c r="L786" s="9">
        <f>SUMIFS('05_Orders'!$I:$I, '05_Orders'!$C:$C, A786)</f>
        <v/>
      </c>
      <c r="M786" s="8">
        <f>IF(L786&gt;=2000, "Platinum VIP", IF(L786&gt;=1000, "Gold", IF(L786&gt;=500, "Silver", "Standard")))</f>
        <v/>
      </c>
    </row>
    <row r="787">
      <c r="A787" s="8" t="inlineStr">
        <is>
          <t>CUST-00783</t>
        </is>
      </c>
      <c r="B787" s="8" t="inlineStr">
        <is>
          <t>Patricia Sanders</t>
        </is>
      </c>
      <c r="C787" s="8" t="inlineStr">
        <is>
          <t>Female</t>
        </is>
      </c>
      <c r="D787" s="8" t="n">
        <v>72</v>
      </c>
      <c r="E787" s="8">
        <f>IF(D787&lt;25, "18-24", IF(D787&lt;35, "25-34", IF(D787&lt;50, "35-49", "50+")))</f>
        <v/>
      </c>
      <c r="F787" s="8" t="inlineStr">
        <is>
          <t>Hong Kong</t>
        </is>
      </c>
      <c r="G787" s="8" t="inlineStr">
        <is>
          <t>Hong Kong</t>
        </is>
      </c>
      <c r="H787" s="8" t="inlineStr">
        <is>
          <t>REG-APAC</t>
        </is>
      </c>
      <c r="I787" s="8" t="inlineStr">
        <is>
          <t>Home Office</t>
        </is>
      </c>
      <c r="J787" s="8" t="inlineStr">
        <is>
          <t>2022-12-06</t>
        </is>
      </c>
      <c r="K787" s="8">
        <f>COUNTIFS('05_Orders'!$C:$C, A787)</f>
        <v/>
      </c>
      <c r="L787" s="9">
        <f>SUMIFS('05_Orders'!$I:$I, '05_Orders'!$C:$C, A787)</f>
        <v/>
      </c>
      <c r="M787" s="8">
        <f>IF(L787&gt;=2000, "Platinum VIP", IF(L787&gt;=1000, "Gold", IF(L787&gt;=500, "Silver", "Standard")))</f>
        <v/>
      </c>
    </row>
    <row r="788">
      <c r="A788" s="8" t="inlineStr">
        <is>
          <t>CUST-00784</t>
        </is>
      </c>
      <c r="B788" s="8" t="inlineStr">
        <is>
          <t>Carol Collins</t>
        </is>
      </c>
      <c r="C788" s="8" t="inlineStr">
        <is>
          <t>Other</t>
        </is>
      </c>
      <c r="D788" s="8" t="n">
        <v>58</v>
      </c>
      <c r="E788" s="8">
        <f>IF(D788&lt;25, "18-24", IF(D788&lt;35, "25-34", IF(D788&lt;50, "35-49", "50+")))</f>
        <v/>
      </c>
      <c r="F788" s="8" t="inlineStr">
        <is>
          <t>Chicago</t>
        </is>
      </c>
      <c r="G788" s="8" t="inlineStr">
        <is>
          <t>Illinois</t>
        </is>
      </c>
      <c r="H788" s="8" t="inlineStr">
        <is>
          <t>REG-NA</t>
        </is>
      </c>
      <c r="I788" s="8" t="inlineStr">
        <is>
          <t>Consumer</t>
        </is>
      </c>
      <c r="J788" s="8" t="inlineStr">
        <is>
          <t>2025-04-28</t>
        </is>
      </c>
      <c r="K788" s="8">
        <f>COUNTIFS('05_Orders'!$C:$C, A788)</f>
        <v/>
      </c>
      <c r="L788" s="9">
        <f>SUMIFS('05_Orders'!$I:$I, '05_Orders'!$C:$C, A788)</f>
        <v/>
      </c>
      <c r="M788" s="8">
        <f>IF(L788&gt;=2000, "Platinum VIP", IF(L788&gt;=1000, "Gold", IF(L788&gt;=500, "Silver", "Standard")))</f>
        <v/>
      </c>
    </row>
    <row r="789">
      <c r="A789" s="8" t="inlineStr">
        <is>
          <t>CUST-00785</t>
        </is>
      </c>
      <c r="B789" s="8" t="inlineStr">
        <is>
          <t>Heather Thompson</t>
        </is>
      </c>
      <c r="C789" s="8" t="inlineStr">
        <is>
          <t>Female</t>
        </is>
      </c>
      <c r="D789" s="8" t="n">
        <v>72</v>
      </c>
      <c r="E789" s="8">
        <f>IF(D789&lt;25, "18-24", IF(D789&lt;35, "25-34", IF(D789&lt;50, "35-49", "50+")))</f>
        <v/>
      </c>
      <c r="F789" s="8" t="inlineStr">
        <is>
          <t>Seattle</t>
        </is>
      </c>
      <c r="G789" s="8" t="inlineStr">
        <is>
          <t>Washington</t>
        </is>
      </c>
      <c r="H789" s="8" t="inlineStr">
        <is>
          <t>REG-NA</t>
        </is>
      </c>
      <c r="I789" s="8" t="inlineStr">
        <is>
          <t>Corporate</t>
        </is>
      </c>
      <c r="J789" s="8" t="inlineStr">
        <is>
          <t>2025-02-24</t>
        </is>
      </c>
      <c r="K789" s="8">
        <f>COUNTIFS('05_Orders'!$C:$C, A789)</f>
        <v/>
      </c>
      <c r="L789" s="9">
        <f>SUMIFS('05_Orders'!$I:$I, '05_Orders'!$C:$C, A789)</f>
        <v/>
      </c>
      <c r="M789" s="8">
        <f>IF(L789&gt;=2000, "Platinum VIP", IF(L789&gt;=1000, "Gold", IF(L789&gt;=500, "Silver", "Standard")))</f>
        <v/>
      </c>
    </row>
    <row r="790">
      <c r="A790" s="8" t="inlineStr">
        <is>
          <t>CUST-00786</t>
        </is>
      </c>
      <c r="B790" s="8" t="inlineStr">
        <is>
          <t>Jack Lopez</t>
        </is>
      </c>
      <c r="C790" s="8" t="inlineStr">
        <is>
          <t>Other</t>
        </is>
      </c>
      <c r="D790" s="8" t="n">
        <v>43</v>
      </c>
      <c r="E790" s="8">
        <f>IF(D790&lt;25, "18-24", IF(D790&lt;35, "25-34", IF(D790&lt;50, "35-49", "50+")))</f>
        <v/>
      </c>
      <c r="F790" s="8" t="inlineStr">
        <is>
          <t>Toronto</t>
        </is>
      </c>
      <c r="G790" s="8" t="inlineStr">
        <is>
          <t>Ontario</t>
        </is>
      </c>
      <c r="H790" s="8" t="inlineStr">
        <is>
          <t>REG-NA</t>
        </is>
      </c>
      <c r="I790" s="8" t="inlineStr">
        <is>
          <t>Corporate</t>
        </is>
      </c>
      <c r="J790" s="8" t="inlineStr">
        <is>
          <t>2025-03-30</t>
        </is>
      </c>
      <c r="K790" s="8">
        <f>COUNTIFS('05_Orders'!$C:$C, A790)</f>
        <v/>
      </c>
      <c r="L790" s="9">
        <f>SUMIFS('05_Orders'!$I:$I, '05_Orders'!$C:$C, A790)</f>
        <v/>
      </c>
      <c r="M790" s="8">
        <f>IF(L790&gt;=2000, "Platinum VIP", IF(L790&gt;=1000, "Gold", IF(L790&gt;=500, "Silver", "Standard")))</f>
        <v/>
      </c>
    </row>
    <row r="791">
      <c r="A791" s="8" t="inlineStr">
        <is>
          <t>CUST-00787</t>
        </is>
      </c>
      <c r="B791" s="8" t="inlineStr">
        <is>
          <t>Ryan Campbell</t>
        </is>
      </c>
      <c r="C791" s="8" t="inlineStr">
        <is>
          <t>Male</t>
        </is>
      </c>
      <c r="D791" s="8" t="n">
        <v>28</v>
      </c>
      <c r="E791" s="8">
        <f>IF(D791&lt;25, "18-24", IF(D791&lt;35, "25-34", IF(D791&lt;50, "35-49", "50+")))</f>
        <v/>
      </c>
      <c r="F791" s="8" t="inlineStr">
        <is>
          <t>Los Angeles</t>
        </is>
      </c>
      <c r="G791" s="8" t="inlineStr">
        <is>
          <t>California</t>
        </is>
      </c>
      <c r="H791" s="8" t="inlineStr">
        <is>
          <t>REG-NA</t>
        </is>
      </c>
      <c r="I791" s="8" t="inlineStr">
        <is>
          <t>Consumer</t>
        </is>
      </c>
      <c r="J791" s="8" t="inlineStr">
        <is>
          <t>2022-09-28</t>
        </is>
      </c>
      <c r="K791" s="8">
        <f>COUNTIFS('05_Orders'!$C:$C, A791)</f>
        <v/>
      </c>
      <c r="L791" s="9">
        <f>SUMIFS('05_Orders'!$I:$I, '05_Orders'!$C:$C, A791)</f>
        <v/>
      </c>
      <c r="M791" s="8">
        <f>IF(L791&gt;=2000, "Platinum VIP", IF(L791&gt;=1000, "Gold", IF(L791&gt;=500, "Silver", "Standard")))</f>
        <v/>
      </c>
    </row>
    <row r="792">
      <c r="A792" s="8" t="inlineStr">
        <is>
          <t>CUST-00788</t>
        </is>
      </c>
      <c r="B792" s="8" t="inlineStr">
        <is>
          <t>Stephen Thompson</t>
        </is>
      </c>
      <c r="C792" s="8" t="inlineStr">
        <is>
          <t>Female</t>
        </is>
      </c>
      <c r="D792" s="8" t="n">
        <v>57</v>
      </c>
      <c r="E792" s="8">
        <f>IF(D792&lt;25, "18-24", IF(D792&lt;35, "25-34", IF(D792&lt;50, "35-49", "50+")))</f>
        <v/>
      </c>
      <c r="F792" s="8" t="inlineStr">
        <is>
          <t>Munich</t>
        </is>
      </c>
      <c r="G792" s="8" t="inlineStr">
        <is>
          <t>Bavaria</t>
        </is>
      </c>
      <c r="H792" s="8" t="inlineStr">
        <is>
          <t>REG-EU</t>
        </is>
      </c>
      <c r="I792" s="8" t="inlineStr">
        <is>
          <t>Consumer</t>
        </is>
      </c>
      <c r="J792" s="8" t="inlineStr">
        <is>
          <t>2024-12-28</t>
        </is>
      </c>
      <c r="K792" s="8">
        <f>COUNTIFS('05_Orders'!$C:$C, A792)</f>
        <v/>
      </c>
      <c r="L792" s="9">
        <f>SUMIFS('05_Orders'!$I:$I, '05_Orders'!$C:$C, A792)</f>
        <v/>
      </c>
      <c r="M792" s="8">
        <f>IF(L792&gt;=2000, "Platinum VIP", IF(L792&gt;=1000, "Gold", IF(L792&gt;=500, "Silver", "Standard")))</f>
        <v/>
      </c>
    </row>
    <row r="793">
      <c r="A793" s="8" t="inlineStr">
        <is>
          <t>CUST-00789</t>
        </is>
      </c>
      <c r="B793" s="8" t="inlineStr">
        <is>
          <t>Carolyn Baker</t>
        </is>
      </c>
      <c r="C793" s="8" t="inlineStr">
        <is>
          <t>Other</t>
        </is>
      </c>
      <c r="D793" s="8" t="n">
        <v>40</v>
      </c>
      <c r="E793" s="8">
        <f>IF(D793&lt;25, "18-24", IF(D793&lt;35, "25-34", IF(D793&lt;50, "35-49", "50+")))</f>
        <v/>
      </c>
      <c r="F793" s="8" t="inlineStr">
        <is>
          <t>Atlanta</t>
        </is>
      </c>
      <c r="G793" s="8" t="inlineStr">
        <is>
          <t>Georgia</t>
        </is>
      </c>
      <c r="H793" s="8" t="inlineStr">
        <is>
          <t>REG-NA</t>
        </is>
      </c>
      <c r="I793" s="8" t="inlineStr">
        <is>
          <t>Consumer</t>
        </is>
      </c>
      <c r="J793" s="8" t="inlineStr">
        <is>
          <t>2025-02-16</t>
        </is>
      </c>
      <c r="K793" s="8">
        <f>COUNTIFS('05_Orders'!$C:$C, A793)</f>
        <v/>
      </c>
      <c r="L793" s="9">
        <f>SUMIFS('05_Orders'!$I:$I, '05_Orders'!$C:$C, A793)</f>
        <v/>
      </c>
      <c r="M793" s="8">
        <f>IF(L793&gt;=2000, "Platinum VIP", IF(L793&gt;=1000, "Gold", IF(L793&gt;=500, "Silver", "Standard")))</f>
        <v/>
      </c>
    </row>
    <row r="794">
      <c r="A794" s="8" t="inlineStr">
        <is>
          <t>CUST-00790</t>
        </is>
      </c>
      <c r="B794" s="8" t="inlineStr">
        <is>
          <t>David Adams</t>
        </is>
      </c>
      <c r="C794" s="8" t="inlineStr">
        <is>
          <t>Male</t>
        </is>
      </c>
      <c r="D794" s="8" t="n">
        <v>46</v>
      </c>
      <c r="E794" s="8">
        <f>IF(D794&lt;25, "18-24", IF(D794&lt;35, "25-34", IF(D794&lt;50, "35-49", "50+")))</f>
        <v/>
      </c>
      <c r="F794" s="8" t="inlineStr">
        <is>
          <t>Sydney</t>
        </is>
      </c>
      <c r="G794" s="8" t="inlineStr">
        <is>
          <t>New South Wales</t>
        </is>
      </c>
      <c r="H794" s="8" t="inlineStr">
        <is>
          <t>REG-APAC</t>
        </is>
      </c>
      <c r="I794" s="8" t="inlineStr">
        <is>
          <t>Corporate</t>
        </is>
      </c>
      <c r="J794" s="8" t="inlineStr">
        <is>
          <t>2024-09-29</t>
        </is>
      </c>
      <c r="K794" s="8">
        <f>COUNTIFS('05_Orders'!$C:$C, A794)</f>
        <v/>
      </c>
      <c r="L794" s="9">
        <f>SUMIFS('05_Orders'!$I:$I, '05_Orders'!$C:$C, A794)</f>
        <v/>
      </c>
      <c r="M794" s="8">
        <f>IF(L794&gt;=2000, "Platinum VIP", IF(L794&gt;=1000, "Gold", IF(L794&gt;=500, "Silver", "Standard")))</f>
        <v/>
      </c>
    </row>
    <row r="795">
      <c r="A795" s="8" t="inlineStr">
        <is>
          <t>CUST-00791</t>
        </is>
      </c>
      <c r="B795" s="8" t="inlineStr">
        <is>
          <t>Mark Young</t>
        </is>
      </c>
      <c r="C795" s="8" t="inlineStr">
        <is>
          <t>Male</t>
        </is>
      </c>
      <c r="D795" s="8" t="n">
        <v>46</v>
      </c>
      <c r="E795" s="8">
        <f>IF(D795&lt;25, "18-24", IF(D795&lt;35, "25-34", IF(D795&lt;50, "35-49", "50+")))</f>
        <v/>
      </c>
      <c r="F795" s="8" t="inlineStr">
        <is>
          <t>Munich</t>
        </is>
      </c>
      <c r="G795" s="8" t="inlineStr">
        <is>
          <t>Bavaria</t>
        </is>
      </c>
      <c r="H795" s="8" t="inlineStr">
        <is>
          <t>REG-EU</t>
        </is>
      </c>
      <c r="I795" s="8" t="inlineStr">
        <is>
          <t>Consumer</t>
        </is>
      </c>
      <c r="J795" s="8" t="inlineStr">
        <is>
          <t>2022-08-31</t>
        </is>
      </c>
      <c r="K795" s="8">
        <f>COUNTIFS('05_Orders'!$C:$C, A795)</f>
        <v/>
      </c>
      <c r="L795" s="9">
        <f>SUMIFS('05_Orders'!$I:$I, '05_Orders'!$C:$C, A795)</f>
        <v/>
      </c>
      <c r="M795" s="8">
        <f>IF(L795&gt;=2000, "Platinum VIP", IF(L795&gt;=1000, "Gold", IF(L795&gt;=500, "Silver", "Standard")))</f>
        <v/>
      </c>
    </row>
    <row r="796">
      <c r="A796" s="8" t="inlineStr">
        <is>
          <t>CUST-00792</t>
        </is>
      </c>
      <c r="B796" s="8" t="inlineStr">
        <is>
          <t>Laura Bailey</t>
        </is>
      </c>
      <c r="C796" s="8" t="inlineStr">
        <is>
          <t>Other</t>
        </is>
      </c>
      <c r="D796" s="8" t="n">
        <v>54</v>
      </c>
      <c r="E796" s="8">
        <f>IF(D796&lt;25, "18-24", IF(D796&lt;35, "25-34", IF(D796&lt;50, "35-49", "50+")))</f>
        <v/>
      </c>
      <c r="F796" s="8" t="inlineStr">
        <is>
          <t>Chicago</t>
        </is>
      </c>
      <c r="G796" s="8" t="inlineStr">
        <is>
          <t>Illinois</t>
        </is>
      </c>
      <c r="H796" s="8" t="inlineStr">
        <is>
          <t>REG-NA</t>
        </is>
      </c>
      <c r="I796" s="8" t="inlineStr">
        <is>
          <t>Home Office</t>
        </is>
      </c>
      <c r="J796" s="8" t="inlineStr">
        <is>
          <t>2024-04-04</t>
        </is>
      </c>
      <c r="K796" s="8">
        <f>COUNTIFS('05_Orders'!$C:$C, A796)</f>
        <v/>
      </c>
      <c r="L796" s="9">
        <f>SUMIFS('05_Orders'!$I:$I, '05_Orders'!$C:$C, A796)</f>
        <v/>
      </c>
      <c r="M796" s="8">
        <f>IF(L796&gt;=2000, "Platinum VIP", IF(L796&gt;=1000, "Gold", IF(L796&gt;=500, "Silver", "Standard")))</f>
        <v/>
      </c>
    </row>
    <row r="797">
      <c r="A797" s="8" t="inlineStr">
        <is>
          <t>CUST-00793</t>
        </is>
      </c>
      <c r="B797" s="8" t="inlineStr">
        <is>
          <t>Kimberly Price</t>
        </is>
      </c>
      <c r="C797" s="8" t="inlineStr">
        <is>
          <t>Female</t>
        </is>
      </c>
      <c r="D797" s="8" t="n">
        <v>69</v>
      </c>
      <c r="E797" s="8">
        <f>IF(D797&lt;25, "18-24", IF(D797&lt;35, "25-34", IF(D797&lt;50, "35-49", "50+")))</f>
        <v/>
      </c>
      <c r="F797" s="8" t="inlineStr">
        <is>
          <t>Seoul</t>
        </is>
      </c>
      <c r="G797" s="8" t="inlineStr">
        <is>
          <t>Gyeonggi</t>
        </is>
      </c>
      <c r="H797" s="8" t="inlineStr">
        <is>
          <t>REG-APAC</t>
        </is>
      </c>
      <c r="I797" s="8" t="inlineStr">
        <is>
          <t>Consumer</t>
        </is>
      </c>
      <c r="J797" s="8" t="inlineStr">
        <is>
          <t>2022-04-26</t>
        </is>
      </c>
      <c r="K797" s="8">
        <f>COUNTIFS('05_Orders'!$C:$C, A797)</f>
        <v/>
      </c>
      <c r="L797" s="9">
        <f>SUMIFS('05_Orders'!$I:$I, '05_Orders'!$C:$C, A797)</f>
        <v/>
      </c>
      <c r="M797" s="8">
        <f>IF(L797&gt;=2000, "Platinum VIP", IF(L797&gt;=1000, "Gold", IF(L797&gt;=500, "Silver", "Standard")))</f>
        <v/>
      </c>
    </row>
    <row r="798">
      <c r="A798" s="8" t="inlineStr">
        <is>
          <t>CUST-00794</t>
        </is>
      </c>
      <c r="B798" s="8" t="inlineStr">
        <is>
          <t>Catherine Young</t>
        </is>
      </c>
      <c r="C798" s="8" t="inlineStr">
        <is>
          <t>Other</t>
        </is>
      </c>
      <c r="D798" s="8" t="n">
        <v>55</v>
      </c>
      <c r="E798" s="8">
        <f>IF(D798&lt;25, "18-24", IF(D798&lt;35, "25-34", IF(D798&lt;50, "35-49", "50+")))</f>
        <v/>
      </c>
      <c r="F798" s="8" t="inlineStr">
        <is>
          <t>Boston</t>
        </is>
      </c>
      <c r="G798" s="8" t="inlineStr">
        <is>
          <t>Massachusetts</t>
        </is>
      </c>
      <c r="H798" s="8" t="inlineStr">
        <is>
          <t>REG-NA</t>
        </is>
      </c>
      <c r="I798" s="8" t="inlineStr">
        <is>
          <t>Corporate</t>
        </is>
      </c>
      <c r="J798" s="8" t="inlineStr">
        <is>
          <t>2024-01-02</t>
        </is>
      </c>
      <c r="K798" s="8">
        <f>COUNTIFS('05_Orders'!$C:$C, A798)</f>
        <v/>
      </c>
      <c r="L798" s="9">
        <f>SUMIFS('05_Orders'!$I:$I, '05_Orders'!$C:$C, A798)</f>
        <v/>
      </c>
      <c r="M798" s="8">
        <f>IF(L798&gt;=2000, "Platinum VIP", IF(L798&gt;=1000, "Gold", IF(L798&gt;=500, "Silver", "Standard")))</f>
        <v/>
      </c>
    </row>
    <row r="799">
      <c r="A799" s="8" t="inlineStr">
        <is>
          <t>CUST-00795</t>
        </is>
      </c>
      <c r="B799" s="8" t="inlineStr">
        <is>
          <t>Carolyn Hughes</t>
        </is>
      </c>
      <c r="C799" s="8" t="inlineStr">
        <is>
          <t>Other</t>
        </is>
      </c>
      <c r="D799" s="8" t="n">
        <v>53</v>
      </c>
      <c r="E799" s="8">
        <f>IF(D799&lt;25, "18-24", IF(D799&lt;35, "25-34", IF(D799&lt;50, "35-49", "50+")))</f>
        <v/>
      </c>
      <c r="F799" s="8" t="inlineStr">
        <is>
          <t>Sydney</t>
        </is>
      </c>
      <c r="G799" s="8" t="inlineStr">
        <is>
          <t>New South Wales</t>
        </is>
      </c>
      <c r="H799" s="8" t="inlineStr">
        <is>
          <t>REG-APAC</t>
        </is>
      </c>
      <c r="I799" s="8" t="inlineStr">
        <is>
          <t>Consumer</t>
        </is>
      </c>
      <c r="J799" s="8" t="inlineStr">
        <is>
          <t>2024-03-22</t>
        </is>
      </c>
      <c r="K799" s="8">
        <f>COUNTIFS('05_Orders'!$C:$C, A799)</f>
        <v/>
      </c>
      <c r="L799" s="9">
        <f>SUMIFS('05_Orders'!$I:$I, '05_Orders'!$C:$C, A799)</f>
        <v/>
      </c>
      <c r="M799" s="8">
        <f>IF(L799&gt;=2000, "Platinum VIP", IF(L799&gt;=1000, "Gold", IF(L799&gt;=500, "Silver", "Standard")))</f>
        <v/>
      </c>
    </row>
    <row r="800">
      <c r="A800" s="8" t="inlineStr">
        <is>
          <t>CUST-00796</t>
        </is>
      </c>
      <c r="B800" s="8" t="inlineStr">
        <is>
          <t>William Perez</t>
        </is>
      </c>
      <c r="C800" s="8" t="inlineStr">
        <is>
          <t>Male</t>
        </is>
      </c>
      <c r="D800" s="8" t="n">
        <v>53</v>
      </c>
      <c r="E800" s="8">
        <f>IF(D800&lt;25, "18-24", IF(D800&lt;35, "25-34", IF(D800&lt;50, "35-49", "50+")))</f>
        <v/>
      </c>
      <c r="F800" s="8" t="inlineStr">
        <is>
          <t>London</t>
        </is>
      </c>
      <c r="G800" s="8" t="inlineStr">
        <is>
          <t>Greater London</t>
        </is>
      </c>
      <c r="H800" s="8" t="inlineStr">
        <is>
          <t>REG-EU</t>
        </is>
      </c>
      <c r="I800" s="8" t="inlineStr">
        <is>
          <t>Home Office</t>
        </is>
      </c>
      <c r="J800" s="8" t="inlineStr">
        <is>
          <t>2023-09-04</t>
        </is>
      </c>
      <c r="K800" s="8">
        <f>COUNTIFS('05_Orders'!$C:$C, A800)</f>
        <v/>
      </c>
      <c r="L800" s="9">
        <f>SUMIFS('05_Orders'!$I:$I, '05_Orders'!$C:$C, A800)</f>
        <v/>
      </c>
      <c r="M800" s="8">
        <f>IF(L800&gt;=2000, "Platinum VIP", IF(L800&gt;=1000, "Gold", IF(L800&gt;=500, "Silver", "Standard")))</f>
        <v/>
      </c>
    </row>
    <row r="801">
      <c r="A801" s="8" t="inlineStr">
        <is>
          <t>CUST-00797</t>
        </is>
      </c>
      <c r="B801" s="8" t="inlineStr">
        <is>
          <t>Jack Scott</t>
        </is>
      </c>
      <c r="C801" s="8" t="inlineStr">
        <is>
          <t>Other</t>
        </is>
      </c>
      <c r="D801" s="8" t="n">
        <v>34</v>
      </c>
      <c r="E801" s="8">
        <f>IF(D801&lt;25, "18-24", IF(D801&lt;35, "25-34", IF(D801&lt;50, "35-49", "50+")))</f>
        <v/>
      </c>
      <c r="F801" s="8" t="inlineStr">
        <is>
          <t>Sao Paulo</t>
        </is>
      </c>
      <c r="G801" s="8" t="inlineStr">
        <is>
          <t>Sao Paulo State</t>
        </is>
      </c>
      <c r="H801" s="8" t="inlineStr">
        <is>
          <t>REG-LATAM</t>
        </is>
      </c>
      <c r="I801" s="8" t="inlineStr">
        <is>
          <t>Corporate</t>
        </is>
      </c>
      <c r="J801" s="8" t="inlineStr">
        <is>
          <t>2023-10-03</t>
        </is>
      </c>
      <c r="K801" s="8">
        <f>COUNTIFS('05_Orders'!$C:$C, A801)</f>
        <v/>
      </c>
      <c r="L801" s="9">
        <f>SUMIFS('05_Orders'!$I:$I, '05_Orders'!$C:$C, A801)</f>
        <v/>
      </c>
      <c r="M801" s="8">
        <f>IF(L801&gt;=2000, "Platinum VIP", IF(L801&gt;=1000, "Gold", IF(L801&gt;=500, "Silver", "Standard")))</f>
        <v/>
      </c>
    </row>
    <row r="802">
      <c r="A802" s="8" t="inlineStr">
        <is>
          <t>CUST-00798</t>
        </is>
      </c>
      <c r="B802" s="8" t="inlineStr">
        <is>
          <t>Frank Edwards</t>
        </is>
      </c>
      <c r="C802" s="8" t="inlineStr">
        <is>
          <t>Female</t>
        </is>
      </c>
      <c r="D802" s="8" t="n">
        <v>52</v>
      </c>
      <c r="E802" s="8">
        <f>IF(D802&lt;25, "18-24", IF(D802&lt;35, "25-34", IF(D802&lt;50, "35-49", "50+")))</f>
        <v/>
      </c>
      <c r="F802" s="8" t="inlineStr">
        <is>
          <t>Paris</t>
        </is>
      </c>
      <c r="G802" s="8" t="inlineStr">
        <is>
          <t>Ile-de-France</t>
        </is>
      </c>
      <c r="H802" s="8" t="inlineStr">
        <is>
          <t>REG-EU</t>
        </is>
      </c>
      <c r="I802" s="8" t="inlineStr">
        <is>
          <t>Consumer</t>
        </is>
      </c>
      <c r="J802" s="8" t="inlineStr">
        <is>
          <t>2024-03-13</t>
        </is>
      </c>
      <c r="K802" s="8">
        <f>COUNTIFS('05_Orders'!$C:$C, A802)</f>
        <v/>
      </c>
      <c r="L802" s="9">
        <f>SUMIFS('05_Orders'!$I:$I, '05_Orders'!$C:$C, A802)</f>
        <v/>
      </c>
      <c r="M802" s="8">
        <f>IF(L802&gt;=2000, "Platinum VIP", IF(L802&gt;=1000, "Gold", IF(L802&gt;=500, "Silver", "Standard")))</f>
        <v/>
      </c>
    </row>
    <row r="803">
      <c r="A803" s="8" t="inlineStr">
        <is>
          <t>CUST-00799</t>
        </is>
      </c>
      <c r="B803" s="8" t="inlineStr">
        <is>
          <t>Rachel Ramos</t>
        </is>
      </c>
      <c r="C803" s="8" t="inlineStr">
        <is>
          <t>Female</t>
        </is>
      </c>
      <c r="D803" s="8" t="n">
        <v>18</v>
      </c>
      <c r="E803" s="8">
        <f>IF(D803&lt;25, "18-24", IF(D803&lt;35, "25-34", IF(D803&lt;50, "35-49", "50+")))</f>
        <v/>
      </c>
      <c r="F803" s="8" t="inlineStr">
        <is>
          <t>Sao Paulo</t>
        </is>
      </c>
      <c r="G803" s="8" t="inlineStr">
        <is>
          <t>Sao Paulo State</t>
        </is>
      </c>
      <c r="H803" s="8" t="inlineStr">
        <is>
          <t>REG-LATAM</t>
        </is>
      </c>
      <c r="I803" s="8" t="inlineStr">
        <is>
          <t>Corporate</t>
        </is>
      </c>
      <c r="J803" s="8" t="inlineStr">
        <is>
          <t>2023-01-04</t>
        </is>
      </c>
      <c r="K803" s="8">
        <f>COUNTIFS('05_Orders'!$C:$C, A803)</f>
        <v/>
      </c>
      <c r="L803" s="9">
        <f>SUMIFS('05_Orders'!$I:$I, '05_Orders'!$C:$C, A803)</f>
        <v/>
      </c>
      <c r="M803" s="8">
        <f>IF(L803&gt;=2000, "Platinum VIP", IF(L803&gt;=1000, "Gold", IF(L803&gt;=500, "Silver", "Standard")))</f>
        <v/>
      </c>
    </row>
    <row r="804">
      <c r="A804" s="8" t="inlineStr">
        <is>
          <t>CUST-00800</t>
        </is>
      </c>
      <c r="B804" s="8" t="inlineStr">
        <is>
          <t>Jason Sanders</t>
        </is>
      </c>
      <c r="C804" s="8" t="inlineStr">
        <is>
          <t>Male</t>
        </is>
      </c>
      <c r="D804" s="8" t="n">
        <v>64</v>
      </c>
      <c r="E804" s="8">
        <f>IF(D804&lt;25, "18-24", IF(D804&lt;35, "25-34", IF(D804&lt;50, "35-49", "50+")))</f>
        <v/>
      </c>
      <c r="F804" s="8" t="inlineStr">
        <is>
          <t>Denver</t>
        </is>
      </c>
      <c r="G804" s="8" t="inlineStr">
        <is>
          <t>Colorado</t>
        </is>
      </c>
      <c r="H804" s="8" t="inlineStr">
        <is>
          <t>REG-NA</t>
        </is>
      </c>
      <c r="I804" s="8" t="inlineStr">
        <is>
          <t>Home Office</t>
        </is>
      </c>
      <c r="J804" s="8" t="inlineStr">
        <is>
          <t>2022-01-03</t>
        </is>
      </c>
      <c r="K804" s="8">
        <f>COUNTIFS('05_Orders'!$C:$C, A804)</f>
        <v/>
      </c>
      <c r="L804" s="9">
        <f>SUMIFS('05_Orders'!$I:$I, '05_Orders'!$C:$C, A804)</f>
        <v/>
      </c>
      <c r="M804" s="8">
        <f>IF(L804&gt;=2000, "Platinum VIP", IF(L804&gt;=1000, "Gold", IF(L804&gt;=500, "Silver", "Standard")))</f>
        <v/>
      </c>
    </row>
    <row r="805">
      <c r="A805" s="8" t="inlineStr">
        <is>
          <t>CUST-00801</t>
        </is>
      </c>
      <c r="B805" s="8" t="inlineStr">
        <is>
          <t>Brian Lopez</t>
        </is>
      </c>
      <c r="C805" s="8" t="inlineStr">
        <is>
          <t>Male</t>
        </is>
      </c>
      <c r="D805" s="8" t="n">
        <v>43</v>
      </c>
      <c r="E805" s="8">
        <f>IF(D805&lt;25, "18-24", IF(D805&lt;35, "25-34", IF(D805&lt;50, "35-49", "50+")))</f>
        <v/>
      </c>
      <c r="F805" s="8" t="inlineStr">
        <is>
          <t>Amsterdam</t>
        </is>
      </c>
      <c r="G805" s="8" t="inlineStr">
        <is>
          <t>North Holland</t>
        </is>
      </c>
      <c r="H805" s="8" t="inlineStr">
        <is>
          <t>REG-EU</t>
        </is>
      </c>
      <c r="I805" s="8" t="inlineStr">
        <is>
          <t>Home Office</t>
        </is>
      </c>
      <c r="J805" s="8" t="inlineStr">
        <is>
          <t>2023-02-20</t>
        </is>
      </c>
      <c r="K805" s="8">
        <f>COUNTIFS('05_Orders'!$C:$C, A805)</f>
        <v/>
      </c>
      <c r="L805" s="9">
        <f>SUMIFS('05_Orders'!$I:$I, '05_Orders'!$C:$C, A805)</f>
        <v/>
      </c>
      <c r="M805" s="8">
        <f>IF(L805&gt;=2000, "Platinum VIP", IF(L805&gt;=1000, "Gold", IF(L805&gt;=500, "Silver", "Standard")))</f>
        <v/>
      </c>
    </row>
    <row r="806">
      <c r="A806" s="8" t="inlineStr">
        <is>
          <t>CUST-00802</t>
        </is>
      </c>
      <c r="B806" s="8" t="inlineStr">
        <is>
          <t>Melissa Thompson</t>
        </is>
      </c>
      <c r="C806" s="8" t="inlineStr">
        <is>
          <t>Other</t>
        </is>
      </c>
      <c r="D806" s="8" t="n">
        <v>45</v>
      </c>
      <c r="E806" s="8">
        <f>IF(D806&lt;25, "18-24", IF(D806&lt;35, "25-34", IF(D806&lt;50, "35-49", "50+")))</f>
        <v/>
      </c>
      <c r="F806" s="8" t="inlineStr">
        <is>
          <t>Bangalore</t>
        </is>
      </c>
      <c r="G806" s="8" t="inlineStr">
        <is>
          <t>Karnataka</t>
        </is>
      </c>
      <c r="H806" s="8" t="inlineStr">
        <is>
          <t>REG-APAC</t>
        </is>
      </c>
      <c r="I806" s="8" t="inlineStr">
        <is>
          <t>Consumer</t>
        </is>
      </c>
      <c r="J806" s="8" t="inlineStr">
        <is>
          <t>2022-06-18</t>
        </is>
      </c>
      <c r="K806" s="8">
        <f>COUNTIFS('05_Orders'!$C:$C, A806)</f>
        <v/>
      </c>
      <c r="L806" s="9">
        <f>SUMIFS('05_Orders'!$I:$I, '05_Orders'!$C:$C, A806)</f>
        <v/>
      </c>
      <c r="M806" s="8">
        <f>IF(L806&gt;=2000, "Platinum VIP", IF(L806&gt;=1000, "Gold", IF(L806&gt;=500, "Silver", "Standard")))</f>
        <v/>
      </c>
    </row>
    <row r="807">
      <c r="A807" s="8" t="inlineStr">
        <is>
          <t>CUST-00803</t>
        </is>
      </c>
      <c r="B807" s="8" t="inlineStr">
        <is>
          <t>Amanda Edwards</t>
        </is>
      </c>
      <c r="C807" s="8" t="inlineStr">
        <is>
          <t>Male</t>
        </is>
      </c>
      <c r="D807" s="8" t="n">
        <v>51</v>
      </c>
      <c r="E807" s="8">
        <f>IF(D807&lt;25, "18-24", IF(D807&lt;35, "25-34", IF(D807&lt;50, "35-49", "50+")))</f>
        <v/>
      </c>
      <c r="F807" s="8" t="inlineStr">
        <is>
          <t>Denver</t>
        </is>
      </c>
      <c r="G807" s="8" t="inlineStr">
        <is>
          <t>Colorado</t>
        </is>
      </c>
      <c r="H807" s="8" t="inlineStr">
        <is>
          <t>REG-NA</t>
        </is>
      </c>
      <c r="I807" s="8" t="inlineStr">
        <is>
          <t>Consumer</t>
        </is>
      </c>
      <c r="J807" s="8" t="inlineStr">
        <is>
          <t>2024-02-15</t>
        </is>
      </c>
      <c r="K807" s="8">
        <f>COUNTIFS('05_Orders'!$C:$C, A807)</f>
        <v/>
      </c>
      <c r="L807" s="9">
        <f>SUMIFS('05_Orders'!$I:$I, '05_Orders'!$C:$C, A807)</f>
        <v/>
      </c>
      <c r="M807" s="8">
        <f>IF(L807&gt;=2000, "Platinum VIP", IF(L807&gt;=1000, "Gold", IF(L807&gt;=500, "Silver", "Standard")))</f>
        <v/>
      </c>
    </row>
    <row r="808">
      <c r="A808" s="8" t="inlineStr">
        <is>
          <t>CUST-00804</t>
        </is>
      </c>
      <c r="B808" s="8" t="inlineStr">
        <is>
          <t>Helen Johnson</t>
        </is>
      </c>
      <c r="C808" s="8" t="inlineStr">
        <is>
          <t>Male</t>
        </is>
      </c>
      <c r="D808" s="8" t="n">
        <v>38</v>
      </c>
      <c r="E808" s="8">
        <f>IF(D808&lt;25, "18-24", IF(D808&lt;35, "25-34", IF(D808&lt;50, "35-49", "50+")))</f>
        <v/>
      </c>
      <c r="F808" s="8" t="inlineStr">
        <is>
          <t>New York</t>
        </is>
      </c>
      <c r="G808" s="8" t="inlineStr">
        <is>
          <t>New York</t>
        </is>
      </c>
      <c r="H808" s="8" t="inlineStr">
        <is>
          <t>REG-NA</t>
        </is>
      </c>
      <c r="I808" s="8" t="inlineStr">
        <is>
          <t>Home Office</t>
        </is>
      </c>
      <c r="J808" s="8" t="inlineStr">
        <is>
          <t>2024-03-09</t>
        </is>
      </c>
      <c r="K808" s="8">
        <f>COUNTIFS('05_Orders'!$C:$C, A808)</f>
        <v/>
      </c>
      <c r="L808" s="9">
        <f>SUMIFS('05_Orders'!$I:$I, '05_Orders'!$C:$C, A808)</f>
        <v/>
      </c>
      <c r="M808" s="8">
        <f>IF(L808&gt;=2000, "Platinum VIP", IF(L808&gt;=1000, "Gold", IF(L808&gt;=500, "Silver", "Standard")))</f>
        <v/>
      </c>
    </row>
    <row r="809">
      <c r="A809" s="8" t="inlineStr">
        <is>
          <t>CUST-00805</t>
        </is>
      </c>
      <c r="B809" s="8" t="inlineStr">
        <is>
          <t>Samantha Murphy</t>
        </is>
      </c>
      <c r="C809" s="8" t="inlineStr">
        <is>
          <t>Male</t>
        </is>
      </c>
      <c r="D809" s="8" t="n">
        <v>52</v>
      </c>
      <c r="E809" s="8">
        <f>IF(D809&lt;25, "18-24", IF(D809&lt;35, "25-34", IF(D809&lt;50, "35-49", "50+")))</f>
        <v/>
      </c>
      <c r="F809" s="8" t="inlineStr">
        <is>
          <t>Seattle</t>
        </is>
      </c>
      <c r="G809" s="8" t="inlineStr">
        <is>
          <t>Washington</t>
        </is>
      </c>
      <c r="H809" s="8" t="inlineStr">
        <is>
          <t>REG-NA</t>
        </is>
      </c>
      <c r="I809" s="8" t="inlineStr">
        <is>
          <t>Consumer</t>
        </is>
      </c>
      <c r="J809" s="8" t="inlineStr">
        <is>
          <t>2024-10-31</t>
        </is>
      </c>
      <c r="K809" s="8">
        <f>COUNTIFS('05_Orders'!$C:$C, A809)</f>
        <v/>
      </c>
      <c r="L809" s="9">
        <f>SUMIFS('05_Orders'!$I:$I, '05_Orders'!$C:$C, A809)</f>
        <v/>
      </c>
      <c r="M809" s="8">
        <f>IF(L809&gt;=2000, "Platinum VIP", IF(L809&gt;=1000, "Gold", IF(L809&gt;=500, "Silver", "Standard")))</f>
        <v/>
      </c>
    </row>
    <row r="810">
      <c r="A810" s="8" t="inlineStr">
        <is>
          <t>CUST-00806</t>
        </is>
      </c>
      <c r="B810" s="8" t="inlineStr">
        <is>
          <t>Patrick Foster</t>
        </is>
      </c>
      <c r="C810" s="8" t="inlineStr">
        <is>
          <t>Male</t>
        </is>
      </c>
      <c r="D810" s="8" t="n">
        <v>50</v>
      </c>
      <c r="E810" s="8">
        <f>IF(D810&lt;25, "18-24", IF(D810&lt;35, "25-34", IF(D810&lt;50, "35-49", "50+")))</f>
        <v/>
      </c>
      <c r="F810" s="8" t="inlineStr">
        <is>
          <t>Toronto</t>
        </is>
      </c>
      <c r="G810" s="8" t="inlineStr">
        <is>
          <t>Ontario</t>
        </is>
      </c>
      <c r="H810" s="8" t="inlineStr">
        <is>
          <t>REG-NA</t>
        </is>
      </c>
      <c r="I810" s="8" t="inlineStr">
        <is>
          <t>Consumer</t>
        </is>
      </c>
      <c r="J810" s="8" t="inlineStr">
        <is>
          <t>2021-03-21</t>
        </is>
      </c>
      <c r="K810" s="8">
        <f>COUNTIFS('05_Orders'!$C:$C, A810)</f>
        <v/>
      </c>
      <c r="L810" s="9">
        <f>SUMIFS('05_Orders'!$I:$I, '05_Orders'!$C:$C, A810)</f>
        <v/>
      </c>
      <c r="M810" s="8">
        <f>IF(L810&gt;=2000, "Platinum VIP", IF(L810&gt;=1000, "Gold", IF(L810&gt;=500, "Silver", "Standard")))</f>
        <v/>
      </c>
    </row>
    <row r="811">
      <c r="A811" s="8" t="inlineStr">
        <is>
          <t>CUST-00807</t>
        </is>
      </c>
      <c r="B811" s="8" t="inlineStr">
        <is>
          <t>Michelle Nguyen</t>
        </is>
      </c>
      <c r="C811" s="8" t="inlineStr">
        <is>
          <t>Male</t>
        </is>
      </c>
      <c r="D811" s="8" t="n">
        <v>40</v>
      </c>
      <c r="E811" s="8">
        <f>IF(D811&lt;25, "18-24", IF(D811&lt;35, "25-34", IF(D811&lt;50, "35-49", "50+")))</f>
        <v/>
      </c>
      <c r="F811" s="8" t="inlineStr">
        <is>
          <t>Stockholm</t>
        </is>
      </c>
      <c r="G811" s="8" t="inlineStr">
        <is>
          <t>Stockholm County</t>
        </is>
      </c>
      <c r="H811" s="8" t="inlineStr">
        <is>
          <t>REG-EU</t>
        </is>
      </c>
      <c r="I811" s="8" t="inlineStr">
        <is>
          <t>Corporate</t>
        </is>
      </c>
      <c r="J811" s="8" t="inlineStr">
        <is>
          <t>2021-07-24</t>
        </is>
      </c>
      <c r="K811" s="8">
        <f>COUNTIFS('05_Orders'!$C:$C, A811)</f>
        <v/>
      </c>
      <c r="L811" s="9">
        <f>SUMIFS('05_Orders'!$I:$I, '05_Orders'!$C:$C, A811)</f>
        <v/>
      </c>
      <c r="M811" s="8">
        <f>IF(L811&gt;=2000, "Platinum VIP", IF(L811&gt;=1000, "Gold", IF(L811&gt;=500, "Silver", "Standard")))</f>
        <v/>
      </c>
    </row>
    <row r="812">
      <c r="A812" s="8" t="inlineStr">
        <is>
          <t>CUST-00808</t>
        </is>
      </c>
      <c r="B812" s="8" t="inlineStr">
        <is>
          <t>Jacob James</t>
        </is>
      </c>
      <c r="C812" s="8" t="inlineStr">
        <is>
          <t>Other</t>
        </is>
      </c>
      <c r="D812" s="8" t="n">
        <v>71</v>
      </c>
      <c r="E812" s="8">
        <f>IF(D812&lt;25, "18-24", IF(D812&lt;35, "25-34", IF(D812&lt;50, "35-49", "50+")))</f>
        <v/>
      </c>
      <c r="F812" s="8" t="inlineStr">
        <is>
          <t>Toronto</t>
        </is>
      </c>
      <c r="G812" s="8" t="inlineStr">
        <is>
          <t>Ontario</t>
        </is>
      </c>
      <c r="H812" s="8" t="inlineStr">
        <is>
          <t>REG-NA</t>
        </is>
      </c>
      <c r="I812" s="8" t="inlineStr">
        <is>
          <t>Enterprise</t>
        </is>
      </c>
      <c r="J812" s="8" t="inlineStr">
        <is>
          <t>2024-10-01</t>
        </is>
      </c>
      <c r="K812" s="8">
        <f>COUNTIFS('05_Orders'!$C:$C, A812)</f>
        <v/>
      </c>
      <c r="L812" s="9">
        <f>SUMIFS('05_Orders'!$I:$I, '05_Orders'!$C:$C, A812)</f>
        <v/>
      </c>
      <c r="M812" s="8">
        <f>IF(L812&gt;=2000, "Platinum VIP", IF(L812&gt;=1000, "Gold", IF(L812&gt;=500, "Silver", "Standard")))</f>
        <v/>
      </c>
    </row>
    <row r="813">
      <c r="A813" s="8" t="inlineStr">
        <is>
          <t>CUST-00809</t>
        </is>
      </c>
      <c r="B813" s="8" t="inlineStr">
        <is>
          <t>Nicholas Harris</t>
        </is>
      </c>
      <c r="C813" s="8" t="inlineStr">
        <is>
          <t>Female</t>
        </is>
      </c>
      <c r="D813" s="8" t="n">
        <v>20</v>
      </c>
      <c r="E813" s="8">
        <f>IF(D813&lt;25, "18-24", IF(D813&lt;35, "25-34", IF(D813&lt;50, "35-49", "50+")))</f>
        <v/>
      </c>
      <c r="F813" s="8" t="inlineStr">
        <is>
          <t>Toronto</t>
        </is>
      </c>
      <c r="G813" s="8" t="inlineStr">
        <is>
          <t>Ontario</t>
        </is>
      </c>
      <c r="H813" s="8" t="inlineStr">
        <is>
          <t>REG-NA</t>
        </is>
      </c>
      <c r="I813" s="8" t="inlineStr">
        <is>
          <t>Home Office</t>
        </is>
      </c>
      <c r="J813" s="8" t="inlineStr">
        <is>
          <t>2024-09-12</t>
        </is>
      </c>
      <c r="K813" s="8">
        <f>COUNTIFS('05_Orders'!$C:$C, A813)</f>
        <v/>
      </c>
      <c r="L813" s="9">
        <f>SUMIFS('05_Orders'!$I:$I, '05_Orders'!$C:$C, A813)</f>
        <v/>
      </c>
      <c r="M813" s="8">
        <f>IF(L813&gt;=2000, "Platinum VIP", IF(L813&gt;=1000, "Gold", IF(L813&gt;=500, "Silver", "Standard")))</f>
        <v/>
      </c>
    </row>
    <row r="814">
      <c r="A814" s="8" t="inlineStr">
        <is>
          <t>CUST-00810</t>
        </is>
      </c>
      <c r="B814" s="8" t="inlineStr">
        <is>
          <t>Frank Wood</t>
        </is>
      </c>
      <c r="C814" s="8" t="inlineStr">
        <is>
          <t>Female</t>
        </is>
      </c>
      <c r="D814" s="8" t="n">
        <v>51</v>
      </c>
      <c r="E814" s="8">
        <f>IF(D814&lt;25, "18-24", IF(D814&lt;35, "25-34", IF(D814&lt;50, "35-49", "50+")))</f>
        <v/>
      </c>
      <c r="F814" s="8" t="inlineStr">
        <is>
          <t>Dublin</t>
        </is>
      </c>
      <c r="G814" s="8" t="inlineStr">
        <is>
          <t>Leinster</t>
        </is>
      </c>
      <c r="H814" s="8" t="inlineStr">
        <is>
          <t>REG-EU</t>
        </is>
      </c>
      <c r="I814" s="8" t="inlineStr">
        <is>
          <t>Corporate</t>
        </is>
      </c>
      <c r="J814" s="8" t="inlineStr">
        <is>
          <t>2025-03-31</t>
        </is>
      </c>
      <c r="K814" s="8">
        <f>COUNTIFS('05_Orders'!$C:$C, A814)</f>
        <v/>
      </c>
      <c r="L814" s="9">
        <f>SUMIFS('05_Orders'!$I:$I, '05_Orders'!$C:$C, A814)</f>
        <v/>
      </c>
      <c r="M814" s="8">
        <f>IF(L814&gt;=2000, "Platinum VIP", IF(L814&gt;=1000, "Gold", IF(L814&gt;=500, "Silver", "Standard")))</f>
        <v/>
      </c>
    </row>
    <row r="815">
      <c r="A815" s="8" t="inlineStr">
        <is>
          <t>CUST-00811</t>
        </is>
      </c>
      <c r="B815" s="8" t="inlineStr">
        <is>
          <t>Margaret Nguyen</t>
        </is>
      </c>
      <c r="C815" s="8" t="inlineStr">
        <is>
          <t>Other</t>
        </is>
      </c>
      <c r="D815" s="8" t="n">
        <v>45</v>
      </c>
      <c r="E815" s="8">
        <f>IF(D815&lt;25, "18-24", IF(D815&lt;35, "25-34", IF(D815&lt;50, "35-49", "50+")))</f>
        <v/>
      </c>
      <c r="F815" s="8" t="inlineStr">
        <is>
          <t>Atlanta</t>
        </is>
      </c>
      <c r="G815" s="8" t="inlineStr">
        <is>
          <t>Georgia</t>
        </is>
      </c>
      <c r="H815" s="8" t="inlineStr">
        <is>
          <t>REG-NA</t>
        </is>
      </c>
      <c r="I815" s="8" t="inlineStr">
        <is>
          <t>Consumer</t>
        </is>
      </c>
      <c r="J815" s="8" t="inlineStr">
        <is>
          <t>2021-02-18</t>
        </is>
      </c>
      <c r="K815" s="8">
        <f>COUNTIFS('05_Orders'!$C:$C, A815)</f>
        <v/>
      </c>
      <c r="L815" s="9">
        <f>SUMIFS('05_Orders'!$I:$I, '05_Orders'!$C:$C, A815)</f>
        <v/>
      </c>
      <c r="M815" s="8">
        <f>IF(L815&gt;=2000, "Platinum VIP", IF(L815&gt;=1000, "Gold", IF(L815&gt;=500, "Silver", "Standard")))</f>
        <v/>
      </c>
    </row>
    <row r="816">
      <c r="A816" s="8" t="inlineStr">
        <is>
          <t>CUST-00812</t>
        </is>
      </c>
      <c r="B816" s="8" t="inlineStr">
        <is>
          <t>Shirley Foster</t>
        </is>
      </c>
      <c r="C816" s="8" t="inlineStr">
        <is>
          <t>Female</t>
        </is>
      </c>
      <c r="D816" s="8" t="n">
        <v>67</v>
      </c>
      <c r="E816" s="8">
        <f>IF(D816&lt;25, "18-24", IF(D816&lt;35, "25-34", IF(D816&lt;50, "35-49", "50+")))</f>
        <v/>
      </c>
      <c r="F816" s="8" t="inlineStr">
        <is>
          <t>London</t>
        </is>
      </c>
      <c r="G816" s="8" t="inlineStr">
        <is>
          <t>Greater London</t>
        </is>
      </c>
      <c r="H816" s="8" t="inlineStr">
        <is>
          <t>REG-EU</t>
        </is>
      </c>
      <c r="I816" s="8" t="inlineStr">
        <is>
          <t>Corporate</t>
        </is>
      </c>
      <c r="J816" s="8" t="inlineStr">
        <is>
          <t>2021-03-27</t>
        </is>
      </c>
      <c r="K816" s="8">
        <f>COUNTIFS('05_Orders'!$C:$C, A816)</f>
        <v/>
      </c>
      <c r="L816" s="9">
        <f>SUMIFS('05_Orders'!$I:$I, '05_Orders'!$C:$C, A816)</f>
        <v/>
      </c>
      <c r="M816" s="8">
        <f>IF(L816&gt;=2000, "Platinum VIP", IF(L816&gt;=1000, "Gold", IF(L816&gt;=500, "Silver", "Standard")))</f>
        <v/>
      </c>
    </row>
    <row r="817">
      <c r="A817" s="8" t="inlineStr">
        <is>
          <t>CUST-00813</t>
        </is>
      </c>
      <c r="B817" s="8" t="inlineStr">
        <is>
          <t>Pamela Cooper</t>
        </is>
      </c>
      <c r="C817" s="8" t="inlineStr">
        <is>
          <t>Male</t>
        </is>
      </c>
      <c r="D817" s="8" t="n">
        <v>59</v>
      </c>
      <c r="E817" s="8">
        <f>IF(D817&lt;25, "18-24", IF(D817&lt;35, "25-34", IF(D817&lt;50, "35-49", "50+")))</f>
        <v/>
      </c>
      <c r="F817" s="8" t="inlineStr">
        <is>
          <t>New York</t>
        </is>
      </c>
      <c r="G817" s="8" t="inlineStr">
        <is>
          <t>New York</t>
        </is>
      </c>
      <c r="H817" s="8" t="inlineStr">
        <is>
          <t>REG-NA</t>
        </is>
      </c>
      <c r="I817" s="8" t="inlineStr">
        <is>
          <t>Corporate</t>
        </is>
      </c>
      <c r="J817" s="8" t="inlineStr">
        <is>
          <t>2021-04-07</t>
        </is>
      </c>
      <c r="K817" s="8">
        <f>COUNTIFS('05_Orders'!$C:$C, A817)</f>
        <v/>
      </c>
      <c r="L817" s="9">
        <f>SUMIFS('05_Orders'!$I:$I, '05_Orders'!$C:$C, A817)</f>
        <v/>
      </c>
      <c r="M817" s="8">
        <f>IF(L817&gt;=2000, "Platinum VIP", IF(L817&gt;=1000, "Gold", IF(L817&gt;=500, "Silver", "Standard")))</f>
        <v/>
      </c>
    </row>
    <row r="818">
      <c r="A818" s="8" t="inlineStr">
        <is>
          <t>CUST-00814</t>
        </is>
      </c>
      <c r="B818" s="8" t="inlineStr">
        <is>
          <t>Rachel Parker</t>
        </is>
      </c>
      <c r="C818" s="8" t="inlineStr">
        <is>
          <t>Other</t>
        </is>
      </c>
      <c r="D818" s="8" t="n">
        <v>50</v>
      </c>
      <c r="E818" s="8">
        <f>IF(D818&lt;25, "18-24", IF(D818&lt;35, "25-34", IF(D818&lt;50, "35-49", "50+")))</f>
        <v/>
      </c>
      <c r="F818" s="8" t="inlineStr">
        <is>
          <t>Berlin</t>
        </is>
      </c>
      <c r="G818" s="8" t="inlineStr">
        <is>
          <t>Berlin</t>
        </is>
      </c>
      <c r="H818" s="8" t="inlineStr">
        <is>
          <t>REG-EU</t>
        </is>
      </c>
      <c r="I818" s="8" t="inlineStr">
        <is>
          <t>Corporate</t>
        </is>
      </c>
      <c r="J818" s="8" t="inlineStr">
        <is>
          <t>2024-10-26</t>
        </is>
      </c>
      <c r="K818" s="8">
        <f>COUNTIFS('05_Orders'!$C:$C, A818)</f>
        <v/>
      </c>
      <c r="L818" s="9">
        <f>SUMIFS('05_Orders'!$I:$I, '05_Orders'!$C:$C, A818)</f>
        <v/>
      </c>
      <c r="M818" s="8">
        <f>IF(L818&gt;=2000, "Platinum VIP", IF(L818&gt;=1000, "Gold", IF(L818&gt;=500, "Silver", "Standard")))</f>
        <v/>
      </c>
    </row>
    <row r="819">
      <c r="A819" s="8" t="inlineStr">
        <is>
          <t>CUST-00815</t>
        </is>
      </c>
      <c r="B819" s="8" t="inlineStr">
        <is>
          <t>Mark Alvarez</t>
        </is>
      </c>
      <c r="C819" s="8" t="inlineStr">
        <is>
          <t>Female</t>
        </is>
      </c>
      <c r="D819" s="8" t="n">
        <v>22</v>
      </c>
      <c r="E819" s="8">
        <f>IF(D819&lt;25, "18-24", IF(D819&lt;35, "25-34", IF(D819&lt;50, "35-49", "50+")))</f>
        <v/>
      </c>
      <c r="F819" s="8" t="inlineStr">
        <is>
          <t>Bangalore</t>
        </is>
      </c>
      <c r="G819" s="8" t="inlineStr">
        <is>
          <t>Karnataka</t>
        </is>
      </c>
      <c r="H819" s="8" t="inlineStr">
        <is>
          <t>REG-APAC</t>
        </is>
      </c>
      <c r="I819" s="8" t="inlineStr">
        <is>
          <t>Consumer</t>
        </is>
      </c>
      <c r="J819" s="8" t="inlineStr">
        <is>
          <t>2024-08-04</t>
        </is>
      </c>
      <c r="K819" s="8">
        <f>COUNTIFS('05_Orders'!$C:$C, A819)</f>
        <v/>
      </c>
      <c r="L819" s="9">
        <f>SUMIFS('05_Orders'!$I:$I, '05_Orders'!$C:$C, A819)</f>
        <v/>
      </c>
      <c r="M819" s="8">
        <f>IF(L819&gt;=2000, "Platinum VIP", IF(L819&gt;=1000, "Gold", IF(L819&gt;=500, "Silver", "Standard")))</f>
        <v/>
      </c>
    </row>
    <row r="820">
      <c r="A820" s="8" t="inlineStr">
        <is>
          <t>CUST-00816</t>
        </is>
      </c>
      <c r="B820" s="8" t="inlineStr">
        <is>
          <t>Joseph Nguyen</t>
        </is>
      </c>
      <c r="C820" s="8" t="inlineStr">
        <is>
          <t>Male</t>
        </is>
      </c>
      <c r="D820" s="8" t="n">
        <v>33</v>
      </c>
      <c r="E820" s="8">
        <f>IF(D820&lt;25, "18-24", IF(D820&lt;35, "25-34", IF(D820&lt;50, "35-49", "50+")))</f>
        <v/>
      </c>
      <c r="F820" s="8" t="inlineStr">
        <is>
          <t>Lyon</t>
        </is>
      </c>
      <c r="G820" s="8" t="inlineStr">
        <is>
          <t>Auvergne-Rhone-Alpes</t>
        </is>
      </c>
      <c r="H820" s="8" t="inlineStr">
        <is>
          <t>REG-EU</t>
        </is>
      </c>
      <c r="I820" s="8" t="inlineStr">
        <is>
          <t>Enterprise</t>
        </is>
      </c>
      <c r="J820" s="8" t="inlineStr">
        <is>
          <t>2023-03-10</t>
        </is>
      </c>
      <c r="K820" s="8">
        <f>COUNTIFS('05_Orders'!$C:$C, A820)</f>
        <v/>
      </c>
      <c r="L820" s="9">
        <f>SUMIFS('05_Orders'!$I:$I, '05_Orders'!$C:$C, A820)</f>
        <v/>
      </c>
      <c r="M820" s="8">
        <f>IF(L820&gt;=2000, "Platinum VIP", IF(L820&gt;=1000, "Gold", IF(L820&gt;=500, "Silver", "Standard")))</f>
        <v/>
      </c>
    </row>
    <row r="821">
      <c r="A821" s="8" t="inlineStr">
        <is>
          <t>CUST-00817</t>
        </is>
      </c>
      <c r="B821" s="8" t="inlineStr">
        <is>
          <t>Charles Kim</t>
        </is>
      </c>
      <c r="C821" s="8" t="inlineStr">
        <is>
          <t>Male</t>
        </is>
      </c>
      <c r="D821" s="8" t="n">
        <v>57</v>
      </c>
      <c r="E821" s="8">
        <f>IF(D821&lt;25, "18-24", IF(D821&lt;35, "25-34", IF(D821&lt;50, "35-49", "50+")))</f>
        <v/>
      </c>
      <c r="F821" s="8" t="inlineStr">
        <is>
          <t>Amsterdam</t>
        </is>
      </c>
      <c r="G821" s="8" t="inlineStr">
        <is>
          <t>North Holland</t>
        </is>
      </c>
      <c r="H821" s="8" t="inlineStr">
        <is>
          <t>REG-EU</t>
        </is>
      </c>
      <c r="I821" s="8" t="inlineStr">
        <is>
          <t>Corporate</t>
        </is>
      </c>
      <c r="J821" s="8" t="inlineStr">
        <is>
          <t>2024-12-25</t>
        </is>
      </c>
      <c r="K821" s="8">
        <f>COUNTIFS('05_Orders'!$C:$C, A821)</f>
        <v/>
      </c>
      <c r="L821" s="9">
        <f>SUMIFS('05_Orders'!$I:$I, '05_Orders'!$C:$C, A821)</f>
        <v/>
      </c>
      <c r="M821" s="8">
        <f>IF(L821&gt;=2000, "Platinum VIP", IF(L821&gt;=1000, "Gold", IF(L821&gt;=500, "Silver", "Standard")))</f>
        <v/>
      </c>
    </row>
    <row r="822">
      <c r="A822" s="8" t="inlineStr">
        <is>
          <t>CUST-00818</t>
        </is>
      </c>
      <c r="B822" s="8" t="inlineStr">
        <is>
          <t>Dennis Wright</t>
        </is>
      </c>
      <c r="C822" s="8" t="inlineStr">
        <is>
          <t>Female</t>
        </is>
      </c>
      <c r="D822" s="8" t="n">
        <v>62</v>
      </c>
      <c r="E822" s="8">
        <f>IF(D822&lt;25, "18-24", IF(D822&lt;35, "25-34", IF(D822&lt;50, "35-49", "50+")))</f>
        <v/>
      </c>
      <c r="F822" s="8" t="inlineStr">
        <is>
          <t>Atlanta</t>
        </is>
      </c>
      <c r="G822" s="8" t="inlineStr">
        <is>
          <t>Georgia</t>
        </is>
      </c>
      <c r="H822" s="8" t="inlineStr">
        <is>
          <t>REG-NA</t>
        </is>
      </c>
      <c r="I822" s="8" t="inlineStr">
        <is>
          <t>Consumer</t>
        </is>
      </c>
      <c r="J822" s="8" t="inlineStr">
        <is>
          <t>2022-01-24</t>
        </is>
      </c>
      <c r="K822" s="8">
        <f>COUNTIFS('05_Orders'!$C:$C, A822)</f>
        <v/>
      </c>
      <c r="L822" s="9">
        <f>SUMIFS('05_Orders'!$I:$I, '05_Orders'!$C:$C, A822)</f>
        <v/>
      </c>
      <c r="M822" s="8">
        <f>IF(L822&gt;=2000, "Platinum VIP", IF(L822&gt;=1000, "Gold", IF(L822&gt;=500, "Silver", "Standard")))</f>
        <v/>
      </c>
    </row>
    <row r="823">
      <c r="A823" s="8" t="inlineStr">
        <is>
          <t>CUST-00819</t>
        </is>
      </c>
      <c r="B823" s="8" t="inlineStr">
        <is>
          <t>Timothy Garcia</t>
        </is>
      </c>
      <c r="C823" s="8" t="inlineStr">
        <is>
          <t>Other</t>
        </is>
      </c>
      <c r="D823" s="8" t="n">
        <v>67</v>
      </c>
      <c r="E823" s="8">
        <f>IF(D823&lt;25, "18-24", IF(D823&lt;35, "25-34", IF(D823&lt;50, "35-49", "50+")))</f>
        <v/>
      </c>
      <c r="F823" s="8" t="inlineStr">
        <is>
          <t>Munich</t>
        </is>
      </c>
      <c r="G823" s="8" t="inlineStr">
        <is>
          <t>Bavaria</t>
        </is>
      </c>
      <c r="H823" s="8" t="inlineStr">
        <is>
          <t>REG-EU</t>
        </is>
      </c>
      <c r="I823" s="8" t="inlineStr">
        <is>
          <t>Consumer</t>
        </is>
      </c>
      <c r="J823" s="8" t="inlineStr">
        <is>
          <t>2021-08-23</t>
        </is>
      </c>
      <c r="K823" s="8">
        <f>COUNTIFS('05_Orders'!$C:$C, A823)</f>
        <v/>
      </c>
      <c r="L823" s="9">
        <f>SUMIFS('05_Orders'!$I:$I, '05_Orders'!$C:$C, A823)</f>
        <v/>
      </c>
      <c r="M823" s="8">
        <f>IF(L823&gt;=2000, "Platinum VIP", IF(L823&gt;=1000, "Gold", IF(L823&gt;=500, "Silver", "Standard")))</f>
        <v/>
      </c>
    </row>
    <row r="824">
      <c r="A824" s="8" t="inlineStr">
        <is>
          <t>CUST-00820</t>
        </is>
      </c>
      <c r="B824" s="8" t="inlineStr">
        <is>
          <t>Carol Perez</t>
        </is>
      </c>
      <c r="C824" s="8" t="inlineStr">
        <is>
          <t>Other</t>
        </is>
      </c>
      <c r="D824" s="8" t="n">
        <v>34</v>
      </c>
      <c r="E824" s="8">
        <f>IF(D824&lt;25, "18-24", IF(D824&lt;35, "25-34", IF(D824&lt;50, "35-49", "50+")))</f>
        <v/>
      </c>
      <c r="F824" s="8" t="inlineStr">
        <is>
          <t>Buenos Aires</t>
        </is>
      </c>
      <c r="G824" s="8" t="inlineStr">
        <is>
          <t>Buenos Aires</t>
        </is>
      </c>
      <c r="H824" s="8" t="inlineStr">
        <is>
          <t>REG-LATAM</t>
        </is>
      </c>
      <c r="I824" s="8" t="inlineStr">
        <is>
          <t>Consumer</t>
        </is>
      </c>
      <c r="J824" s="8" t="inlineStr">
        <is>
          <t>2022-08-10</t>
        </is>
      </c>
      <c r="K824" s="8">
        <f>COUNTIFS('05_Orders'!$C:$C, A824)</f>
        <v/>
      </c>
      <c r="L824" s="9">
        <f>SUMIFS('05_Orders'!$I:$I, '05_Orders'!$C:$C, A824)</f>
        <v/>
      </c>
      <c r="M824" s="8">
        <f>IF(L824&gt;=2000, "Platinum VIP", IF(L824&gt;=1000, "Gold", IF(L824&gt;=500, "Silver", "Standard")))</f>
        <v/>
      </c>
    </row>
    <row r="825">
      <c r="A825" s="8" t="inlineStr">
        <is>
          <t>CUST-00821</t>
        </is>
      </c>
      <c r="B825" s="8" t="inlineStr">
        <is>
          <t>Margaret Lopez</t>
        </is>
      </c>
      <c r="C825" s="8" t="inlineStr">
        <is>
          <t>Other</t>
        </is>
      </c>
      <c r="D825" s="8" t="n">
        <v>72</v>
      </c>
      <c r="E825" s="8">
        <f>IF(D825&lt;25, "18-24", IF(D825&lt;35, "25-34", IF(D825&lt;50, "35-49", "50+")))</f>
        <v/>
      </c>
      <c r="F825" s="8" t="inlineStr">
        <is>
          <t>Berlin</t>
        </is>
      </c>
      <c r="G825" s="8" t="inlineStr">
        <is>
          <t>Berlin</t>
        </is>
      </c>
      <c r="H825" s="8" t="inlineStr">
        <is>
          <t>REG-EU</t>
        </is>
      </c>
      <c r="I825" s="8" t="inlineStr">
        <is>
          <t>Corporate</t>
        </is>
      </c>
      <c r="J825" s="8" t="inlineStr">
        <is>
          <t>2021-03-15</t>
        </is>
      </c>
      <c r="K825" s="8">
        <f>COUNTIFS('05_Orders'!$C:$C, A825)</f>
        <v/>
      </c>
      <c r="L825" s="9">
        <f>SUMIFS('05_Orders'!$I:$I, '05_Orders'!$C:$C, A825)</f>
        <v/>
      </c>
      <c r="M825" s="8">
        <f>IF(L825&gt;=2000, "Platinum VIP", IF(L825&gt;=1000, "Gold", IF(L825&gt;=500, "Silver", "Standard")))</f>
        <v/>
      </c>
    </row>
    <row r="826">
      <c r="A826" s="8" t="inlineStr">
        <is>
          <t>CUST-00822</t>
        </is>
      </c>
      <c r="B826" s="8" t="inlineStr">
        <is>
          <t>Lisa Hernandez</t>
        </is>
      </c>
      <c r="C826" s="8" t="inlineStr">
        <is>
          <t>Other</t>
        </is>
      </c>
      <c r="D826" s="8" t="n">
        <v>69</v>
      </c>
      <c r="E826" s="8">
        <f>IF(D826&lt;25, "18-24", IF(D826&lt;35, "25-34", IF(D826&lt;50, "35-49", "50+")))</f>
        <v/>
      </c>
      <c r="F826" s="8" t="inlineStr">
        <is>
          <t>Atlanta</t>
        </is>
      </c>
      <c r="G826" s="8" t="inlineStr">
        <is>
          <t>Georgia</t>
        </is>
      </c>
      <c r="H826" s="8" t="inlineStr">
        <is>
          <t>REG-NA</t>
        </is>
      </c>
      <c r="I826" s="8" t="inlineStr">
        <is>
          <t>Corporate</t>
        </is>
      </c>
      <c r="J826" s="8" t="inlineStr">
        <is>
          <t>2023-06-17</t>
        </is>
      </c>
      <c r="K826" s="8">
        <f>COUNTIFS('05_Orders'!$C:$C, A826)</f>
        <v/>
      </c>
      <c r="L826" s="9">
        <f>SUMIFS('05_Orders'!$I:$I, '05_Orders'!$C:$C, A826)</f>
        <v/>
      </c>
      <c r="M826" s="8">
        <f>IF(L826&gt;=2000, "Platinum VIP", IF(L826&gt;=1000, "Gold", IF(L826&gt;=500, "Silver", "Standard")))</f>
        <v/>
      </c>
    </row>
    <row r="827">
      <c r="A827" s="8" t="inlineStr">
        <is>
          <t>CUST-00823</t>
        </is>
      </c>
      <c r="B827" s="8" t="inlineStr">
        <is>
          <t>Eric Foster</t>
        </is>
      </c>
      <c r="C827" s="8" t="inlineStr">
        <is>
          <t>Male</t>
        </is>
      </c>
      <c r="D827" s="8" t="n">
        <v>67</v>
      </c>
      <c r="E827" s="8">
        <f>IF(D827&lt;25, "18-24", IF(D827&lt;35, "25-34", IF(D827&lt;50, "35-49", "50+")))</f>
        <v/>
      </c>
      <c r="F827" s="8" t="inlineStr">
        <is>
          <t>Seattle</t>
        </is>
      </c>
      <c r="G827" s="8" t="inlineStr">
        <is>
          <t>Washington</t>
        </is>
      </c>
      <c r="H827" s="8" t="inlineStr">
        <is>
          <t>REG-NA</t>
        </is>
      </c>
      <c r="I827" s="8" t="inlineStr">
        <is>
          <t>Consumer</t>
        </is>
      </c>
      <c r="J827" s="8" t="inlineStr">
        <is>
          <t>2021-01-30</t>
        </is>
      </c>
      <c r="K827" s="8">
        <f>COUNTIFS('05_Orders'!$C:$C, A827)</f>
        <v/>
      </c>
      <c r="L827" s="9">
        <f>SUMIFS('05_Orders'!$I:$I, '05_Orders'!$C:$C, A827)</f>
        <v/>
      </c>
      <c r="M827" s="8">
        <f>IF(L827&gt;=2000, "Platinum VIP", IF(L827&gt;=1000, "Gold", IF(L827&gt;=500, "Silver", "Standard")))</f>
        <v/>
      </c>
    </row>
    <row r="828">
      <c r="A828" s="8" t="inlineStr">
        <is>
          <t>CUST-00824</t>
        </is>
      </c>
      <c r="B828" s="8" t="inlineStr">
        <is>
          <t>George Reyes</t>
        </is>
      </c>
      <c r="C828" s="8" t="inlineStr">
        <is>
          <t>Male</t>
        </is>
      </c>
      <c r="D828" s="8" t="n">
        <v>59</v>
      </c>
      <c r="E828" s="8">
        <f>IF(D828&lt;25, "18-24", IF(D828&lt;35, "25-34", IF(D828&lt;50, "35-49", "50+")))</f>
        <v/>
      </c>
      <c r="F828" s="8" t="inlineStr">
        <is>
          <t>Atlanta</t>
        </is>
      </c>
      <c r="G828" s="8" t="inlineStr">
        <is>
          <t>Georgia</t>
        </is>
      </c>
      <c r="H828" s="8" t="inlineStr">
        <is>
          <t>REG-NA</t>
        </is>
      </c>
      <c r="I828" s="8" t="inlineStr">
        <is>
          <t>Consumer</t>
        </is>
      </c>
      <c r="J828" s="8" t="inlineStr">
        <is>
          <t>2022-08-21</t>
        </is>
      </c>
      <c r="K828" s="8">
        <f>COUNTIFS('05_Orders'!$C:$C, A828)</f>
        <v/>
      </c>
      <c r="L828" s="9">
        <f>SUMIFS('05_Orders'!$I:$I, '05_Orders'!$C:$C, A828)</f>
        <v/>
      </c>
      <c r="M828" s="8">
        <f>IF(L828&gt;=2000, "Platinum VIP", IF(L828&gt;=1000, "Gold", IF(L828&gt;=500, "Silver", "Standard")))</f>
        <v/>
      </c>
    </row>
    <row r="829">
      <c r="A829" s="8" t="inlineStr">
        <is>
          <t>CUST-00825</t>
        </is>
      </c>
      <c r="B829" s="8" t="inlineStr">
        <is>
          <t>Jack Cruz</t>
        </is>
      </c>
      <c r="C829" s="8" t="inlineStr">
        <is>
          <t>Male</t>
        </is>
      </c>
      <c r="D829" s="8" t="n">
        <v>46</v>
      </c>
      <c r="E829" s="8">
        <f>IF(D829&lt;25, "18-24", IF(D829&lt;35, "25-34", IF(D829&lt;50, "35-49", "50+")))</f>
        <v/>
      </c>
      <c r="F829" s="8" t="inlineStr">
        <is>
          <t>Houston</t>
        </is>
      </c>
      <c r="G829" s="8" t="inlineStr">
        <is>
          <t>Texas</t>
        </is>
      </c>
      <c r="H829" s="8" t="inlineStr">
        <is>
          <t>REG-NA</t>
        </is>
      </c>
      <c r="I829" s="8" t="inlineStr">
        <is>
          <t>Corporate</t>
        </is>
      </c>
      <c r="J829" s="8" t="inlineStr">
        <is>
          <t>2022-08-13</t>
        </is>
      </c>
      <c r="K829" s="8">
        <f>COUNTIFS('05_Orders'!$C:$C, A829)</f>
        <v/>
      </c>
      <c r="L829" s="9">
        <f>SUMIFS('05_Orders'!$I:$I, '05_Orders'!$C:$C, A829)</f>
        <v/>
      </c>
      <c r="M829" s="8">
        <f>IF(L829&gt;=2000, "Platinum VIP", IF(L829&gt;=1000, "Gold", IF(L829&gt;=500, "Silver", "Standard")))</f>
        <v/>
      </c>
    </row>
    <row r="830">
      <c r="A830" s="8" t="inlineStr">
        <is>
          <t>CUST-00826</t>
        </is>
      </c>
      <c r="B830" s="8" t="inlineStr">
        <is>
          <t>Rachel Rodriguez</t>
        </is>
      </c>
      <c r="C830" s="8" t="inlineStr">
        <is>
          <t>Female</t>
        </is>
      </c>
      <c r="D830" s="8" t="n">
        <v>51</v>
      </c>
      <c r="E830" s="8">
        <f>IF(D830&lt;25, "18-24", IF(D830&lt;35, "25-34", IF(D830&lt;50, "35-49", "50+")))</f>
        <v/>
      </c>
      <c r="F830" s="8" t="inlineStr">
        <is>
          <t>Stockholm</t>
        </is>
      </c>
      <c r="G830" s="8" t="inlineStr">
        <is>
          <t>Stockholm County</t>
        </is>
      </c>
      <c r="H830" s="8" t="inlineStr">
        <is>
          <t>REG-EU</t>
        </is>
      </c>
      <c r="I830" s="8" t="inlineStr">
        <is>
          <t>Corporate</t>
        </is>
      </c>
      <c r="J830" s="8" t="inlineStr">
        <is>
          <t>2025-01-22</t>
        </is>
      </c>
      <c r="K830" s="8">
        <f>COUNTIFS('05_Orders'!$C:$C, A830)</f>
        <v/>
      </c>
      <c r="L830" s="9">
        <f>SUMIFS('05_Orders'!$I:$I, '05_Orders'!$C:$C, A830)</f>
        <v/>
      </c>
      <c r="M830" s="8">
        <f>IF(L830&gt;=2000, "Platinum VIP", IF(L830&gt;=1000, "Gold", IF(L830&gt;=500, "Silver", "Standard")))</f>
        <v/>
      </c>
    </row>
    <row r="831">
      <c r="A831" s="8" t="inlineStr">
        <is>
          <t>CUST-00827</t>
        </is>
      </c>
      <c r="B831" s="8" t="inlineStr">
        <is>
          <t>Sandra Smith</t>
        </is>
      </c>
      <c r="C831" s="8" t="inlineStr">
        <is>
          <t>Female</t>
        </is>
      </c>
      <c r="D831" s="8" t="n">
        <v>18</v>
      </c>
      <c r="E831" s="8">
        <f>IF(D831&lt;25, "18-24", IF(D831&lt;35, "25-34", IF(D831&lt;50, "35-49", "50+")))</f>
        <v/>
      </c>
      <c r="F831" s="8" t="inlineStr">
        <is>
          <t>Amsterdam</t>
        </is>
      </c>
      <c r="G831" s="8" t="inlineStr">
        <is>
          <t>North Holland</t>
        </is>
      </c>
      <c r="H831" s="8" t="inlineStr">
        <is>
          <t>REG-EU</t>
        </is>
      </c>
      <c r="I831" s="8" t="inlineStr">
        <is>
          <t>Home Office</t>
        </is>
      </c>
      <c r="J831" s="8" t="inlineStr">
        <is>
          <t>2021-09-03</t>
        </is>
      </c>
      <c r="K831" s="8">
        <f>COUNTIFS('05_Orders'!$C:$C, A831)</f>
        <v/>
      </c>
      <c r="L831" s="9">
        <f>SUMIFS('05_Orders'!$I:$I, '05_Orders'!$C:$C, A831)</f>
        <v/>
      </c>
      <c r="M831" s="8">
        <f>IF(L831&gt;=2000, "Platinum VIP", IF(L831&gt;=1000, "Gold", IF(L831&gt;=500, "Silver", "Standard")))</f>
        <v/>
      </c>
    </row>
    <row r="832">
      <c r="A832" s="8" t="inlineStr">
        <is>
          <t>CUST-00828</t>
        </is>
      </c>
      <c r="B832" s="8" t="inlineStr">
        <is>
          <t>John Wood</t>
        </is>
      </c>
      <c r="C832" s="8" t="inlineStr">
        <is>
          <t>Female</t>
        </is>
      </c>
      <c r="D832" s="8" t="n">
        <v>54</v>
      </c>
      <c r="E832" s="8">
        <f>IF(D832&lt;25, "18-24", IF(D832&lt;35, "25-34", IF(D832&lt;50, "35-49", "50+")))</f>
        <v/>
      </c>
      <c r="F832" s="8" t="inlineStr">
        <is>
          <t>Paris</t>
        </is>
      </c>
      <c r="G832" s="8" t="inlineStr">
        <is>
          <t>Ile-de-France</t>
        </is>
      </c>
      <c r="H832" s="8" t="inlineStr">
        <is>
          <t>REG-EU</t>
        </is>
      </c>
      <c r="I832" s="8" t="inlineStr">
        <is>
          <t>Corporate</t>
        </is>
      </c>
      <c r="J832" s="8" t="inlineStr">
        <is>
          <t>2023-03-04</t>
        </is>
      </c>
      <c r="K832" s="8">
        <f>COUNTIFS('05_Orders'!$C:$C, A832)</f>
        <v/>
      </c>
      <c r="L832" s="9">
        <f>SUMIFS('05_Orders'!$I:$I, '05_Orders'!$C:$C, A832)</f>
        <v/>
      </c>
      <c r="M832" s="8">
        <f>IF(L832&gt;=2000, "Platinum VIP", IF(L832&gt;=1000, "Gold", IF(L832&gt;=500, "Silver", "Standard")))</f>
        <v/>
      </c>
    </row>
    <row r="833">
      <c r="A833" s="8" t="inlineStr">
        <is>
          <t>CUST-00829</t>
        </is>
      </c>
      <c r="B833" s="8" t="inlineStr">
        <is>
          <t>George Brooks</t>
        </is>
      </c>
      <c r="C833" s="8" t="inlineStr">
        <is>
          <t>Female</t>
        </is>
      </c>
      <c r="D833" s="8" t="n">
        <v>48</v>
      </c>
      <c r="E833" s="8">
        <f>IF(D833&lt;25, "18-24", IF(D833&lt;35, "25-34", IF(D833&lt;50, "35-49", "50+")))</f>
        <v/>
      </c>
      <c r="F833" s="8" t="inlineStr">
        <is>
          <t>Mexico City</t>
        </is>
      </c>
      <c r="G833" s="8" t="inlineStr">
        <is>
          <t>CDMX</t>
        </is>
      </c>
      <c r="H833" s="8" t="inlineStr">
        <is>
          <t>REG-LATAM</t>
        </is>
      </c>
      <c r="I833" s="8" t="inlineStr">
        <is>
          <t>Consumer</t>
        </is>
      </c>
      <c r="J833" s="8" t="inlineStr">
        <is>
          <t>2023-01-08</t>
        </is>
      </c>
      <c r="K833" s="8">
        <f>COUNTIFS('05_Orders'!$C:$C, A833)</f>
        <v/>
      </c>
      <c r="L833" s="9">
        <f>SUMIFS('05_Orders'!$I:$I, '05_Orders'!$C:$C, A833)</f>
        <v/>
      </c>
      <c r="M833" s="8">
        <f>IF(L833&gt;=2000, "Platinum VIP", IF(L833&gt;=1000, "Gold", IF(L833&gt;=500, "Silver", "Standard")))</f>
        <v/>
      </c>
    </row>
    <row r="834">
      <c r="A834" s="8" t="inlineStr">
        <is>
          <t>CUST-00830</t>
        </is>
      </c>
      <c r="B834" s="8" t="inlineStr">
        <is>
          <t>Stephanie Allen</t>
        </is>
      </c>
      <c r="C834" s="8" t="inlineStr">
        <is>
          <t>Male</t>
        </is>
      </c>
      <c r="D834" s="8" t="n">
        <v>41</v>
      </c>
      <c r="E834" s="8">
        <f>IF(D834&lt;25, "18-24", IF(D834&lt;35, "25-34", IF(D834&lt;50, "35-49", "50+")))</f>
        <v/>
      </c>
      <c r="F834" s="8" t="inlineStr">
        <is>
          <t>Seoul</t>
        </is>
      </c>
      <c r="G834" s="8" t="inlineStr">
        <is>
          <t>Gyeonggi</t>
        </is>
      </c>
      <c r="H834" s="8" t="inlineStr">
        <is>
          <t>REG-APAC</t>
        </is>
      </c>
      <c r="I834" s="8" t="inlineStr">
        <is>
          <t>Home Office</t>
        </is>
      </c>
      <c r="J834" s="8" t="inlineStr">
        <is>
          <t>2021-10-22</t>
        </is>
      </c>
      <c r="K834" s="8">
        <f>COUNTIFS('05_Orders'!$C:$C, A834)</f>
        <v/>
      </c>
      <c r="L834" s="9">
        <f>SUMIFS('05_Orders'!$I:$I, '05_Orders'!$C:$C, A834)</f>
        <v/>
      </c>
      <c r="M834" s="8">
        <f>IF(L834&gt;=2000, "Platinum VIP", IF(L834&gt;=1000, "Gold", IF(L834&gt;=500, "Silver", "Standard")))</f>
        <v/>
      </c>
    </row>
    <row r="835">
      <c r="A835" s="8" t="inlineStr">
        <is>
          <t>CUST-00831</t>
        </is>
      </c>
      <c r="B835" s="8" t="inlineStr">
        <is>
          <t>Rebecca Taylor</t>
        </is>
      </c>
      <c r="C835" s="8" t="inlineStr">
        <is>
          <t>Other</t>
        </is>
      </c>
      <c r="D835" s="8" t="n">
        <v>40</v>
      </c>
      <c r="E835" s="8">
        <f>IF(D835&lt;25, "18-24", IF(D835&lt;35, "25-34", IF(D835&lt;50, "35-49", "50+")))</f>
        <v/>
      </c>
      <c r="F835" s="8" t="inlineStr">
        <is>
          <t>Atlanta</t>
        </is>
      </c>
      <c r="G835" s="8" t="inlineStr">
        <is>
          <t>Georgia</t>
        </is>
      </c>
      <c r="H835" s="8" t="inlineStr">
        <is>
          <t>REG-NA</t>
        </is>
      </c>
      <c r="I835" s="8" t="inlineStr">
        <is>
          <t>Consumer</t>
        </is>
      </c>
      <c r="J835" s="8" t="inlineStr">
        <is>
          <t>2023-05-06</t>
        </is>
      </c>
      <c r="K835" s="8">
        <f>COUNTIFS('05_Orders'!$C:$C, A835)</f>
        <v/>
      </c>
      <c r="L835" s="9">
        <f>SUMIFS('05_Orders'!$I:$I, '05_Orders'!$C:$C, A835)</f>
        <v/>
      </c>
      <c r="M835" s="8">
        <f>IF(L835&gt;=2000, "Platinum VIP", IF(L835&gt;=1000, "Gold", IF(L835&gt;=500, "Silver", "Standard")))</f>
        <v/>
      </c>
    </row>
    <row r="836">
      <c r="A836" s="8" t="inlineStr">
        <is>
          <t>CUST-00832</t>
        </is>
      </c>
      <c r="B836" s="8" t="inlineStr">
        <is>
          <t>Amanda Adams</t>
        </is>
      </c>
      <c r="C836" s="8" t="inlineStr">
        <is>
          <t>Other</t>
        </is>
      </c>
      <c r="D836" s="8" t="n">
        <v>43</v>
      </c>
      <c r="E836" s="8">
        <f>IF(D836&lt;25, "18-24", IF(D836&lt;35, "25-34", IF(D836&lt;50, "35-49", "50+")))</f>
        <v/>
      </c>
      <c r="F836" s="8" t="inlineStr">
        <is>
          <t>Boston</t>
        </is>
      </c>
      <c r="G836" s="8" t="inlineStr">
        <is>
          <t>Massachusetts</t>
        </is>
      </c>
      <c r="H836" s="8" t="inlineStr">
        <is>
          <t>REG-NA</t>
        </is>
      </c>
      <c r="I836" s="8" t="inlineStr">
        <is>
          <t>Consumer</t>
        </is>
      </c>
      <c r="J836" s="8" t="inlineStr">
        <is>
          <t>2022-03-21</t>
        </is>
      </c>
      <c r="K836" s="8">
        <f>COUNTIFS('05_Orders'!$C:$C, A836)</f>
        <v/>
      </c>
      <c r="L836" s="9">
        <f>SUMIFS('05_Orders'!$I:$I, '05_Orders'!$C:$C, A836)</f>
        <v/>
      </c>
      <c r="M836" s="8">
        <f>IF(L836&gt;=2000, "Platinum VIP", IF(L836&gt;=1000, "Gold", IF(L836&gt;=500, "Silver", "Standard")))</f>
        <v/>
      </c>
    </row>
    <row r="837">
      <c r="A837" s="8" t="inlineStr">
        <is>
          <t>CUST-00833</t>
        </is>
      </c>
      <c r="B837" s="8" t="inlineStr">
        <is>
          <t>Aaron Richardson</t>
        </is>
      </c>
      <c r="C837" s="8" t="inlineStr">
        <is>
          <t>Female</t>
        </is>
      </c>
      <c r="D837" s="8" t="n">
        <v>47</v>
      </c>
      <c r="E837" s="8">
        <f>IF(D837&lt;25, "18-24", IF(D837&lt;35, "25-34", IF(D837&lt;50, "35-49", "50+")))</f>
        <v/>
      </c>
      <c r="F837" s="8" t="inlineStr">
        <is>
          <t>Amsterdam</t>
        </is>
      </c>
      <c r="G837" s="8" t="inlineStr">
        <is>
          <t>North Holland</t>
        </is>
      </c>
      <c r="H837" s="8" t="inlineStr">
        <is>
          <t>REG-EU</t>
        </is>
      </c>
      <c r="I837" s="8" t="inlineStr">
        <is>
          <t>Consumer</t>
        </is>
      </c>
      <c r="J837" s="8" t="inlineStr">
        <is>
          <t>2022-09-21</t>
        </is>
      </c>
      <c r="K837" s="8">
        <f>COUNTIFS('05_Orders'!$C:$C, A837)</f>
        <v/>
      </c>
      <c r="L837" s="9">
        <f>SUMIFS('05_Orders'!$I:$I, '05_Orders'!$C:$C, A837)</f>
        <v/>
      </c>
      <c r="M837" s="8">
        <f>IF(L837&gt;=2000, "Platinum VIP", IF(L837&gt;=1000, "Gold", IF(L837&gt;=500, "Silver", "Standard")))</f>
        <v/>
      </c>
    </row>
    <row r="838">
      <c r="A838" s="8" t="inlineStr">
        <is>
          <t>CUST-00834</t>
        </is>
      </c>
      <c r="B838" s="8" t="inlineStr">
        <is>
          <t>Joshua Jimenez</t>
        </is>
      </c>
      <c r="C838" s="8" t="inlineStr">
        <is>
          <t>Other</t>
        </is>
      </c>
      <c r="D838" s="8" t="n">
        <v>44</v>
      </c>
      <c r="E838" s="8">
        <f>IF(D838&lt;25, "18-24", IF(D838&lt;35, "25-34", IF(D838&lt;50, "35-49", "50+")))</f>
        <v/>
      </c>
      <c r="F838" s="8" t="inlineStr">
        <is>
          <t>Houston</t>
        </is>
      </c>
      <c r="G838" s="8" t="inlineStr">
        <is>
          <t>Texas</t>
        </is>
      </c>
      <c r="H838" s="8" t="inlineStr">
        <is>
          <t>REG-NA</t>
        </is>
      </c>
      <c r="I838" s="8" t="inlineStr">
        <is>
          <t>Consumer</t>
        </is>
      </c>
      <c r="J838" s="8" t="inlineStr">
        <is>
          <t>2021-11-17</t>
        </is>
      </c>
      <c r="K838" s="8">
        <f>COUNTIFS('05_Orders'!$C:$C, A838)</f>
        <v/>
      </c>
      <c r="L838" s="9">
        <f>SUMIFS('05_Orders'!$I:$I, '05_Orders'!$C:$C, A838)</f>
        <v/>
      </c>
      <c r="M838" s="8">
        <f>IF(L838&gt;=2000, "Platinum VIP", IF(L838&gt;=1000, "Gold", IF(L838&gt;=500, "Silver", "Standard")))</f>
        <v/>
      </c>
    </row>
    <row r="839">
      <c r="A839" s="8" t="inlineStr">
        <is>
          <t>CUST-00835</t>
        </is>
      </c>
      <c r="B839" s="8" t="inlineStr">
        <is>
          <t>Patricia Ruiz</t>
        </is>
      </c>
      <c r="C839" s="8" t="inlineStr">
        <is>
          <t>Male</t>
        </is>
      </c>
      <c r="D839" s="8" t="n">
        <v>42</v>
      </c>
      <c r="E839" s="8">
        <f>IF(D839&lt;25, "18-24", IF(D839&lt;35, "25-34", IF(D839&lt;50, "35-49", "50+")))</f>
        <v/>
      </c>
      <c r="F839" s="8" t="inlineStr">
        <is>
          <t>Berlin</t>
        </is>
      </c>
      <c r="G839" s="8" t="inlineStr">
        <is>
          <t>Berlin</t>
        </is>
      </c>
      <c r="H839" s="8" t="inlineStr">
        <is>
          <t>REG-EU</t>
        </is>
      </c>
      <c r="I839" s="8" t="inlineStr">
        <is>
          <t>Consumer</t>
        </is>
      </c>
      <c r="J839" s="8" t="inlineStr">
        <is>
          <t>2025-03-08</t>
        </is>
      </c>
      <c r="K839" s="8">
        <f>COUNTIFS('05_Orders'!$C:$C, A839)</f>
        <v/>
      </c>
      <c r="L839" s="9">
        <f>SUMIFS('05_Orders'!$I:$I, '05_Orders'!$C:$C, A839)</f>
        <v/>
      </c>
      <c r="M839" s="8">
        <f>IF(L839&gt;=2000, "Platinum VIP", IF(L839&gt;=1000, "Gold", IF(L839&gt;=500, "Silver", "Standard")))</f>
        <v/>
      </c>
    </row>
    <row r="840">
      <c r="A840" s="8" t="inlineStr">
        <is>
          <t>CUST-00836</t>
        </is>
      </c>
      <c r="B840" s="8" t="inlineStr">
        <is>
          <t>Margaret Martin</t>
        </is>
      </c>
      <c r="C840" s="8" t="inlineStr">
        <is>
          <t>Female</t>
        </is>
      </c>
      <c r="D840" s="8" t="n">
        <v>38</v>
      </c>
      <c r="E840" s="8">
        <f>IF(D840&lt;25, "18-24", IF(D840&lt;35, "25-34", IF(D840&lt;50, "35-49", "50+")))</f>
        <v/>
      </c>
      <c r="F840" s="8" t="inlineStr">
        <is>
          <t>Berlin</t>
        </is>
      </c>
      <c r="G840" s="8" t="inlineStr">
        <is>
          <t>Berlin</t>
        </is>
      </c>
      <c r="H840" s="8" t="inlineStr">
        <is>
          <t>REG-EU</t>
        </is>
      </c>
      <c r="I840" s="8" t="inlineStr">
        <is>
          <t>Home Office</t>
        </is>
      </c>
      <c r="J840" s="8" t="inlineStr">
        <is>
          <t>2023-09-24</t>
        </is>
      </c>
      <c r="K840" s="8">
        <f>COUNTIFS('05_Orders'!$C:$C, A840)</f>
        <v/>
      </c>
      <c r="L840" s="9">
        <f>SUMIFS('05_Orders'!$I:$I, '05_Orders'!$C:$C, A840)</f>
        <v/>
      </c>
      <c r="M840" s="8">
        <f>IF(L840&gt;=2000, "Platinum VIP", IF(L840&gt;=1000, "Gold", IF(L840&gt;=500, "Silver", "Standard")))</f>
        <v/>
      </c>
    </row>
    <row r="841">
      <c r="A841" s="8" t="inlineStr">
        <is>
          <t>CUST-00837</t>
        </is>
      </c>
      <c r="B841" s="8" t="inlineStr">
        <is>
          <t>Robert Gray</t>
        </is>
      </c>
      <c r="C841" s="8" t="inlineStr">
        <is>
          <t>Male</t>
        </is>
      </c>
      <c r="D841" s="8" t="n">
        <v>68</v>
      </c>
      <c r="E841" s="8">
        <f>IF(D841&lt;25, "18-24", IF(D841&lt;35, "25-34", IF(D841&lt;50, "35-49", "50+")))</f>
        <v/>
      </c>
      <c r="F841" s="8" t="inlineStr">
        <is>
          <t>New York</t>
        </is>
      </c>
      <c r="G841" s="8" t="inlineStr">
        <is>
          <t>New York</t>
        </is>
      </c>
      <c r="H841" s="8" t="inlineStr">
        <is>
          <t>REG-NA</t>
        </is>
      </c>
      <c r="I841" s="8" t="inlineStr">
        <is>
          <t>Consumer</t>
        </is>
      </c>
      <c r="J841" s="8" t="inlineStr">
        <is>
          <t>2021-04-19</t>
        </is>
      </c>
      <c r="K841" s="8">
        <f>COUNTIFS('05_Orders'!$C:$C, A841)</f>
        <v/>
      </c>
      <c r="L841" s="9">
        <f>SUMIFS('05_Orders'!$I:$I, '05_Orders'!$C:$C, A841)</f>
        <v/>
      </c>
      <c r="M841" s="8">
        <f>IF(L841&gt;=2000, "Platinum VIP", IF(L841&gt;=1000, "Gold", IF(L841&gt;=500, "Silver", "Standard")))</f>
        <v/>
      </c>
    </row>
    <row r="842">
      <c r="A842" s="8" t="inlineStr">
        <is>
          <t>CUST-00838</t>
        </is>
      </c>
      <c r="B842" s="8" t="inlineStr">
        <is>
          <t>Ruth Martin</t>
        </is>
      </c>
      <c r="C842" s="8" t="inlineStr">
        <is>
          <t>Male</t>
        </is>
      </c>
      <c r="D842" s="8" t="n">
        <v>37</v>
      </c>
      <c r="E842" s="8">
        <f>IF(D842&lt;25, "18-24", IF(D842&lt;35, "25-34", IF(D842&lt;50, "35-49", "50+")))</f>
        <v/>
      </c>
      <c r="F842" s="8" t="inlineStr">
        <is>
          <t>Hong Kong</t>
        </is>
      </c>
      <c r="G842" s="8" t="inlineStr">
        <is>
          <t>Hong Kong</t>
        </is>
      </c>
      <c r="H842" s="8" t="inlineStr">
        <is>
          <t>REG-APAC</t>
        </is>
      </c>
      <c r="I842" s="8" t="inlineStr">
        <is>
          <t>Corporate</t>
        </is>
      </c>
      <c r="J842" s="8" t="inlineStr">
        <is>
          <t>2022-10-09</t>
        </is>
      </c>
      <c r="K842" s="8">
        <f>COUNTIFS('05_Orders'!$C:$C, A842)</f>
        <v/>
      </c>
      <c r="L842" s="9">
        <f>SUMIFS('05_Orders'!$I:$I, '05_Orders'!$C:$C, A842)</f>
        <v/>
      </c>
      <c r="M842" s="8">
        <f>IF(L842&gt;=2000, "Platinum VIP", IF(L842&gt;=1000, "Gold", IF(L842&gt;=500, "Silver", "Standard")))</f>
        <v/>
      </c>
    </row>
    <row r="843">
      <c r="A843" s="8" t="inlineStr">
        <is>
          <t>CUST-00839</t>
        </is>
      </c>
      <c r="B843" s="8" t="inlineStr">
        <is>
          <t>Donna Hill</t>
        </is>
      </c>
      <c r="C843" s="8" t="inlineStr">
        <is>
          <t>Male</t>
        </is>
      </c>
      <c r="D843" s="8" t="n">
        <v>69</v>
      </c>
      <c r="E843" s="8">
        <f>IF(D843&lt;25, "18-24", IF(D843&lt;35, "25-34", IF(D843&lt;50, "35-49", "50+")))</f>
        <v/>
      </c>
      <c r="F843" s="8" t="inlineStr">
        <is>
          <t>Berlin</t>
        </is>
      </c>
      <c r="G843" s="8" t="inlineStr">
        <is>
          <t>Berlin</t>
        </is>
      </c>
      <c r="H843" s="8" t="inlineStr">
        <is>
          <t>REG-EU</t>
        </is>
      </c>
      <c r="I843" s="8" t="inlineStr">
        <is>
          <t>Consumer</t>
        </is>
      </c>
      <c r="J843" s="8" t="inlineStr">
        <is>
          <t>2021-08-31</t>
        </is>
      </c>
      <c r="K843" s="8">
        <f>COUNTIFS('05_Orders'!$C:$C, A843)</f>
        <v/>
      </c>
      <c r="L843" s="9">
        <f>SUMIFS('05_Orders'!$I:$I, '05_Orders'!$C:$C, A843)</f>
        <v/>
      </c>
      <c r="M843" s="8">
        <f>IF(L843&gt;=2000, "Platinum VIP", IF(L843&gt;=1000, "Gold", IF(L843&gt;=500, "Silver", "Standard")))</f>
        <v/>
      </c>
    </row>
    <row r="844">
      <c r="A844" s="8" t="inlineStr">
        <is>
          <t>CUST-00840</t>
        </is>
      </c>
      <c r="B844" s="8" t="inlineStr">
        <is>
          <t>Gary Hughes</t>
        </is>
      </c>
      <c r="C844" s="8" t="inlineStr">
        <is>
          <t>Female</t>
        </is>
      </c>
      <c r="D844" s="8" t="n">
        <v>62</v>
      </c>
      <c r="E844" s="8">
        <f>IF(D844&lt;25, "18-24", IF(D844&lt;35, "25-34", IF(D844&lt;50, "35-49", "50+")))</f>
        <v/>
      </c>
      <c r="F844" s="8" t="inlineStr">
        <is>
          <t>Sydney</t>
        </is>
      </c>
      <c r="G844" s="8" t="inlineStr">
        <is>
          <t>New South Wales</t>
        </is>
      </c>
      <c r="H844" s="8" t="inlineStr">
        <is>
          <t>REG-APAC</t>
        </is>
      </c>
      <c r="I844" s="8" t="inlineStr">
        <is>
          <t>Enterprise</t>
        </is>
      </c>
      <c r="J844" s="8" t="inlineStr">
        <is>
          <t>2024-09-21</t>
        </is>
      </c>
      <c r="K844" s="8">
        <f>COUNTIFS('05_Orders'!$C:$C, A844)</f>
        <v/>
      </c>
      <c r="L844" s="9">
        <f>SUMIFS('05_Orders'!$I:$I, '05_Orders'!$C:$C, A844)</f>
        <v/>
      </c>
      <c r="M844" s="8">
        <f>IF(L844&gt;=2000, "Platinum VIP", IF(L844&gt;=1000, "Gold", IF(L844&gt;=500, "Silver", "Standard")))</f>
        <v/>
      </c>
    </row>
    <row r="845">
      <c r="A845" s="8" t="inlineStr">
        <is>
          <t>CUST-00841</t>
        </is>
      </c>
      <c r="B845" s="8" t="inlineStr">
        <is>
          <t>Ronald Stewart</t>
        </is>
      </c>
      <c r="C845" s="8" t="inlineStr">
        <is>
          <t>Female</t>
        </is>
      </c>
      <c r="D845" s="8" t="n">
        <v>48</v>
      </c>
      <c r="E845" s="8">
        <f>IF(D845&lt;25, "18-24", IF(D845&lt;35, "25-34", IF(D845&lt;50, "35-49", "50+")))</f>
        <v/>
      </c>
      <c r="F845" s="8" t="inlineStr">
        <is>
          <t>New York</t>
        </is>
      </c>
      <c r="G845" s="8" t="inlineStr">
        <is>
          <t>New York</t>
        </is>
      </c>
      <c r="H845" s="8" t="inlineStr">
        <is>
          <t>REG-NA</t>
        </is>
      </c>
      <c r="I845" s="8" t="inlineStr">
        <is>
          <t>Corporate</t>
        </is>
      </c>
      <c r="J845" s="8" t="inlineStr">
        <is>
          <t>2023-01-13</t>
        </is>
      </c>
      <c r="K845" s="8">
        <f>COUNTIFS('05_Orders'!$C:$C, A845)</f>
        <v/>
      </c>
      <c r="L845" s="9">
        <f>SUMIFS('05_Orders'!$I:$I, '05_Orders'!$C:$C, A845)</f>
        <v/>
      </c>
      <c r="M845" s="8">
        <f>IF(L845&gt;=2000, "Platinum VIP", IF(L845&gt;=1000, "Gold", IF(L845&gt;=500, "Silver", "Standard")))</f>
        <v/>
      </c>
    </row>
    <row r="846">
      <c r="A846" s="8" t="inlineStr">
        <is>
          <t>CUST-00842</t>
        </is>
      </c>
      <c r="B846" s="8" t="inlineStr">
        <is>
          <t>Nicholas Bennett</t>
        </is>
      </c>
      <c r="C846" s="8" t="inlineStr">
        <is>
          <t>Other</t>
        </is>
      </c>
      <c r="D846" s="8" t="n">
        <v>40</v>
      </c>
      <c r="E846" s="8">
        <f>IF(D846&lt;25, "18-24", IF(D846&lt;35, "25-34", IF(D846&lt;50, "35-49", "50+")))</f>
        <v/>
      </c>
      <c r="F846" s="8" t="inlineStr">
        <is>
          <t>Tokyo</t>
        </is>
      </c>
      <c r="G846" s="8" t="inlineStr">
        <is>
          <t>Kanto</t>
        </is>
      </c>
      <c r="H846" s="8" t="inlineStr">
        <is>
          <t>REG-APAC</t>
        </is>
      </c>
      <c r="I846" s="8" t="inlineStr">
        <is>
          <t>Home Office</t>
        </is>
      </c>
      <c r="J846" s="8" t="inlineStr">
        <is>
          <t>2021-05-22</t>
        </is>
      </c>
      <c r="K846" s="8">
        <f>COUNTIFS('05_Orders'!$C:$C, A846)</f>
        <v/>
      </c>
      <c r="L846" s="9">
        <f>SUMIFS('05_Orders'!$I:$I, '05_Orders'!$C:$C, A846)</f>
        <v/>
      </c>
      <c r="M846" s="8">
        <f>IF(L846&gt;=2000, "Platinum VIP", IF(L846&gt;=1000, "Gold", IF(L846&gt;=500, "Silver", "Standard")))</f>
        <v/>
      </c>
    </row>
    <row r="847">
      <c r="A847" s="8" t="inlineStr">
        <is>
          <t>CUST-00843</t>
        </is>
      </c>
      <c r="B847" s="8" t="inlineStr">
        <is>
          <t>Joseph Bennett</t>
        </is>
      </c>
      <c r="C847" s="8" t="inlineStr">
        <is>
          <t>Male</t>
        </is>
      </c>
      <c r="D847" s="8" t="n">
        <v>45</v>
      </c>
      <c r="E847" s="8">
        <f>IF(D847&lt;25, "18-24", IF(D847&lt;35, "25-34", IF(D847&lt;50, "35-49", "50+")))</f>
        <v/>
      </c>
      <c r="F847" s="8" t="inlineStr">
        <is>
          <t>Los Angeles</t>
        </is>
      </c>
      <c r="G847" s="8" t="inlineStr">
        <is>
          <t>California</t>
        </is>
      </c>
      <c r="H847" s="8" t="inlineStr">
        <is>
          <t>REG-NA</t>
        </is>
      </c>
      <c r="I847" s="8" t="inlineStr">
        <is>
          <t>Consumer</t>
        </is>
      </c>
      <c r="J847" s="8" t="inlineStr">
        <is>
          <t>2023-10-11</t>
        </is>
      </c>
      <c r="K847" s="8">
        <f>COUNTIFS('05_Orders'!$C:$C, A847)</f>
        <v/>
      </c>
      <c r="L847" s="9">
        <f>SUMIFS('05_Orders'!$I:$I, '05_Orders'!$C:$C, A847)</f>
        <v/>
      </c>
      <c r="M847" s="8">
        <f>IF(L847&gt;=2000, "Platinum VIP", IF(L847&gt;=1000, "Gold", IF(L847&gt;=500, "Silver", "Standard")))</f>
        <v/>
      </c>
    </row>
    <row r="848">
      <c r="A848" s="8" t="inlineStr">
        <is>
          <t>CUST-00844</t>
        </is>
      </c>
      <c r="B848" s="8" t="inlineStr">
        <is>
          <t>Steven Harris</t>
        </is>
      </c>
      <c r="C848" s="8" t="inlineStr">
        <is>
          <t>Other</t>
        </is>
      </c>
      <c r="D848" s="8" t="n">
        <v>35</v>
      </c>
      <c r="E848" s="8">
        <f>IF(D848&lt;25, "18-24", IF(D848&lt;35, "25-34", IF(D848&lt;50, "35-49", "50+")))</f>
        <v/>
      </c>
      <c r="F848" s="8" t="inlineStr">
        <is>
          <t>Sao Paulo</t>
        </is>
      </c>
      <c r="G848" s="8" t="inlineStr">
        <is>
          <t>Sao Paulo State</t>
        </is>
      </c>
      <c r="H848" s="8" t="inlineStr">
        <is>
          <t>REG-LATAM</t>
        </is>
      </c>
      <c r="I848" s="8" t="inlineStr">
        <is>
          <t>Corporate</t>
        </is>
      </c>
      <c r="J848" s="8" t="inlineStr">
        <is>
          <t>2021-12-08</t>
        </is>
      </c>
      <c r="K848" s="8">
        <f>COUNTIFS('05_Orders'!$C:$C, A848)</f>
        <v/>
      </c>
      <c r="L848" s="9">
        <f>SUMIFS('05_Orders'!$I:$I, '05_Orders'!$C:$C, A848)</f>
        <v/>
      </c>
      <c r="M848" s="8">
        <f>IF(L848&gt;=2000, "Platinum VIP", IF(L848&gt;=1000, "Gold", IF(L848&gt;=500, "Silver", "Standard")))</f>
        <v/>
      </c>
    </row>
    <row r="849">
      <c r="A849" s="8" t="inlineStr">
        <is>
          <t>CUST-00845</t>
        </is>
      </c>
      <c r="B849" s="8" t="inlineStr">
        <is>
          <t>Sharon Baker</t>
        </is>
      </c>
      <c r="C849" s="8" t="inlineStr">
        <is>
          <t>Male</t>
        </is>
      </c>
      <c r="D849" s="8" t="n">
        <v>35</v>
      </c>
      <c r="E849" s="8">
        <f>IF(D849&lt;25, "18-24", IF(D849&lt;35, "25-34", IF(D849&lt;50, "35-49", "50+")))</f>
        <v/>
      </c>
      <c r="F849" s="8" t="inlineStr">
        <is>
          <t>Bangalore</t>
        </is>
      </c>
      <c r="G849" s="8" t="inlineStr">
        <is>
          <t>Karnataka</t>
        </is>
      </c>
      <c r="H849" s="8" t="inlineStr">
        <is>
          <t>REG-APAC</t>
        </is>
      </c>
      <c r="I849" s="8" t="inlineStr">
        <is>
          <t>Corporate</t>
        </is>
      </c>
      <c r="J849" s="8" t="inlineStr">
        <is>
          <t>2022-11-13</t>
        </is>
      </c>
      <c r="K849" s="8">
        <f>COUNTIFS('05_Orders'!$C:$C, A849)</f>
        <v/>
      </c>
      <c r="L849" s="9">
        <f>SUMIFS('05_Orders'!$I:$I, '05_Orders'!$C:$C, A849)</f>
        <v/>
      </c>
      <c r="M849" s="8">
        <f>IF(L849&gt;=2000, "Platinum VIP", IF(L849&gt;=1000, "Gold", IF(L849&gt;=500, "Silver", "Standard")))</f>
        <v/>
      </c>
    </row>
    <row r="850">
      <c r="A850" s="8" t="inlineStr">
        <is>
          <t>CUST-00846</t>
        </is>
      </c>
      <c r="B850" s="8" t="inlineStr">
        <is>
          <t>Dennis Kelly</t>
        </is>
      </c>
      <c r="C850" s="8" t="inlineStr">
        <is>
          <t>Male</t>
        </is>
      </c>
      <c r="D850" s="8" t="n">
        <v>37</v>
      </c>
      <c r="E850" s="8">
        <f>IF(D850&lt;25, "18-24", IF(D850&lt;35, "25-34", IF(D850&lt;50, "35-49", "50+")))</f>
        <v/>
      </c>
      <c r="F850" s="8" t="inlineStr">
        <is>
          <t>Toronto</t>
        </is>
      </c>
      <c r="G850" s="8" t="inlineStr">
        <is>
          <t>Ontario</t>
        </is>
      </c>
      <c r="H850" s="8" t="inlineStr">
        <is>
          <t>REG-NA</t>
        </is>
      </c>
      <c r="I850" s="8" t="inlineStr">
        <is>
          <t>Consumer</t>
        </is>
      </c>
      <c r="J850" s="8" t="inlineStr">
        <is>
          <t>2021-03-15</t>
        </is>
      </c>
      <c r="K850" s="8">
        <f>COUNTIFS('05_Orders'!$C:$C, A850)</f>
        <v/>
      </c>
      <c r="L850" s="9">
        <f>SUMIFS('05_Orders'!$I:$I, '05_Orders'!$C:$C, A850)</f>
        <v/>
      </c>
      <c r="M850" s="8">
        <f>IF(L850&gt;=2000, "Platinum VIP", IF(L850&gt;=1000, "Gold", IF(L850&gt;=500, "Silver", "Standard")))</f>
        <v/>
      </c>
    </row>
    <row r="851">
      <c r="A851" s="8" t="inlineStr">
        <is>
          <t>CUST-00847</t>
        </is>
      </c>
      <c r="B851" s="8" t="inlineStr">
        <is>
          <t>Angela Diaz</t>
        </is>
      </c>
      <c r="C851" s="8" t="inlineStr">
        <is>
          <t>Female</t>
        </is>
      </c>
      <c r="D851" s="8" t="n">
        <v>63</v>
      </c>
      <c r="E851" s="8">
        <f>IF(D851&lt;25, "18-24", IF(D851&lt;35, "25-34", IF(D851&lt;50, "35-49", "50+")))</f>
        <v/>
      </c>
      <c r="F851" s="8" t="inlineStr">
        <is>
          <t>Seattle</t>
        </is>
      </c>
      <c r="G851" s="8" t="inlineStr">
        <is>
          <t>Washington</t>
        </is>
      </c>
      <c r="H851" s="8" t="inlineStr">
        <is>
          <t>REG-NA</t>
        </is>
      </c>
      <c r="I851" s="8" t="inlineStr">
        <is>
          <t>Corporate</t>
        </is>
      </c>
      <c r="J851" s="8" t="inlineStr">
        <is>
          <t>2024-02-06</t>
        </is>
      </c>
      <c r="K851" s="8">
        <f>COUNTIFS('05_Orders'!$C:$C, A851)</f>
        <v/>
      </c>
      <c r="L851" s="9">
        <f>SUMIFS('05_Orders'!$I:$I, '05_Orders'!$C:$C, A851)</f>
        <v/>
      </c>
      <c r="M851" s="8">
        <f>IF(L851&gt;=2000, "Platinum VIP", IF(L851&gt;=1000, "Gold", IF(L851&gt;=500, "Silver", "Standard")))</f>
        <v/>
      </c>
    </row>
    <row r="852">
      <c r="A852" s="8" t="inlineStr">
        <is>
          <t>CUST-00848</t>
        </is>
      </c>
      <c r="B852" s="8" t="inlineStr">
        <is>
          <t>Debra Hernandez</t>
        </is>
      </c>
      <c r="C852" s="8" t="inlineStr">
        <is>
          <t>Other</t>
        </is>
      </c>
      <c r="D852" s="8" t="n">
        <v>38</v>
      </c>
      <c r="E852" s="8">
        <f>IF(D852&lt;25, "18-24", IF(D852&lt;35, "25-34", IF(D852&lt;50, "35-49", "50+")))</f>
        <v/>
      </c>
      <c r="F852" s="8" t="inlineStr">
        <is>
          <t>Tokyo</t>
        </is>
      </c>
      <c r="G852" s="8" t="inlineStr">
        <is>
          <t>Kanto</t>
        </is>
      </c>
      <c r="H852" s="8" t="inlineStr">
        <is>
          <t>REG-APAC</t>
        </is>
      </c>
      <c r="I852" s="8" t="inlineStr">
        <is>
          <t>Consumer</t>
        </is>
      </c>
      <c r="J852" s="8" t="inlineStr">
        <is>
          <t>2021-09-21</t>
        </is>
      </c>
      <c r="K852" s="8">
        <f>COUNTIFS('05_Orders'!$C:$C, A852)</f>
        <v/>
      </c>
      <c r="L852" s="9">
        <f>SUMIFS('05_Orders'!$I:$I, '05_Orders'!$C:$C, A852)</f>
        <v/>
      </c>
      <c r="M852" s="8">
        <f>IF(L852&gt;=2000, "Platinum VIP", IF(L852&gt;=1000, "Gold", IF(L852&gt;=500, "Silver", "Standard")))</f>
        <v/>
      </c>
    </row>
    <row r="853">
      <c r="A853" s="8" t="inlineStr">
        <is>
          <t>CUST-00849</t>
        </is>
      </c>
      <c r="B853" s="8" t="inlineStr">
        <is>
          <t>Karen Kelly</t>
        </is>
      </c>
      <c r="C853" s="8" t="inlineStr">
        <is>
          <t>Male</t>
        </is>
      </c>
      <c r="D853" s="8" t="n">
        <v>67</v>
      </c>
      <c r="E853" s="8">
        <f>IF(D853&lt;25, "18-24", IF(D853&lt;35, "25-34", IF(D853&lt;50, "35-49", "50+")))</f>
        <v/>
      </c>
      <c r="F853" s="8" t="inlineStr">
        <is>
          <t>Los Angeles</t>
        </is>
      </c>
      <c r="G853" s="8" t="inlineStr">
        <is>
          <t>California</t>
        </is>
      </c>
      <c r="H853" s="8" t="inlineStr">
        <is>
          <t>REG-NA</t>
        </is>
      </c>
      <c r="I853" s="8" t="inlineStr">
        <is>
          <t>Consumer</t>
        </is>
      </c>
      <c r="J853" s="8" t="inlineStr">
        <is>
          <t>2021-01-28</t>
        </is>
      </c>
      <c r="K853" s="8">
        <f>COUNTIFS('05_Orders'!$C:$C, A853)</f>
        <v/>
      </c>
      <c r="L853" s="9">
        <f>SUMIFS('05_Orders'!$I:$I, '05_Orders'!$C:$C, A853)</f>
        <v/>
      </c>
      <c r="M853" s="8">
        <f>IF(L853&gt;=2000, "Platinum VIP", IF(L853&gt;=1000, "Gold", IF(L853&gt;=500, "Silver", "Standard")))</f>
        <v/>
      </c>
    </row>
    <row r="854">
      <c r="A854" s="8" t="inlineStr">
        <is>
          <t>CUST-00850</t>
        </is>
      </c>
      <c r="B854" s="8" t="inlineStr">
        <is>
          <t>Scott Watson</t>
        </is>
      </c>
      <c r="C854" s="8" t="inlineStr">
        <is>
          <t>Female</t>
        </is>
      </c>
      <c r="D854" s="8" t="n">
        <v>58</v>
      </c>
      <c r="E854" s="8">
        <f>IF(D854&lt;25, "18-24", IF(D854&lt;35, "25-34", IF(D854&lt;50, "35-49", "50+")))</f>
        <v/>
      </c>
      <c r="F854" s="8" t="inlineStr">
        <is>
          <t>Tokyo</t>
        </is>
      </c>
      <c r="G854" s="8" t="inlineStr">
        <is>
          <t>Kanto</t>
        </is>
      </c>
      <c r="H854" s="8" t="inlineStr">
        <is>
          <t>REG-APAC</t>
        </is>
      </c>
      <c r="I854" s="8" t="inlineStr">
        <is>
          <t>Corporate</t>
        </is>
      </c>
      <c r="J854" s="8" t="inlineStr">
        <is>
          <t>2021-04-26</t>
        </is>
      </c>
      <c r="K854" s="8">
        <f>COUNTIFS('05_Orders'!$C:$C, A854)</f>
        <v/>
      </c>
      <c r="L854" s="9">
        <f>SUMIFS('05_Orders'!$I:$I, '05_Orders'!$C:$C, A854)</f>
        <v/>
      </c>
      <c r="M854" s="8">
        <f>IF(L854&gt;=2000, "Platinum VIP", IF(L854&gt;=1000, "Gold", IF(L854&gt;=500, "Silver", "Standard")))</f>
        <v/>
      </c>
    </row>
    <row r="855">
      <c r="A855" s="8" t="inlineStr">
        <is>
          <t>CUST-00851</t>
        </is>
      </c>
      <c r="B855" s="8" t="inlineStr">
        <is>
          <t>Barbara Alvarez</t>
        </is>
      </c>
      <c r="C855" s="8" t="inlineStr">
        <is>
          <t>Male</t>
        </is>
      </c>
      <c r="D855" s="8" t="n">
        <v>18</v>
      </c>
      <c r="E855" s="8">
        <f>IF(D855&lt;25, "18-24", IF(D855&lt;35, "25-34", IF(D855&lt;50, "35-49", "50+")))</f>
        <v/>
      </c>
      <c r="F855" s="8" t="inlineStr">
        <is>
          <t>Munich</t>
        </is>
      </c>
      <c r="G855" s="8" t="inlineStr">
        <is>
          <t>Bavaria</t>
        </is>
      </c>
      <c r="H855" s="8" t="inlineStr">
        <is>
          <t>REG-EU</t>
        </is>
      </c>
      <c r="I855" s="8" t="inlineStr">
        <is>
          <t>Consumer</t>
        </is>
      </c>
      <c r="J855" s="8" t="inlineStr">
        <is>
          <t>2025-01-08</t>
        </is>
      </c>
      <c r="K855" s="8">
        <f>COUNTIFS('05_Orders'!$C:$C, A855)</f>
        <v/>
      </c>
      <c r="L855" s="9">
        <f>SUMIFS('05_Orders'!$I:$I, '05_Orders'!$C:$C, A855)</f>
        <v/>
      </c>
      <c r="M855" s="8">
        <f>IF(L855&gt;=2000, "Platinum VIP", IF(L855&gt;=1000, "Gold", IF(L855&gt;=500, "Silver", "Standard")))</f>
        <v/>
      </c>
    </row>
    <row r="856">
      <c r="A856" s="8" t="inlineStr">
        <is>
          <t>CUST-00852</t>
        </is>
      </c>
      <c r="B856" s="8" t="inlineStr">
        <is>
          <t>Margaret Price</t>
        </is>
      </c>
      <c r="C856" s="8" t="inlineStr">
        <is>
          <t>Female</t>
        </is>
      </c>
      <c r="D856" s="8" t="n">
        <v>56</v>
      </c>
      <c r="E856" s="8">
        <f>IF(D856&lt;25, "18-24", IF(D856&lt;35, "25-34", IF(D856&lt;50, "35-49", "50+")))</f>
        <v/>
      </c>
      <c r="F856" s="8" t="inlineStr">
        <is>
          <t>Bangalore</t>
        </is>
      </c>
      <c r="G856" s="8" t="inlineStr">
        <is>
          <t>Karnataka</t>
        </is>
      </c>
      <c r="H856" s="8" t="inlineStr">
        <is>
          <t>REG-APAC</t>
        </is>
      </c>
      <c r="I856" s="8" t="inlineStr">
        <is>
          <t>Consumer</t>
        </is>
      </c>
      <c r="J856" s="8" t="inlineStr">
        <is>
          <t>2024-10-16</t>
        </is>
      </c>
      <c r="K856" s="8">
        <f>COUNTIFS('05_Orders'!$C:$C, A856)</f>
        <v/>
      </c>
      <c r="L856" s="9">
        <f>SUMIFS('05_Orders'!$I:$I, '05_Orders'!$C:$C, A856)</f>
        <v/>
      </c>
      <c r="M856" s="8">
        <f>IF(L856&gt;=2000, "Platinum VIP", IF(L856&gt;=1000, "Gold", IF(L856&gt;=500, "Silver", "Standard")))</f>
        <v/>
      </c>
    </row>
    <row r="857">
      <c r="A857" s="8" t="inlineStr">
        <is>
          <t>CUST-00853</t>
        </is>
      </c>
      <c r="B857" s="8" t="inlineStr">
        <is>
          <t>David Thompson</t>
        </is>
      </c>
      <c r="C857" s="8" t="inlineStr">
        <is>
          <t>Male</t>
        </is>
      </c>
      <c r="D857" s="8" t="n">
        <v>34</v>
      </c>
      <c r="E857" s="8">
        <f>IF(D857&lt;25, "18-24", IF(D857&lt;35, "25-34", IF(D857&lt;50, "35-49", "50+")))</f>
        <v/>
      </c>
      <c r="F857" s="8" t="inlineStr">
        <is>
          <t>Boston</t>
        </is>
      </c>
      <c r="G857" s="8" t="inlineStr">
        <is>
          <t>Massachusetts</t>
        </is>
      </c>
      <c r="H857" s="8" t="inlineStr">
        <is>
          <t>REG-NA</t>
        </is>
      </c>
      <c r="I857" s="8" t="inlineStr">
        <is>
          <t>Corporate</t>
        </is>
      </c>
      <c r="J857" s="8" t="inlineStr">
        <is>
          <t>2022-01-23</t>
        </is>
      </c>
      <c r="K857" s="8">
        <f>COUNTIFS('05_Orders'!$C:$C, A857)</f>
        <v/>
      </c>
      <c r="L857" s="9">
        <f>SUMIFS('05_Orders'!$I:$I, '05_Orders'!$C:$C, A857)</f>
        <v/>
      </c>
      <c r="M857" s="8">
        <f>IF(L857&gt;=2000, "Platinum VIP", IF(L857&gt;=1000, "Gold", IF(L857&gt;=500, "Silver", "Standard")))</f>
        <v/>
      </c>
    </row>
    <row r="858">
      <c r="A858" s="8" t="inlineStr">
        <is>
          <t>CUST-00854</t>
        </is>
      </c>
      <c r="B858" s="8" t="inlineStr">
        <is>
          <t>Carol Long</t>
        </is>
      </c>
      <c r="C858" s="8" t="inlineStr">
        <is>
          <t>Male</t>
        </is>
      </c>
      <c r="D858" s="8" t="n">
        <v>28</v>
      </c>
      <c r="E858" s="8">
        <f>IF(D858&lt;25, "18-24", IF(D858&lt;35, "25-34", IF(D858&lt;50, "35-49", "50+")))</f>
        <v/>
      </c>
      <c r="F858" s="8" t="inlineStr">
        <is>
          <t>Denver</t>
        </is>
      </c>
      <c r="G858" s="8" t="inlineStr">
        <is>
          <t>Colorado</t>
        </is>
      </c>
      <c r="H858" s="8" t="inlineStr">
        <is>
          <t>REG-NA</t>
        </is>
      </c>
      <c r="I858" s="8" t="inlineStr">
        <is>
          <t>Consumer</t>
        </is>
      </c>
      <c r="J858" s="8" t="inlineStr">
        <is>
          <t>2023-04-25</t>
        </is>
      </c>
      <c r="K858" s="8">
        <f>COUNTIFS('05_Orders'!$C:$C, A858)</f>
        <v/>
      </c>
      <c r="L858" s="9">
        <f>SUMIFS('05_Orders'!$I:$I, '05_Orders'!$C:$C, A858)</f>
        <v/>
      </c>
      <c r="M858" s="8">
        <f>IF(L858&gt;=2000, "Platinum VIP", IF(L858&gt;=1000, "Gold", IF(L858&gt;=500, "Silver", "Standard")))</f>
        <v/>
      </c>
    </row>
    <row r="859">
      <c r="A859" s="8" t="inlineStr">
        <is>
          <t>CUST-00855</t>
        </is>
      </c>
      <c r="B859" s="8" t="inlineStr">
        <is>
          <t>Dennis Walker</t>
        </is>
      </c>
      <c r="C859" s="8" t="inlineStr">
        <is>
          <t>Other</t>
        </is>
      </c>
      <c r="D859" s="8" t="n">
        <v>18</v>
      </c>
      <c r="E859" s="8">
        <f>IF(D859&lt;25, "18-24", IF(D859&lt;35, "25-34", IF(D859&lt;50, "35-49", "50+")))</f>
        <v/>
      </c>
      <c r="F859" s="8" t="inlineStr">
        <is>
          <t>Paris</t>
        </is>
      </c>
      <c r="G859" s="8" t="inlineStr">
        <is>
          <t>Ile-de-France</t>
        </is>
      </c>
      <c r="H859" s="8" t="inlineStr">
        <is>
          <t>REG-EU</t>
        </is>
      </c>
      <c r="I859" s="8" t="inlineStr">
        <is>
          <t>Consumer</t>
        </is>
      </c>
      <c r="J859" s="8" t="inlineStr">
        <is>
          <t>2021-11-27</t>
        </is>
      </c>
      <c r="K859" s="8">
        <f>COUNTIFS('05_Orders'!$C:$C, A859)</f>
        <v/>
      </c>
      <c r="L859" s="9">
        <f>SUMIFS('05_Orders'!$I:$I, '05_Orders'!$C:$C, A859)</f>
        <v/>
      </c>
      <c r="M859" s="8">
        <f>IF(L859&gt;=2000, "Platinum VIP", IF(L859&gt;=1000, "Gold", IF(L859&gt;=500, "Silver", "Standard")))</f>
        <v/>
      </c>
    </row>
    <row r="860">
      <c r="A860" s="8" t="inlineStr">
        <is>
          <t>CUST-00856</t>
        </is>
      </c>
      <c r="B860" s="8" t="inlineStr">
        <is>
          <t>Samantha Long</t>
        </is>
      </c>
      <c r="C860" s="8" t="inlineStr">
        <is>
          <t>Female</t>
        </is>
      </c>
      <c r="D860" s="8" t="n">
        <v>23</v>
      </c>
      <c r="E860" s="8">
        <f>IF(D860&lt;25, "18-24", IF(D860&lt;35, "25-34", IF(D860&lt;50, "35-49", "50+")))</f>
        <v/>
      </c>
      <c r="F860" s="8" t="inlineStr">
        <is>
          <t>Madrid</t>
        </is>
      </c>
      <c r="G860" s="8" t="inlineStr">
        <is>
          <t>Community of Madrid</t>
        </is>
      </c>
      <c r="H860" s="8" t="inlineStr">
        <is>
          <t>REG-EU</t>
        </is>
      </c>
      <c r="I860" s="8" t="inlineStr">
        <is>
          <t>Consumer</t>
        </is>
      </c>
      <c r="J860" s="8" t="inlineStr">
        <is>
          <t>2025-03-05</t>
        </is>
      </c>
      <c r="K860" s="8">
        <f>COUNTIFS('05_Orders'!$C:$C, A860)</f>
        <v/>
      </c>
      <c r="L860" s="9">
        <f>SUMIFS('05_Orders'!$I:$I, '05_Orders'!$C:$C, A860)</f>
        <v/>
      </c>
      <c r="M860" s="8">
        <f>IF(L860&gt;=2000, "Platinum VIP", IF(L860&gt;=1000, "Gold", IF(L860&gt;=500, "Silver", "Standard")))</f>
        <v/>
      </c>
    </row>
    <row r="861">
      <c r="A861" s="8" t="inlineStr">
        <is>
          <t>CUST-00857</t>
        </is>
      </c>
      <c r="B861" s="8" t="inlineStr">
        <is>
          <t>Catherine Mendoza</t>
        </is>
      </c>
      <c r="C861" s="8" t="inlineStr">
        <is>
          <t>Other</t>
        </is>
      </c>
      <c r="D861" s="8" t="n">
        <v>61</v>
      </c>
      <c r="E861" s="8">
        <f>IF(D861&lt;25, "18-24", IF(D861&lt;35, "25-34", IF(D861&lt;50, "35-49", "50+")))</f>
        <v/>
      </c>
      <c r="F861" s="8" t="inlineStr">
        <is>
          <t>Medellin</t>
        </is>
      </c>
      <c r="G861" s="8" t="inlineStr">
        <is>
          <t>Antioquia</t>
        </is>
      </c>
      <c r="H861" s="8" t="inlineStr">
        <is>
          <t>REG-LATAM</t>
        </is>
      </c>
      <c r="I861" s="8" t="inlineStr">
        <is>
          <t>Consumer</t>
        </is>
      </c>
      <c r="J861" s="8" t="inlineStr">
        <is>
          <t>2022-10-16</t>
        </is>
      </c>
      <c r="K861" s="8">
        <f>COUNTIFS('05_Orders'!$C:$C, A861)</f>
        <v/>
      </c>
      <c r="L861" s="9">
        <f>SUMIFS('05_Orders'!$I:$I, '05_Orders'!$C:$C, A861)</f>
        <v/>
      </c>
      <c r="M861" s="8">
        <f>IF(L861&gt;=2000, "Platinum VIP", IF(L861&gt;=1000, "Gold", IF(L861&gt;=500, "Silver", "Standard")))</f>
        <v/>
      </c>
    </row>
    <row r="862">
      <c r="A862" s="8" t="inlineStr">
        <is>
          <t>CUST-00858</t>
        </is>
      </c>
      <c r="B862" s="8" t="inlineStr">
        <is>
          <t>Maria Morales</t>
        </is>
      </c>
      <c r="C862" s="8" t="inlineStr">
        <is>
          <t>Female</t>
        </is>
      </c>
      <c r="D862" s="8" t="n">
        <v>52</v>
      </c>
      <c r="E862" s="8">
        <f>IF(D862&lt;25, "18-24", IF(D862&lt;35, "25-34", IF(D862&lt;50, "35-49", "50+")))</f>
        <v/>
      </c>
      <c r="F862" s="8" t="inlineStr">
        <is>
          <t>Guadalajara</t>
        </is>
      </c>
      <c r="G862" s="8" t="inlineStr">
        <is>
          <t>Jalisco</t>
        </is>
      </c>
      <c r="H862" s="8" t="inlineStr">
        <is>
          <t>REG-LATAM</t>
        </is>
      </c>
      <c r="I862" s="8" t="inlineStr">
        <is>
          <t>Consumer</t>
        </is>
      </c>
      <c r="J862" s="8" t="inlineStr">
        <is>
          <t>2021-12-16</t>
        </is>
      </c>
      <c r="K862" s="8">
        <f>COUNTIFS('05_Orders'!$C:$C, A862)</f>
        <v/>
      </c>
      <c r="L862" s="9">
        <f>SUMIFS('05_Orders'!$I:$I, '05_Orders'!$C:$C, A862)</f>
        <v/>
      </c>
      <c r="M862" s="8">
        <f>IF(L862&gt;=2000, "Platinum VIP", IF(L862&gt;=1000, "Gold", IF(L862&gt;=500, "Silver", "Standard")))</f>
        <v/>
      </c>
    </row>
    <row r="863">
      <c r="A863" s="8" t="inlineStr">
        <is>
          <t>CUST-00859</t>
        </is>
      </c>
      <c r="B863" s="8" t="inlineStr">
        <is>
          <t>Diane Phillips</t>
        </is>
      </c>
      <c r="C863" s="8" t="inlineStr">
        <is>
          <t>Female</t>
        </is>
      </c>
      <c r="D863" s="8" t="n">
        <v>47</v>
      </c>
      <c r="E863" s="8">
        <f>IF(D863&lt;25, "18-24", IF(D863&lt;35, "25-34", IF(D863&lt;50, "35-49", "50+")))</f>
        <v/>
      </c>
      <c r="F863" s="8" t="inlineStr">
        <is>
          <t>Berlin</t>
        </is>
      </c>
      <c r="G863" s="8" t="inlineStr">
        <is>
          <t>Berlin</t>
        </is>
      </c>
      <c r="H863" s="8" t="inlineStr">
        <is>
          <t>REG-EU</t>
        </is>
      </c>
      <c r="I863" s="8" t="inlineStr">
        <is>
          <t>Corporate</t>
        </is>
      </c>
      <c r="J863" s="8" t="inlineStr">
        <is>
          <t>2023-03-01</t>
        </is>
      </c>
      <c r="K863" s="8">
        <f>COUNTIFS('05_Orders'!$C:$C, A863)</f>
        <v/>
      </c>
      <c r="L863" s="9">
        <f>SUMIFS('05_Orders'!$I:$I, '05_Orders'!$C:$C, A863)</f>
        <v/>
      </c>
      <c r="M863" s="8">
        <f>IF(L863&gt;=2000, "Platinum VIP", IF(L863&gt;=1000, "Gold", IF(L863&gt;=500, "Silver", "Standard")))</f>
        <v/>
      </c>
    </row>
    <row r="864">
      <c r="A864" s="8" t="inlineStr">
        <is>
          <t>CUST-00860</t>
        </is>
      </c>
      <c r="B864" s="8" t="inlineStr">
        <is>
          <t>Samuel Martin</t>
        </is>
      </c>
      <c r="C864" s="8" t="inlineStr">
        <is>
          <t>Female</t>
        </is>
      </c>
      <c r="D864" s="8" t="n">
        <v>41</v>
      </c>
      <c r="E864" s="8">
        <f>IF(D864&lt;25, "18-24", IF(D864&lt;35, "25-34", IF(D864&lt;50, "35-49", "50+")))</f>
        <v/>
      </c>
      <c r="F864" s="8" t="inlineStr">
        <is>
          <t>Chicago</t>
        </is>
      </c>
      <c r="G864" s="8" t="inlineStr">
        <is>
          <t>Illinois</t>
        </is>
      </c>
      <c r="H864" s="8" t="inlineStr">
        <is>
          <t>REG-NA</t>
        </is>
      </c>
      <c r="I864" s="8" t="inlineStr">
        <is>
          <t>Consumer</t>
        </is>
      </c>
      <c r="J864" s="8" t="inlineStr">
        <is>
          <t>2022-01-12</t>
        </is>
      </c>
      <c r="K864" s="8">
        <f>COUNTIFS('05_Orders'!$C:$C, A864)</f>
        <v/>
      </c>
      <c r="L864" s="9">
        <f>SUMIFS('05_Orders'!$I:$I, '05_Orders'!$C:$C, A864)</f>
        <v/>
      </c>
      <c r="M864" s="8">
        <f>IF(L864&gt;=2000, "Platinum VIP", IF(L864&gt;=1000, "Gold", IF(L864&gt;=500, "Silver", "Standard")))</f>
        <v/>
      </c>
    </row>
    <row r="865">
      <c r="A865" s="8" t="inlineStr">
        <is>
          <t>CUST-00861</t>
        </is>
      </c>
      <c r="B865" s="8" t="inlineStr">
        <is>
          <t>Margaret Williams</t>
        </is>
      </c>
      <c r="C865" s="8" t="inlineStr">
        <is>
          <t>Female</t>
        </is>
      </c>
      <c r="D865" s="8" t="n">
        <v>43</v>
      </c>
      <c r="E865" s="8">
        <f>IF(D865&lt;25, "18-24", IF(D865&lt;35, "25-34", IF(D865&lt;50, "35-49", "50+")))</f>
        <v/>
      </c>
      <c r="F865" s="8" t="inlineStr">
        <is>
          <t>Boston</t>
        </is>
      </c>
      <c r="G865" s="8" t="inlineStr">
        <is>
          <t>Massachusetts</t>
        </is>
      </c>
      <c r="H865" s="8" t="inlineStr">
        <is>
          <t>REG-NA</t>
        </is>
      </c>
      <c r="I865" s="8" t="inlineStr">
        <is>
          <t>Consumer</t>
        </is>
      </c>
      <c r="J865" s="8" t="inlineStr">
        <is>
          <t>2022-01-25</t>
        </is>
      </c>
      <c r="K865" s="8">
        <f>COUNTIFS('05_Orders'!$C:$C, A865)</f>
        <v/>
      </c>
      <c r="L865" s="9">
        <f>SUMIFS('05_Orders'!$I:$I, '05_Orders'!$C:$C, A865)</f>
        <v/>
      </c>
      <c r="M865" s="8">
        <f>IF(L865&gt;=2000, "Platinum VIP", IF(L865&gt;=1000, "Gold", IF(L865&gt;=500, "Silver", "Standard")))</f>
        <v/>
      </c>
    </row>
    <row r="866">
      <c r="A866" s="8" t="inlineStr">
        <is>
          <t>CUST-00862</t>
        </is>
      </c>
      <c r="B866" s="8" t="inlineStr">
        <is>
          <t>Christopher Morales</t>
        </is>
      </c>
      <c r="C866" s="8" t="inlineStr">
        <is>
          <t>Other</t>
        </is>
      </c>
      <c r="D866" s="8" t="n">
        <v>21</v>
      </c>
      <c r="E866" s="8">
        <f>IF(D866&lt;25, "18-24", IF(D866&lt;35, "25-34", IF(D866&lt;50, "35-49", "50+")))</f>
        <v/>
      </c>
      <c r="F866" s="8" t="inlineStr">
        <is>
          <t>Los Angeles</t>
        </is>
      </c>
      <c r="G866" s="8" t="inlineStr">
        <is>
          <t>California</t>
        </is>
      </c>
      <c r="H866" s="8" t="inlineStr">
        <is>
          <t>REG-NA</t>
        </is>
      </c>
      <c r="I866" s="8" t="inlineStr">
        <is>
          <t>Consumer</t>
        </is>
      </c>
      <c r="J866" s="8" t="inlineStr">
        <is>
          <t>2022-10-25</t>
        </is>
      </c>
      <c r="K866" s="8">
        <f>COUNTIFS('05_Orders'!$C:$C, A866)</f>
        <v/>
      </c>
      <c r="L866" s="9">
        <f>SUMIFS('05_Orders'!$I:$I, '05_Orders'!$C:$C, A866)</f>
        <v/>
      </c>
      <c r="M866" s="8">
        <f>IF(L866&gt;=2000, "Platinum VIP", IF(L866&gt;=1000, "Gold", IF(L866&gt;=500, "Silver", "Standard")))</f>
        <v/>
      </c>
    </row>
    <row r="867">
      <c r="A867" s="8" t="inlineStr">
        <is>
          <t>CUST-00863</t>
        </is>
      </c>
      <c r="B867" s="8" t="inlineStr">
        <is>
          <t>Shirley Ramirez</t>
        </is>
      </c>
      <c r="C867" s="8" t="inlineStr">
        <is>
          <t>Female</t>
        </is>
      </c>
      <c r="D867" s="8" t="n">
        <v>49</v>
      </c>
      <c r="E867" s="8">
        <f>IF(D867&lt;25, "18-24", IF(D867&lt;35, "25-34", IF(D867&lt;50, "35-49", "50+")))</f>
        <v/>
      </c>
      <c r="F867" s="8" t="inlineStr">
        <is>
          <t>Phoenix</t>
        </is>
      </c>
      <c r="G867" s="8" t="inlineStr">
        <is>
          <t>Arizona</t>
        </is>
      </c>
      <c r="H867" s="8" t="inlineStr">
        <is>
          <t>REG-NA</t>
        </is>
      </c>
      <c r="I867" s="8" t="inlineStr">
        <is>
          <t>Corporate</t>
        </is>
      </c>
      <c r="J867" s="8" t="inlineStr">
        <is>
          <t>2022-11-25</t>
        </is>
      </c>
      <c r="K867" s="8">
        <f>COUNTIFS('05_Orders'!$C:$C, A867)</f>
        <v/>
      </c>
      <c r="L867" s="9">
        <f>SUMIFS('05_Orders'!$I:$I, '05_Orders'!$C:$C, A867)</f>
        <v/>
      </c>
      <c r="M867" s="8">
        <f>IF(L867&gt;=2000, "Platinum VIP", IF(L867&gt;=1000, "Gold", IF(L867&gt;=500, "Silver", "Standard")))</f>
        <v/>
      </c>
    </row>
    <row r="868">
      <c r="A868" s="8" t="inlineStr">
        <is>
          <t>CUST-00864</t>
        </is>
      </c>
      <c r="B868" s="8" t="inlineStr">
        <is>
          <t>Thomas Ortiz</t>
        </is>
      </c>
      <c r="C868" s="8" t="inlineStr">
        <is>
          <t>Female</t>
        </is>
      </c>
      <c r="D868" s="8" t="n">
        <v>39</v>
      </c>
      <c r="E868" s="8">
        <f>IF(D868&lt;25, "18-24", IF(D868&lt;35, "25-34", IF(D868&lt;50, "35-49", "50+")))</f>
        <v/>
      </c>
      <c r="F868" s="8" t="inlineStr">
        <is>
          <t>Osaka</t>
        </is>
      </c>
      <c r="G868" s="8" t="inlineStr">
        <is>
          <t>Kansai</t>
        </is>
      </c>
      <c r="H868" s="8" t="inlineStr">
        <is>
          <t>REG-APAC</t>
        </is>
      </c>
      <c r="I868" s="8" t="inlineStr">
        <is>
          <t>Consumer</t>
        </is>
      </c>
      <c r="J868" s="8" t="inlineStr">
        <is>
          <t>2023-08-28</t>
        </is>
      </c>
      <c r="K868" s="8">
        <f>COUNTIFS('05_Orders'!$C:$C, A868)</f>
        <v/>
      </c>
      <c r="L868" s="9">
        <f>SUMIFS('05_Orders'!$I:$I, '05_Orders'!$C:$C, A868)</f>
        <v/>
      </c>
      <c r="M868" s="8">
        <f>IF(L868&gt;=2000, "Platinum VIP", IF(L868&gt;=1000, "Gold", IF(L868&gt;=500, "Silver", "Standard")))</f>
        <v/>
      </c>
    </row>
    <row r="869">
      <c r="A869" s="8" t="inlineStr">
        <is>
          <t>CUST-00865</t>
        </is>
      </c>
      <c r="B869" s="8" t="inlineStr">
        <is>
          <t>Carol Ruiz</t>
        </is>
      </c>
      <c r="C869" s="8" t="inlineStr">
        <is>
          <t>Male</t>
        </is>
      </c>
      <c r="D869" s="8" t="n">
        <v>38</v>
      </c>
      <c r="E869" s="8">
        <f>IF(D869&lt;25, "18-24", IF(D869&lt;35, "25-34", IF(D869&lt;50, "35-49", "50+")))</f>
        <v/>
      </c>
      <c r="F869" s="8" t="inlineStr">
        <is>
          <t>Madrid</t>
        </is>
      </c>
      <c r="G869" s="8" t="inlineStr">
        <is>
          <t>Community of Madrid</t>
        </is>
      </c>
      <c r="H869" s="8" t="inlineStr">
        <is>
          <t>REG-EU</t>
        </is>
      </c>
      <c r="I869" s="8" t="inlineStr">
        <is>
          <t>Home Office</t>
        </is>
      </c>
      <c r="J869" s="8" t="inlineStr">
        <is>
          <t>2024-02-11</t>
        </is>
      </c>
      <c r="K869" s="8">
        <f>COUNTIFS('05_Orders'!$C:$C, A869)</f>
        <v/>
      </c>
      <c r="L869" s="9">
        <f>SUMIFS('05_Orders'!$I:$I, '05_Orders'!$C:$C, A869)</f>
        <v/>
      </c>
      <c r="M869" s="8">
        <f>IF(L869&gt;=2000, "Platinum VIP", IF(L869&gt;=1000, "Gold", IF(L869&gt;=500, "Silver", "Standard")))</f>
        <v/>
      </c>
    </row>
    <row r="870">
      <c r="A870" s="8" t="inlineStr">
        <is>
          <t>CUST-00866</t>
        </is>
      </c>
      <c r="B870" s="8" t="inlineStr">
        <is>
          <t>Carol Watson</t>
        </is>
      </c>
      <c r="C870" s="8" t="inlineStr">
        <is>
          <t>Other</t>
        </is>
      </c>
      <c r="D870" s="8" t="n">
        <v>32</v>
      </c>
      <c r="E870" s="8">
        <f>IF(D870&lt;25, "18-24", IF(D870&lt;35, "25-34", IF(D870&lt;50, "35-49", "50+")))</f>
        <v/>
      </c>
      <c r="F870" s="8" t="inlineStr">
        <is>
          <t>Auckland</t>
        </is>
      </c>
      <c r="G870" s="8" t="inlineStr">
        <is>
          <t>Auckland Region</t>
        </is>
      </c>
      <c r="H870" s="8" t="inlineStr">
        <is>
          <t>REG-APAC</t>
        </is>
      </c>
      <c r="I870" s="8" t="inlineStr">
        <is>
          <t>Consumer</t>
        </is>
      </c>
      <c r="J870" s="8" t="inlineStr">
        <is>
          <t>2022-05-26</t>
        </is>
      </c>
      <c r="K870" s="8">
        <f>COUNTIFS('05_Orders'!$C:$C, A870)</f>
        <v/>
      </c>
      <c r="L870" s="9">
        <f>SUMIFS('05_Orders'!$I:$I, '05_Orders'!$C:$C, A870)</f>
        <v/>
      </c>
      <c r="M870" s="8">
        <f>IF(L870&gt;=2000, "Platinum VIP", IF(L870&gt;=1000, "Gold", IF(L870&gt;=500, "Silver", "Standard")))</f>
        <v/>
      </c>
    </row>
    <row r="871">
      <c r="A871" s="8" t="inlineStr">
        <is>
          <t>CUST-00867</t>
        </is>
      </c>
      <c r="B871" s="8" t="inlineStr">
        <is>
          <t>Richard Roberts</t>
        </is>
      </c>
      <c r="C871" s="8" t="inlineStr">
        <is>
          <t>Male</t>
        </is>
      </c>
      <c r="D871" s="8" t="n">
        <v>57</v>
      </c>
      <c r="E871" s="8">
        <f>IF(D871&lt;25, "18-24", IF(D871&lt;35, "25-34", IF(D871&lt;50, "35-49", "50+")))</f>
        <v/>
      </c>
      <c r="F871" s="8" t="inlineStr">
        <is>
          <t>Boston</t>
        </is>
      </c>
      <c r="G871" s="8" t="inlineStr">
        <is>
          <t>Massachusetts</t>
        </is>
      </c>
      <c r="H871" s="8" t="inlineStr">
        <is>
          <t>REG-NA</t>
        </is>
      </c>
      <c r="I871" s="8" t="inlineStr">
        <is>
          <t>Corporate</t>
        </is>
      </c>
      <c r="J871" s="8" t="inlineStr">
        <is>
          <t>2024-05-19</t>
        </is>
      </c>
      <c r="K871" s="8">
        <f>COUNTIFS('05_Orders'!$C:$C, A871)</f>
        <v/>
      </c>
      <c r="L871" s="9">
        <f>SUMIFS('05_Orders'!$I:$I, '05_Orders'!$C:$C, A871)</f>
        <v/>
      </c>
      <c r="M871" s="8">
        <f>IF(L871&gt;=2000, "Platinum VIP", IF(L871&gt;=1000, "Gold", IF(L871&gt;=500, "Silver", "Standard")))</f>
        <v/>
      </c>
    </row>
    <row r="872">
      <c r="A872" s="8" t="inlineStr">
        <is>
          <t>CUST-00868</t>
        </is>
      </c>
      <c r="B872" s="8" t="inlineStr">
        <is>
          <t>Stephanie Jimenez</t>
        </is>
      </c>
      <c r="C872" s="8" t="inlineStr">
        <is>
          <t>Male</t>
        </is>
      </c>
      <c r="D872" s="8" t="n">
        <v>68</v>
      </c>
      <c r="E872" s="8">
        <f>IF(D872&lt;25, "18-24", IF(D872&lt;35, "25-34", IF(D872&lt;50, "35-49", "50+")))</f>
        <v/>
      </c>
      <c r="F872" s="8" t="inlineStr">
        <is>
          <t>Osaka</t>
        </is>
      </c>
      <c r="G872" s="8" t="inlineStr">
        <is>
          <t>Kansai</t>
        </is>
      </c>
      <c r="H872" s="8" t="inlineStr">
        <is>
          <t>REG-APAC</t>
        </is>
      </c>
      <c r="I872" s="8" t="inlineStr">
        <is>
          <t>Consumer</t>
        </is>
      </c>
      <c r="J872" s="8" t="inlineStr">
        <is>
          <t>2025-05-12</t>
        </is>
      </c>
      <c r="K872" s="8">
        <f>COUNTIFS('05_Orders'!$C:$C, A872)</f>
        <v/>
      </c>
      <c r="L872" s="9">
        <f>SUMIFS('05_Orders'!$I:$I, '05_Orders'!$C:$C, A872)</f>
        <v/>
      </c>
      <c r="M872" s="8">
        <f>IF(L872&gt;=2000, "Platinum VIP", IF(L872&gt;=1000, "Gold", IF(L872&gt;=500, "Silver", "Standard")))</f>
        <v/>
      </c>
    </row>
    <row r="873">
      <c r="A873" s="8" t="inlineStr">
        <is>
          <t>CUST-00869</t>
        </is>
      </c>
      <c r="B873" s="8" t="inlineStr">
        <is>
          <t>Samantha Morris</t>
        </is>
      </c>
      <c r="C873" s="8" t="inlineStr">
        <is>
          <t>Other</t>
        </is>
      </c>
      <c r="D873" s="8" t="n">
        <v>27</v>
      </c>
      <c r="E873" s="8">
        <f>IF(D873&lt;25, "18-24", IF(D873&lt;35, "25-34", IF(D873&lt;50, "35-49", "50+")))</f>
        <v/>
      </c>
      <c r="F873" s="8" t="inlineStr">
        <is>
          <t>Hong Kong</t>
        </is>
      </c>
      <c r="G873" s="8" t="inlineStr">
        <is>
          <t>Hong Kong</t>
        </is>
      </c>
      <c r="H873" s="8" t="inlineStr">
        <is>
          <t>REG-APAC</t>
        </is>
      </c>
      <c r="I873" s="8" t="inlineStr">
        <is>
          <t>Corporate</t>
        </is>
      </c>
      <c r="J873" s="8" t="inlineStr">
        <is>
          <t>2022-10-06</t>
        </is>
      </c>
      <c r="K873" s="8">
        <f>COUNTIFS('05_Orders'!$C:$C, A873)</f>
        <v/>
      </c>
      <c r="L873" s="9">
        <f>SUMIFS('05_Orders'!$I:$I, '05_Orders'!$C:$C, A873)</f>
        <v/>
      </c>
      <c r="M873" s="8">
        <f>IF(L873&gt;=2000, "Platinum VIP", IF(L873&gt;=1000, "Gold", IF(L873&gt;=500, "Silver", "Standard")))</f>
        <v/>
      </c>
    </row>
    <row r="874">
      <c r="A874" s="8" t="inlineStr">
        <is>
          <t>CUST-00870</t>
        </is>
      </c>
      <c r="B874" s="8" t="inlineStr">
        <is>
          <t>Brandon Cox</t>
        </is>
      </c>
      <c r="C874" s="8" t="inlineStr">
        <is>
          <t>Male</t>
        </is>
      </c>
      <c r="D874" s="8" t="n">
        <v>36</v>
      </c>
      <c r="E874" s="8">
        <f>IF(D874&lt;25, "18-24", IF(D874&lt;35, "25-34", IF(D874&lt;50, "35-49", "50+")))</f>
        <v/>
      </c>
      <c r="F874" s="8" t="inlineStr">
        <is>
          <t>Sydney</t>
        </is>
      </c>
      <c r="G874" s="8" t="inlineStr">
        <is>
          <t>New South Wales</t>
        </is>
      </c>
      <c r="H874" s="8" t="inlineStr">
        <is>
          <t>REG-APAC</t>
        </is>
      </c>
      <c r="I874" s="8" t="inlineStr">
        <is>
          <t>Corporate</t>
        </is>
      </c>
      <c r="J874" s="8" t="inlineStr">
        <is>
          <t>2023-10-30</t>
        </is>
      </c>
      <c r="K874" s="8">
        <f>COUNTIFS('05_Orders'!$C:$C, A874)</f>
        <v/>
      </c>
      <c r="L874" s="9">
        <f>SUMIFS('05_Orders'!$I:$I, '05_Orders'!$C:$C, A874)</f>
        <v/>
      </c>
      <c r="M874" s="8">
        <f>IF(L874&gt;=2000, "Platinum VIP", IF(L874&gt;=1000, "Gold", IF(L874&gt;=500, "Silver", "Standard")))</f>
        <v/>
      </c>
    </row>
    <row r="875">
      <c r="A875" s="8" t="inlineStr">
        <is>
          <t>CUST-00871</t>
        </is>
      </c>
      <c r="B875" s="8" t="inlineStr">
        <is>
          <t>Mary Hill</t>
        </is>
      </c>
      <c r="C875" s="8" t="inlineStr">
        <is>
          <t>Female</t>
        </is>
      </c>
      <c r="D875" s="8" t="n">
        <v>31</v>
      </c>
      <c r="E875" s="8">
        <f>IF(D875&lt;25, "18-24", IF(D875&lt;35, "25-34", IF(D875&lt;50, "35-49", "50+")))</f>
        <v/>
      </c>
      <c r="F875" s="8" t="inlineStr">
        <is>
          <t>New York</t>
        </is>
      </c>
      <c r="G875" s="8" t="inlineStr">
        <is>
          <t>New York</t>
        </is>
      </c>
      <c r="H875" s="8" t="inlineStr">
        <is>
          <t>REG-NA</t>
        </is>
      </c>
      <c r="I875" s="8" t="inlineStr">
        <is>
          <t>Consumer</t>
        </is>
      </c>
      <c r="J875" s="8" t="inlineStr">
        <is>
          <t>2024-08-11</t>
        </is>
      </c>
      <c r="K875" s="8">
        <f>COUNTIFS('05_Orders'!$C:$C, A875)</f>
        <v/>
      </c>
      <c r="L875" s="9">
        <f>SUMIFS('05_Orders'!$I:$I, '05_Orders'!$C:$C, A875)</f>
        <v/>
      </c>
      <c r="M875" s="8">
        <f>IF(L875&gt;=2000, "Platinum VIP", IF(L875&gt;=1000, "Gold", IF(L875&gt;=500, "Silver", "Standard")))</f>
        <v/>
      </c>
    </row>
    <row r="876">
      <c r="A876" s="8" t="inlineStr">
        <is>
          <t>CUST-00872</t>
        </is>
      </c>
      <c r="B876" s="8" t="inlineStr">
        <is>
          <t>Charles Edwards</t>
        </is>
      </c>
      <c r="C876" s="8" t="inlineStr">
        <is>
          <t>Other</t>
        </is>
      </c>
      <c r="D876" s="8" t="n">
        <v>42</v>
      </c>
      <c r="E876" s="8">
        <f>IF(D876&lt;25, "18-24", IF(D876&lt;35, "25-34", IF(D876&lt;50, "35-49", "50+")))</f>
        <v/>
      </c>
      <c r="F876" s="8" t="inlineStr">
        <is>
          <t>Stockholm</t>
        </is>
      </c>
      <c r="G876" s="8" t="inlineStr">
        <is>
          <t>Stockholm County</t>
        </is>
      </c>
      <c r="H876" s="8" t="inlineStr">
        <is>
          <t>REG-EU</t>
        </is>
      </c>
      <c r="I876" s="8" t="inlineStr">
        <is>
          <t>Consumer</t>
        </is>
      </c>
      <c r="J876" s="8" t="inlineStr">
        <is>
          <t>2022-10-06</t>
        </is>
      </c>
      <c r="K876" s="8">
        <f>COUNTIFS('05_Orders'!$C:$C, A876)</f>
        <v/>
      </c>
      <c r="L876" s="9">
        <f>SUMIFS('05_Orders'!$I:$I, '05_Orders'!$C:$C, A876)</f>
        <v/>
      </c>
      <c r="M876" s="8">
        <f>IF(L876&gt;=2000, "Platinum VIP", IF(L876&gt;=1000, "Gold", IF(L876&gt;=500, "Silver", "Standard")))</f>
        <v/>
      </c>
    </row>
    <row r="877">
      <c r="A877" s="8" t="inlineStr">
        <is>
          <t>CUST-00873</t>
        </is>
      </c>
      <c r="B877" s="8" t="inlineStr">
        <is>
          <t>Jacob Torres</t>
        </is>
      </c>
      <c r="C877" s="8" t="inlineStr">
        <is>
          <t>Male</t>
        </is>
      </c>
      <c r="D877" s="8" t="n">
        <v>55</v>
      </c>
      <c r="E877" s="8">
        <f>IF(D877&lt;25, "18-24", IF(D877&lt;35, "25-34", IF(D877&lt;50, "35-49", "50+")))</f>
        <v/>
      </c>
      <c r="F877" s="8" t="inlineStr">
        <is>
          <t>New York</t>
        </is>
      </c>
      <c r="G877" s="8" t="inlineStr">
        <is>
          <t>New York</t>
        </is>
      </c>
      <c r="H877" s="8" t="inlineStr">
        <is>
          <t>REG-NA</t>
        </is>
      </c>
      <c r="I877" s="8" t="inlineStr">
        <is>
          <t>Consumer</t>
        </is>
      </c>
      <c r="J877" s="8" t="inlineStr">
        <is>
          <t>2022-10-31</t>
        </is>
      </c>
      <c r="K877" s="8">
        <f>COUNTIFS('05_Orders'!$C:$C, A877)</f>
        <v/>
      </c>
      <c r="L877" s="9">
        <f>SUMIFS('05_Orders'!$I:$I, '05_Orders'!$C:$C, A877)</f>
        <v/>
      </c>
      <c r="M877" s="8">
        <f>IF(L877&gt;=2000, "Platinum VIP", IF(L877&gt;=1000, "Gold", IF(L877&gt;=500, "Silver", "Standard")))</f>
        <v/>
      </c>
    </row>
    <row r="878">
      <c r="A878" s="8" t="inlineStr">
        <is>
          <t>CUST-00874</t>
        </is>
      </c>
      <c r="B878" s="8" t="inlineStr">
        <is>
          <t>Larry Brown</t>
        </is>
      </c>
      <c r="C878" s="8" t="inlineStr">
        <is>
          <t>Other</t>
        </is>
      </c>
      <c r="D878" s="8" t="n">
        <v>45</v>
      </c>
      <c r="E878" s="8">
        <f>IF(D878&lt;25, "18-24", IF(D878&lt;35, "25-34", IF(D878&lt;50, "35-49", "50+")))</f>
        <v/>
      </c>
      <c r="F878" s="8" t="inlineStr">
        <is>
          <t>Amsterdam</t>
        </is>
      </c>
      <c r="G878" s="8" t="inlineStr">
        <is>
          <t>North Holland</t>
        </is>
      </c>
      <c r="H878" s="8" t="inlineStr">
        <is>
          <t>REG-EU</t>
        </is>
      </c>
      <c r="I878" s="8" t="inlineStr">
        <is>
          <t>Consumer</t>
        </is>
      </c>
      <c r="J878" s="8" t="inlineStr">
        <is>
          <t>2024-06-09</t>
        </is>
      </c>
      <c r="K878" s="8">
        <f>COUNTIFS('05_Orders'!$C:$C, A878)</f>
        <v/>
      </c>
      <c r="L878" s="9">
        <f>SUMIFS('05_Orders'!$I:$I, '05_Orders'!$C:$C, A878)</f>
        <v/>
      </c>
      <c r="M878" s="8">
        <f>IF(L878&gt;=2000, "Platinum VIP", IF(L878&gt;=1000, "Gold", IF(L878&gt;=500, "Silver", "Standard")))</f>
        <v/>
      </c>
    </row>
    <row r="879">
      <c r="A879" s="8" t="inlineStr">
        <is>
          <t>CUST-00875</t>
        </is>
      </c>
      <c r="B879" s="8" t="inlineStr">
        <is>
          <t>Justin Garcia</t>
        </is>
      </c>
      <c r="C879" s="8" t="inlineStr">
        <is>
          <t>Other</t>
        </is>
      </c>
      <c r="D879" s="8" t="n">
        <v>21</v>
      </c>
      <c r="E879" s="8">
        <f>IF(D879&lt;25, "18-24", IF(D879&lt;35, "25-34", IF(D879&lt;50, "35-49", "50+")))</f>
        <v/>
      </c>
      <c r="F879" s="8" t="inlineStr">
        <is>
          <t>Osaka</t>
        </is>
      </c>
      <c r="G879" s="8" t="inlineStr">
        <is>
          <t>Kansai</t>
        </is>
      </c>
      <c r="H879" s="8" t="inlineStr">
        <is>
          <t>REG-APAC</t>
        </is>
      </c>
      <c r="I879" s="8" t="inlineStr">
        <is>
          <t>Corporate</t>
        </is>
      </c>
      <c r="J879" s="8" t="inlineStr">
        <is>
          <t>2021-05-20</t>
        </is>
      </c>
      <c r="K879" s="8">
        <f>COUNTIFS('05_Orders'!$C:$C, A879)</f>
        <v/>
      </c>
      <c r="L879" s="9">
        <f>SUMIFS('05_Orders'!$I:$I, '05_Orders'!$C:$C, A879)</f>
        <v/>
      </c>
      <c r="M879" s="8">
        <f>IF(L879&gt;=2000, "Platinum VIP", IF(L879&gt;=1000, "Gold", IF(L879&gt;=500, "Silver", "Standard")))</f>
        <v/>
      </c>
    </row>
    <row r="880">
      <c r="A880" s="8" t="inlineStr">
        <is>
          <t>CUST-00876</t>
        </is>
      </c>
      <c r="B880" s="8" t="inlineStr">
        <is>
          <t>Barbara Long</t>
        </is>
      </c>
      <c r="C880" s="8" t="inlineStr">
        <is>
          <t>Female</t>
        </is>
      </c>
      <c r="D880" s="8" t="n">
        <v>40</v>
      </c>
      <c r="E880" s="8">
        <f>IF(D880&lt;25, "18-24", IF(D880&lt;35, "25-34", IF(D880&lt;50, "35-49", "50+")))</f>
        <v/>
      </c>
      <c r="F880" s="8" t="inlineStr">
        <is>
          <t>Atlanta</t>
        </is>
      </c>
      <c r="G880" s="8" t="inlineStr">
        <is>
          <t>Georgia</t>
        </is>
      </c>
      <c r="H880" s="8" t="inlineStr">
        <is>
          <t>REG-NA</t>
        </is>
      </c>
      <c r="I880" s="8" t="inlineStr">
        <is>
          <t>Consumer</t>
        </is>
      </c>
      <c r="J880" s="8" t="inlineStr">
        <is>
          <t>2021-05-23</t>
        </is>
      </c>
      <c r="K880" s="8">
        <f>COUNTIFS('05_Orders'!$C:$C, A880)</f>
        <v/>
      </c>
      <c r="L880" s="9">
        <f>SUMIFS('05_Orders'!$I:$I, '05_Orders'!$C:$C, A880)</f>
        <v/>
      </c>
      <c r="M880" s="8">
        <f>IF(L880&gt;=2000, "Platinum VIP", IF(L880&gt;=1000, "Gold", IF(L880&gt;=500, "Silver", "Standard")))</f>
        <v/>
      </c>
    </row>
    <row r="881">
      <c r="A881" s="8" t="inlineStr">
        <is>
          <t>CUST-00877</t>
        </is>
      </c>
      <c r="B881" s="8" t="inlineStr">
        <is>
          <t>Timothy Ruiz</t>
        </is>
      </c>
      <c r="C881" s="8" t="inlineStr">
        <is>
          <t>Male</t>
        </is>
      </c>
      <c r="D881" s="8" t="n">
        <v>53</v>
      </c>
      <c r="E881" s="8">
        <f>IF(D881&lt;25, "18-24", IF(D881&lt;35, "25-34", IF(D881&lt;50, "35-49", "50+")))</f>
        <v/>
      </c>
      <c r="F881" s="8" t="inlineStr">
        <is>
          <t>Sydney</t>
        </is>
      </c>
      <c r="G881" s="8" t="inlineStr">
        <is>
          <t>New South Wales</t>
        </is>
      </c>
      <c r="H881" s="8" t="inlineStr">
        <is>
          <t>REG-APAC</t>
        </is>
      </c>
      <c r="I881" s="8" t="inlineStr">
        <is>
          <t>Consumer</t>
        </is>
      </c>
      <c r="J881" s="8" t="inlineStr">
        <is>
          <t>2021-08-25</t>
        </is>
      </c>
      <c r="K881" s="8">
        <f>COUNTIFS('05_Orders'!$C:$C, A881)</f>
        <v/>
      </c>
      <c r="L881" s="9">
        <f>SUMIFS('05_Orders'!$I:$I, '05_Orders'!$C:$C, A881)</f>
        <v/>
      </c>
      <c r="M881" s="8">
        <f>IF(L881&gt;=2000, "Platinum VIP", IF(L881&gt;=1000, "Gold", IF(L881&gt;=500, "Silver", "Standard")))</f>
        <v/>
      </c>
    </row>
    <row r="882">
      <c r="A882" s="8" t="inlineStr">
        <is>
          <t>CUST-00878</t>
        </is>
      </c>
      <c r="B882" s="8" t="inlineStr">
        <is>
          <t>Rachel Bailey</t>
        </is>
      </c>
      <c r="C882" s="8" t="inlineStr">
        <is>
          <t>Male</t>
        </is>
      </c>
      <c r="D882" s="8" t="n">
        <v>21</v>
      </c>
      <c r="E882" s="8">
        <f>IF(D882&lt;25, "18-24", IF(D882&lt;35, "25-34", IF(D882&lt;50, "35-49", "50+")))</f>
        <v/>
      </c>
      <c r="F882" s="8" t="inlineStr">
        <is>
          <t>Munich</t>
        </is>
      </c>
      <c r="G882" s="8" t="inlineStr">
        <is>
          <t>Bavaria</t>
        </is>
      </c>
      <c r="H882" s="8" t="inlineStr">
        <is>
          <t>REG-EU</t>
        </is>
      </c>
      <c r="I882" s="8" t="inlineStr">
        <is>
          <t>Consumer</t>
        </is>
      </c>
      <c r="J882" s="8" t="inlineStr">
        <is>
          <t>2021-03-28</t>
        </is>
      </c>
      <c r="K882" s="8">
        <f>COUNTIFS('05_Orders'!$C:$C, A882)</f>
        <v/>
      </c>
      <c r="L882" s="9">
        <f>SUMIFS('05_Orders'!$I:$I, '05_Orders'!$C:$C, A882)</f>
        <v/>
      </c>
      <c r="M882" s="8">
        <f>IF(L882&gt;=2000, "Platinum VIP", IF(L882&gt;=1000, "Gold", IF(L882&gt;=500, "Silver", "Standard")))</f>
        <v/>
      </c>
    </row>
    <row r="883">
      <c r="A883" s="8" t="inlineStr">
        <is>
          <t>CUST-00879</t>
        </is>
      </c>
      <c r="B883" s="8" t="inlineStr">
        <is>
          <t>Eric Green</t>
        </is>
      </c>
      <c r="C883" s="8" t="inlineStr">
        <is>
          <t>Female</t>
        </is>
      </c>
      <c r="D883" s="8" t="n">
        <v>42</v>
      </c>
      <c r="E883" s="8">
        <f>IF(D883&lt;25, "18-24", IF(D883&lt;35, "25-34", IF(D883&lt;50, "35-49", "50+")))</f>
        <v/>
      </c>
      <c r="F883" s="8" t="inlineStr">
        <is>
          <t>Seoul</t>
        </is>
      </c>
      <c r="G883" s="8" t="inlineStr">
        <is>
          <t>Gyeonggi</t>
        </is>
      </c>
      <c r="H883" s="8" t="inlineStr">
        <is>
          <t>REG-APAC</t>
        </is>
      </c>
      <c r="I883" s="8" t="inlineStr">
        <is>
          <t>Consumer</t>
        </is>
      </c>
      <c r="J883" s="8" t="inlineStr">
        <is>
          <t>2025-04-17</t>
        </is>
      </c>
      <c r="K883" s="8">
        <f>COUNTIFS('05_Orders'!$C:$C, A883)</f>
        <v/>
      </c>
      <c r="L883" s="9">
        <f>SUMIFS('05_Orders'!$I:$I, '05_Orders'!$C:$C, A883)</f>
        <v/>
      </c>
      <c r="M883" s="8">
        <f>IF(L883&gt;=2000, "Platinum VIP", IF(L883&gt;=1000, "Gold", IF(L883&gt;=500, "Silver", "Standard")))</f>
        <v/>
      </c>
    </row>
    <row r="884">
      <c r="A884" s="8" t="inlineStr">
        <is>
          <t>CUST-00880</t>
        </is>
      </c>
      <c r="B884" s="8" t="inlineStr">
        <is>
          <t>William Garcia</t>
        </is>
      </c>
      <c r="C884" s="8" t="inlineStr">
        <is>
          <t>Male</t>
        </is>
      </c>
      <c r="D884" s="8" t="n">
        <v>55</v>
      </c>
      <c r="E884" s="8">
        <f>IF(D884&lt;25, "18-24", IF(D884&lt;35, "25-34", IF(D884&lt;50, "35-49", "50+")))</f>
        <v/>
      </c>
      <c r="F884" s="8" t="inlineStr">
        <is>
          <t>Houston</t>
        </is>
      </c>
      <c r="G884" s="8" t="inlineStr">
        <is>
          <t>Texas</t>
        </is>
      </c>
      <c r="H884" s="8" t="inlineStr">
        <is>
          <t>REG-NA</t>
        </is>
      </c>
      <c r="I884" s="8" t="inlineStr">
        <is>
          <t>Corporate</t>
        </is>
      </c>
      <c r="J884" s="8" t="inlineStr">
        <is>
          <t>2021-01-15</t>
        </is>
      </c>
      <c r="K884" s="8">
        <f>COUNTIFS('05_Orders'!$C:$C, A884)</f>
        <v/>
      </c>
      <c r="L884" s="9">
        <f>SUMIFS('05_Orders'!$I:$I, '05_Orders'!$C:$C, A884)</f>
        <v/>
      </c>
      <c r="M884" s="8">
        <f>IF(L884&gt;=2000, "Platinum VIP", IF(L884&gt;=1000, "Gold", IF(L884&gt;=500, "Silver", "Standard")))</f>
        <v/>
      </c>
    </row>
    <row r="885">
      <c r="A885" s="8" t="inlineStr">
        <is>
          <t>CUST-00881</t>
        </is>
      </c>
      <c r="B885" s="8" t="inlineStr">
        <is>
          <t>Nancy Gomez</t>
        </is>
      </c>
      <c r="C885" s="8" t="inlineStr">
        <is>
          <t>Male</t>
        </is>
      </c>
      <c r="D885" s="8" t="n">
        <v>27</v>
      </c>
      <c r="E885" s="8">
        <f>IF(D885&lt;25, "18-24", IF(D885&lt;35, "25-34", IF(D885&lt;50, "35-49", "50+")))</f>
        <v/>
      </c>
      <c r="F885" s="8" t="inlineStr">
        <is>
          <t>Stockholm</t>
        </is>
      </c>
      <c r="G885" s="8" t="inlineStr">
        <is>
          <t>Stockholm County</t>
        </is>
      </c>
      <c r="H885" s="8" t="inlineStr">
        <is>
          <t>REG-EU</t>
        </is>
      </c>
      <c r="I885" s="8" t="inlineStr">
        <is>
          <t>Consumer</t>
        </is>
      </c>
      <c r="J885" s="8" t="inlineStr">
        <is>
          <t>2024-02-14</t>
        </is>
      </c>
      <c r="K885" s="8">
        <f>COUNTIFS('05_Orders'!$C:$C, A885)</f>
        <v/>
      </c>
      <c r="L885" s="9">
        <f>SUMIFS('05_Orders'!$I:$I, '05_Orders'!$C:$C, A885)</f>
        <v/>
      </c>
      <c r="M885" s="8">
        <f>IF(L885&gt;=2000, "Platinum VIP", IF(L885&gt;=1000, "Gold", IF(L885&gt;=500, "Silver", "Standard")))</f>
        <v/>
      </c>
    </row>
    <row r="886">
      <c r="A886" s="8" t="inlineStr">
        <is>
          <t>CUST-00882</t>
        </is>
      </c>
      <c r="B886" s="8" t="inlineStr">
        <is>
          <t>Steven Nelson</t>
        </is>
      </c>
      <c r="C886" s="8" t="inlineStr">
        <is>
          <t>Male</t>
        </is>
      </c>
      <c r="D886" s="8" t="n">
        <v>38</v>
      </c>
      <c r="E886" s="8">
        <f>IF(D886&lt;25, "18-24", IF(D886&lt;35, "25-34", IF(D886&lt;50, "35-49", "50+")))</f>
        <v/>
      </c>
      <c r="F886" s="8" t="inlineStr">
        <is>
          <t>Seoul</t>
        </is>
      </c>
      <c r="G886" s="8" t="inlineStr">
        <is>
          <t>Gyeonggi</t>
        </is>
      </c>
      <c r="H886" s="8" t="inlineStr">
        <is>
          <t>REG-APAC</t>
        </is>
      </c>
      <c r="I886" s="8" t="inlineStr">
        <is>
          <t>Consumer</t>
        </is>
      </c>
      <c r="J886" s="8" t="inlineStr">
        <is>
          <t>2022-08-08</t>
        </is>
      </c>
      <c r="K886" s="8">
        <f>COUNTIFS('05_Orders'!$C:$C, A886)</f>
        <v/>
      </c>
      <c r="L886" s="9">
        <f>SUMIFS('05_Orders'!$I:$I, '05_Orders'!$C:$C, A886)</f>
        <v/>
      </c>
      <c r="M886" s="8">
        <f>IF(L886&gt;=2000, "Platinum VIP", IF(L886&gt;=1000, "Gold", IF(L886&gt;=500, "Silver", "Standard")))</f>
        <v/>
      </c>
    </row>
    <row r="887">
      <c r="A887" s="8" t="inlineStr">
        <is>
          <t>CUST-00883</t>
        </is>
      </c>
      <c r="B887" s="8" t="inlineStr">
        <is>
          <t>Tyler Phillips</t>
        </is>
      </c>
      <c r="C887" s="8" t="inlineStr">
        <is>
          <t>Male</t>
        </is>
      </c>
      <c r="D887" s="8" t="n">
        <v>29</v>
      </c>
      <c r="E887" s="8">
        <f>IF(D887&lt;25, "18-24", IF(D887&lt;35, "25-34", IF(D887&lt;50, "35-49", "50+")))</f>
        <v/>
      </c>
      <c r="F887" s="8" t="inlineStr">
        <is>
          <t>Atlanta</t>
        </is>
      </c>
      <c r="G887" s="8" t="inlineStr">
        <is>
          <t>Georgia</t>
        </is>
      </c>
      <c r="H887" s="8" t="inlineStr">
        <is>
          <t>REG-NA</t>
        </is>
      </c>
      <c r="I887" s="8" t="inlineStr">
        <is>
          <t>Home Office</t>
        </is>
      </c>
      <c r="J887" s="8" t="inlineStr">
        <is>
          <t>2025-03-02</t>
        </is>
      </c>
      <c r="K887" s="8">
        <f>COUNTIFS('05_Orders'!$C:$C, A887)</f>
        <v/>
      </c>
      <c r="L887" s="9">
        <f>SUMIFS('05_Orders'!$I:$I, '05_Orders'!$C:$C, A887)</f>
        <v/>
      </c>
      <c r="M887" s="8">
        <f>IF(L887&gt;=2000, "Platinum VIP", IF(L887&gt;=1000, "Gold", IF(L887&gt;=500, "Silver", "Standard")))</f>
        <v/>
      </c>
    </row>
    <row r="888">
      <c r="A888" s="8" t="inlineStr">
        <is>
          <t>CUST-00884</t>
        </is>
      </c>
      <c r="B888" s="8" t="inlineStr">
        <is>
          <t>Joshua Ruiz</t>
        </is>
      </c>
      <c r="C888" s="8" t="inlineStr">
        <is>
          <t>Other</t>
        </is>
      </c>
      <c r="D888" s="8" t="n">
        <v>31</v>
      </c>
      <c r="E888" s="8">
        <f>IF(D888&lt;25, "18-24", IF(D888&lt;35, "25-34", IF(D888&lt;50, "35-49", "50+")))</f>
        <v/>
      </c>
      <c r="F888" s="8" t="inlineStr">
        <is>
          <t>Melbourne</t>
        </is>
      </c>
      <c r="G888" s="8" t="inlineStr">
        <is>
          <t>Victoria</t>
        </is>
      </c>
      <c r="H888" s="8" t="inlineStr">
        <is>
          <t>REG-APAC</t>
        </is>
      </c>
      <c r="I888" s="8" t="inlineStr">
        <is>
          <t>Consumer</t>
        </is>
      </c>
      <c r="J888" s="8" t="inlineStr">
        <is>
          <t>2021-04-22</t>
        </is>
      </c>
      <c r="K888" s="8">
        <f>COUNTIFS('05_Orders'!$C:$C, A888)</f>
        <v/>
      </c>
      <c r="L888" s="9">
        <f>SUMIFS('05_Orders'!$I:$I, '05_Orders'!$C:$C, A888)</f>
        <v/>
      </c>
      <c r="M888" s="8">
        <f>IF(L888&gt;=2000, "Platinum VIP", IF(L888&gt;=1000, "Gold", IF(L888&gt;=500, "Silver", "Standard")))</f>
        <v/>
      </c>
    </row>
    <row r="889">
      <c r="A889" s="8" t="inlineStr">
        <is>
          <t>CUST-00885</t>
        </is>
      </c>
      <c r="B889" s="8" t="inlineStr">
        <is>
          <t>Betty Rogers</t>
        </is>
      </c>
      <c r="C889" s="8" t="inlineStr">
        <is>
          <t>Male</t>
        </is>
      </c>
      <c r="D889" s="8" t="n">
        <v>37</v>
      </c>
      <c r="E889" s="8">
        <f>IF(D889&lt;25, "18-24", IF(D889&lt;35, "25-34", IF(D889&lt;50, "35-49", "50+")))</f>
        <v/>
      </c>
      <c r="F889" s="8" t="inlineStr">
        <is>
          <t>Chicago</t>
        </is>
      </c>
      <c r="G889" s="8" t="inlineStr">
        <is>
          <t>Illinois</t>
        </is>
      </c>
      <c r="H889" s="8" t="inlineStr">
        <is>
          <t>REG-NA</t>
        </is>
      </c>
      <c r="I889" s="8" t="inlineStr">
        <is>
          <t>Home Office</t>
        </is>
      </c>
      <c r="J889" s="8" t="inlineStr">
        <is>
          <t>2022-02-27</t>
        </is>
      </c>
      <c r="K889" s="8">
        <f>COUNTIFS('05_Orders'!$C:$C, A889)</f>
        <v/>
      </c>
      <c r="L889" s="9">
        <f>SUMIFS('05_Orders'!$I:$I, '05_Orders'!$C:$C, A889)</f>
        <v/>
      </c>
      <c r="M889" s="8">
        <f>IF(L889&gt;=2000, "Platinum VIP", IF(L889&gt;=1000, "Gold", IF(L889&gt;=500, "Silver", "Standard")))</f>
        <v/>
      </c>
    </row>
    <row r="890">
      <c r="A890" s="8" t="inlineStr">
        <is>
          <t>CUST-00886</t>
        </is>
      </c>
      <c r="B890" s="8" t="inlineStr">
        <is>
          <t>Timothy Cox</t>
        </is>
      </c>
      <c r="C890" s="8" t="inlineStr">
        <is>
          <t>Male</t>
        </is>
      </c>
      <c r="D890" s="8" t="n">
        <v>49</v>
      </c>
      <c r="E890" s="8">
        <f>IF(D890&lt;25, "18-24", IF(D890&lt;35, "25-34", IF(D890&lt;50, "35-49", "50+")))</f>
        <v/>
      </c>
      <c r="F890" s="8" t="inlineStr">
        <is>
          <t>Stockholm</t>
        </is>
      </c>
      <c r="G890" s="8" t="inlineStr">
        <is>
          <t>Stockholm County</t>
        </is>
      </c>
      <c r="H890" s="8" t="inlineStr">
        <is>
          <t>REG-EU</t>
        </is>
      </c>
      <c r="I890" s="8" t="inlineStr">
        <is>
          <t>Consumer</t>
        </is>
      </c>
      <c r="J890" s="8" t="inlineStr">
        <is>
          <t>2024-09-28</t>
        </is>
      </c>
      <c r="K890" s="8">
        <f>COUNTIFS('05_Orders'!$C:$C, A890)</f>
        <v/>
      </c>
      <c r="L890" s="9">
        <f>SUMIFS('05_Orders'!$I:$I, '05_Orders'!$C:$C, A890)</f>
        <v/>
      </c>
      <c r="M890" s="8">
        <f>IF(L890&gt;=2000, "Platinum VIP", IF(L890&gt;=1000, "Gold", IF(L890&gt;=500, "Silver", "Standard")))</f>
        <v/>
      </c>
    </row>
    <row r="891">
      <c r="A891" s="8" t="inlineStr">
        <is>
          <t>CUST-00887</t>
        </is>
      </c>
      <c r="B891" s="8" t="inlineStr">
        <is>
          <t>Patricia Richardson</t>
        </is>
      </c>
      <c r="C891" s="8" t="inlineStr">
        <is>
          <t>Male</t>
        </is>
      </c>
      <c r="D891" s="8" t="n">
        <v>72</v>
      </c>
      <c r="E891" s="8">
        <f>IF(D891&lt;25, "18-24", IF(D891&lt;35, "25-34", IF(D891&lt;50, "35-49", "50+")))</f>
        <v/>
      </c>
      <c r="F891" s="8" t="inlineStr">
        <is>
          <t>Phoenix</t>
        </is>
      </c>
      <c r="G891" s="8" t="inlineStr">
        <is>
          <t>Arizona</t>
        </is>
      </c>
      <c r="H891" s="8" t="inlineStr">
        <is>
          <t>REG-NA</t>
        </is>
      </c>
      <c r="I891" s="8" t="inlineStr">
        <is>
          <t>Enterprise</t>
        </is>
      </c>
      <c r="J891" s="8" t="inlineStr">
        <is>
          <t>2022-09-14</t>
        </is>
      </c>
      <c r="K891" s="8">
        <f>COUNTIFS('05_Orders'!$C:$C, A891)</f>
        <v/>
      </c>
      <c r="L891" s="9">
        <f>SUMIFS('05_Orders'!$I:$I, '05_Orders'!$C:$C, A891)</f>
        <v/>
      </c>
      <c r="M891" s="8">
        <f>IF(L891&gt;=2000, "Platinum VIP", IF(L891&gt;=1000, "Gold", IF(L891&gt;=500, "Silver", "Standard")))</f>
        <v/>
      </c>
    </row>
    <row r="892">
      <c r="A892" s="8" t="inlineStr">
        <is>
          <t>CUST-00888</t>
        </is>
      </c>
      <c r="B892" s="8" t="inlineStr">
        <is>
          <t>Deborah Ramirez</t>
        </is>
      </c>
      <c r="C892" s="8" t="inlineStr">
        <is>
          <t>Other</t>
        </is>
      </c>
      <c r="D892" s="8" t="n">
        <v>30</v>
      </c>
      <c r="E892" s="8">
        <f>IF(D892&lt;25, "18-24", IF(D892&lt;35, "25-34", IF(D892&lt;50, "35-49", "50+")))</f>
        <v/>
      </c>
      <c r="F892" s="8" t="inlineStr">
        <is>
          <t>Santiago</t>
        </is>
      </c>
      <c r="G892" s="8" t="inlineStr">
        <is>
          <t>Santiago Metro</t>
        </is>
      </c>
      <c r="H892" s="8" t="inlineStr">
        <is>
          <t>REG-LATAM</t>
        </is>
      </c>
      <c r="I892" s="8" t="inlineStr">
        <is>
          <t>Consumer</t>
        </is>
      </c>
      <c r="J892" s="8" t="inlineStr">
        <is>
          <t>2023-05-06</t>
        </is>
      </c>
      <c r="K892" s="8">
        <f>COUNTIFS('05_Orders'!$C:$C, A892)</f>
        <v/>
      </c>
      <c r="L892" s="9">
        <f>SUMIFS('05_Orders'!$I:$I, '05_Orders'!$C:$C, A892)</f>
        <v/>
      </c>
      <c r="M892" s="8">
        <f>IF(L892&gt;=2000, "Platinum VIP", IF(L892&gt;=1000, "Gold", IF(L892&gt;=500, "Silver", "Standard")))</f>
        <v/>
      </c>
    </row>
    <row r="893">
      <c r="A893" s="8" t="inlineStr">
        <is>
          <t>CUST-00889</t>
        </is>
      </c>
      <c r="B893" s="8" t="inlineStr">
        <is>
          <t>Charles King</t>
        </is>
      </c>
      <c r="C893" s="8" t="inlineStr">
        <is>
          <t>Female</t>
        </is>
      </c>
      <c r="D893" s="8" t="n">
        <v>69</v>
      </c>
      <c r="E893" s="8">
        <f>IF(D893&lt;25, "18-24", IF(D893&lt;35, "25-34", IF(D893&lt;50, "35-49", "50+")))</f>
        <v/>
      </c>
      <c r="F893" s="8" t="inlineStr">
        <is>
          <t>Rio de Janeiro</t>
        </is>
      </c>
      <c r="G893" s="8" t="inlineStr">
        <is>
          <t>Rio de Janeiro State</t>
        </is>
      </c>
      <c r="H893" s="8" t="inlineStr">
        <is>
          <t>REG-LATAM</t>
        </is>
      </c>
      <c r="I893" s="8" t="inlineStr">
        <is>
          <t>Home Office</t>
        </is>
      </c>
      <c r="J893" s="8" t="inlineStr">
        <is>
          <t>2025-03-05</t>
        </is>
      </c>
      <c r="K893" s="8">
        <f>COUNTIFS('05_Orders'!$C:$C, A893)</f>
        <v/>
      </c>
      <c r="L893" s="9">
        <f>SUMIFS('05_Orders'!$I:$I, '05_Orders'!$C:$C, A893)</f>
        <v/>
      </c>
      <c r="M893" s="8">
        <f>IF(L893&gt;=2000, "Platinum VIP", IF(L893&gt;=1000, "Gold", IF(L893&gt;=500, "Silver", "Standard")))</f>
        <v/>
      </c>
    </row>
    <row r="894">
      <c r="A894" s="8" t="inlineStr">
        <is>
          <t>CUST-00890</t>
        </is>
      </c>
      <c r="B894" s="8" t="inlineStr">
        <is>
          <t>Daniel Johnson</t>
        </is>
      </c>
      <c r="C894" s="8" t="inlineStr">
        <is>
          <t>Male</t>
        </is>
      </c>
      <c r="D894" s="8" t="n">
        <v>23</v>
      </c>
      <c r="E894" s="8">
        <f>IF(D894&lt;25, "18-24", IF(D894&lt;35, "25-34", IF(D894&lt;50, "35-49", "50+")))</f>
        <v/>
      </c>
      <c r="F894" s="8" t="inlineStr">
        <is>
          <t>Bangalore</t>
        </is>
      </c>
      <c r="G894" s="8" t="inlineStr">
        <is>
          <t>Karnataka</t>
        </is>
      </c>
      <c r="H894" s="8" t="inlineStr">
        <is>
          <t>REG-APAC</t>
        </is>
      </c>
      <c r="I894" s="8" t="inlineStr">
        <is>
          <t>Home Office</t>
        </is>
      </c>
      <c r="J894" s="8" t="inlineStr">
        <is>
          <t>2024-04-02</t>
        </is>
      </c>
      <c r="K894" s="8">
        <f>COUNTIFS('05_Orders'!$C:$C, A894)</f>
        <v/>
      </c>
      <c r="L894" s="9">
        <f>SUMIFS('05_Orders'!$I:$I, '05_Orders'!$C:$C, A894)</f>
        <v/>
      </c>
      <c r="M894" s="8">
        <f>IF(L894&gt;=2000, "Platinum VIP", IF(L894&gt;=1000, "Gold", IF(L894&gt;=500, "Silver", "Standard")))</f>
        <v/>
      </c>
    </row>
    <row r="895">
      <c r="A895" s="8" t="inlineStr">
        <is>
          <t>CUST-00891</t>
        </is>
      </c>
      <c r="B895" s="8" t="inlineStr">
        <is>
          <t>William Sanders</t>
        </is>
      </c>
      <c r="C895" s="8" t="inlineStr">
        <is>
          <t>Other</t>
        </is>
      </c>
      <c r="D895" s="8" t="n">
        <v>27</v>
      </c>
      <c r="E895" s="8">
        <f>IF(D895&lt;25, "18-24", IF(D895&lt;35, "25-34", IF(D895&lt;50, "35-49", "50+")))</f>
        <v/>
      </c>
      <c r="F895" s="8" t="inlineStr">
        <is>
          <t>Atlanta</t>
        </is>
      </c>
      <c r="G895" s="8" t="inlineStr">
        <is>
          <t>Georgia</t>
        </is>
      </c>
      <c r="H895" s="8" t="inlineStr">
        <is>
          <t>REG-NA</t>
        </is>
      </c>
      <c r="I895" s="8" t="inlineStr">
        <is>
          <t>Corporate</t>
        </is>
      </c>
      <c r="J895" s="8" t="inlineStr">
        <is>
          <t>2021-03-03</t>
        </is>
      </c>
      <c r="K895" s="8">
        <f>COUNTIFS('05_Orders'!$C:$C, A895)</f>
        <v/>
      </c>
      <c r="L895" s="9">
        <f>SUMIFS('05_Orders'!$I:$I, '05_Orders'!$C:$C, A895)</f>
        <v/>
      </c>
      <c r="M895" s="8">
        <f>IF(L895&gt;=2000, "Platinum VIP", IF(L895&gt;=1000, "Gold", IF(L895&gt;=500, "Silver", "Standard")))</f>
        <v/>
      </c>
    </row>
    <row r="896">
      <c r="A896" s="8" t="inlineStr">
        <is>
          <t>CUST-00892</t>
        </is>
      </c>
      <c r="B896" s="8" t="inlineStr">
        <is>
          <t>Mary Kelly</t>
        </is>
      </c>
      <c r="C896" s="8" t="inlineStr">
        <is>
          <t>Male</t>
        </is>
      </c>
      <c r="D896" s="8" t="n">
        <v>60</v>
      </c>
      <c r="E896" s="8">
        <f>IF(D896&lt;25, "18-24", IF(D896&lt;35, "25-34", IF(D896&lt;50, "35-49", "50+")))</f>
        <v/>
      </c>
      <c r="F896" s="8" t="inlineStr">
        <is>
          <t>Phoenix</t>
        </is>
      </c>
      <c r="G896" s="8" t="inlineStr">
        <is>
          <t>Arizona</t>
        </is>
      </c>
      <c r="H896" s="8" t="inlineStr">
        <is>
          <t>REG-NA</t>
        </is>
      </c>
      <c r="I896" s="8" t="inlineStr">
        <is>
          <t>Corporate</t>
        </is>
      </c>
      <c r="J896" s="8" t="inlineStr">
        <is>
          <t>2025-01-12</t>
        </is>
      </c>
      <c r="K896" s="8">
        <f>COUNTIFS('05_Orders'!$C:$C, A896)</f>
        <v/>
      </c>
      <c r="L896" s="9">
        <f>SUMIFS('05_Orders'!$I:$I, '05_Orders'!$C:$C, A896)</f>
        <v/>
      </c>
      <c r="M896" s="8">
        <f>IF(L896&gt;=2000, "Platinum VIP", IF(L896&gt;=1000, "Gold", IF(L896&gt;=500, "Silver", "Standard")))</f>
        <v/>
      </c>
    </row>
    <row r="897">
      <c r="A897" s="8" t="inlineStr">
        <is>
          <t>CUST-00893</t>
        </is>
      </c>
      <c r="B897" s="8" t="inlineStr">
        <is>
          <t>Matthew Walker</t>
        </is>
      </c>
      <c r="C897" s="8" t="inlineStr">
        <is>
          <t>Other</t>
        </is>
      </c>
      <c r="D897" s="8" t="n">
        <v>46</v>
      </c>
      <c r="E897" s="8">
        <f>IF(D897&lt;25, "18-24", IF(D897&lt;35, "25-34", IF(D897&lt;50, "35-49", "50+")))</f>
        <v/>
      </c>
      <c r="F897" s="8" t="inlineStr">
        <is>
          <t>Singapore</t>
        </is>
      </c>
      <c r="G897" s="8" t="inlineStr">
        <is>
          <t>Central</t>
        </is>
      </c>
      <c r="H897" s="8" t="inlineStr">
        <is>
          <t>REG-APAC</t>
        </is>
      </c>
      <c r="I897" s="8" t="inlineStr">
        <is>
          <t>Home Office</t>
        </is>
      </c>
      <c r="J897" s="8" t="inlineStr">
        <is>
          <t>2023-06-11</t>
        </is>
      </c>
      <c r="K897" s="8">
        <f>COUNTIFS('05_Orders'!$C:$C, A897)</f>
        <v/>
      </c>
      <c r="L897" s="9">
        <f>SUMIFS('05_Orders'!$I:$I, '05_Orders'!$C:$C, A897)</f>
        <v/>
      </c>
      <c r="M897" s="8">
        <f>IF(L897&gt;=2000, "Platinum VIP", IF(L897&gt;=1000, "Gold", IF(L897&gt;=500, "Silver", "Standard")))</f>
        <v/>
      </c>
    </row>
    <row r="898">
      <c r="A898" s="8" t="inlineStr">
        <is>
          <t>CUST-00894</t>
        </is>
      </c>
      <c r="B898" s="8" t="inlineStr">
        <is>
          <t>Ruth Miller</t>
        </is>
      </c>
      <c r="C898" s="8" t="inlineStr">
        <is>
          <t>Female</t>
        </is>
      </c>
      <c r="D898" s="8" t="n">
        <v>41</v>
      </c>
      <c r="E898" s="8">
        <f>IF(D898&lt;25, "18-24", IF(D898&lt;35, "25-34", IF(D898&lt;50, "35-49", "50+")))</f>
        <v/>
      </c>
      <c r="F898" s="8" t="inlineStr">
        <is>
          <t>Seattle</t>
        </is>
      </c>
      <c r="G898" s="8" t="inlineStr">
        <is>
          <t>Washington</t>
        </is>
      </c>
      <c r="H898" s="8" t="inlineStr">
        <is>
          <t>REG-NA</t>
        </is>
      </c>
      <c r="I898" s="8" t="inlineStr">
        <is>
          <t>Consumer</t>
        </is>
      </c>
      <c r="J898" s="8" t="inlineStr">
        <is>
          <t>2023-08-26</t>
        </is>
      </c>
      <c r="K898" s="8">
        <f>COUNTIFS('05_Orders'!$C:$C, A898)</f>
        <v/>
      </c>
      <c r="L898" s="9">
        <f>SUMIFS('05_Orders'!$I:$I, '05_Orders'!$C:$C, A898)</f>
        <v/>
      </c>
      <c r="M898" s="8">
        <f>IF(L898&gt;=2000, "Platinum VIP", IF(L898&gt;=1000, "Gold", IF(L898&gt;=500, "Silver", "Standard")))</f>
        <v/>
      </c>
    </row>
    <row r="899">
      <c r="A899" s="8" t="inlineStr">
        <is>
          <t>CUST-00895</t>
        </is>
      </c>
      <c r="B899" s="8" t="inlineStr">
        <is>
          <t>Anna Jackson</t>
        </is>
      </c>
      <c r="C899" s="8" t="inlineStr">
        <is>
          <t>Female</t>
        </is>
      </c>
      <c r="D899" s="8" t="n">
        <v>65</v>
      </c>
      <c r="E899" s="8">
        <f>IF(D899&lt;25, "18-24", IF(D899&lt;35, "25-34", IF(D899&lt;50, "35-49", "50+")))</f>
        <v/>
      </c>
      <c r="F899" s="8" t="inlineStr">
        <is>
          <t>Amsterdam</t>
        </is>
      </c>
      <c r="G899" s="8" t="inlineStr">
        <is>
          <t>North Holland</t>
        </is>
      </c>
      <c r="H899" s="8" t="inlineStr">
        <is>
          <t>REG-EU</t>
        </is>
      </c>
      <c r="I899" s="8" t="inlineStr">
        <is>
          <t>Consumer</t>
        </is>
      </c>
      <c r="J899" s="8" t="inlineStr">
        <is>
          <t>2023-04-03</t>
        </is>
      </c>
      <c r="K899" s="8">
        <f>COUNTIFS('05_Orders'!$C:$C, A899)</f>
        <v/>
      </c>
      <c r="L899" s="9">
        <f>SUMIFS('05_Orders'!$I:$I, '05_Orders'!$C:$C, A899)</f>
        <v/>
      </c>
      <c r="M899" s="8">
        <f>IF(L899&gt;=2000, "Platinum VIP", IF(L899&gt;=1000, "Gold", IF(L899&gt;=500, "Silver", "Standard")))</f>
        <v/>
      </c>
    </row>
    <row r="900">
      <c r="A900" s="8" t="inlineStr">
        <is>
          <t>CUST-00896</t>
        </is>
      </c>
      <c r="B900" s="8" t="inlineStr">
        <is>
          <t>Alexander Long</t>
        </is>
      </c>
      <c r="C900" s="8" t="inlineStr">
        <is>
          <t>Female</t>
        </is>
      </c>
      <c r="D900" s="8" t="n">
        <v>61</v>
      </c>
      <c r="E900" s="8">
        <f>IF(D900&lt;25, "18-24", IF(D900&lt;35, "25-34", IF(D900&lt;50, "35-49", "50+")))</f>
        <v/>
      </c>
      <c r="F900" s="8" t="inlineStr">
        <is>
          <t>Lyon</t>
        </is>
      </c>
      <c r="G900" s="8" t="inlineStr">
        <is>
          <t>Auvergne-Rhone-Alpes</t>
        </is>
      </c>
      <c r="H900" s="8" t="inlineStr">
        <is>
          <t>REG-EU</t>
        </is>
      </c>
      <c r="I900" s="8" t="inlineStr">
        <is>
          <t>Enterprise</t>
        </is>
      </c>
      <c r="J900" s="8" t="inlineStr">
        <is>
          <t>2021-06-27</t>
        </is>
      </c>
      <c r="K900" s="8">
        <f>COUNTIFS('05_Orders'!$C:$C, A900)</f>
        <v/>
      </c>
      <c r="L900" s="9">
        <f>SUMIFS('05_Orders'!$I:$I, '05_Orders'!$C:$C, A900)</f>
        <v/>
      </c>
      <c r="M900" s="8">
        <f>IF(L900&gt;=2000, "Platinum VIP", IF(L900&gt;=1000, "Gold", IF(L900&gt;=500, "Silver", "Standard")))</f>
        <v/>
      </c>
    </row>
    <row r="901">
      <c r="A901" s="8" t="inlineStr">
        <is>
          <t>CUST-00897</t>
        </is>
      </c>
      <c r="B901" s="8" t="inlineStr">
        <is>
          <t>Kathleen Edwards</t>
        </is>
      </c>
      <c r="C901" s="8" t="inlineStr">
        <is>
          <t>Other</t>
        </is>
      </c>
      <c r="D901" s="8" t="n">
        <v>61</v>
      </c>
      <c r="E901" s="8">
        <f>IF(D901&lt;25, "18-24", IF(D901&lt;35, "25-34", IF(D901&lt;50, "35-49", "50+")))</f>
        <v/>
      </c>
      <c r="F901" s="8" t="inlineStr">
        <is>
          <t>New York</t>
        </is>
      </c>
      <c r="G901" s="8" t="inlineStr">
        <is>
          <t>New York</t>
        </is>
      </c>
      <c r="H901" s="8" t="inlineStr">
        <is>
          <t>REG-NA</t>
        </is>
      </c>
      <c r="I901" s="8" t="inlineStr">
        <is>
          <t>Consumer</t>
        </is>
      </c>
      <c r="J901" s="8" t="inlineStr">
        <is>
          <t>2024-07-04</t>
        </is>
      </c>
      <c r="K901" s="8">
        <f>COUNTIFS('05_Orders'!$C:$C, A901)</f>
        <v/>
      </c>
      <c r="L901" s="9">
        <f>SUMIFS('05_Orders'!$I:$I, '05_Orders'!$C:$C, A901)</f>
        <v/>
      </c>
      <c r="M901" s="8">
        <f>IF(L901&gt;=2000, "Platinum VIP", IF(L901&gt;=1000, "Gold", IF(L901&gt;=500, "Silver", "Standard")))</f>
        <v/>
      </c>
    </row>
    <row r="902">
      <c r="A902" s="8" t="inlineStr">
        <is>
          <t>CUST-00898</t>
        </is>
      </c>
      <c r="B902" s="8" t="inlineStr">
        <is>
          <t>Pamela Moore</t>
        </is>
      </c>
      <c r="C902" s="8" t="inlineStr">
        <is>
          <t>Male</t>
        </is>
      </c>
      <c r="D902" s="8" t="n">
        <v>70</v>
      </c>
      <c r="E902" s="8">
        <f>IF(D902&lt;25, "18-24", IF(D902&lt;35, "25-34", IF(D902&lt;50, "35-49", "50+")))</f>
        <v/>
      </c>
      <c r="F902" s="8" t="inlineStr">
        <is>
          <t>Manchester</t>
        </is>
      </c>
      <c r="G902" s="8" t="inlineStr">
        <is>
          <t>Greater Manchester</t>
        </is>
      </c>
      <c r="H902" s="8" t="inlineStr">
        <is>
          <t>REG-EU</t>
        </is>
      </c>
      <c r="I902" s="8" t="inlineStr">
        <is>
          <t>Home Office</t>
        </is>
      </c>
      <c r="J902" s="8" t="inlineStr">
        <is>
          <t>2021-08-18</t>
        </is>
      </c>
      <c r="K902" s="8">
        <f>COUNTIFS('05_Orders'!$C:$C, A902)</f>
        <v/>
      </c>
      <c r="L902" s="9">
        <f>SUMIFS('05_Orders'!$I:$I, '05_Orders'!$C:$C, A902)</f>
        <v/>
      </c>
      <c r="M902" s="8">
        <f>IF(L902&gt;=2000, "Platinum VIP", IF(L902&gt;=1000, "Gold", IF(L902&gt;=500, "Silver", "Standard")))</f>
        <v/>
      </c>
    </row>
    <row r="903">
      <c r="A903" s="8" t="inlineStr">
        <is>
          <t>CUST-00899</t>
        </is>
      </c>
      <c r="B903" s="8" t="inlineStr">
        <is>
          <t>Steven Peterson</t>
        </is>
      </c>
      <c r="C903" s="8" t="inlineStr">
        <is>
          <t>Other</t>
        </is>
      </c>
      <c r="D903" s="8" t="n">
        <v>28</v>
      </c>
      <c r="E903" s="8">
        <f>IF(D903&lt;25, "18-24", IF(D903&lt;35, "25-34", IF(D903&lt;50, "35-49", "50+")))</f>
        <v/>
      </c>
      <c r="F903" s="8" t="inlineStr">
        <is>
          <t>Hong Kong</t>
        </is>
      </c>
      <c r="G903" s="8" t="inlineStr">
        <is>
          <t>Hong Kong</t>
        </is>
      </c>
      <c r="H903" s="8" t="inlineStr">
        <is>
          <t>REG-APAC</t>
        </is>
      </c>
      <c r="I903" s="8" t="inlineStr">
        <is>
          <t>Corporate</t>
        </is>
      </c>
      <c r="J903" s="8" t="inlineStr">
        <is>
          <t>2022-10-29</t>
        </is>
      </c>
      <c r="K903" s="8">
        <f>COUNTIFS('05_Orders'!$C:$C, A903)</f>
        <v/>
      </c>
      <c r="L903" s="9">
        <f>SUMIFS('05_Orders'!$I:$I, '05_Orders'!$C:$C, A903)</f>
        <v/>
      </c>
      <c r="M903" s="8">
        <f>IF(L903&gt;=2000, "Platinum VIP", IF(L903&gt;=1000, "Gold", IF(L903&gt;=500, "Silver", "Standard")))</f>
        <v/>
      </c>
    </row>
    <row r="904">
      <c r="A904" s="8" t="inlineStr">
        <is>
          <t>CUST-00900</t>
        </is>
      </c>
      <c r="B904" s="8" t="inlineStr">
        <is>
          <t>Frank Gomez</t>
        </is>
      </c>
      <c r="C904" s="8" t="inlineStr">
        <is>
          <t>Male</t>
        </is>
      </c>
      <c r="D904" s="8" t="n">
        <v>54</v>
      </c>
      <c r="E904" s="8">
        <f>IF(D904&lt;25, "18-24", IF(D904&lt;35, "25-34", IF(D904&lt;50, "35-49", "50+")))</f>
        <v/>
      </c>
      <c r="F904" s="8" t="inlineStr">
        <is>
          <t>Atlanta</t>
        </is>
      </c>
      <c r="G904" s="8" t="inlineStr">
        <is>
          <t>Georgia</t>
        </is>
      </c>
      <c r="H904" s="8" t="inlineStr">
        <is>
          <t>REG-NA</t>
        </is>
      </c>
      <c r="I904" s="8" t="inlineStr">
        <is>
          <t>Corporate</t>
        </is>
      </c>
      <c r="J904" s="8" t="inlineStr">
        <is>
          <t>2021-08-06</t>
        </is>
      </c>
      <c r="K904" s="8">
        <f>COUNTIFS('05_Orders'!$C:$C, A904)</f>
        <v/>
      </c>
      <c r="L904" s="9">
        <f>SUMIFS('05_Orders'!$I:$I, '05_Orders'!$C:$C, A904)</f>
        <v/>
      </c>
      <c r="M904" s="8">
        <f>IF(L904&gt;=2000, "Platinum VIP", IF(L904&gt;=1000, "Gold", IF(L904&gt;=500, "Silver", "Standard")))</f>
        <v/>
      </c>
    </row>
    <row r="905">
      <c r="A905" s="8" t="inlineStr">
        <is>
          <t>CUST-00901</t>
        </is>
      </c>
      <c r="B905" s="8" t="inlineStr">
        <is>
          <t>Jerry Harris</t>
        </is>
      </c>
      <c r="C905" s="8" t="inlineStr">
        <is>
          <t>Other</t>
        </is>
      </c>
      <c r="D905" s="8" t="n">
        <v>18</v>
      </c>
      <c r="E905" s="8">
        <f>IF(D905&lt;25, "18-24", IF(D905&lt;35, "25-34", IF(D905&lt;50, "35-49", "50+")))</f>
        <v/>
      </c>
      <c r="F905" s="8" t="inlineStr">
        <is>
          <t>Mumbai</t>
        </is>
      </c>
      <c r="G905" s="8" t="inlineStr">
        <is>
          <t>Maharashtra</t>
        </is>
      </c>
      <c r="H905" s="8" t="inlineStr">
        <is>
          <t>REG-APAC</t>
        </is>
      </c>
      <c r="I905" s="8" t="inlineStr">
        <is>
          <t>Home Office</t>
        </is>
      </c>
      <c r="J905" s="8" t="inlineStr">
        <is>
          <t>2023-10-12</t>
        </is>
      </c>
      <c r="K905" s="8">
        <f>COUNTIFS('05_Orders'!$C:$C, A905)</f>
        <v/>
      </c>
      <c r="L905" s="9">
        <f>SUMIFS('05_Orders'!$I:$I, '05_Orders'!$C:$C, A905)</f>
        <v/>
      </c>
      <c r="M905" s="8">
        <f>IF(L905&gt;=2000, "Platinum VIP", IF(L905&gt;=1000, "Gold", IF(L905&gt;=500, "Silver", "Standard")))</f>
        <v/>
      </c>
    </row>
    <row r="906">
      <c r="A906" s="8" t="inlineStr">
        <is>
          <t>CUST-00902</t>
        </is>
      </c>
      <c r="B906" s="8" t="inlineStr">
        <is>
          <t>Rebecca Hill</t>
        </is>
      </c>
      <c r="C906" s="8" t="inlineStr">
        <is>
          <t>Male</t>
        </is>
      </c>
      <c r="D906" s="8" t="n">
        <v>52</v>
      </c>
      <c r="E906" s="8">
        <f>IF(D906&lt;25, "18-24", IF(D906&lt;35, "25-34", IF(D906&lt;50, "35-49", "50+")))</f>
        <v/>
      </c>
      <c r="F906" s="8" t="inlineStr">
        <is>
          <t>Munich</t>
        </is>
      </c>
      <c r="G906" s="8" t="inlineStr">
        <is>
          <t>Bavaria</t>
        </is>
      </c>
      <c r="H906" s="8" t="inlineStr">
        <is>
          <t>REG-EU</t>
        </is>
      </c>
      <c r="I906" s="8" t="inlineStr">
        <is>
          <t>Consumer</t>
        </is>
      </c>
      <c r="J906" s="8" t="inlineStr">
        <is>
          <t>2021-03-05</t>
        </is>
      </c>
      <c r="K906" s="8">
        <f>COUNTIFS('05_Orders'!$C:$C, A906)</f>
        <v/>
      </c>
      <c r="L906" s="9">
        <f>SUMIFS('05_Orders'!$I:$I, '05_Orders'!$C:$C, A906)</f>
        <v/>
      </c>
      <c r="M906" s="8">
        <f>IF(L906&gt;=2000, "Platinum VIP", IF(L906&gt;=1000, "Gold", IF(L906&gt;=500, "Silver", "Standard")))</f>
        <v/>
      </c>
    </row>
    <row r="907">
      <c r="A907" s="8" t="inlineStr">
        <is>
          <t>CUST-00903</t>
        </is>
      </c>
      <c r="B907" s="8" t="inlineStr">
        <is>
          <t>William Allen</t>
        </is>
      </c>
      <c r="C907" s="8" t="inlineStr">
        <is>
          <t>Female</t>
        </is>
      </c>
      <c r="D907" s="8" t="n">
        <v>25</v>
      </c>
      <c r="E907" s="8">
        <f>IF(D907&lt;25, "18-24", IF(D907&lt;35, "25-34", IF(D907&lt;50, "35-49", "50+")))</f>
        <v/>
      </c>
      <c r="F907" s="8" t="inlineStr">
        <is>
          <t>Lyon</t>
        </is>
      </c>
      <c r="G907" s="8" t="inlineStr">
        <is>
          <t>Auvergne-Rhone-Alpes</t>
        </is>
      </c>
      <c r="H907" s="8" t="inlineStr">
        <is>
          <t>REG-EU</t>
        </is>
      </c>
      <c r="I907" s="8" t="inlineStr">
        <is>
          <t>Corporate</t>
        </is>
      </c>
      <c r="J907" s="8" t="inlineStr">
        <is>
          <t>2021-01-22</t>
        </is>
      </c>
      <c r="K907" s="8">
        <f>COUNTIFS('05_Orders'!$C:$C, A907)</f>
        <v/>
      </c>
      <c r="L907" s="9">
        <f>SUMIFS('05_Orders'!$I:$I, '05_Orders'!$C:$C, A907)</f>
        <v/>
      </c>
      <c r="M907" s="8">
        <f>IF(L907&gt;=2000, "Platinum VIP", IF(L907&gt;=1000, "Gold", IF(L907&gt;=500, "Silver", "Standard")))</f>
        <v/>
      </c>
    </row>
    <row r="908">
      <c r="A908" s="8" t="inlineStr">
        <is>
          <t>CUST-00904</t>
        </is>
      </c>
      <c r="B908" s="8" t="inlineStr">
        <is>
          <t>Jeffrey Richardson</t>
        </is>
      </c>
      <c r="C908" s="8" t="inlineStr">
        <is>
          <t>Other</t>
        </is>
      </c>
      <c r="D908" s="8" t="n">
        <v>48</v>
      </c>
      <c r="E908" s="8">
        <f>IF(D908&lt;25, "18-24", IF(D908&lt;35, "25-34", IF(D908&lt;50, "35-49", "50+")))</f>
        <v/>
      </c>
      <c r="F908" s="8" t="inlineStr">
        <is>
          <t>Stockholm</t>
        </is>
      </c>
      <c r="G908" s="8" t="inlineStr">
        <is>
          <t>Stockholm County</t>
        </is>
      </c>
      <c r="H908" s="8" t="inlineStr">
        <is>
          <t>REG-EU</t>
        </is>
      </c>
      <c r="I908" s="8" t="inlineStr">
        <is>
          <t>Consumer</t>
        </is>
      </c>
      <c r="J908" s="8" t="inlineStr">
        <is>
          <t>2023-10-04</t>
        </is>
      </c>
      <c r="K908" s="8">
        <f>COUNTIFS('05_Orders'!$C:$C, A908)</f>
        <v/>
      </c>
      <c r="L908" s="9">
        <f>SUMIFS('05_Orders'!$I:$I, '05_Orders'!$C:$C, A908)</f>
        <v/>
      </c>
      <c r="M908" s="8">
        <f>IF(L908&gt;=2000, "Platinum VIP", IF(L908&gt;=1000, "Gold", IF(L908&gt;=500, "Silver", "Standard")))</f>
        <v/>
      </c>
    </row>
    <row r="909">
      <c r="A909" s="8" t="inlineStr">
        <is>
          <t>CUST-00905</t>
        </is>
      </c>
      <c r="B909" s="8" t="inlineStr">
        <is>
          <t>Gary Roberts</t>
        </is>
      </c>
      <c r="C909" s="8" t="inlineStr">
        <is>
          <t>Other</t>
        </is>
      </c>
      <c r="D909" s="8" t="n">
        <v>67</v>
      </c>
      <c r="E909" s="8">
        <f>IF(D909&lt;25, "18-24", IF(D909&lt;35, "25-34", IF(D909&lt;50, "35-49", "50+")))</f>
        <v/>
      </c>
      <c r="F909" s="8" t="inlineStr">
        <is>
          <t>Denver</t>
        </is>
      </c>
      <c r="G909" s="8" t="inlineStr">
        <is>
          <t>Colorado</t>
        </is>
      </c>
      <c r="H909" s="8" t="inlineStr">
        <is>
          <t>REG-NA</t>
        </is>
      </c>
      <c r="I909" s="8" t="inlineStr">
        <is>
          <t>Corporate</t>
        </is>
      </c>
      <c r="J909" s="8" t="inlineStr">
        <is>
          <t>2022-12-20</t>
        </is>
      </c>
      <c r="K909" s="8">
        <f>COUNTIFS('05_Orders'!$C:$C, A909)</f>
        <v/>
      </c>
      <c r="L909" s="9">
        <f>SUMIFS('05_Orders'!$I:$I, '05_Orders'!$C:$C, A909)</f>
        <v/>
      </c>
      <c r="M909" s="8">
        <f>IF(L909&gt;=2000, "Platinum VIP", IF(L909&gt;=1000, "Gold", IF(L909&gt;=500, "Silver", "Standard")))</f>
        <v/>
      </c>
    </row>
    <row r="910">
      <c r="A910" s="8" t="inlineStr">
        <is>
          <t>CUST-00906</t>
        </is>
      </c>
      <c r="B910" s="8" t="inlineStr">
        <is>
          <t>Nicholas Ross</t>
        </is>
      </c>
      <c r="C910" s="8" t="inlineStr">
        <is>
          <t>Male</t>
        </is>
      </c>
      <c r="D910" s="8" t="n">
        <v>48</v>
      </c>
      <c r="E910" s="8">
        <f>IF(D910&lt;25, "18-24", IF(D910&lt;35, "25-34", IF(D910&lt;50, "35-49", "50+")))</f>
        <v/>
      </c>
      <c r="F910" s="8" t="inlineStr">
        <is>
          <t>Los Angeles</t>
        </is>
      </c>
      <c r="G910" s="8" t="inlineStr">
        <is>
          <t>California</t>
        </is>
      </c>
      <c r="H910" s="8" t="inlineStr">
        <is>
          <t>REG-NA</t>
        </is>
      </c>
      <c r="I910" s="8" t="inlineStr">
        <is>
          <t>Consumer</t>
        </is>
      </c>
      <c r="J910" s="8" t="inlineStr">
        <is>
          <t>2025-01-23</t>
        </is>
      </c>
      <c r="K910" s="8">
        <f>COUNTIFS('05_Orders'!$C:$C, A910)</f>
        <v/>
      </c>
      <c r="L910" s="9">
        <f>SUMIFS('05_Orders'!$I:$I, '05_Orders'!$C:$C, A910)</f>
        <v/>
      </c>
      <c r="M910" s="8">
        <f>IF(L910&gt;=2000, "Platinum VIP", IF(L910&gt;=1000, "Gold", IF(L910&gt;=500, "Silver", "Standard")))</f>
        <v/>
      </c>
    </row>
    <row r="911">
      <c r="A911" s="8" t="inlineStr">
        <is>
          <t>CUST-00907</t>
        </is>
      </c>
      <c r="B911" s="8" t="inlineStr">
        <is>
          <t>Amanda Walker</t>
        </is>
      </c>
      <c r="C911" s="8" t="inlineStr">
        <is>
          <t>Other</t>
        </is>
      </c>
      <c r="D911" s="8" t="n">
        <v>48</v>
      </c>
      <c r="E911" s="8">
        <f>IF(D911&lt;25, "18-24", IF(D911&lt;35, "25-34", IF(D911&lt;50, "35-49", "50+")))</f>
        <v/>
      </c>
      <c r="F911" s="8" t="inlineStr">
        <is>
          <t>Phoenix</t>
        </is>
      </c>
      <c r="G911" s="8" t="inlineStr">
        <is>
          <t>Arizona</t>
        </is>
      </c>
      <c r="H911" s="8" t="inlineStr">
        <is>
          <t>REG-NA</t>
        </is>
      </c>
      <c r="I911" s="8" t="inlineStr">
        <is>
          <t>Corporate</t>
        </is>
      </c>
      <c r="J911" s="8" t="inlineStr">
        <is>
          <t>2024-12-12</t>
        </is>
      </c>
      <c r="K911" s="8">
        <f>COUNTIFS('05_Orders'!$C:$C, A911)</f>
        <v/>
      </c>
      <c r="L911" s="9">
        <f>SUMIFS('05_Orders'!$I:$I, '05_Orders'!$C:$C, A911)</f>
        <v/>
      </c>
      <c r="M911" s="8">
        <f>IF(L911&gt;=2000, "Platinum VIP", IF(L911&gt;=1000, "Gold", IF(L911&gt;=500, "Silver", "Standard")))</f>
        <v/>
      </c>
    </row>
    <row r="912">
      <c r="A912" s="8" t="inlineStr">
        <is>
          <t>CUST-00908</t>
        </is>
      </c>
      <c r="B912" s="8" t="inlineStr">
        <is>
          <t>Thomas Ramos</t>
        </is>
      </c>
      <c r="C912" s="8" t="inlineStr">
        <is>
          <t>Other</t>
        </is>
      </c>
      <c r="D912" s="8" t="n">
        <v>67</v>
      </c>
      <c r="E912" s="8">
        <f>IF(D912&lt;25, "18-24", IF(D912&lt;35, "25-34", IF(D912&lt;50, "35-49", "50+")))</f>
        <v/>
      </c>
      <c r="F912" s="8" t="inlineStr">
        <is>
          <t>Boston</t>
        </is>
      </c>
      <c r="G912" s="8" t="inlineStr">
        <is>
          <t>Massachusetts</t>
        </is>
      </c>
      <c r="H912" s="8" t="inlineStr">
        <is>
          <t>REG-NA</t>
        </is>
      </c>
      <c r="I912" s="8" t="inlineStr">
        <is>
          <t>Consumer</t>
        </is>
      </c>
      <c r="J912" s="8" t="inlineStr">
        <is>
          <t>2023-10-26</t>
        </is>
      </c>
      <c r="K912" s="8">
        <f>COUNTIFS('05_Orders'!$C:$C, A912)</f>
        <v/>
      </c>
      <c r="L912" s="9">
        <f>SUMIFS('05_Orders'!$I:$I, '05_Orders'!$C:$C, A912)</f>
        <v/>
      </c>
      <c r="M912" s="8">
        <f>IF(L912&gt;=2000, "Platinum VIP", IF(L912&gt;=1000, "Gold", IF(L912&gt;=500, "Silver", "Standard")))</f>
        <v/>
      </c>
    </row>
    <row r="913">
      <c r="A913" s="8" t="inlineStr">
        <is>
          <t>CUST-00909</t>
        </is>
      </c>
      <c r="B913" s="8" t="inlineStr">
        <is>
          <t>Stephen Wood</t>
        </is>
      </c>
      <c r="C913" s="8" t="inlineStr">
        <is>
          <t>Other</t>
        </is>
      </c>
      <c r="D913" s="8" t="n">
        <v>21</v>
      </c>
      <c r="E913" s="8">
        <f>IF(D913&lt;25, "18-24", IF(D913&lt;35, "25-34", IF(D913&lt;50, "35-49", "50+")))</f>
        <v/>
      </c>
      <c r="F913" s="8" t="inlineStr">
        <is>
          <t>Los Angeles</t>
        </is>
      </c>
      <c r="G913" s="8" t="inlineStr">
        <is>
          <t>California</t>
        </is>
      </c>
      <c r="H913" s="8" t="inlineStr">
        <is>
          <t>REG-NA</t>
        </is>
      </c>
      <c r="I913" s="8" t="inlineStr">
        <is>
          <t>Corporate</t>
        </is>
      </c>
      <c r="J913" s="8" t="inlineStr">
        <is>
          <t>2023-10-03</t>
        </is>
      </c>
      <c r="K913" s="8">
        <f>COUNTIFS('05_Orders'!$C:$C, A913)</f>
        <v/>
      </c>
      <c r="L913" s="9">
        <f>SUMIFS('05_Orders'!$I:$I, '05_Orders'!$C:$C, A913)</f>
        <v/>
      </c>
      <c r="M913" s="8">
        <f>IF(L913&gt;=2000, "Platinum VIP", IF(L913&gt;=1000, "Gold", IF(L913&gt;=500, "Silver", "Standard")))</f>
        <v/>
      </c>
    </row>
    <row r="914">
      <c r="A914" s="8" t="inlineStr">
        <is>
          <t>CUST-00910</t>
        </is>
      </c>
      <c r="B914" s="8" t="inlineStr">
        <is>
          <t>Brandon Nelson</t>
        </is>
      </c>
      <c r="C914" s="8" t="inlineStr">
        <is>
          <t>Female</t>
        </is>
      </c>
      <c r="D914" s="8" t="n">
        <v>25</v>
      </c>
      <c r="E914" s="8">
        <f>IF(D914&lt;25, "18-24", IF(D914&lt;35, "25-34", IF(D914&lt;50, "35-49", "50+")))</f>
        <v/>
      </c>
      <c r="F914" s="8" t="inlineStr">
        <is>
          <t>Manchester</t>
        </is>
      </c>
      <c r="G914" s="8" t="inlineStr">
        <is>
          <t>Greater Manchester</t>
        </is>
      </c>
      <c r="H914" s="8" t="inlineStr">
        <is>
          <t>REG-EU</t>
        </is>
      </c>
      <c r="I914" s="8" t="inlineStr">
        <is>
          <t>Consumer</t>
        </is>
      </c>
      <c r="J914" s="8" t="inlineStr">
        <is>
          <t>2023-09-23</t>
        </is>
      </c>
      <c r="K914" s="8">
        <f>COUNTIFS('05_Orders'!$C:$C, A914)</f>
        <v/>
      </c>
      <c r="L914" s="9">
        <f>SUMIFS('05_Orders'!$I:$I, '05_Orders'!$C:$C, A914)</f>
        <v/>
      </c>
      <c r="M914" s="8">
        <f>IF(L914&gt;=2000, "Platinum VIP", IF(L914&gt;=1000, "Gold", IF(L914&gt;=500, "Silver", "Standard")))</f>
        <v/>
      </c>
    </row>
    <row r="915">
      <c r="A915" s="8" t="inlineStr">
        <is>
          <t>CUST-00911</t>
        </is>
      </c>
      <c r="B915" s="8" t="inlineStr">
        <is>
          <t>Daniel Foster</t>
        </is>
      </c>
      <c r="C915" s="8" t="inlineStr">
        <is>
          <t>Female</t>
        </is>
      </c>
      <c r="D915" s="8" t="n">
        <v>20</v>
      </c>
      <c r="E915" s="8">
        <f>IF(D915&lt;25, "18-24", IF(D915&lt;35, "25-34", IF(D915&lt;50, "35-49", "50+")))</f>
        <v/>
      </c>
      <c r="F915" s="8" t="inlineStr">
        <is>
          <t>Houston</t>
        </is>
      </c>
      <c r="G915" s="8" t="inlineStr">
        <is>
          <t>Texas</t>
        </is>
      </c>
      <c r="H915" s="8" t="inlineStr">
        <is>
          <t>REG-NA</t>
        </is>
      </c>
      <c r="I915" s="8" t="inlineStr">
        <is>
          <t>Consumer</t>
        </is>
      </c>
      <c r="J915" s="8" t="inlineStr">
        <is>
          <t>2024-10-30</t>
        </is>
      </c>
      <c r="K915" s="8">
        <f>COUNTIFS('05_Orders'!$C:$C, A915)</f>
        <v/>
      </c>
      <c r="L915" s="9">
        <f>SUMIFS('05_Orders'!$I:$I, '05_Orders'!$C:$C, A915)</f>
        <v/>
      </c>
      <c r="M915" s="8">
        <f>IF(L915&gt;=2000, "Platinum VIP", IF(L915&gt;=1000, "Gold", IF(L915&gt;=500, "Silver", "Standard")))</f>
        <v/>
      </c>
    </row>
    <row r="916">
      <c r="A916" s="8" t="inlineStr">
        <is>
          <t>CUST-00912</t>
        </is>
      </c>
      <c r="B916" s="8" t="inlineStr">
        <is>
          <t>Joseph Gonzalez</t>
        </is>
      </c>
      <c r="C916" s="8" t="inlineStr">
        <is>
          <t>Male</t>
        </is>
      </c>
      <c r="D916" s="8" t="n">
        <v>26</v>
      </c>
      <c r="E916" s="8">
        <f>IF(D916&lt;25, "18-24", IF(D916&lt;35, "25-34", IF(D916&lt;50, "35-49", "50+")))</f>
        <v/>
      </c>
      <c r="F916" s="8" t="inlineStr">
        <is>
          <t>Denver</t>
        </is>
      </c>
      <c r="G916" s="8" t="inlineStr">
        <is>
          <t>Colorado</t>
        </is>
      </c>
      <c r="H916" s="8" t="inlineStr">
        <is>
          <t>REG-NA</t>
        </is>
      </c>
      <c r="I916" s="8" t="inlineStr">
        <is>
          <t>Corporate</t>
        </is>
      </c>
      <c r="J916" s="8" t="inlineStr">
        <is>
          <t>2023-06-17</t>
        </is>
      </c>
      <c r="K916" s="8">
        <f>COUNTIFS('05_Orders'!$C:$C, A916)</f>
        <v/>
      </c>
      <c r="L916" s="9">
        <f>SUMIFS('05_Orders'!$I:$I, '05_Orders'!$C:$C, A916)</f>
        <v/>
      </c>
      <c r="M916" s="8">
        <f>IF(L916&gt;=2000, "Platinum VIP", IF(L916&gt;=1000, "Gold", IF(L916&gt;=500, "Silver", "Standard")))</f>
        <v/>
      </c>
    </row>
    <row r="917">
      <c r="A917" s="8" t="inlineStr">
        <is>
          <t>CUST-00913</t>
        </is>
      </c>
      <c r="B917" s="8" t="inlineStr">
        <is>
          <t>Raymond Mitchell</t>
        </is>
      </c>
      <c r="C917" s="8" t="inlineStr">
        <is>
          <t>Other</t>
        </is>
      </c>
      <c r="D917" s="8" t="n">
        <v>52</v>
      </c>
      <c r="E917" s="8">
        <f>IF(D917&lt;25, "18-24", IF(D917&lt;35, "25-34", IF(D917&lt;50, "35-49", "50+")))</f>
        <v/>
      </c>
      <c r="F917" s="8" t="inlineStr">
        <is>
          <t>Toronto</t>
        </is>
      </c>
      <c r="G917" s="8" t="inlineStr">
        <is>
          <t>Ontario</t>
        </is>
      </c>
      <c r="H917" s="8" t="inlineStr">
        <is>
          <t>REG-NA</t>
        </is>
      </c>
      <c r="I917" s="8" t="inlineStr">
        <is>
          <t>Consumer</t>
        </is>
      </c>
      <c r="J917" s="8" t="inlineStr">
        <is>
          <t>2023-06-13</t>
        </is>
      </c>
      <c r="K917" s="8">
        <f>COUNTIFS('05_Orders'!$C:$C, A917)</f>
        <v/>
      </c>
      <c r="L917" s="9">
        <f>SUMIFS('05_Orders'!$I:$I, '05_Orders'!$C:$C, A917)</f>
        <v/>
      </c>
      <c r="M917" s="8">
        <f>IF(L917&gt;=2000, "Platinum VIP", IF(L917&gt;=1000, "Gold", IF(L917&gt;=500, "Silver", "Standard")))</f>
        <v/>
      </c>
    </row>
    <row r="918">
      <c r="A918" s="8" t="inlineStr">
        <is>
          <t>CUST-00914</t>
        </is>
      </c>
      <c r="B918" s="8" t="inlineStr">
        <is>
          <t>Debra Rivera</t>
        </is>
      </c>
      <c r="C918" s="8" t="inlineStr">
        <is>
          <t>Female</t>
        </is>
      </c>
      <c r="D918" s="8" t="n">
        <v>43</v>
      </c>
      <c r="E918" s="8">
        <f>IF(D918&lt;25, "18-24", IF(D918&lt;35, "25-34", IF(D918&lt;50, "35-49", "50+")))</f>
        <v/>
      </c>
      <c r="F918" s="8" t="inlineStr">
        <is>
          <t>Munich</t>
        </is>
      </c>
      <c r="G918" s="8" t="inlineStr">
        <is>
          <t>Bavaria</t>
        </is>
      </c>
      <c r="H918" s="8" t="inlineStr">
        <is>
          <t>REG-EU</t>
        </is>
      </c>
      <c r="I918" s="8" t="inlineStr">
        <is>
          <t>Home Office</t>
        </is>
      </c>
      <c r="J918" s="8" t="inlineStr">
        <is>
          <t>2021-10-09</t>
        </is>
      </c>
      <c r="K918" s="8">
        <f>COUNTIFS('05_Orders'!$C:$C, A918)</f>
        <v/>
      </c>
      <c r="L918" s="9">
        <f>SUMIFS('05_Orders'!$I:$I, '05_Orders'!$C:$C, A918)</f>
        <v/>
      </c>
      <c r="M918" s="8">
        <f>IF(L918&gt;=2000, "Platinum VIP", IF(L918&gt;=1000, "Gold", IF(L918&gt;=500, "Silver", "Standard")))</f>
        <v/>
      </c>
    </row>
    <row r="919">
      <c r="A919" s="8" t="inlineStr">
        <is>
          <t>CUST-00915</t>
        </is>
      </c>
      <c r="B919" s="8" t="inlineStr">
        <is>
          <t>Cynthia James</t>
        </is>
      </c>
      <c r="C919" s="8" t="inlineStr">
        <is>
          <t>Other</t>
        </is>
      </c>
      <c r="D919" s="8" t="n">
        <v>41</v>
      </c>
      <c r="E919" s="8">
        <f>IF(D919&lt;25, "18-24", IF(D919&lt;35, "25-34", IF(D919&lt;50, "35-49", "50+")))</f>
        <v/>
      </c>
      <c r="F919" s="8" t="inlineStr">
        <is>
          <t>Madrid</t>
        </is>
      </c>
      <c r="G919" s="8" t="inlineStr">
        <is>
          <t>Community of Madrid</t>
        </is>
      </c>
      <c r="H919" s="8" t="inlineStr">
        <is>
          <t>REG-EU</t>
        </is>
      </c>
      <c r="I919" s="8" t="inlineStr">
        <is>
          <t>Consumer</t>
        </is>
      </c>
      <c r="J919" s="8" t="inlineStr">
        <is>
          <t>2024-09-06</t>
        </is>
      </c>
      <c r="K919" s="8">
        <f>COUNTIFS('05_Orders'!$C:$C, A919)</f>
        <v/>
      </c>
      <c r="L919" s="9">
        <f>SUMIFS('05_Orders'!$I:$I, '05_Orders'!$C:$C, A919)</f>
        <v/>
      </c>
      <c r="M919" s="8">
        <f>IF(L919&gt;=2000, "Platinum VIP", IF(L919&gt;=1000, "Gold", IF(L919&gt;=500, "Silver", "Standard")))</f>
        <v/>
      </c>
    </row>
    <row r="920">
      <c r="A920" s="8" t="inlineStr">
        <is>
          <t>CUST-00916</t>
        </is>
      </c>
      <c r="B920" s="8" t="inlineStr">
        <is>
          <t>Charles Hill</t>
        </is>
      </c>
      <c r="C920" s="8" t="inlineStr">
        <is>
          <t>Male</t>
        </is>
      </c>
      <c r="D920" s="8" t="n">
        <v>65</v>
      </c>
      <c r="E920" s="8">
        <f>IF(D920&lt;25, "18-24", IF(D920&lt;35, "25-34", IF(D920&lt;50, "35-49", "50+")))</f>
        <v/>
      </c>
      <c r="F920" s="8" t="inlineStr">
        <is>
          <t>Singapore</t>
        </is>
      </c>
      <c r="G920" s="8" t="inlineStr">
        <is>
          <t>Central</t>
        </is>
      </c>
      <c r="H920" s="8" t="inlineStr">
        <is>
          <t>REG-APAC</t>
        </is>
      </c>
      <c r="I920" s="8" t="inlineStr">
        <is>
          <t>Consumer</t>
        </is>
      </c>
      <c r="J920" s="8" t="inlineStr">
        <is>
          <t>2023-11-11</t>
        </is>
      </c>
      <c r="K920" s="8">
        <f>COUNTIFS('05_Orders'!$C:$C, A920)</f>
        <v/>
      </c>
      <c r="L920" s="9">
        <f>SUMIFS('05_Orders'!$I:$I, '05_Orders'!$C:$C, A920)</f>
        <v/>
      </c>
      <c r="M920" s="8">
        <f>IF(L920&gt;=2000, "Platinum VIP", IF(L920&gt;=1000, "Gold", IF(L920&gt;=500, "Silver", "Standard")))</f>
        <v/>
      </c>
    </row>
    <row r="921">
      <c r="A921" s="8" t="inlineStr">
        <is>
          <t>CUST-00917</t>
        </is>
      </c>
      <c r="B921" s="8" t="inlineStr">
        <is>
          <t>Mary Hill</t>
        </is>
      </c>
      <c r="C921" s="8" t="inlineStr">
        <is>
          <t>Male</t>
        </is>
      </c>
      <c r="D921" s="8" t="n">
        <v>38</v>
      </c>
      <c r="E921" s="8">
        <f>IF(D921&lt;25, "18-24", IF(D921&lt;35, "25-34", IF(D921&lt;50, "35-49", "50+")))</f>
        <v/>
      </c>
      <c r="F921" s="8" t="inlineStr">
        <is>
          <t>Lima</t>
        </is>
      </c>
      <c r="G921" s="8" t="inlineStr">
        <is>
          <t>Lima Province</t>
        </is>
      </c>
      <c r="H921" s="8" t="inlineStr">
        <is>
          <t>REG-LATAM</t>
        </is>
      </c>
      <c r="I921" s="8" t="inlineStr">
        <is>
          <t>Home Office</t>
        </is>
      </c>
      <c r="J921" s="8" t="inlineStr">
        <is>
          <t>2022-01-22</t>
        </is>
      </c>
      <c r="K921" s="8">
        <f>COUNTIFS('05_Orders'!$C:$C, A921)</f>
        <v/>
      </c>
      <c r="L921" s="9">
        <f>SUMIFS('05_Orders'!$I:$I, '05_Orders'!$C:$C, A921)</f>
        <v/>
      </c>
      <c r="M921" s="8">
        <f>IF(L921&gt;=2000, "Platinum VIP", IF(L921&gt;=1000, "Gold", IF(L921&gt;=500, "Silver", "Standard")))</f>
        <v/>
      </c>
    </row>
    <row r="922">
      <c r="A922" s="8" t="inlineStr">
        <is>
          <t>CUST-00918</t>
        </is>
      </c>
      <c r="B922" s="8" t="inlineStr">
        <is>
          <t>Larry Brooks</t>
        </is>
      </c>
      <c r="C922" s="8" t="inlineStr">
        <is>
          <t>Other</t>
        </is>
      </c>
      <c r="D922" s="8" t="n">
        <v>52</v>
      </c>
      <c r="E922" s="8">
        <f>IF(D922&lt;25, "18-24", IF(D922&lt;35, "25-34", IF(D922&lt;50, "35-49", "50+")))</f>
        <v/>
      </c>
      <c r="F922" s="8" t="inlineStr">
        <is>
          <t>Tokyo</t>
        </is>
      </c>
      <c r="G922" s="8" t="inlineStr">
        <is>
          <t>Kanto</t>
        </is>
      </c>
      <c r="H922" s="8" t="inlineStr">
        <is>
          <t>REG-APAC</t>
        </is>
      </c>
      <c r="I922" s="8" t="inlineStr">
        <is>
          <t>Consumer</t>
        </is>
      </c>
      <c r="J922" s="8" t="inlineStr">
        <is>
          <t>2021-09-18</t>
        </is>
      </c>
      <c r="K922" s="8">
        <f>COUNTIFS('05_Orders'!$C:$C, A922)</f>
        <v/>
      </c>
      <c r="L922" s="9">
        <f>SUMIFS('05_Orders'!$I:$I, '05_Orders'!$C:$C, A922)</f>
        <v/>
      </c>
      <c r="M922" s="8">
        <f>IF(L922&gt;=2000, "Platinum VIP", IF(L922&gt;=1000, "Gold", IF(L922&gt;=500, "Silver", "Standard")))</f>
        <v/>
      </c>
    </row>
    <row r="923">
      <c r="A923" s="8" t="inlineStr">
        <is>
          <t>CUST-00919</t>
        </is>
      </c>
      <c r="B923" s="8" t="inlineStr">
        <is>
          <t>Elizabeth Reed</t>
        </is>
      </c>
      <c r="C923" s="8" t="inlineStr">
        <is>
          <t>Male</t>
        </is>
      </c>
      <c r="D923" s="8" t="n">
        <v>33</v>
      </c>
      <c r="E923" s="8">
        <f>IF(D923&lt;25, "18-24", IF(D923&lt;35, "25-34", IF(D923&lt;50, "35-49", "50+")))</f>
        <v/>
      </c>
      <c r="F923" s="8" t="inlineStr">
        <is>
          <t>Amsterdam</t>
        </is>
      </c>
      <c r="G923" s="8" t="inlineStr">
        <is>
          <t>North Holland</t>
        </is>
      </c>
      <c r="H923" s="8" t="inlineStr">
        <is>
          <t>REG-EU</t>
        </is>
      </c>
      <c r="I923" s="8" t="inlineStr">
        <is>
          <t>Home Office</t>
        </is>
      </c>
      <c r="J923" s="8" t="inlineStr">
        <is>
          <t>2023-01-11</t>
        </is>
      </c>
      <c r="K923" s="8">
        <f>COUNTIFS('05_Orders'!$C:$C, A923)</f>
        <v/>
      </c>
      <c r="L923" s="9">
        <f>SUMIFS('05_Orders'!$I:$I, '05_Orders'!$C:$C, A923)</f>
        <v/>
      </c>
      <c r="M923" s="8">
        <f>IF(L923&gt;=2000, "Platinum VIP", IF(L923&gt;=1000, "Gold", IF(L923&gt;=500, "Silver", "Standard")))</f>
        <v/>
      </c>
    </row>
    <row r="924">
      <c r="A924" s="8" t="inlineStr">
        <is>
          <t>CUST-00920</t>
        </is>
      </c>
      <c r="B924" s="8" t="inlineStr">
        <is>
          <t>Jennifer Adams</t>
        </is>
      </c>
      <c r="C924" s="8" t="inlineStr">
        <is>
          <t>Female</t>
        </is>
      </c>
      <c r="D924" s="8" t="n">
        <v>19</v>
      </c>
      <c r="E924" s="8">
        <f>IF(D924&lt;25, "18-24", IF(D924&lt;35, "25-34", IF(D924&lt;50, "35-49", "50+")))</f>
        <v/>
      </c>
      <c r="F924" s="8" t="inlineStr">
        <is>
          <t>Seattle</t>
        </is>
      </c>
      <c r="G924" s="8" t="inlineStr">
        <is>
          <t>Washington</t>
        </is>
      </c>
      <c r="H924" s="8" t="inlineStr">
        <is>
          <t>REG-NA</t>
        </is>
      </c>
      <c r="I924" s="8" t="inlineStr">
        <is>
          <t>Consumer</t>
        </is>
      </c>
      <c r="J924" s="8" t="inlineStr">
        <is>
          <t>2024-05-26</t>
        </is>
      </c>
      <c r="K924" s="8">
        <f>COUNTIFS('05_Orders'!$C:$C, A924)</f>
        <v/>
      </c>
      <c r="L924" s="9">
        <f>SUMIFS('05_Orders'!$I:$I, '05_Orders'!$C:$C, A924)</f>
        <v/>
      </c>
      <c r="M924" s="8">
        <f>IF(L924&gt;=2000, "Platinum VIP", IF(L924&gt;=1000, "Gold", IF(L924&gt;=500, "Silver", "Standard")))</f>
        <v/>
      </c>
    </row>
    <row r="925">
      <c r="A925" s="8" t="inlineStr">
        <is>
          <t>CUST-00921</t>
        </is>
      </c>
      <c r="B925" s="8" t="inlineStr">
        <is>
          <t>Diane Rogers</t>
        </is>
      </c>
      <c r="C925" s="8" t="inlineStr">
        <is>
          <t>Female</t>
        </is>
      </c>
      <c r="D925" s="8" t="n">
        <v>59</v>
      </c>
      <c r="E925" s="8">
        <f>IF(D925&lt;25, "18-24", IF(D925&lt;35, "25-34", IF(D925&lt;50, "35-49", "50+")))</f>
        <v/>
      </c>
      <c r="F925" s="8" t="inlineStr">
        <is>
          <t>Osaka</t>
        </is>
      </c>
      <c r="G925" s="8" t="inlineStr">
        <is>
          <t>Kansai</t>
        </is>
      </c>
      <c r="H925" s="8" t="inlineStr">
        <is>
          <t>REG-APAC</t>
        </is>
      </c>
      <c r="I925" s="8" t="inlineStr">
        <is>
          <t>Consumer</t>
        </is>
      </c>
      <c r="J925" s="8" t="inlineStr">
        <is>
          <t>2023-12-04</t>
        </is>
      </c>
      <c r="K925" s="8">
        <f>COUNTIFS('05_Orders'!$C:$C, A925)</f>
        <v/>
      </c>
      <c r="L925" s="9">
        <f>SUMIFS('05_Orders'!$I:$I, '05_Orders'!$C:$C, A925)</f>
        <v/>
      </c>
      <c r="M925" s="8">
        <f>IF(L925&gt;=2000, "Platinum VIP", IF(L925&gt;=1000, "Gold", IF(L925&gt;=500, "Silver", "Standard")))</f>
        <v/>
      </c>
    </row>
    <row r="926">
      <c r="A926" s="8" t="inlineStr">
        <is>
          <t>CUST-00922</t>
        </is>
      </c>
      <c r="B926" s="8" t="inlineStr">
        <is>
          <t>William Bailey</t>
        </is>
      </c>
      <c r="C926" s="8" t="inlineStr">
        <is>
          <t>Male</t>
        </is>
      </c>
      <c r="D926" s="8" t="n">
        <v>63</v>
      </c>
      <c r="E926" s="8">
        <f>IF(D926&lt;25, "18-24", IF(D926&lt;35, "25-34", IF(D926&lt;50, "35-49", "50+")))</f>
        <v/>
      </c>
      <c r="F926" s="8" t="inlineStr">
        <is>
          <t>Osaka</t>
        </is>
      </c>
      <c r="G926" s="8" t="inlineStr">
        <is>
          <t>Kansai</t>
        </is>
      </c>
      <c r="H926" s="8" t="inlineStr">
        <is>
          <t>REG-APAC</t>
        </is>
      </c>
      <c r="I926" s="8" t="inlineStr">
        <is>
          <t>Home Office</t>
        </is>
      </c>
      <c r="J926" s="8" t="inlineStr">
        <is>
          <t>2021-03-23</t>
        </is>
      </c>
      <c r="K926" s="8">
        <f>COUNTIFS('05_Orders'!$C:$C, A926)</f>
        <v/>
      </c>
      <c r="L926" s="9">
        <f>SUMIFS('05_Orders'!$I:$I, '05_Orders'!$C:$C, A926)</f>
        <v/>
      </c>
      <c r="M926" s="8">
        <f>IF(L926&gt;=2000, "Platinum VIP", IF(L926&gt;=1000, "Gold", IF(L926&gt;=500, "Silver", "Standard")))</f>
        <v/>
      </c>
    </row>
    <row r="927">
      <c r="A927" s="8" t="inlineStr">
        <is>
          <t>CUST-00923</t>
        </is>
      </c>
      <c r="B927" s="8" t="inlineStr">
        <is>
          <t>Amanda Hill</t>
        </is>
      </c>
      <c r="C927" s="8" t="inlineStr">
        <is>
          <t>Other</t>
        </is>
      </c>
      <c r="D927" s="8" t="n">
        <v>56</v>
      </c>
      <c r="E927" s="8">
        <f>IF(D927&lt;25, "18-24", IF(D927&lt;35, "25-34", IF(D927&lt;50, "35-49", "50+")))</f>
        <v/>
      </c>
      <c r="F927" s="8" t="inlineStr">
        <is>
          <t>Phoenix</t>
        </is>
      </c>
      <c r="G927" s="8" t="inlineStr">
        <is>
          <t>Arizona</t>
        </is>
      </c>
      <c r="H927" s="8" t="inlineStr">
        <is>
          <t>REG-NA</t>
        </is>
      </c>
      <c r="I927" s="8" t="inlineStr">
        <is>
          <t>Home Office</t>
        </is>
      </c>
      <c r="J927" s="8" t="inlineStr">
        <is>
          <t>2023-08-21</t>
        </is>
      </c>
      <c r="K927" s="8">
        <f>COUNTIFS('05_Orders'!$C:$C, A927)</f>
        <v/>
      </c>
      <c r="L927" s="9">
        <f>SUMIFS('05_Orders'!$I:$I, '05_Orders'!$C:$C, A927)</f>
        <v/>
      </c>
      <c r="M927" s="8">
        <f>IF(L927&gt;=2000, "Platinum VIP", IF(L927&gt;=1000, "Gold", IF(L927&gt;=500, "Silver", "Standard")))</f>
        <v/>
      </c>
    </row>
    <row r="928">
      <c r="A928" s="8" t="inlineStr">
        <is>
          <t>CUST-00924</t>
        </is>
      </c>
      <c r="B928" s="8" t="inlineStr">
        <is>
          <t>Raymond Bailey</t>
        </is>
      </c>
      <c r="C928" s="8" t="inlineStr">
        <is>
          <t>Other</t>
        </is>
      </c>
      <c r="D928" s="8" t="n">
        <v>56</v>
      </c>
      <c r="E928" s="8">
        <f>IF(D928&lt;25, "18-24", IF(D928&lt;35, "25-34", IF(D928&lt;50, "35-49", "50+")))</f>
        <v/>
      </c>
      <c r="F928" s="8" t="inlineStr">
        <is>
          <t>Stockholm</t>
        </is>
      </c>
      <c r="G928" s="8" t="inlineStr">
        <is>
          <t>Stockholm County</t>
        </is>
      </c>
      <c r="H928" s="8" t="inlineStr">
        <is>
          <t>REG-EU</t>
        </is>
      </c>
      <c r="I928" s="8" t="inlineStr">
        <is>
          <t>Consumer</t>
        </is>
      </c>
      <c r="J928" s="8" t="inlineStr">
        <is>
          <t>2022-11-22</t>
        </is>
      </c>
      <c r="K928" s="8">
        <f>COUNTIFS('05_Orders'!$C:$C, A928)</f>
        <v/>
      </c>
      <c r="L928" s="9">
        <f>SUMIFS('05_Orders'!$I:$I, '05_Orders'!$C:$C, A928)</f>
        <v/>
      </c>
      <c r="M928" s="8">
        <f>IF(L928&gt;=2000, "Platinum VIP", IF(L928&gt;=1000, "Gold", IF(L928&gt;=500, "Silver", "Standard")))</f>
        <v/>
      </c>
    </row>
    <row r="929">
      <c r="A929" s="8" t="inlineStr">
        <is>
          <t>CUST-00925</t>
        </is>
      </c>
      <c r="B929" s="8" t="inlineStr">
        <is>
          <t>Samuel Rodriguez</t>
        </is>
      </c>
      <c r="C929" s="8" t="inlineStr">
        <is>
          <t>Female</t>
        </is>
      </c>
      <c r="D929" s="8" t="n">
        <v>58</v>
      </c>
      <c r="E929" s="8">
        <f>IF(D929&lt;25, "18-24", IF(D929&lt;35, "25-34", IF(D929&lt;50, "35-49", "50+")))</f>
        <v/>
      </c>
      <c r="F929" s="8" t="inlineStr">
        <is>
          <t>Phoenix</t>
        </is>
      </c>
      <c r="G929" s="8" t="inlineStr">
        <is>
          <t>Arizona</t>
        </is>
      </c>
      <c r="H929" s="8" t="inlineStr">
        <is>
          <t>REG-NA</t>
        </is>
      </c>
      <c r="I929" s="8" t="inlineStr">
        <is>
          <t>Home Office</t>
        </is>
      </c>
      <c r="J929" s="8" t="inlineStr">
        <is>
          <t>2024-05-02</t>
        </is>
      </c>
      <c r="K929" s="8">
        <f>COUNTIFS('05_Orders'!$C:$C, A929)</f>
        <v/>
      </c>
      <c r="L929" s="9">
        <f>SUMIFS('05_Orders'!$I:$I, '05_Orders'!$C:$C, A929)</f>
        <v/>
      </c>
      <c r="M929" s="8">
        <f>IF(L929&gt;=2000, "Platinum VIP", IF(L929&gt;=1000, "Gold", IF(L929&gt;=500, "Silver", "Standard")))</f>
        <v/>
      </c>
    </row>
    <row r="930">
      <c r="A930" s="8" t="inlineStr">
        <is>
          <t>CUST-00926</t>
        </is>
      </c>
      <c r="B930" s="8" t="inlineStr">
        <is>
          <t>Justin Harris</t>
        </is>
      </c>
      <c r="C930" s="8" t="inlineStr">
        <is>
          <t>Female</t>
        </is>
      </c>
      <c r="D930" s="8" t="n">
        <v>37</v>
      </c>
      <c r="E930" s="8">
        <f>IF(D930&lt;25, "18-24", IF(D930&lt;35, "25-34", IF(D930&lt;50, "35-49", "50+")))</f>
        <v/>
      </c>
      <c r="F930" s="8" t="inlineStr">
        <is>
          <t>Seattle</t>
        </is>
      </c>
      <c r="G930" s="8" t="inlineStr">
        <is>
          <t>Washington</t>
        </is>
      </c>
      <c r="H930" s="8" t="inlineStr">
        <is>
          <t>REG-NA</t>
        </is>
      </c>
      <c r="I930" s="8" t="inlineStr">
        <is>
          <t>Corporate</t>
        </is>
      </c>
      <c r="J930" s="8" t="inlineStr">
        <is>
          <t>2023-04-23</t>
        </is>
      </c>
      <c r="K930" s="8">
        <f>COUNTIFS('05_Orders'!$C:$C, A930)</f>
        <v/>
      </c>
      <c r="L930" s="9">
        <f>SUMIFS('05_Orders'!$I:$I, '05_Orders'!$C:$C, A930)</f>
        <v/>
      </c>
      <c r="M930" s="8">
        <f>IF(L930&gt;=2000, "Platinum VIP", IF(L930&gt;=1000, "Gold", IF(L930&gt;=500, "Silver", "Standard")))</f>
        <v/>
      </c>
    </row>
    <row r="931">
      <c r="A931" s="8" t="inlineStr">
        <is>
          <t>CUST-00927</t>
        </is>
      </c>
      <c r="B931" s="8" t="inlineStr">
        <is>
          <t>Benjamin Moore</t>
        </is>
      </c>
      <c r="C931" s="8" t="inlineStr">
        <is>
          <t>Other</t>
        </is>
      </c>
      <c r="D931" s="8" t="n">
        <v>36</v>
      </c>
      <c r="E931" s="8">
        <f>IF(D931&lt;25, "18-24", IF(D931&lt;35, "25-34", IF(D931&lt;50, "35-49", "50+")))</f>
        <v/>
      </c>
      <c r="F931" s="8" t="inlineStr">
        <is>
          <t>Seattle</t>
        </is>
      </c>
      <c r="G931" s="8" t="inlineStr">
        <is>
          <t>Washington</t>
        </is>
      </c>
      <c r="H931" s="8" t="inlineStr">
        <is>
          <t>REG-NA</t>
        </is>
      </c>
      <c r="I931" s="8" t="inlineStr">
        <is>
          <t>Corporate</t>
        </is>
      </c>
      <c r="J931" s="8" t="inlineStr">
        <is>
          <t>2024-02-07</t>
        </is>
      </c>
      <c r="K931" s="8">
        <f>COUNTIFS('05_Orders'!$C:$C, A931)</f>
        <v/>
      </c>
      <c r="L931" s="9">
        <f>SUMIFS('05_Orders'!$I:$I, '05_Orders'!$C:$C, A931)</f>
        <v/>
      </c>
      <c r="M931" s="8">
        <f>IF(L931&gt;=2000, "Platinum VIP", IF(L931&gt;=1000, "Gold", IF(L931&gt;=500, "Silver", "Standard")))</f>
        <v/>
      </c>
    </row>
    <row r="932">
      <c r="A932" s="8" t="inlineStr">
        <is>
          <t>CUST-00928</t>
        </is>
      </c>
      <c r="B932" s="8" t="inlineStr">
        <is>
          <t>Jack Castillo</t>
        </is>
      </c>
      <c r="C932" s="8" t="inlineStr">
        <is>
          <t>Female</t>
        </is>
      </c>
      <c r="D932" s="8" t="n">
        <v>58</v>
      </c>
      <c r="E932" s="8">
        <f>IF(D932&lt;25, "18-24", IF(D932&lt;35, "25-34", IF(D932&lt;50, "35-49", "50+")))</f>
        <v/>
      </c>
      <c r="F932" s="8" t="inlineStr">
        <is>
          <t>Denver</t>
        </is>
      </c>
      <c r="G932" s="8" t="inlineStr">
        <is>
          <t>Colorado</t>
        </is>
      </c>
      <c r="H932" s="8" t="inlineStr">
        <is>
          <t>REG-NA</t>
        </is>
      </c>
      <c r="I932" s="8" t="inlineStr">
        <is>
          <t>Home Office</t>
        </is>
      </c>
      <c r="J932" s="8" t="inlineStr">
        <is>
          <t>2022-11-22</t>
        </is>
      </c>
      <c r="K932" s="8">
        <f>COUNTIFS('05_Orders'!$C:$C, A932)</f>
        <v/>
      </c>
      <c r="L932" s="9">
        <f>SUMIFS('05_Orders'!$I:$I, '05_Orders'!$C:$C, A932)</f>
        <v/>
      </c>
      <c r="M932" s="8">
        <f>IF(L932&gt;=2000, "Platinum VIP", IF(L932&gt;=1000, "Gold", IF(L932&gt;=500, "Silver", "Standard")))</f>
        <v/>
      </c>
    </row>
    <row r="933">
      <c r="A933" s="8" t="inlineStr">
        <is>
          <t>CUST-00929</t>
        </is>
      </c>
      <c r="B933" s="8" t="inlineStr">
        <is>
          <t>Amy Alvarez</t>
        </is>
      </c>
      <c r="C933" s="8" t="inlineStr">
        <is>
          <t>Female</t>
        </is>
      </c>
      <c r="D933" s="8" t="n">
        <v>54</v>
      </c>
      <c r="E933" s="8">
        <f>IF(D933&lt;25, "18-24", IF(D933&lt;35, "25-34", IF(D933&lt;50, "35-49", "50+")))</f>
        <v/>
      </c>
      <c r="F933" s="8" t="inlineStr">
        <is>
          <t>Lyon</t>
        </is>
      </c>
      <c r="G933" s="8" t="inlineStr">
        <is>
          <t>Auvergne-Rhone-Alpes</t>
        </is>
      </c>
      <c r="H933" s="8" t="inlineStr">
        <is>
          <t>REG-EU</t>
        </is>
      </c>
      <c r="I933" s="8" t="inlineStr">
        <is>
          <t>Consumer</t>
        </is>
      </c>
      <c r="J933" s="8" t="inlineStr">
        <is>
          <t>2024-05-26</t>
        </is>
      </c>
      <c r="K933" s="8">
        <f>COUNTIFS('05_Orders'!$C:$C, A933)</f>
        <v/>
      </c>
      <c r="L933" s="9">
        <f>SUMIFS('05_Orders'!$I:$I, '05_Orders'!$C:$C, A933)</f>
        <v/>
      </c>
      <c r="M933" s="8">
        <f>IF(L933&gt;=2000, "Platinum VIP", IF(L933&gt;=1000, "Gold", IF(L933&gt;=500, "Silver", "Standard")))</f>
        <v/>
      </c>
    </row>
    <row r="934">
      <c r="A934" s="8" t="inlineStr">
        <is>
          <t>CUST-00930</t>
        </is>
      </c>
      <c r="B934" s="8" t="inlineStr">
        <is>
          <t>Timothy Smith</t>
        </is>
      </c>
      <c r="C934" s="8" t="inlineStr">
        <is>
          <t>Male</t>
        </is>
      </c>
      <c r="D934" s="8" t="n">
        <v>30</v>
      </c>
      <c r="E934" s="8">
        <f>IF(D934&lt;25, "18-24", IF(D934&lt;35, "25-34", IF(D934&lt;50, "35-49", "50+")))</f>
        <v/>
      </c>
      <c r="F934" s="8" t="inlineStr">
        <is>
          <t>Melbourne</t>
        </is>
      </c>
      <c r="G934" s="8" t="inlineStr">
        <is>
          <t>Victoria</t>
        </is>
      </c>
      <c r="H934" s="8" t="inlineStr">
        <is>
          <t>REG-APAC</t>
        </is>
      </c>
      <c r="I934" s="8" t="inlineStr">
        <is>
          <t>Enterprise</t>
        </is>
      </c>
      <c r="J934" s="8" t="inlineStr">
        <is>
          <t>2023-07-21</t>
        </is>
      </c>
      <c r="K934" s="8">
        <f>COUNTIFS('05_Orders'!$C:$C, A934)</f>
        <v/>
      </c>
      <c r="L934" s="9">
        <f>SUMIFS('05_Orders'!$I:$I, '05_Orders'!$C:$C, A934)</f>
        <v/>
      </c>
      <c r="M934" s="8">
        <f>IF(L934&gt;=2000, "Platinum VIP", IF(L934&gt;=1000, "Gold", IF(L934&gt;=500, "Silver", "Standard")))</f>
        <v/>
      </c>
    </row>
    <row r="935">
      <c r="A935" s="8" t="inlineStr">
        <is>
          <t>CUST-00931</t>
        </is>
      </c>
      <c r="B935" s="8" t="inlineStr">
        <is>
          <t>Laura Sanchez</t>
        </is>
      </c>
      <c r="C935" s="8" t="inlineStr">
        <is>
          <t>Female</t>
        </is>
      </c>
      <c r="D935" s="8" t="n">
        <v>21</v>
      </c>
      <c r="E935" s="8">
        <f>IF(D935&lt;25, "18-24", IF(D935&lt;35, "25-34", IF(D935&lt;50, "35-49", "50+")))</f>
        <v/>
      </c>
      <c r="F935" s="8" t="inlineStr">
        <is>
          <t>Lima</t>
        </is>
      </c>
      <c r="G935" s="8" t="inlineStr">
        <is>
          <t>Lima Province</t>
        </is>
      </c>
      <c r="H935" s="8" t="inlineStr">
        <is>
          <t>REG-LATAM</t>
        </is>
      </c>
      <c r="I935" s="8" t="inlineStr">
        <is>
          <t>Corporate</t>
        </is>
      </c>
      <c r="J935" s="8" t="inlineStr">
        <is>
          <t>2023-09-03</t>
        </is>
      </c>
      <c r="K935" s="8">
        <f>COUNTIFS('05_Orders'!$C:$C, A935)</f>
        <v/>
      </c>
      <c r="L935" s="9">
        <f>SUMIFS('05_Orders'!$I:$I, '05_Orders'!$C:$C, A935)</f>
        <v/>
      </c>
      <c r="M935" s="8">
        <f>IF(L935&gt;=2000, "Platinum VIP", IF(L935&gt;=1000, "Gold", IF(L935&gt;=500, "Silver", "Standard")))</f>
        <v/>
      </c>
    </row>
    <row r="936">
      <c r="A936" s="8" t="inlineStr">
        <is>
          <t>CUST-00932</t>
        </is>
      </c>
      <c r="B936" s="8" t="inlineStr">
        <is>
          <t>Maria Miller</t>
        </is>
      </c>
      <c r="C936" s="8" t="inlineStr">
        <is>
          <t>Male</t>
        </is>
      </c>
      <c r="D936" s="8" t="n">
        <v>72</v>
      </c>
      <c r="E936" s="8">
        <f>IF(D936&lt;25, "18-24", IF(D936&lt;35, "25-34", IF(D936&lt;50, "35-49", "50+")))</f>
        <v/>
      </c>
      <c r="F936" s="8" t="inlineStr">
        <is>
          <t>Los Angeles</t>
        </is>
      </c>
      <c r="G936" s="8" t="inlineStr">
        <is>
          <t>California</t>
        </is>
      </c>
      <c r="H936" s="8" t="inlineStr">
        <is>
          <t>REG-NA</t>
        </is>
      </c>
      <c r="I936" s="8" t="inlineStr">
        <is>
          <t>Corporate</t>
        </is>
      </c>
      <c r="J936" s="8" t="inlineStr">
        <is>
          <t>2022-07-04</t>
        </is>
      </c>
      <c r="K936" s="8">
        <f>COUNTIFS('05_Orders'!$C:$C, A936)</f>
        <v/>
      </c>
      <c r="L936" s="9">
        <f>SUMIFS('05_Orders'!$I:$I, '05_Orders'!$C:$C, A936)</f>
        <v/>
      </c>
      <c r="M936" s="8">
        <f>IF(L936&gt;=2000, "Platinum VIP", IF(L936&gt;=1000, "Gold", IF(L936&gt;=500, "Silver", "Standard")))</f>
        <v/>
      </c>
    </row>
    <row r="937">
      <c r="A937" s="8" t="inlineStr">
        <is>
          <t>CUST-00933</t>
        </is>
      </c>
      <c r="B937" s="8" t="inlineStr">
        <is>
          <t>Jennifer James</t>
        </is>
      </c>
      <c r="C937" s="8" t="inlineStr">
        <is>
          <t>Other</t>
        </is>
      </c>
      <c r="D937" s="8" t="n">
        <v>21</v>
      </c>
      <c r="E937" s="8">
        <f>IF(D937&lt;25, "18-24", IF(D937&lt;35, "25-34", IF(D937&lt;50, "35-49", "50+")))</f>
        <v/>
      </c>
      <c r="F937" s="8" t="inlineStr">
        <is>
          <t>Seattle</t>
        </is>
      </c>
      <c r="G937" s="8" t="inlineStr">
        <is>
          <t>Washington</t>
        </is>
      </c>
      <c r="H937" s="8" t="inlineStr">
        <is>
          <t>REG-NA</t>
        </is>
      </c>
      <c r="I937" s="8" t="inlineStr">
        <is>
          <t>Enterprise</t>
        </is>
      </c>
      <c r="J937" s="8" t="inlineStr">
        <is>
          <t>2025-01-13</t>
        </is>
      </c>
      <c r="K937" s="8">
        <f>COUNTIFS('05_Orders'!$C:$C, A937)</f>
        <v/>
      </c>
      <c r="L937" s="9">
        <f>SUMIFS('05_Orders'!$I:$I, '05_Orders'!$C:$C, A937)</f>
        <v/>
      </c>
      <c r="M937" s="8">
        <f>IF(L937&gt;=2000, "Platinum VIP", IF(L937&gt;=1000, "Gold", IF(L937&gt;=500, "Silver", "Standard")))</f>
        <v/>
      </c>
    </row>
    <row r="938">
      <c r="A938" s="8" t="inlineStr">
        <is>
          <t>CUST-00934</t>
        </is>
      </c>
      <c r="B938" s="8" t="inlineStr">
        <is>
          <t>Pamela Long</t>
        </is>
      </c>
      <c r="C938" s="8" t="inlineStr">
        <is>
          <t>Female</t>
        </is>
      </c>
      <c r="D938" s="8" t="n">
        <v>53</v>
      </c>
      <c r="E938" s="8">
        <f>IF(D938&lt;25, "18-24", IF(D938&lt;35, "25-34", IF(D938&lt;50, "35-49", "50+")))</f>
        <v/>
      </c>
      <c r="F938" s="8" t="inlineStr">
        <is>
          <t>Houston</t>
        </is>
      </c>
      <c r="G938" s="8" t="inlineStr">
        <is>
          <t>Texas</t>
        </is>
      </c>
      <c r="H938" s="8" t="inlineStr">
        <is>
          <t>REG-NA</t>
        </is>
      </c>
      <c r="I938" s="8" t="inlineStr">
        <is>
          <t>Consumer</t>
        </is>
      </c>
      <c r="J938" s="8" t="inlineStr">
        <is>
          <t>2024-02-08</t>
        </is>
      </c>
      <c r="K938" s="8">
        <f>COUNTIFS('05_Orders'!$C:$C, A938)</f>
        <v/>
      </c>
      <c r="L938" s="9">
        <f>SUMIFS('05_Orders'!$I:$I, '05_Orders'!$C:$C, A938)</f>
        <v/>
      </c>
      <c r="M938" s="8">
        <f>IF(L938&gt;=2000, "Platinum VIP", IF(L938&gt;=1000, "Gold", IF(L938&gt;=500, "Silver", "Standard")))</f>
        <v/>
      </c>
    </row>
    <row r="939">
      <c r="A939" s="8" t="inlineStr">
        <is>
          <t>CUST-00935</t>
        </is>
      </c>
      <c r="B939" s="8" t="inlineStr">
        <is>
          <t>Stephanie Clark</t>
        </is>
      </c>
      <c r="C939" s="8" t="inlineStr">
        <is>
          <t>Other</t>
        </is>
      </c>
      <c r="D939" s="8" t="n">
        <v>57</v>
      </c>
      <c r="E939" s="8">
        <f>IF(D939&lt;25, "18-24", IF(D939&lt;35, "25-34", IF(D939&lt;50, "35-49", "50+")))</f>
        <v/>
      </c>
      <c r="F939" s="8" t="inlineStr">
        <is>
          <t>Chicago</t>
        </is>
      </c>
      <c r="G939" s="8" t="inlineStr">
        <is>
          <t>Illinois</t>
        </is>
      </c>
      <c r="H939" s="8" t="inlineStr">
        <is>
          <t>REG-NA</t>
        </is>
      </c>
      <c r="I939" s="8" t="inlineStr">
        <is>
          <t>Consumer</t>
        </is>
      </c>
      <c r="J939" s="8" t="inlineStr">
        <is>
          <t>2025-02-25</t>
        </is>
      </c>
      <c r="K939" s="8">
        <f>COUNTIFS('05_Orders'!$C:$C, A939)</f>
        <v/>
      </c>
      <c r="L939" s="9">
        <f>SUMIFS('05_Orders'!$I:$I, '05_Orders'!$C:$C, A939)</f>
        <v/>
      </c>
      <c r="M939" s="8">
        <f>IF(L939&gt;=2000, "Platinum VIP", IF(L939&gt;=1000, "Gold", IF(L939&gt;=500, "Silver", "Standard")))</f>
        <v/>
      </c>
    </row>
    <row r="940">
      <c r="A940" s="8" t="inlineStr">
        <is>
          <t>CUST-00936</t>
        </is>
      </c>
      <c r="B940" s="8" t="inlineStr">
        <is>
          <t>Ashley Evans</t>
        </is>
      </c>
      <c r="C940" s="8" t="inlineStr">
        <is>
          <t>Male</t>
        </is>
      </c>
      <c r="D940" s="8" t="n">
        <v>33</v>
      </c>
      <c r="E940" s="8">
        <f>IF(D940&lt;25, "18-24", IF(D940&lt;35, "25-34", IF(D940&lt;50, "35-49", "50+")))</f>
        <v/>
      </c>
      <c r="F940" s="8" t="inlineStr">
        <is>
          <t>Berlin</t>
        </is>
      </c>
      <c r="G940" s="8" t="inlineStr">
        <is>
          <t>Berlin</t>
        </is>
      </c>
      <c r="H940" s="8" t="inlineStr">
        <is>
          <t>REG-EU</t>
        </is>
      </c>
      <c r="I940" s="8" t="inlineStr">
        <is>
          <t>Home Office</t>
        </is>
      </c>
      <c r="J940" s="8" t="inlineStr">
        <is>
          <t>2022-03-28</t>
        </is>
      </c>
      <c r="K940" s="8">
        <f>COUNTIFS('05_Orders'!$C:$C, A940)</f>
        <v/>
      </c>
      <c r="L940" s="9">
        <f>SUMIFS('05_Orders'!$I:$I, '05_Orders'!$C:$C, A940)</f>
        <v/>
      </c>
      <c r="M940" s="8">
        <f>IF(L940&gt;=2000, "Platinum VIP", IF(L940&gt;=1000, "Gold", IF(L940&gt;=500, "Silver", "Standard")))</f>
        <v/>
      </c>
    </row>
    <row r="941">
      <c r="A941" s="8" t="inlineStr">
        <is>
          <t>CUST-00937</t>
        </is>
      </c>
      <c r="B941" s="8" t="inlineStr">
        <is>
          <t>Brandon Roberts</t>
        </is>
      </c>
      <c r="C941" s="8" t="inlineStr">
        <is>
          <t>Female</t>
        </is>
      </c>
      <c r="D941" s="8" t="n">
        <v>31</v>
      </c>
      <c r="E941" s="8">
        <f>IF(D941&lt;25, "18-24", IF(D941&lt;35, "25-34", IF(D941&lt;50, "35-49", "50+")))</f>
        <v/>
      </c>
      <c r="F941" s="8" t="inlineStr">
        <is>
          <t>Los Angeles</t>
        </is>
      </c>
      <c r="G941" s="8" t="inlineStr">
        <is>
          <t>California</t>
        </is>
      </c>
      <c r="H941" s="8" t="inlineStr">
        <is>
          <t>REG-NA</t>
        </is>
      </c>
      <c r="I941" s="8" t="inlineStr">
        <is>
          <t>Consumer</t>
        </is>
      </c>
      <c r="J941" s="8" t="inlineStr">
        <is>
          <t>2023-06-29</t>
        </is>
      </c>
      <c r="K941" s="8">
        <f>COUNTIFS('05_Orders'!$C:$C, A941)</f>
        <v/>
      </c>
      <c r="L941" s="9">
        <f>SUMIFS('05_Orders'!$I:$I, '05_Orders'!$C:$C, A941)</f>
        <v/>
      </c>
      <c r="M941" s="8">
        <f>IF(L941&gt;=2000, "Platinum VIP", IF(L941&gt;=1000, "Gold", IF(L941&gt;=500, "Silver", "Standard")))</f>
        <v/>
      </c>
    </row>
    <row r="942">
      <c r="A942" s="8" t="inlineStr">
        <is>
          <t>CUST-00938</t>
        </is>
      </c>
      <c r="B942" s="8" t="inlineStr">
        <is>
          <t>Ronald Williams</t>
        </is>
      </c>
      <c r="C942" s="8" t="inlineStr">
        <is>
          <t>Other</t>
        </is>
      </c>
      <c r="D942" s="8" t="n">
        <v>66</v>
      </c>
      <c r="E942" s="8">
        <f>IF(D942&lt;25, "18-24", IF(D942&lt;35, "25-34", IF(D942&lt;50, "35-49", "50+")))</f>
        <v/>
      </c>
      <c r="F942" s="8" t="inlineStr">
        <is>
          <t>Toronto</t>
        </is>
      </c>
      <c r="G942" s="8" t="inlineStr">
        <is>
          <t>Ontario</t>
        </is>
      </c>
      <c r="H942" s="8" t="inlineStr">
        <is>
          <t>REG-NA</t>
        </is>
      </c>
      <c r="I942" s="8" t="inlineStr">
        <is>
          <t>Consumer</t>
        </is>
      </c>
      <c r="J942" s="8" t="inlineStr">
        <is>
          <t>2023-12-10</t>
        </is>
      </c>
      <c r="K942" s="8">
        <f>COUNTIFS('05_Orders'!$C:$C, A942)</f>
        <v/>
      </c>
      <c r="L942" s="9">
        <f>SUMIFS('05_Orders'!$I:$I, '05_Orders'!$C:$C, A942)</f>
        <v/>
      </c>
      <c r="M942" s="8">
        <f>IF(L942&gt;=2000, "Platinum VIP", IF(L942&gt;=1000, "Gold", IF(L942&gt;=500, "Silver", "Standard")))</f>
        <v/>
      </c>
    </row>
    <row r="943">
      <c r="A943" s="8" t="inlineStr">
        <is>
          <t>CUST-00939</t>
        </is>
      </c>
      <c r="B943" s="8" t="inlineStr">
        <is>
          <t>Ryan Cox</t>
        </is>
      </c>
      <c r="C943" s="8" t="inlineStr">
        <is>
          <t>Male</t>
        </is>
      </c>
      <c r="D943" s="8" t="n">
        <v>41</v>
      </c>
      <c r="E943" s="8">
        <f>IF(D943&lt;25, "18-24", IF(D943&lt;35, "25-34", IF(D943&lt;50, "35-49", "50+")))</f>
        <v/>
      </c>
      <c r="F943" s="8" t="inlineStr">
        <is>
          <t>Los Angeles</t>
        </is>
      </c>
      <c r="G943" s="8" t="inlineStr">
        <is>
          <t>California</t>
        </is>
      </c>
      <c r="H943" s="8" t="inlineStr">
        <is>
          <t>REG-NA</t>
        </is>
      </c>
      <c r="I943" s="8" t="inlineStr">
        <is>
          <t>Corporate</t>
        </is>
      </c>
      <c r="J943" s="8" t="inlineStr">
        <is>
          <t>2024-12-02</t>
        </is>
      </c>
      <c r="K943" s="8">
        <f>COUNTIFS('05_Orders'!$C:$C, A943)</f>
        <v/>
      </c>
      <c r="L943" s="9">
        <f>SUMIFS('05_Orders'!$I:$I, '05_Orders'!$C:$C, A943)</f>
        <v/>
      </c>
      <c r="M943" s="8">
        <f>IF(L943&gt;=2000, "Platinum VIP", IF(L943&gt;=1000, "Gold", IF(L943&gt;=500, "Silver", "Standard")))</f>
        <v/>
      </c>
    </row>
    <row r="944">
      <c r="A944" s="8" t="inlineStr">
        <is>
          <t>CUST-00940</t>
        </is>
      </c>
      <c r="B944" s="8" t="inlineStr">
        <is>
          <t>Melissa Phillips</t>
        </is>
      </c>
      <c r="C944" s="8" t="inlineStr">
        <is>
          <t>Female</t>
        </is>
      </c>
      <c r="D944" s="8" t="n">
        <v>33</v>
      </c>
      <c r="E944" s="8">
        <f>IF(D944&lt;25, "18-24", IF(D944&lt;35, "25-34", IF(D944&lt;50, "35-49", "50+")))</f>
        <v/>
      </c>
      <c r="F944" s="8" t="inlineStr">
        <is>
          <t>Sydney</t>
        </is>
      </c>
      <c r="G944" s="8" t="inlineStr">
        <is>
          <t>New South Wales</t>
        </is>
      </c>
      <c r="H944" s="8" t="inlineStr">
        <is>
          <t>REG-APAC</t>
        </is>
      </c>
      <c r="I944" s="8" t="inlineStr">
        <is>
          <t>Consumer</t>
        </is>
      </c>
      <c r="J944" s="8" t="inlineStr">
        <is>
          <t>2023-08-20</t>
        </is>
      </c>
      <c r="K944" s="8">
        <f>COUNTIFS('05_Orders'!$C:$C, A944)</f>
        <v/>
      </c>
      <c r="L944" s="9">
        <f>SUMIFS('05_Orders'!$I:$I, '05_Orders'!$C:$C, A944)</f>
        <v/>
      </c>
      <c r="M944" s="8">
        <f>IF(L944&gt;=2000, "Platinum VIP", IF(L944&gt;=1000, "Gold", IF(L944&gt;=500, "Silver", "Standard")))</f>
        <v/>
      </c>
    </row>
    <row r="945">
      <c r="A945" s="8" t="inlineStr">
        <is>
          <t>CUST-00941</t>
        </is>
      </c>
      <c r="B945" s="8" t="inlineStr">
        <is>
          <t>William Edwards</t>
        </is>
      </c>
      <c r="C945" s="8" t="inlineStr">
        <is>
          <t>Other</t>
        </is>
      </c>
      <c r="D945" s="8" t="n">
        <v>45</v>
      </c>
      <c r="E945" s="8">
        <f>IF(D945&lt;25, "18-24", IF(D945&lt;35, "25-34", IF(D945&lt;50, "35-49", "50+")))</f>
        <v/>
      </c>
      <c r="F945" s="8" t="inlineStr">
        <is>
          <t>Denver</t>
        </is>
      </c>
      <c r="G945" s="8" t="inlineStr">
        <is>
          <t>Colorado</t>
        </is>
      </c>
      <c r="H945" s="8" t="inlineStr">
        <is>
          <t>REG-NA</t>
        </is>
      </c>
      <c r="I945" s="8" t="inlineStr">
        <is>
          <t>Consumer</t>
        </is>
      </c>
      <c r="J945" s="8" t="inlineStr">
        <is>
          <t>2023-02-20</t>
        </is>
      </c>
      <c r="K945" s="8">
        <f>COUNTIFS('05_Orders'!$C:$C, A945)</f>
        <v/>
      </c>
      <c r="L945" s="9">
        <f>SUMIFS('05_Orders'!$I:$I, '05_Orders'!$C:$C, A945)</f>
        <v/>
      </c>
      <c r="M945" s="8">
        <f>IF(L945&gt;=2000, "Platinum VIP", IF(L945&gt;=1000, "Gold", IF(L945&gt;=500, "Silver", "Standard")))</f>
        <v/>
      </c>
    </row>
    <row r="946">
      <c r="A946" s="8" t="inlineStr">
        <is>
          <t>CUST-00942</t>
        </is>
      </c>
      <c r="B946" s="8" t="inlineStr">
        <is>
          <t>Sharon Allen</t>
        </is>
      </c>
      <c r="C946" s="8" t="inlineStr">
        <is>
          <t>Female</t>
        </is>
      </c>
      <c r="D946" s="8" t="n">
        <v>32</v>
      </c>
      <c r="E946" s="8">
        <f>IF(D946&lt;25, "18-24", IF(D946&lt;35, "25-34", IF(D946&lt;50, "35-49", "50+")))</f>
        <v/>
      </c>
      <c r="F946" s="8" t="inlineStr">
        <is>
          <t>Phoenix</t>
        </is>
      </c>
      <c r="G946" s="8" t="inlineStr">
        <is>
          <t>Arizona</t>
        </is>
      </c>
      <c r="H946" s="8" t="inlineStr">
        <is>
          <t>REG-NA</t>
        </is>
      </c>
      <c r="I946" s="8" t="inlineStr">
        <is>
          <t>Consumer</t>
        </is>
      </c>
      <c r="J946" s="8" t="inlineStr">
        <is>
          <t>2021-12-12</t>
        </is>
      </c>
      <c r="K946" s="8">
        <f>COUNTIFS('05_Orders'!$C:$C, A946)</f>
        <v/>
      </c>
      <c r="L946" s="9">
        <f>SUMIFS('05_Orders'!$I:$I, '05_Orders'!$C:$C, A946)</f>
        <v/>
      </c>
      <c r="M946" s="8">
        <f>IF(L946&gt;=2000, "Platinum VIP", IF(L946&gt;=1000, "Gold", IF(L946&gt;=500, "Silver", "Standard")))</f>
        <v/>
      </c>
    </row>
    <row r="947">
      <c r="A947" s="8" t="inlineStr">
        <is>
          <t>CUST-00943</t>
        </is>
      </c>
      <c r="B947" s="8" t="inlineStr">
        <is>
          <t>Margaret Jones</t>
        </is>
      </c>
      <c r="C947" s="8" t="inlineStr">
        <is>
          <t>Female</t>
        </is>
      </c>
      <c r="D947" s="8" t="n">
        <v>41</v>
      </c>
      <c r="E947" s="8">
        <f>IF(D947&lt;25, "18-24", IF(D947&lt;35, "25-34", IF(D947&lt;50, "35-49", "50+")))</f>
        <v/>
      </c>
      <c r="F947" s="8" t="inlineStr">
        <is>
          <t>Houston</t>
        </is>
      </c>
      <c r="G947" s="8" t="inlineStr">
        <is>
          <t>Texas</t>
        </is>
      </c>
      <c r="H947" s="8" t="inlineStr">
        <is>
          <t>REG-NA</t>
        </is>
      </c>
      <c r="I947" s="8" t="inlineStr">
        <is>
          <t>Consumer</t>
        </is>
      </c>
      <c r="J947" s="8" t="inlineStr">
        <is>
          <t>2021-11-22</t>
        </is>
      </c>
      <c r="K947" s="8">
        <f>COUNTIFS('05_Orders'!$C:$C, A947)</f>
        <v/>
      </c>
      <c r="L947" s="9">
        <f>SUMIFS('05_Orders'!$I:$I, '05_Orders'!$C:$C, A947)</f>
        <v/>
      </c>
      <c r="M947" s="8">
        <f>IF(L947&gt;=2000, "Platinum VIP", IF(L947&gt;=1000, "Gold", IF(L947&gt;=500, "Silver", "Standard")))</f>
        <v/>
      </c>
    </row>
    <row r="948">
      <c r="A948" s="8" t="inlineStr">
        <is>
          <t>CUST-00944</t>
        </is>
      </c>
      <c r="B948" s="8" t="inlineStr">
        <is>
          <t>Steven Edwards</t>
        </is>
      </c>
      <c r="C948" s="8" t="inlineStr">
        <is>
          <t>Male</t>
        </is>
      </c>
      <c r="D948" s="8" t="n">
        <v>36</v>
      </c>
      <c r="E948" s="8">
        <f>IF(D948&lt;25, "18-24", IF(D948&lt;35, "25-34", IF(D948&lt;50, "35-49", "50+")))</f>
        <v/>
      </c>
      <c r="F948" s="8" t="inlineStr">
        <is>
          <t>Atlanta</t>
        </is>
      </c>
      <c r="G948" s="8" t="inlineStr">
        <is>
          <t>Georgia</t>
        </is>
      </c>
      <c r="H948" s="8" t="inlineStr">
        <is>
          <t>REG-NA</t>
        </is>
      </c>
      <c r="I948" s="8" t="inlineStr">
        <is>
          <t>Consumer</t>
        </is>
      </c>
      <c r="J948" s="8" t="inlineStr">
        <is>
          <t>2022-01-16</t>
        </is>
      </c>
      <c r="K948" s="8">
        <f>COUNTIFS('05_Orders'!$C:$C, A948)</f>
        <v/>
      </c>
      <c r="L948" s="9">
        <f>SUMIFS('05_Orders'!$I:$I, '05_Orders'!$C:$C, A948)</f>
        <v/>
      </c>
      <c r="M948" s="8">
        <f>IF(L948&gt;=2000, "Platinum VIP", IF(L948&gt;=1000, "Gold", IF(L948&gt;=500, "Silver", "Standard")))</f>
        <v/>
      </c>
    </row>
    <row r="949">
      <c r="A949" s="8" t="inlineStr">
        <is>
          <t>CUST-00945</t>
        </is>
      </c>
      <c r="B949" s="8" t="inlineStr">
        <is>
          <t>Barbara Richardson</t>
        </is>
      </c>
      <c r="C949" s="8" t="inlineStr">
        <is>
          <t>Male</t>
        </is>
      </c>
      <c r="D949" s="8" t="n">
        <v>54</v>
      </c>
      <c r="E949" s="8">
        <f>IF(D949&lt;25, "18-24", IF(D949&lt;35, "25-34", IF(D949&lt;50, "35-49", "50+")))</f>
        <v/>
      </c>
      <c r="F949" s="8" t="inlineStr">
        <is>
          <t>Berlin</t>
        </is>
      </c>
      <c r="G949" s="8" t="inlineStr">
        <is>
          <t>Berlin</t>
        </is>
      </c>
      <c r="H949" s="8" t="inlineStr">
        <is>
          <t>REG-EU</t>
        </is>
      </c>
      <c r="I949" s="8" t="inlineStr">
        <is>
          <t>Consumer</t>
        </is>
      </c>
      <c r="J949" s="8" t="inlineStr">
        <is>
          <t>2023-08-22</t>
        </is>
      </c>
      <c r="K949" s="8">
        <f>COUNTIFS('05_Orders'!$C:$C, A949)</f>
        <v/>
      </c>
      <c r="L949" s="9">
        <f>SUMIFS('05_Orders'!$I:$I, '05_Orders'!$C:$C, A949)</f>
        <v/>
      </c>
      <c r="M949" s="8">
        <f>IF(L949&gt;=2000, "Platinum VIP", IF(L949&gt;=1000, "Gold", IF(L949&gt;=500, "Silver", "Standard")))</f>
        <v/>
      </c>
    </row>
    <row r="950">
      <c r="A950" s="8" t="inlineStr">
        <is>
          <t>CUST-00946</t>
        </is>
      </c>
      <c r="B950" s="8" t="inlineStr">
        <is>
          <t>Margaret Cox</t>
        </is>
      </c>
      <c r="C950" s="8" t="inlineStr">
        <is>
          <t>Other</t>
        </is>
      </c>
      <c r="D950" s="8" t="n">
        <v>22</v>
      </c>
      <c r="E950" s="8">
        <f>IF(D950&lt;25, "18-24", IF(D950&lt;35, "25-34", IF(D950&lt;50, "35-49", "50+")))</f>
        <v/>
      </c>
      <c r="F950" s="8" t="inlineStr">
        <is>
          <t>Los Angeles</t>
        </is>
      </c>
      <c r="G950" s="8" t="inlineStr">
        <is>
          <t>California</t>
        </is>
      </c>
      <c r="H950" s="8" t="inlineStr">
        <is>
          <t>REG-NA</t>
        </is>
      </c>
      <c r="I950" s="8" t="inlineStr">
        <is>
          <t>Consumer</t>
        </is>
      </c>
      <c r="J950" s="8" t="inlineStr">
        <is>
          <t>2022-01-02</t>
        </is>
      </c>
      <c r="K950" s="8">
        <f>COUNTIFS('05_Orders'!$C:$C, A950)</f>
        <v/>
      </c>
      <c r="L950" s="9">
        <f>SUMIFS('05_Orders'!$I:$I, '05_Orders'!$C:$C, A950)</f>
        <v/>
      </c>
      <c r="M950" s="8">
        <f>IF(L950&gt;=2000, "Platinum VIP", IF(L950&gt;=1000, "Gold", IF(L950&gt;=500, "Silver", "Standard")))</f>
        <v/>
      </c>
    </row>
    <row r="951">
      <c r="A951" s="8" t="inlineStr">
        <is>
          <t>CUST-00947</t>
        </is>
      </c>
      <c r="B951" s="8" t="inlineStr">
        <is>
          <t>Daniel Martin</t>
        </is>
      </c>
      <c r="C951" s="8" t="inlineStr">
        <is>
          <t>Other</t>
        </is>
      </c>
      <c r="D951" s="8" t="n">
        <v>29</v>
      </c>
      <c r="E951" s="8">
        <f>IF(D951&lt;25, "18-24", IF(D951&lt;35, "25-34", IF(D951&lt;50, "35-49", "50+")))</f>
        <v/>
      </c>
      <c r="F951" s="8" t="inlineStr">
        <is>
          <t>New York</t>
        </is>
      </c>
      <c r="G951" s="8" t="inlineStr">
        <is>
          <t>New York</t>
        </is>
      </c>
      <c r="H951" s="8" t="inlineStr">
        <is>
          <t>REG-NA</t>
        </is>
      </c>
      <c r="I951" s="8" t="inlineStr">
        <is>
          <t>Consumer</t>
        </is>
      </c>
      <c r="J951" s="8" t="inlineStr">
        <is>
          <t>2021-12-18</t>
        </is>
      </c>
      <c r="K951" s="8">
        <f>COUNTIFS('05_Orders'!$C:$C, A951)</f>
        <v/>
      </c>
      <c r="L951" s="9">
        <f>SUMIFS('05_Orders'!$I:$I, '05_Orders'!$C:$C, A951)</f>
        <v/>
      </c>
      <c r="M951" s="8">
        <f>IF(L951&gt;=2000, "Platinum VIP", IF(L951&gt;=1000, "Gold", IF(L951&gt;=500, "Silver", "Standard")))</f>
        <v/>
      </c>
    </row>
    <row r="952">
      <c r="A952" s="8" t="inlineStr">
        <is>
          <t>CUST-00948</t>
        </is>
      </c>
      <c r="B952" s="8" t="inlineStr">
        <is>
          <t>Linda Gomez</t>
        </is>
      </c>
      <c r="C952" s="8" t="inlineStr">
        <is>
          <t>Male</t>
        </is>
      </c>
      <c r="D952" s="8" t="n">
        <v>28</v>
      </c>
      <c r="E952" s="8">
        <f>IF(D952&lt;25, "18-24", IF(D952&lt;35, "25-34", IF(D952&lt;50, "35-49", "50+")))</f>
        <v/>
      </c>
      <c r="F952" s="8" t="inlineStr">
        <is>
          <t>Chicago</t>
        </is>
      </c>
      <c r="G952" s="8" t="inlineStr">
        <is>
          <t>Illinois</t>
        </is>
      </c>
      <c r="H952" s="8" t="inlineStr">
        <is>
          <t>REG-NA</t>
        </is>
      </c>
      <c r="I952" s="8" t="inlineStr">
        <is>
          <t>Home Office</t>
        </is>
      </c>
      <c r="J952" s="8" t="inlineStr">
        <is>
          <t>2022-05-11</t>
        </is>
      </c>
      <c r="K952" s="8">
        <f>COUNTIFS('05_Orders'!$C:$C, A952)</f>
        <v/>
      </c>
      <c r="L952" s="9">
        <f>SUMIFS('05_Orders'!$I:$I, '05_Orders'!$C:$C, A952)</f>
        <v/>
      </c>
      <c r="M952" s="8">
        <f>IF(L952&gt;=2000, "Platinum VIP", IF(L952&gt;=1000, "Gold", IF(L952&gt;=500, "Silver", "Standard")))</f>
        <v/>
      </c>
    </row>
    <row r="953">
      <c r="A953" s="8" t="inlineStr">
        <is>
          <t>CUST-00949</t>
        </is>
      </c>
      <c r="B953" s="8" t="inlineStr">
        <is>
          <t>Ashley Collins</t>
        </is>
      </c>
      <c r="C953" s="8" t="inlineStr">
        <is>
          <t>Male</t>
        </is>
      </c>
      <c r="D953" s="8" t="n">
        <v>63</v>
      </c>
      <c r="E953" s="8">
        <f>IF(D953&lt;25, "18-24", IF(D953&lt;35, "25-34", IF(D953&lt;50, "35-49", "50+")))</f>
        <v/>
      </c>
      <c r="F953" s="8" t="inlineStr">
        <is>
          <t>Houston</t>
        </is>
      </c>
      <c r="G953" s="8" t="inlineStr">
        <is>
          <t>Texas</t>
        </is>
      </c>
      <c r="H953" s="8" t="inlineStr">
        <is>
          <t>REG-NA</t>
        </is>
      </c>
      <c r="I953" s="8" t="inlineStr">
        <is>
          <t>Consumer</t>
        </is>
      </c>
      <c r="J953" s="8" t="inlineStr">
        <is>
          <t>2024-05-26</t>
        </is>
      </c>
      <c r="K953" s="8">
        <f>COUNTIFS('05_Orders'!$C:$C, A953)</f>
        <v/>
      </c>
      <c r="L953" s="9">
        <f>SUMIFS('05_Orders'!$I:$I, '05_Orders'!$C:$C, A953)</f>
        <v/>
      </c>
      <c r="M953" s="8">
        <f>IF(L953&gt;=2000, "Platinum VIP", IF(L953&gt;=1000, "Gold", IF(L953&gt;=500, "Silver", "Standard")))</f>
        <v/>
      </c>
    </row>
    <row r="954">
      <c r="A954" s="8" t="inlineStr">
        <is>
          <t>CUST-00950</t>
        </is>
      </c>
      <c r="B954" s="8" t="inlineStr">
        <is>
          <t>Jacob Ortiz</t>
        </is>
      </c>
      <c r="C954" s="8" t="inlineStr">
        <is>
          <t>Female</t>
        </is>
      </c>
      <c r="D954" s="8" t="n">
        <v>61</v>
      </c>
      <c r="E954" s="8">
        <f>IF(D954&lt;25, "18-24", IF(D954&lt;35, "25-34", IF(D954&lt;50, "35-49", "50+")))</f>
        <v/>
      </c>
      <c r="F954" s="8" t="inlineStr">
        <is>
          <t>Mumbai</t>
        </is>
      </c>
      <c r="G954" s="8" t="inlineStr">
        <is>
          <t>Maharashtra</t>
        </is>
      </c>
      <c r="H954" s="8" t="inlineStr">
        <is>
          <t>REG-APAC</t>
        </is>
      </c>
      <c r="I954" s="8" t="inlineStr">
        <is>
          <t>Corporate</t>
        </is>
      </c>
      <c r="J954" s="8" t="inlineStr">
        <is>
          <t>2023-04-08</t>
        </is>
      </c>
      <c r="K954" s="8">
        <f>COUNTIFS('05_Orders'!$C:$C, A954)</f>
        <v/>
      </c>
      <c r="L954" s="9">
        <f>SUMIFS('05_Orders'!$I:$I, '05_Orders'!$C:$C, A954)</f>
        <v/>
      </c>
      <c r="M954" s="8">
        <f>IF(L954&gt;=2000, "Platinum VIP", IF(L954&gt;=1000, "Gold", IF(L954&gt;=500, "Silver", "Standard")))</f>
        <v/>
      </c>
    </row>
    <row r="955">
      <c r="A955" s="8" t="inlineStr">
        <is>
          <t>CUST-00951</t>
        </is>
      </c>
      <c r="B955" s="8" t="inlineStr">
        <is>
          <t>Aaron Cox</t>
        </is>
      </c>
      <c r="C955" s="8" t="inlineStr">
        <is>
          <t>Other</t>
        </is>
      </c>
      <c r="D955" s="8" t="n">
        <v>63</v>
      </c>
      <c r="E955" s="8">
        <f>IF(D955&lt;25, "18-24", IF(D955&lt;35, "25-34", IF(D955&lt;50, "35-49", "50+")))</f>
        <v/>
      </c>
      <c r="F955" s="8" t="inlineStr">
        <is>
          <t>Seoul</t>
        </is>
      </c>
      <c r="G955" s="8" t="inlineStr">
        <is>
          <t>Gyeonggi</t>
        </is>
      </c>
      <c r="H955" s="8" t="inlineStr">
        <is>
          <t>REG-APAC</t>
        </is>
      </c>
      <c r="I955" s="8" t="inlineStr">
        <is>
          <t>Corporate</t>
        </is>
      </c>
      <c r="J955" s="8" t="inlineStr">
        <is>
          <t>2023-12-09</t>
        </is>
      </c>
      <c r="K955" s="8">
        <f>COUNTIFS('05_Orders'!$C:$C, A955)</f>
        <v/>
      </c>
      <c r="L955" s="9">
        <f>SUMIFS('05_Orders'!$I:$I, '05_Orders'!$C:$C, A955)</f>
        <v/>
      </c>
      <c r="M955" s="8">
        <f>IF(L955&gt;=2000, "Platinum VIP", IF(L955&gt;=1000, "Gold", IF(L955&gt;=500, "Silver", "Standard")))</f>
        <v/>
      </c>
    </row>
    <row r="956">
      <c r="A956" s="8" t="inlineStr">
        <is>
          <t>CUST-00952</t>
        </is>
      </c>
      <c r="B956" s="8" t="inlineStr">
        <is>
          <t>Robert Clark</t>
        </is>
      </c>
      <c r="C956" s="8" t="inlineStr">
        <is>
          <t>Male</t>
        </is>
      </c>
      <c r="D956" s="8" t="n">
        <v>56</v>
      </c>
      <c r="E956" s="8">
        <f>IF(D956&lt;25, "18-24", IF(D956&lt;35, "25-34", IF(D956&lt;50, "35-49", "50+")))</f>
        <v/>
      </c>
      <c r="F956" s="8" t="inlineStr">
        <is>
          <t>Bogota</t>
        </is>
      </c>
      <c r="G956" s="8" t="inlineStr">
        <is>
          <t>Cundinamarca</t>
        </is>
      </c>
      <c r="H956" s="8" t="inlineStr">
        <is>
          <t>REG-LATAM</t>
        </is>
      </c>
      <c r="I956" s="8" t="inlineStr">
        <is>
          <t>Consumer</t>
        </is>
      </c>
      <c r="J956" s="8" t="inlineStr">
        <is>
          <t>2023-04-25</t>
        </is>
      </c>
      <c r="K956" s="8">
        <f>COUNTIFS('05_Orders'!$C:$C, A956)</f>
        <v/>
      </c>
      <c r="L956" s="9">
        <f>SUMIFS('05_Orders'!$I:$I, '05_Orders'!$C:$C, A956)</f>
        <v/>
      </c>
      <c r="M956" s="8">
        <f>IF(L956&gt;=2000, "Platinum VIP", IF(L956&gt;=1000, "Gold", IF(L956&gt;=500, "Silver", "Standard")))</f>
        <v/>
      </c>
    </row>
    <row r="957">
      <c r="A957" s="8" t="inlineStr">
        <is>
          <t>CUST-00953</t>
        </is>
      </c>
      <c r="B957" s="8" t="inlineStr">
        <is>
          <t>Jerry Williams</t>
        </is>
      </c>
      <c r="C957" s="8" t="inlineStr">
        <is>
          <t>Male</t>
        </is>
      </c>
      <c r="D957" s="8" t="n">
        <v>45</v>
      </c>
      <c r="E957" s="8">
        <f>IF(D957&lt;25, "18-24", IF(D957&lt;35, "25-34", IF(D957&lt;50, "35-49", "50+")))</f>
        <v/>
      </c>
      <c r="F957" s="8" t="inlineStr">
        <is>
          <t>Osaka</t>
        </is>
      </c>
      <c r="G957" s="8" t="inlineStr">
        <is>
          <t>Kansai</t>
        </is>
      </c>
      <c r="H957" s="8" t="inlineStr">
        <is>
          <t>REG-APAC</t>
        </is>
      </c>
      <c r="I957" s="8" t="inlineStr">
        <is>
          <t>Consumer</t>
        </is>
      </c>
      <c r="J957" s="8" t="inlineStr">
        <is>
          <t>2024-04-24</t>
        </is>
      </c>
      <c r="K957" s="8">
        <f>COUNTIFS('05_Orders'!$C:$C, A957)</f>
        <v/>
      </c>
      <c r="L957" s="9">
        <f>SUMIFS('05_Orders'!$I:$I, '05_Orders'!$C:$C, A957)</f>
        <v/>
      </c>
      <c r="M957" s="8">
        <f>IF(L957&gt;=2000, "Platinum VIP", IF(L957&gt;=1000, "Gold", IF(L957&gt;=500, "Silver", "Standard")))</f>
        <v/>
      </c>
    </row>
    <row r="958">
      <c r="A958" s="8" t="inlineStr">
        <is>
          <t>CUST-00954</t>
        </is>
      </c>
      <c r="B958" s="8" t="inlineStr">
        <is>
          <t>Ashley Jackson</t>
        </is>
      </c>
      <c r="C958" s="8" t="inlineStr">
        <is>
          <t>Male</t>
        </is>
      </c>
      <c r="D958" s="8" t="n">
        <v>32</v>
      </c>
      <c r="E958" s="8">
        <f>IF(D958&lt;25, "18-24", IF(D958&lt;35, "25-34", IF(D958&lt;50, "35-49", "50+")))</f>
        <v/>
      </c>
      <c r="F958" s="8" t="inlineStr">
        <is>
          <t>Bogota</t>
        </is>
      </c>
      <c r="G958" s="8" t="inlineStr">
        <is>
          <t>Cundinamarca</t>
        </is>
      </c>
      <c r="H958" s="8" t="inlineStr">
        <is>
          <t>REG-LATAM</t>
        </is>
      </c>
      <c r="I958" s="8" t="inlineStr">
        <is>
          <t>Corporate</t>
        </is>
      </c>
      <c r="J958" s="8" t="inlineStr">
        <is>
          <t>2023-08-14</t>
        </is>
      </c>
      <c r="K958" s="8">
        <f>COUNTIFS('05_Orders'!$C:$C, A958)</f>
        <v/>
      </c>
      <c r="L958" s="9">
        <f>SUMIFS('05_Orders'!$I:$I, '05_Orders'!$C:$C, A958)</f>
        <v/>
      </c>
      <c r="M958" s="8">
        <f>IF(L958&gt;=2000, "Platinum VIP", IF(L958&gt;=1000, "Gold", IF(L958&gt;=500, "Silver", "Standard")))</f>
        <v/>
      </c>
    </row>
    <row r="959">
      <c r="A959" s="8" t="inlineStr">
        <is>
          <t>CUST-00955</t>
        </is>
      </c>
      <c r="B959" s="8" t="inlineStr">
        <is>
          <t>Michael Young</t>
        </is>
      </c>
      <c r="C959" s="8" t="inlineStr">
        <is>
          <t>Male</t>
        </is>
      </c>
      <c r="D959" s="8" t="n">
        <v>58</v>
      </c>
      <c r="E959" s="8">
        <f>IF(D959&lt;25, "18-24", IF(D959&lt;35, "25-34", IF(D959&lt;50, "35-49", "50+")))</f>
        <v/>
      </c>
      <c r="F959" s="8" t="inlineStr">
        <is>
          <t>Bogota</t>
        </is>
      </c>
      <c r="G959" s="8" t="inlineStr">
        <is>
          <t>Cundinamarca</t>
        </is>
      </c>
      <c r="H959" s="8" t="inlineStr">
        <is>
          <t>REG-LATAM</t>
        </is>
      </c>
      <c r="I959" s="8" t="inlineStr">
        <is>
          <t>Consumer</t>
        </is>
      </c>
      <c r="J959" s="8" t="inlineStr">
        <is>
          <t>2022-12-19</t>
        </is>
      </c>
      <c r="K959" s="8">
        <f>COUNTIFS('05_Orders'!$C:$C, A959)</f>
        <v/>
      </c>
      <c r="L959" s="9">
        <f>SUMIFS('05_Orders'!$I:$I, '05_Orders'!$C:$C, A959)</f>
        <v/>
      </c>
      <c r="M959" s="8">
        <f>IF(L959&gt;=2000, "Platinum VIP", IF(L959&gt;=1000, "Gold", IF(L959&gt;=500, "Silver", "Standard")))</f>
        <v/>
      </c>
    </row>
    <row r="960">
      <c r="A960" s="8" t="inlineStr">
        <is>
          <t>CUST-00956</t>
        </is>
      </c>
      <c r="B960" s="8" t="inlineStr">
        <is>
          <t>Brandon Nguyen</t>
        </is>
      </c>
      <c r="C960" s="8" t="inlineStr">
        <is>
          <t>Female</t>
        </is>
      </c>
      <c r="D960" s="8" t="n">
        <v>70</v>
      </c>
      <c r="E960" s="8">
        <f>IF(D960&lt;25, "18-24", IF(D960&lt;35, "25-34", IF(D960&lt;50, "35-49", "50+")))</f>
        <v/>
      </c>
      <c r="F960" s="8" t="inlineStr">
        <is>
          <t>Madrid</t>
        </is>
      </c>
      <c r="G960" s="8" t="inlineStr">
        <is>
          <t>Community of Madrid</t>
        </is>
      </c>
      <c r="H960" s="8" t="inlineStr">
        <is>
          <t>REG-EU</t>
        </is>
      </c>
      <c r="I960" s="8" t="inlineStr">
        <is>
          <t>Consumer</t>
        </is>
      </c>
      <c r="J960" s="8" t="inlineStr">
        <is>
          <t>2023-09-09</t>
        </is>
      </c>
      <c r="K960" s="8">
        <f>COUNTIFS('05_Orders'!$C:$C, A960)</f>
        <v/>
      </c>
      <c r="L960" s="9">
        <f>SUMIFS('05_Orders'!$I:$I, '05_Orders'!$C:$C, A960)</f>
        <v/>
      </c>
      <c r="M960" s="8">
        <f>IF(L960&gt;=2000, "Platinum VIP", IF(L960&gt;=1000, "Gold", IF(L960&gt;=500, "Silver", "Standard")))</f>
        <v/>
      </c>
    </row>
    <row r="961">
      <c r="A961" s="8" t="inlineStr">
        <is>
          <t>CUST-00957</t>
        </is>
      </c>
      <c r="B961" s="8" t="inlineStr">
        <is>
          <t>Mary Gonzalez</t>
        </is>
      </c>
      <c r="C961" s="8" t="inlineStr">
        <is>
          <t>Male</t>
        </is>
      </c>
      <c r="D961" s="8" t="n">
        <v>65</v>
      </c>
      <c r="E961" s="8">
        <f>IF(D961&lt;25, "18-24", IF(D961&lt;35, "25-34", IF(D961&lt;50, "35-49", "50+")))</f>
        <v/>
      </c>
      <c r="F961" s="8" t="inlineStr">
        <is>
          <t>Melbourne</t>
        </is>
      </c>
      <c r="G961" s="8" t="inlineStr">
        <is>
          <t>Victoria</t>
        </is>
      </c>
      <c r="H961" s="8" t="inlineStr">
        <is>
          <t>REG-APAC</t>
        </is>
      </c>
      <c r="I961" s="8" t="inlineStr">
        <is>
          <t>Consumer</t>
        </is>
      </c>
      <c r="J961" s="8" t="inlineStr">
        <is>
          <t>2023-11-10</t>
        </is>
      </c>
      <c r="K961" s="8">
        <f>COUNTIFS('05_Orders'!$C:$C, A961)</f>
        <v/>
      </c>
      <c r="L961" s="9">
        <f>SUMIFS('05_Orders'!$I:$I, '05_Orders'!$C:$C, A961)</f>
        <v/>
      </c>
      <c r="M961" s="8">
        <f>IF(L961&gt;=2000, "Platinum VIP", IF(L961&gt;=1000, "Gold", IF(L961&gt;=500, "Silver", "Standard")))</f>
        <v/>
      </c>
    </row>
    <row r="962">
      <c r="A962" s="8" t="inlineStr">
        <is>
          <t>CUST-00958</t>
        </is>
      </c>
      <c r="B962" s="8" t="inlineStr">
        <is>
          <t>Benjamin Collins</t>
        </is>
      </c>
      <c r="C962" s="8" t="inlineStr">
        <is>
          <t>Female</t>
        </is>
      </c>
      <c r="D962" s="8" t="n">
        <v>57</v>
      </c>
      <c r="E962" s="8">
        <f>IF(D962&lt;25, "18-24", IF(D962&lt;35, "25-34", IF(D962&lt;50, "35-49", "50+")))</f>
        <v/>
      </c>
      <c r="F962" s="8" t="inlineStr">
        <is>
          <t>Seattle</t>
        </is>
      </c>
      <c r="G962" s="8" t="inlineStr">
        <is>
          <t>Washington</t>
        </is>
      </c>
      <c r="H962" s="8" t="inlineStr">
        <is>
          <t>REG-NA</t>
        </is>
      </c>
      <c r="I962" s="8" t="inlineStr">
        <is>
          <t>Consumer</t>
        </is>
      </c>
      <c r="J962" s="8" t="inlineStr">
        <is>
          <t>2023-11-25</t>
        </is>
      </c>
      <c r="K962" s="8">
        <f>COUNTIFS('05_Orders'!$C:$C, A962)</f>
        <v/>
      </c>
      <c r="L962" s="9">
        <f>SUMIFS('05_Orders'!$I:$I, '05_Orders'!$C:$C, A962)</f>
        <v/>
      </c>
      <c r="M962" s="8">
        <f>IF(L962&gt;=2000, "Platinum VIP", IF(L962&gt;=1000, "Gold", IF(L962&gt;=500, "Silver", "Standard")))</f>
        <v/>
      </c>
    </row>
    <row r="963">
      <c r="A963" s="8" t="inlineStr">
        <is>
          <t>CUST-00959</t>
        </is>
      </c>
      <c r="B963" s="8" t="inlineStr">
        <is>
          <t>Angela Jones</t>
        </is>
      </c>
      <c r="C963" s="8" t="inlineStr">
        <is>
          <t>Other</t>
        </is>
      </c>
      <c r="D963" s="8" t="n">
        <v>67</v>
      </c>
      <c r="E963" s="8">
        <f>IF(D963&lt;25, "18-24", IF(D963&lt;35, "25-34", IF(D963&lt;50, "35-49", "50+")))</f>
        <v/>
      </c>
      <c r="F963" s="8" t="inlineStr">
        <is>
          <t>Stockholm</t>
        </is>
      </c>
      <c r="G963" s="8" t="inlineStr">
        <is>
          <t>Stockholm County</t>
        </is>
      </c>
      <c r="H963" s="8" t="inlineStr">
        <is>
          <t>REG-EU</t>
        </is>
      </c>
      <c r="I963" s="8" t="inlineStr">
        <is>
          <t>Corporate</t>
        </is>
      </c>
      <c r="J963" s="8" t="inlineStr">
        <is>
          <t>2021-11-11</t>
        </is>
      </c>
      <c r="K963" s="8">
        <f>COUNTIFS('05_Orders'!$C:$C, A963)</f>
        <v/>
      </c>
      <c r="L963" s="9">
        <f>SUMIFS('05_Orders'!$I:$I, '05_Orders'!$C:$C, A963)</f>
        <v/>
      </c>
      <c r="M963" s="8">
        <f>IF(L963&gt;=2000, "Platinum VIP", IF(L963&gt;=1000, "Gold", IF(L963&gt;=500, "Silver", "Standard")))</f>
        <v/>
      </c>
    </row>
    <row r="964">
      <c r="A964" s="8" t="inlineStr">
        <is>
          <t>CUST-00960</t>
        </is>
      </c>
      <c r="B964" s="8" t="inlineStr">
        <is>
          <t>Jack Brooks</t>
        </is>
      </c>
      <c r="C964" s="8" t="inlineStr">
        <is>
          <t>Female</t>
        </is>
      </c>
      <c r="D964" s="8" t="n">
        <v>27</v>
      </c>
      <c r="E964" s="8">
        <f>IF(D964&lt;25, "18-24", IF(D964&lt;35, "25-34", IF(D964&lt;50, "35-49", "50+")))</f>
        <v/>
      </c>
      <c r="F964" s="8" t="inlineStr">
        <is>
          <t>Houston</t>
        </is>
      </c>
      <c r="G964" s="8" t="inlineStr">
        <is>
          <t>Texas</t>
        </is>
      </c>
      <c r="H964" s="8" t="inlineStr">
        <is>
          <t>REG-NA</t>
        </is>
      </c>
      <c r="I964" s="8" t="inlineStr">
        <is>
          <t>Consumer</t>
        </is>
      </c>
      <c r="J964" s="8" t="inlineStr">
        <is>
          <t>2023-02-26</t>
        </is>
      </c>
      <c r="K964" s="8">
        <f>COUNTIFS('05_Orders'!$C:$C, A964)</f>
        <v/>
      </c>
      <c r="L964" s="9">
        <f>SUMIFS('05_Orders'!$I:$I, '05_Orders'!$C:$C, A964)</f>
        <v/>
      </c>
      <c r="M964" s="8">
        <f>IF(L964&gt;=2000, "Platinum VIP", IF(L964&gt;=1000, "Gold", IF(L964&gt;=500, "Silver", "Standard")))</f>
        <v/>
      </c>
    </row>
    <row r="965">
      <c r="A965" s="8" t="inlineStr">
        <is>
          <t>CUST-00961</t>
        </is>
      </c>
      <c r="B965" s="8" t="inlineStr">
        <is>
          <t>Sarah Harris</t>
        </is>
      </c>
      <c r="C965" s="8" t="inlineStr">
        <is>
          <t>Female</t>
        </is>
      </c>
      <c r="D965" s="8" t="n">
        <v>54</v>
      </c>
      <c r="E965" s="8">
        <f>IF(D965&lt;25, "18-24", IF(D965&lt;35, "25-34", IF(D965&lt;50, "35-49", "50+")))</f>
        <v/>
      </c>
      <c r="F965" s="8" t="inlineStr">
        <is>
          <t>Chicago</t>
        </is>
      </c>
      <c r="G965" s="8" t="inlineStr">
        <is>
          <t>Illinois</t>
        </is>
      </c>
      <c r="H965" s="8" t="inlineStr">
        <is>
          <t>REG-NA</t>
        </is>
      </c>
      <c r="I965" s="8" t="inlineStr">
        <is>
          <t>Consumer</t>
        </is>
      </c>
      <c r="J965" s="8" t="inlineStr">
        <is>
          <t>2024-03-09</t>
        </is>
      </c>
      <c r="K965" s="8">
        <f>COUNTIFS('05_Orders'!$C:$C, A965)</f>
        <v/>
      </c>
      <c r="L965" s="9">
        <f>SUMIFS('05_Orders'!$I:$I, '05_Orders'!$C:$C, A965)</f>
        <v/>
      </c>
      <c r="M965" s="8">
        <f>IF(L965&gt;=2000, "Platinum VIP", IF(L965&gt;=1000, "Gold", IF(L965&gt;=500, "Silver", "Standard")))</f>
        <v/>
      </c>
    </row>
    <row r="966">
      <c r="A966" s="8" t="inlineStr">
        <is>
          <t>CUST-00962</t>
        </is>
      </c>
      <c r="B966" s="8" t="inlineStr">
        <is>
          <t>Robert King</t>
        </is>
      </c>
      <c r="C966" s="8" t="inlineStr">
        <is>
          <t>Other</t>
        </is>
      </c>
      <c r="D966" s="8" t="n">
        <v>48</v>
      </c>
      <c r="E966" s="8">
        <f>IF(D966&lt;25, "18-24", IF(D966&lt;35, "25-34", IF(D966&lt;50, "35-49", "50+")))</f>
        <v/>
      </c>
      <c r="F966" s="8" t="inlineStr">
        <is>
          <t>Sydney</t>
        </is>
      </c>
      <c r="G966" s="8" t="inlineStr">
        <is>
          <t>New South Wales</t>
        </is>
      </c>
      <c r="H966" s="8" t="inlineStr">
        <is>
          <t>REG-APAC</t>
        </is>
      </c>
      <c r="I966" s="8" t="inlineStr">
        <is>
          <t>Consumer</t>
        </is>
      </c>
      <c r="J966" s="8" t="inlineStr">
        <is>
          <t>2021-12-06</t>
        </is>
      </c>
      <c r="K966" s="8">
        <f>COUNTIFS('05_Orders'!$C:$C, A966)</f>
        <v/>
      </c>
      <c r="L966" s="9">
        <f>SUMIFS('05_Orders'!$I:$I, '05_Orders'!$C:$C, A966)</f>
        <v/>
      </c>
      <c r="M966" s="8">
        <f>IF(L966&gt;=2000, "Platinum VIP", IF(L966&gt;=1000, "Gold", IF(L966&gt;=500, "Silver", "Standard")))</f>
        <v/>
      </c>
    </row>
    <row r="967">
      <c r="A967" s="8" t="inlineStr">
        <is>
          <t>CUST-00963</t>
        </is>
      </c>
      <c r="B967" s="8" t="inlineStr">
        <is>
          <t>Amanda Ward</t>
        </is>
      </c>
      <c r="C967" s="8" t="inlineStr">
        <is>
          <t>Other</t>
        </is>
      </c>
      <c r="D967" s="8" t="n">
        <v>41</v>
      </c>
      <c r="E967" s="8">
        <f>IF(D967&lt;25, "18-24", IF(D967&lt;35, "25-34", IF(D967&lt;50, "35-49", "50+")))</f>
        <v/>
      </c>
      <c r="F967" s="8" t="inlineStr">
        <is>
          <t>Melbourne</t>
        </is>
      </c>
      <c r="G967" s="8" t="inlineStr">
        <is>
          <t>Victoria</t>
        </is>
      </c>
      <c r="H967" s="8" t="inlineStr">
        <is>
          <t>REG-APAC</t>
        </is>
      </c>
      <c r="I967" s="8" t="inlineStr">
        <is>
          <t>Corporate</t>
        </is>
      </c>
      <c r="J967" s="8" t="inlineStr">
        <is>
          <t>2024-01-28</t>
        </is>
      </c>
      <c r="K967" s="8">
        <f>COUNTIFS('05_Orders'!$C:$C, A967)</f>
        <v/>
      </c>
      <c r="L967" s="9">
        <f>SUMIFS('05_Orders'!$I:$I, '05_Orders'!$C:$C, A967)</f>
        <v/>
      </c>
      <c r="M967" s="8">
        <f>IF(L967&gt;=2000, "Platinum VIP", IF(L967&gt;=1000, "Gold", IF(L967&gt;=500, "Silver", "Standard")))</f>
        <v/>
      </c>
    </row>
    <row r="968">
      <c r="A968" s="8" t="inlineStr">
        <is>
          <t>CUST-00964</t>
        </is>
      </c>
      <c r="B968" s="8" t="inlineStr">
        <is>
          <t>Helen Martin</t>
        </is>
      </c>
      <c r="C968" s="8" t="inlineStr">
        <is>
          <t>Other</t>
        </is>
      </c>
      <c r="D968" s="8" t="n">
        <v>61</v>
      </c>
      <c r="E968" s="8">
        <f>IF(D968&lt;25, "18-24", IF(D968&lt;35, "25-34", IF(D968&lt;50, "35-49", "50+")))</f>
        <v/>
      </c>
      <c r="F968" s="8" t="inlineStr">
        <is>
          <t>Auckland</t>
        </is>
      </c>
      <c r="G968" s="8" t="inlineStr">
        <is>
          <t>Auckland Region</t>
        </is>
      </c>
      <c r="H968" s="8" t="inlineStr">
        <is>
          <t>REG-APAC</t>
        </is>
      </c>
      <c r="I968" s="8" t="inlineStr">
        <is>
          <t>Corporate</t>
        </is>
      </c>
      <c r="J968" s="8" t="inlineStr">
        <is>
          <t>2022-07-26</t>
        </is>
      </c>
      <c r="K968" s="8">
        <f>COUNTIFS('05_Orders'!$C:$C, A968)</f>
        <v/>
      </c>
      <c r="L968" s="9">
        <f>SUMIFS('05_Orders'!$I:$I, '05_Orders'!$C:$C, A968)</f>
        <v/>
      </c>
      <c r="M968" s="8">
        <f>IF(L968&gt;=2000, "Platinum VIP", IF(L968&gt;=1000, "Gold", IF(L968&gt;=500, "Silver", "Standard")))</f>
        <v/>
      </c>
    </row>
    <row r="969">
      <c r="A969" s="8" t="inlineStr">
        <is>
          <t>CUST-00965</t>
        </is>
      </c>
      <c r="B969" s="8" t="inlineStr">
        <is>
          <t>Sharon Morris</t>
        </is>
      </c>
      <c r="C969" s="8" t="inlineStr">
        <is>
          <t>Female</t>
        </is>
      </c>
      <c r="D969" s="8" t="n">
        <v>39</v>
      </c>
      <c r="E969" s="8">
        <f>IF(D969&lt;25, "18-24", IF(D969&lt;35, "25-34", IF(D969&lt;50, "35-49", "50+")))</f>
        <v/>
      </c>
      <c r="F969" s="8" t="inlineStr">
        <is>
          <t>Bogota</t>
        </is>
      </c>
      <c r="G969" s="8" t="inlineStr">
        <is>
          <t>Cundinamarca</t>
        </is>
      </c>
      <c r="H969" s="8" t="inlineStr">
        <is>
          <t>REG-LATAM</t>
        </is>
      </c>
      <c r="I969" s="8" t="inlineStr">
        <is>
          <t>Corporate</t>
        </is>
      </c>
      <c r="J969" s="8" t="inlineStr">
        <is>
          <t>2025-01-23</t>
        </is>
      </c>
      <c r="K969" s="8">
        <f>COUNTIFS('05_Orders'!$C:$C, A969)</f>
        <v/>
      </c>
      <c r="L969" s="9">
        <f>SUMIFS('05_Orders'!$I:$I, '05_Orders'!$C:$C, A969)</f>
        <v/>
      </c>
      <c r="M969" s="8">
        <f>IF(L969&gt;=2000, "Platinum VIP", IF(L969&gt;=1000, "Gold", IF(L969&gt;=500, "Silver", "Standard")))</f>
        <v/>
      </c>
    </row>
    <row r="970">
      <c r="A970" s="8" t="inlineStr">
        <is>
          <t>CUST-00966</t>
        </is>
      </c>
      <c r="B970" s="8" t="inlineStr">
        <is>
          <t>Steven Wilson</t>
        </is>
      </c>
      <c r="C970" s="8" t="inlineStr">
        <is>
          <t>Male</t>
        </is>
      </c>
      <c r="D970" s="8" t="n">
        <v>53</v>
      </c>
      <c r="E970" s="8">
        <f>IF(D970&lt;25, "18-24", IF(D970&lt;35, "25-34", IF(D970&lt;50, "35-49", "50+")))</f>
        <v/>
      </c>
      <c r="F970" s="8" t="inlineStr">
        <is>
          <t>Houston</t>
        </is>
      </c>
      <c r="G970" s="8" t="inlineStr">
        <is>
          <t>Texas</t>
        </is>
      </c>
      <c r="H970" s="8" t="inlineStr">
        <is>
          <t>REG-NA</t>
        </is>
      </c>
      <c r="I970" s="8" t="inlineStr">
        <is>
          <t>Home Office</t>
        </is>
      </c>
      <c r="J970" s="8" t="inlineStr">
        <is>
          <t>2022-05-25</t>
        </is>
      </c>
      <c r="K970" s="8">
        <f>COUNTIFS('05_Orders'!$C:$C, A970)</f>
        <v/>
      </c>
      <c r="L970" s="9">
        <f>SUMIFS('05_Orders'!$I:$I, '05_Orders'!$C:$C, A970)</f>
        <v/>
      </c>
      <c r="M970" s="8">
        <f>IF(L970&gt;=2000, "Platinum VIP", IF(L970&gt;=1000, "Gold", IF(L970&gt;=500, "Silver", "Standard")))</f>
        <v/>
      </c>
    </row>
    <row r="971">
      <c r="A971" s="8" t="inlineStr">
        <is>
          <t>CUST-00967</t>
        </is>
      </c>
      <c r="B971" s="8" t="inlineStr">
        <is>
          <t>Edward Evans</t>
        </is>
      </c>
      <c r="C971" s="8" t="inlineStr">
        <is>
          <t>Other</t>
        </is>
      </c>
      <c r="D971" s="8" t="n">
        <v>43</v>
      </c>
      <c r="E971" s="8">
        <f>IF(D971&lt;25, "18-24", IF(D971&lt;35, "25-34", IF(D971&lt;50, "35-49", "50+")))</f>
        <v/>
      </c>
      <c r="F971" s="8" t="inlineStr">
        <is>
          <t>Seattle</t>
        </is>
      </c>
      <c r="G971" s="8" t="inlineStr">
        <is>
          <t>Washington</t>
        </is>
      </c>
      <c r="H971" s="8" t="inlineStr">
        <is>
          <t>REG-NA</t>
        </is>
      </c>
      <c r="I971" s="8" t="inlineStr">
        <is>
          <t>Consumer</t>
        </is>
      </c>
      <c r="J971" s="8" t="inlineStr">
        <is>
          <t>2022-05-12</t>
        </is>
      </c>
      <c r="K971" s="8">
        <f>COUNTIFS('05_Orders'!$C:$C, A971)</f>
        <v/>
      </c>
      <c r="L971" s="9">
        <f>SUMIFS('05_Orders'!$I:$I, '05_Orders'!$C:$C, A971)</f>
        <v/>
      </c>
      <c r="M971" s="8">
        <f>IF(L971&gt;=2000, "Platinum VIP", IF(L971&gt;=1000, "Gold", IF(L971&gt;=500, "Silver", "Standard")))</f>
        <v/>
      </c>
    </row>
    <row r="972">
      <c r="A972" s="8" t="inlineStr">
        <is>
          <t>CUST-00968</t>
        </is>
      </c>
      <c r="B972" s="8" t="inlineStr">
        <is>
          <t>Kevin Davis</t>
        </is>
      </c>
      <c r="C972" s="8" t="inlineStr">
        <is>
          <t>Female</t>
        </is>
      </c>
      <c r="D972" s="8" t="n">
        <v>43</v>
      </c>
      <c r="E972" s="8">
        <f>IF(D972&lt;25, "18-24", IF(D972&lt;35, "25-34", IF(D972&lt;50, "35-49", "50+")))</f>
        <v/>
      </c>
      <c r="F972" s="8" t="inlineStr">
        <is>
          <t>Osaka</t>
        </is>
      </c>
      <c r="G972" s="8" t="inlineStr">
        <is>
          <t>Kansai</t>
        </is>
      </c>
      <c r="H972" s="8" t="inlineStr">
        <is>
          <t>REG-APAC</t>
        </is>
      </c>
      <c r="I972" s="8" t="inlineStr">
        <is>
          <t>Consumer</t>
        </is>
      </c>
      <c r="J972" s="8" t="inlineStr">
        <is>
          <t>2021-03-04</t>
        </is>
      </c>
      <c r="K972" s="8">
        <f>COUNTIFS('05_Orders'!$C:$C, A972)</f>
        <v/>
      </c>
      <c r="L972" s="9">
        <f>SUMIFS('05_Orders'!$I:$I, '05_Orders'!$C:$C, A972)</f>
        <v/>
      </c>
      <c r="M972" s="8">
        <f>IF(L972&gt;=2000, "Platinum VIP", IF(L972&gt;=1000, "Gold", IF(L972&gt;=500, "Silver", "Standard")))</f>
        <v/>
      </c>
    </row>
    <row r="973">
      <c r="A973" s="8" t="inlineStr">
        <is>
          <t>CUST-00969</t>
        </is>
      </c>
      <c r="B973" s="8" t="inlineStr">
        <is>
          <t>Nicholas Gomez</t>
        </is>
      </c>
      <c r="C973" s="8" t="inlineStr">
        <is>
          <t>Other</t>
        </is>
      </c>
      <c r="D973" s="8" t="n">
        <v>31</v>
      </c>
      <c r="E973" s="8">
        <f>IF(D973&lt;25, "18-24", IF(D973&lt;35, "25-34", IF(D973&lt;50, "35-49", "50+")))</f>
        <v/>
      </c>
      <c r="F973" s="8" t="inlineStr">
        <is>
          <t>Houston</t>
        </is>
      </c>
      <c r="G973" s="8" t="inlineStr">
        <is>
          <t>Texas</t>
        </is>
      </c>
      <c r="H973" s="8" t="inlineStr">
        <is>
          <t>REG-NA</t>
        </is>
      </c>
      <c r="I973" s="8" t="inlineStr">
        <is>
          <t>Consumer</t>
        </is>
      </c>
      <c r="J973" s="8" t="inlineStr">
        <is>
          <t>2024-06-04</t>
        </is>
      </c>
      <c r="K973" s="8">
        <f>COUNTIFS('05_Orders'!$C:$C, A973)</f>
        <v/>
      </c>
      <c r="L973" s="9">
        <f>SUMIFS('05_Orders'!$I:$I, '05_Orders'!$C:$C, A973)</f>
        <v/>
      </c>
      <c r="M973" s="8">
        <f>IF(L973&gt;=2000, "Platinum VIP", IF(L973&gt;=1000, "Gold", IF(L973&gt;=500, "Silver", "Standard")))</f>
        <v/>
      </c>
    </row>
    <row r="974">
      <c r="A974" s="8" t="inlineStr">
        <is>
          <t>CUST-00970</t>
        </is>
      </c>
      <c r="B974" s="8" t="inlineStr">
        <is>
          <t>David Gonzalez</t>
        </is>
      </c>
      <c r="C974" s="8" t="inlineStr">
        <is>
          <t>Male</t>
        </is>
      </c>
      <c r="D974" s="8" t="n">
        <v>23</v>
      </c>
      <c r="E974" s="8">
        <f>IF(D974&lt;25, "18-24", IF(D974&lt;35, "25-34", IF(D974&lt;50, "35-49", "50+")))</f>
        <v/>
      </c>
      <c r="F974" s="8" t="inlineStr">
        <is>
          <t>Singapore</t>
        </is>
      </c>
      <c r="G974" s="8" t="inlineStr">
        <is>
          <t>Central</t>
        </is>
      </c>
      <c r="H974" s="8" t="inlineStr">
        <is>
          <t>REG-APAC</t>
        </is>
      </c>
      <c r="I974" s="8" t="inlineStr">
        <is>
          <t>Consumer</t>
        </is>
      </c>
      <c r="J974" s="8" t="inlineStr">
        <is>
          <t>2023-05-28</t>
        </is>
      </c>
      <c r="K974" s="8">
        <f>COUNTIFS('05_Orders'!$C:$C, A974)</f>
        <v/>
      </c>
      <c r="L974" s="9">
        <f>SUMIFS('05_Orders'!$I:$I, '05_Orders'!$C:$C, A974)</f>
        <v/>
      </c>
      <c r="M974" s="8">
        <f>IF(L974&gt;=2000, "Platinum VIP", IF(L974&gt;=1000, "Gold", IF(L974&gt;=500, "Silver", "Standard")))</f>
        <v/>
      </c>
    </row>
    <row r="975">
      <c r="A975" s="8" t="inlineStr">
        <is>
          <t>CUST-00971</t>
        </is>
      </c>
      <c r="B975" s="8" t="inlineStr">
        <is>
          <t>Gregory Martin</t>
        </is>
      </c>
      <c r="C975" s="8" t="inlineStr">
        <is>
          <t>Male</t>
        </is>
      </c>
      <c r="D975" s="8" t="n">
        <v>18</v>
      </c>
      <c r="E975" s="8">
        <f>IF(D975&lt;25, "18-24", IF(D975&lt;35, "25-34", IF(D975&lt;50, "35-49", "50+")))</f>
        <v/>
      </c>
      <c r="F975" s="8" t="inlineStr">
        <is>
          <t>London</t>
        </is>
      </c>
      <c r="G975" s="8" t="inlineStr">
        <is>
          <t>Greater London</t>
        </is>
      </c>
      <c r="H975" s="8" t="inlineStr">
        <is>
          <t>REG-EU</t>
        </is>
      </c>
      <c r="I975" s="8" t="inlineStr">
        <is>
          <t>Consumer</t>
        </is>
      </c>
      <c r="J975" s="8" t="inlineStr">
        <is>
          <t>2023-01-22</t>
        </is>
      </c>
      <c r="K975" s="8">
        <f>COUNTIFS('05_Orders'!$C:$C, A975)</f>
        <v/>
      </c>
      <c r="L975" s="9">
        <f>SUMIFS('05_Orders'!$I:$I, '05_Orders'!$C:$C, A975)</f>
        <v/>
      </c>
      <c r="M975" s="8">
        <f>IF(L975&gt;=2000, "Platinum VIP", IF(L975&gt;=1000, "Gold", IF(L975&gt;=500, "Silver", "Standard")))</f>
        <v/>
      </c>
    </row>
    <row r="976">
      <c r="A976" s="8" t="inlineStr">
        <is>
          <t>CUST-00972</t>
        </is>
      </c>
      <c r="B976" s="8" t="inlineStr">
        <is>
          <t>Barbara Garcia</t>
        </is>
      </c>
      <c r="C976" s="8" t="inlineStr">
        <is>
          <t>Male</t>
        </is>
      </c>
      <c r="D976" s="8" t="n">
        <v>37</v>
      </c>
      <c r="E976" s="8">
        <f>IF(D976&lt;25, "18-24", IF(D976&lt;35, "25-34", IF(D976&lt;50, "35-49", "50+")))</f>
        <v/>
      </c>
      <c r="F976" s="8" t="inlineStr">
        <is>
          <t>New York</t>
        </is>
      </c>
      <c r="G976" s="8" t="inlineStr">
        <is>
          <t>New York</t>
        </is>
      </c>
      <c r="H976" s="8" t="inlineStr">
        <is>
          <t>REG-NA</t>
        </is>
      </c>
      <c r="I976" s="8" t="inlineStr">
        <is>
          <t>Enterprise</t>
        </is>
      </c>
      <c r="J976" s="8" t="inlineStr">
        <is>
          <t>2021-06-18</t>
        </is>
      </c>
      <c r="K976" s="8">
        <f>COUNTIFS('05_Orders'!$C:$C, A976)</f>
        <v/>
      </c>
      <c r="L976" s="9">
        <f>SUMIFS('05_Orders'!$I:$I, '05_Orders'!$C:$C, A976)</f>
        <v/>
      </c>
      <c r="M976" s="8">
        <f>IF(L976&gt;=2000, "Platinum VIP", IF(L976&gt;=1000, "Gold", IF(L976&gt;=500, "Silver", "Standard")))</f>
        <v/>
      </c>
    </row>
    <row r="977">
      <c r="A977" s="8" t="inlineStr">
        <is>
          <t>CUST-00973</t>
        </is>
      </c>
      <c r="B977" s="8" t="inlineStr">
        <is>
          <t>Nancy Gomez</t>
        </is>
      </c>
      <c r="C977" s="8" t="inlineStr">
        <is>
          <t>Female</t>
        </is>
      </c>
      <c r="D977" s="8" t="n">
        <v>24</v>
      </c>
      <c r="E977" s="8">
        <f>IF(D977&lt;25, "18-24", IF(D977&lt;35, "25-34", IF(D977&lt;50, "35-49", "50+")))</f>
        <v/>
      </c>
      <c r="F977" s="8" t="inlineStr">
        <is>
          <t>Phoenix</t>
        </is>
      </c>
      <c r="G977" s="8" t="inlineStr">
        <is>
          <t>Arizona</t>
        </is>
      </c>
      <c r="H977" s="8" t="inlineStr">
        <is>
          <t>REG-NA</t>
        </is>
      </c>
      <c r="I977" s="8" t="inlineStr">
        <is>
          <t>Corporate</t>
        </is>
      </c>
      <c r="J977" s="8" t="inlineStr">
        <is>
          <t>2023-12-14</t>
        </is>
      </c>
      <c r="K977" s="8">
        <f>COUNTIFS('05_Orders'!$C:$C, A977)</f>
        <v/>
      </c>
      <c r="L977" s="9">
        <f>SUMIFS('05_Orders'!$I:$I, '05_Orders'!$C:$C, A977)</f>
        <v/>
      </c>
      <c r="M977" s="8">
        <f>IF(L977&gt;=2000, "Platinum VIP", IF(L977&gt;=1000, "Gold", IF(L977&gt;=500, "Silver", "Standard")))</f>
        <v/>
      </c>
    </row>
    <row r="978">
      <c r="A978" s="8" t="inlineStr">
        <is>
          <t>CUST-00974</t>
        </is>
      </c>
      <c r="B978" s="8" t="inlineStr">
        <is>
          <t>Kimberly Lee</t>
        </is>
      </c>
      <c r="C978" s="8" t="inlineStr">
        <is>
          <t>Other</t>
        </is>
      </c>
      <c r="D978" s="8" t="n">
        <v>67</v>
      </c>
      <c r="E978" s="8">
        <f>IF(D978&lt;25, "18-24", IF(D978&lt;35, "25-34", IF(D978&lt;50, "35-49", "50+")))</f>
        <v/>
      </c>
      <c r="F978" s="8" t="inlineStr">
        <is>
          <t>Manchester</t>
        </is>
      </c>
      <c r="G978" s="8" t="inlineStr">
        <is>
          <t>Greater Manchester</t>
        </is>
      </c>
      <c r="H978" s="8" t="inlineStr">
        <is>
          <t>REG-EU</t>
        </is>
      </c>
      <c r="I978" s="8" t="inlineStr">
        <is>
          <t>Corporate</t>
        </is>
      </c>
      <c r="J978" s="8" t="inlineStr">
        <is>
          <t>2022-04-04</t>
        </is>
      </c>
      <c r="K978" s="8">
        <f>COUNTIFS('05_Orders'!$C:$C, A978)</f>
        <v/>
      </c>
      <c r="L978" s="9">
        <f>SUMIFS('05_Orders'!$I:$I, '05_Orders'!$C:$C, A978)</f>
        <v/>
      </c>
      <c r="M978" s="8">
        <f>IF(L978&gt;=2000, "Platinum VIP", IF(L978&gt;=1000, "Gold", IF(L978&gt;=500, "Silver", "Standard")))</f>
        <v/>
      </c>
    </row>
    <row r="979">
      <c r="A979" s="8" t="inlineStr">
        <is>
          <t>CUST-00975</t>
        </is>
      </c>
      <c r="B979" s="8" t="inlineStr">
        <is>
          <t>Raymond Stewart</t>
        </is>
      </c>
      <c r="C979" s="8" t="inlineStr">
        <is>
          <t>Female</t>
        </is>
      </c>
      <c r="D979" s="8" t="n">
        <v>40</v>
      </c>
      <c r="E979" s="8">
        <f>IF(D979&lt;25, "18-24", IF(D979&lt;35, "25-34", IF(D979&lt;50, "35-49", "50+")))</f>
        <v/>
      </c>
      <c r="F979" s="8" t="inlineStr">
        <is>
          <t>Bogota</t>
        </is>
      </c>
      <c r="G979" s="8" t="inlineStr">
        <is>
          <t>Cundinamarca</t>
        </is>
      </c>
      <c r="H979" s="8" t="inlineStr">
        <is>
          <t>REG-LATAM</t>
        </is>
      </c>
      <c r="I979" s="8" t="inlineStr">
        <is>
          <t>Consumer</t>
        </is>
      </c>
      <c r="J979" s="8" t="inlineStr">
        <is>
          <t>2024-12-16</t>
        </is>
      </c>
      <c r="K979" s="8">
        <f>COUNTIFS('05_Orders'!$C:$C, A979)</f>
        <v/>
      </c>
      <c r="L979" s="9">
        <f>SUMIFS('05_Orders'!$I:$I, '05_Orders'!$C:$C, A979)</f>
        <v/>
      </c>
      <c r="M979" s="8">
        <f>IF(L979&gt;=2000, "Platinum VIP", IF(L979&gt;=1000, "Gold", IF(L979&gt;=500, "Silver", "Standard")))</f>
        <v/>
      </c>
    </row>
    <row r="980">
      <c r="A980" s="8" t="inlineStr">
        <is>
          <t>CUST-00976</t>
        </is>
      </c>
      <c r="B980" s="8" t="inlineStr">
        <is>
          <t>Michelle Bennett</t>
        </is>
      </c>
      <c r="C980" s="8" t="inlineStr">
        <is>
          <t>Female</t>
        </is>
      </c>
      <c r="D980" s="8" t="n">
        <v>31</v>
      </c>
      <c r="E980" s="8">
        <f>IF(D980&lt;25, "18-24", IF(D980&lt;35, "25-34", IF(D980&lt;50, "35-49", "50+")))</f>
        <v/>
      </c>
      <c r="F980" s="8" t="inlineStr">
        <is>
          <t>Chicago</t>
        </is>
      </c>
      <c r="G980" s="8" t="inlineStr">
        <is>
          <t>Illinois</t>
        </is>
      </c>
      <c r="H980" s="8" t="inlineStr">
        <is>
          <t>REG-NA</t>
        </is>
      </c>
      <c r="I980" s="8" t="inlineStr">
        <is>
          <t>Corporate</t>
        </is>
      </c>
      <c r="J980" s="8" t="inlineStr">
        <is>
          <t>2021-03-17</t>
        </is>
      </c>
      <c r="K980" s="8">
        <f>COUNTIFS('05_Orders'!$C:$C, A980)</f>
        <v/>
      </c>
      <c r="L980" s="9">
        <f>SUMIFS('05_Orders'!$I:$I, '05_Orders'!$C:$C, A980)</f>
        <v/>
      </c>
      <c r="M980" s="8">
        <f>IF(L980&gt;=2000, "Platinum VIP", IF(L980&gt;=1000, "Gold", IF(L980&gt;=500, "Silver", "Standard")))</f>
        <v/>
      </c>
    </row>
    <row r="981">
      <c r="A981" s="8" t="inlineStr">
        <is>
          <t>CUST-00977</t>
        </is>
      </c>
      <c r="B981" s="8" t="inlineStr">
        <is>
          <t>Cynthia Taylor</t>
        </is>
      </c>
      <c r="C981" s="8" t="inlineStr">
        <is>
          <t>Male</t>
        </is>
      </c>
      <c r="D981" s="8" t="n">
        <v>64</v>
      </c>
      <c r="E981" s="8">
        <f>IF(D981&lt;25, "18-24", IF(D981&lt;35, "25-34", IF(D981&lt;50, "35-49", "50+")))</f>
        <v/>
      </c>
      <c r="F981" s="8" t="inlineStr">
        <is>
          <t>Seattle</t>
        </is>
      </c>
      <c r="G981" s="8" t="inlineStr">
        <is>
          <t>Washington</t>
        </is>
      </c>
      <c r="H981" s="8" t="inlineStr">
        <is>
          <t>REG-NA</t>
        </is>
      </c>
      <c r="I981" s="8" t="inlineStr">
        <is>
          <t>Corporate</t>
        </is>
      </c>
      <c r="J981" s="8" t="inlineStr">
        <is>
          <t>2024-04-01</t>
        </is>
      </c>
      <c r="K981" s="8">
        <f>COUNTIFS('05_Orders'!$C:$C, A981)</f>
        <v/>
      </c>
      <c r="L981" s="9">
        <f>SUMIFS('05_Orders'!$I:$I, '05_Orders'!$C:$C, A981)</f>
        <v/>
      </c>
      <c r="M981" s="8">
        <f>IF(L981&gt;=2000, "Platinum VIP", IF(L981&gt;=1000, "Gold", IF(L981&gt;=500, "Silver", "Standard")))</f>
        <v/>
      </c>
    </row>
    <row r="982">
      <c r="A982" s="8" t="inlineStr">
        <is>
          <t>CUST-00978</t>
        </is>
      </c>
      <c r="B982" s="8" t="inlineStr">
        <is>
          <t>Debra Bennett</t>
        </is>
      </c>
      <c r="C982" s="8" t="inlineStr">
        <is>
          <t>Other</t>
        </is>
      </c>
      <c r="D982" s="8" t="n">
        <v>64</v>
      </c>
      <c r="E982" s="8">
        <f>IF(D982&lt;25, "18-24", IF(D982&lt;35, "25-34", IF(D982&lt;50, "35-49", "50+")))</f>
        <v/>
      </c>
      <c r="F982" s="8" t="inlineStr">
        <is>
          <t>Munich</t>
        </is>
      </c>
      <c r="G982" s="8" t="inlineStr">
        <is>
          <t>Bavaria</t>
        </is>
      </c>
      <c r="H982" s="8" t="inlineStr">
        <is>
          <t>REG-EU</t>
        </is>
      </c>
      <c r="I982" s="8" t="inlineStr">
        <is>
          <t>Home Office</t>
        </is>
      </c>
      <c r="J982" s="8" t="inlineStr">
        <is>
          <t>2024-09-05</t>
        </is>
      </c>
      <c r="K982" s="8">
        <f>COUNTIFS('05_Orders'!$C:$C, A982)</f>
        <v/>
      </c>
      <c r="L982" s="9">
        <f>SUMIFS('05_Orders'!$I:$I, '05_Orders'!$C:$C, A982)</f>
        <v/>
      </c>
      <c r="M982" s="8">
        <f>IF(L982&gt;=2000, "Platinum VIP", IF(L982&gt;=1000, "Gold", IF(L982&gt;=500, "Silver", "Standard")))</f>
        <v/>
      </c>
    </row>
    <row r="983">
      <c r="A983" s="8" t="inlineStr">
        <is>
          <t>CUST-00979</t>
        </is>
      </c>
      <c r="B983" s="8" t="inlineStr">
        <is>
          <t>Robert Allen</t>
        </is>
      </c>
      <c r="C983" s="8" t="inlineStr">
        <is>
          <t>Female</t>
        </is>
      </c>
      <c r="D983" s="8" t="n">
        <v>29</v>
      </c>
      <c r="E983" s="8">
        <f>IF(D983&lt;25, "18-24", IF(D983&lt;35, "25-34", IF(D983&lt;50, "35-49", "50+")))</f>
        <v/>
      </c>
      <c r="F983" s="8" t="inlineStr">
        <is>
          <t>Bangalore</t>
        </is>
      </c>
      <c r="G983" s="8" t="inlineStr">
        <is>
          <t>Karnataka</t>
        </is>
      </c>
      <c r="H983" s="8" t="inlineStr">
        <is>
          <t>REG-APAC</t>
        </is>
      </c>
      <c r="I983" s="8" t="inlineStr">
        <is>
          <t>Corporate</t>
        </is>
      </c>
      <c r="J983" s="8" t="inlineStr">
        <is>
          <t>2023-03-26</t>
        </is>
      </c>
      <c r="K983" s="8">
        <f>COUNTIFS('05_Orders'!$C:$C, A983)</f>
        <v/>
      </c>
      <c r="L983" s="9">
        <f>SUMIFS('05_Orders'!$I:$I, '05_Orders'!$C:$C, A983)</f>
        <v/>
      </c>
      <c r="M983" s="8">
        <f>IF(L983&gt;=2000, "Platinum VIP", IF(L983&gt;=1000, "Gold", IF(L983&gt;=500, "Silver", "Standard")))</f>
        <v/>
      </c>
    </row>
    <row r="984">
      <c r="A984" s="8" t="inlineStr">
        <is>
          <t>CUST-00980</t>
        </is>
      </c>
      <c r="B984" s="8" t="inlineStr">
        <is>
          <t>Ruth Price</t>
        </is>
      </c>
      <c r="C984" s="8" t="inlineStr">
        <is>
          <t>Female</t>
        </is>
      </c>
      <c r="D984" s="8" t="n">
        <v>45</v>
      </c>
      <c r="E984" s="8">
        <f>IF(D984&lt;25, "18-24", IF(D984&lt;35, "25-34", IF(D984&lt;50, "35-49", "50+")))</f>
        <v/>
      </c>
      <c r="F984" s="8" t="inlineStr">
        <is>
          <t>Denver</t>
        </is>
      </c>
      <c r="G984" s="8" t="inlineStr">
        <is>
          <t>Colorado</t>
        </is>
      </c>
      <c r="H984" s="8" t="inlineStr">
        <is>
          <t>REG-NA</t>
        </is>
      </c>
      <c r="I984" s="8" t="inlineStr">
        <is>
          <t>Home Office</t>
        </is>
      </c>
      <c r="J984" s="8" t="inlineStr">
        <is>
          <t>2022-01-12</t>
        </is>
      </c>
      <c r="K984" s="8">
        <f>COUNTIFS('05_Orders'!$C:$C, A984)</f>
        <v/>
      </c>
      <c r="L984" s="9">
        <f>SUMIFS('05_Orders'!$I:$I, '05_Orders'!$C:$C, A984)</f>
        <v/>
      </c>
      <c r="M984" s="8">
        <f>IF(L984&gt;=2000, "Platinum VIP", IF(L984&gt;=1000, "Gold", IF(L984&gt;=500, "Silver", "Standard")))</f>
        <v/>
      </c>
    </row>
    <row r="985">
      <c r="A985" s="8" t="inlineStr">
        <is>
          <t>CUST-00981</t>
        </is>
      </c>
      <c r="B985" s="8" t="inlineStr">
        <is>
          <t>Nicholas Nelson</t>
        </is>
      </c>
      <c r="C985" s="8" t="inlineStr">
        <is>
          <t>Male</t>
        </is>
      </c>
      <c r="D985" s="8" t="n">
        <v>20</v>
      </c>
      <c r="E985" s="8">
        <f>IF(D985&lt;25, "18-24", IF(D985&lt;35, "25-34", IF(D985&lt;50, "35-49", "50+")))</f>
        <v/>
      </c>
      <c r="F985" s="8" t="inlineStr">
        <is>
          <t>Sydney</t>
        </is>
      </c>
      <c r="G985" s="8" t="inlineStr">
        <is>
          <t>New South Wales</t>
        </is>
      </c>
      <c r="H985" s="8" t="inlineStr">
        <is>
          <t>REG-APAC</t>
        </is>
      </c>
      <c r="I985" s="8" t="inlineStr">
        <is>
          <t>Corporate</t>
        </is>
      </c>
      <c r="J985" s="8" t="inlineStr">
        <is>
          <t>2023-10-12</t>
        </is>
      </c>
      <c r="K985" s="8">
        <f>COUNTIFS('05_Orders'!$C:$C, A985)</f>
        <v/>
      </c>
      <c r="L985" s="9">
        <f>SUMIFS('05_Orders'!$I:$I, '05_Orders'!$C:$C, A985)</f>
        <v/>
      </c>
      <c r="M985" s="8">
        <f>IF(L985&gt;=2000, "Platinum VIP", IF(L985&gt;=1000, "Gold", IF(L985&gt;=500, "Silver", "Standard")))</f>
        <v/>
      </c>
    </row>
    <row r="986">
      <c r="A986" s="8" t="inlineStr">
        <is>
          <t>CUST-00982</t>
        </is>
      </c>
      <c r="B986" s="8" t="inlineStr">
        <is>
          <t>Tyler Johnson</t>
        </is>
      </c>
      <c r="C986" s="8" t="inlineStr">
        <is>
          <t>Other</t>
        </is>
      </c>
      <c r="D986" s="8" t="n">
        <v>41</v>
      </c>
      <c r="E986" s="8">
        <f>IF(D986&lt;25, "18-24", IF(D986&lt;35, "25-34", IF(D986&lt;50, "35-49", "50+")))</f>
        <v/>
      </c>
      <c r="F986" s="8" t="inlineStr">
        <is>
          <t>Auckland</t>
        </is>
      </c>
      <c r="G986" s="8" t="inlineStr">
        <is>
          <t>Auckland Region</t>
        </is>
      </c>
      <c r="H986" s="8" t="inlineStr">
        <is>
          <t>REG-APAC</t>
        </is>
      </c>
      <c r="I986" s="8" t="inlineStr">
        <is>
          <t>Consumer</t>
        </is>
      </c>
      <c r="J986" s="8" t="inlineStr">
        <is>
          <t>2021-01-06</t>
        </is>
      </c>
      <c r="K986" s="8">
        <f>COUNTIFS('05_Orders'!$C:$C, A986)</f>
        <v/>
      </c>
      <c r="L986" s="9">
        <f>SUMIFS('05_Orders'!$I:$I, '05_Orders'!$C:$C, A986)</f>
        <v/>
      </c>
      <c r="M986" s="8">
        <f>IF(L986&gt;=2000, "Platinum VIP", IF(L986&gt;=1000, "Gold", IF(L986&gt;=500, "Silver", "Standard")))</f>
        <v/>
      </c>
    </row>
    <row r="987">
      <c r="A987" s="8" t="inlineStr">
        <is>
          <t>CUST-00983</t>
        </is>
      </c>
      <c r="B987" s="8" t="inlineStr">
        <is>
          <t>Charles Nelson</t>
        </is>
      </c>
      <c r="C987" s="8" t="inlineStr">
        <is>
          <t>Other</t>
        </is>
      </c>
      <c r="D987" s="8" t="n">
        <v>60</v>
      </c>
      <c r="E987" s="8">
        <f>IF(D987&lt;25, "18-24", IF(D987&lt;35, "25-34", IF(D987&lt;50, "35-49", "50+")))</f>
        <v/>
      </c>
      <c r="F987" s="8" t="inlineStr">
        <is>
          <t>Mumbai</t>
        </is>
      </c>
      <c r="G987" s="8" t="inlineStr">
        <is>
          <t>Maharashtra</t>
        </is>
      </c>
      <c r="H987" s="8" t="inlineStr">
        <is>
          <t>REG-APAC</t>
        </is>
      </c>
      <c r="I987" s="8" t="inlineStr">
        <is>
          <t>Consumer</t>
        </is>
      </c>
      <c r="J987" s="8" t="inlineStr">
        <is>
          <t>2023-03-12</t>
        </is>
      </c>
      <c r="K987" s="8">
        <f>COUNTIFS('05_Orders'!$C:$C, A987)</f>
        <v/>
      </c>
      <c r="L987" s="9">
        <f>SUMIFS('05_Orders'!$I:$I, '05_Orders'!$C:$C, A987)</f>
        <v/>
      </c>
      <c r="M987" s="8">
        <f>IF(L987&gt;=2000, "Platinum VIP", IF(L987&gt;=1000, "Gold", IF(L987&gt;=500, "Silver", "Standard")))</f>
        <v/>
      </c>
    </row>
    <row r="988">
      <c r="A988" s="8" t="inlineStr">
        <is>
          <t>CUST-00984</t>
        </is>
      </c>
      <c r="B988" s="8" t="inlineStr">
        <is>
          <t>Sharon Foster</t>
        </is>
      </c>
      <c r="C988" s="8" t="inlineStr">
        <is>
          <t>Other</t>
        </is>
      </c>
      <c r="D988" s="8" t="n">
        <v>69</v>
      </c>
      <c r="E988" s="8">
        <f>IF(D988&lt;25, "18-24", IF(D988&lt;35, "25-34", IF(D988&lt;50, "35-49", "50+")))</f>
        <v/>
      </c>
      <c r="F988" s="8" t="inlineStr">
        <is>
          <t>Denver</t>
        </is>
      </c>
      <c r="G988" s="8" t="inlineStr">
        <is>
          <t>Colorado</t>
        </is>
      </c>
      <c r="H988" s="8" t="inlineStr">
        <is>
          <t>REG-NA</t>
        </is>
      </c>
      <c r="I988" s="8" t="inlineStr">
        <is>
          <t>Corporate</t>
        </is>
      </c>
      <c r="J988" s="8" t="inlineStr">
        <is>
          <t>2024-01-09</t>
        </is>
      </c>
      <c r="K988" s="8">
        <f>COUNTIFS('05_Orders'!$C:$C, A988)</f>
        <v/>
      </c>
      <c r="L988" s="9">
        <f>SUMIFS('05_Orders'!$I:$I, '05_Orders'!$C:$C, A988)</f>
        <v/>
      </c>
      <c r="M988" s="8">
        <f>IF(L988&gt;=2000, "Platinum VIP", IF(L988&gt;=1000, "Gold", IF(L988&gt;=500, "Silver", "Standard")))</f>
        <v/>
      </c>
    </row>
    <row r="989">
      <c r="A989" s="8" t="inlineStr">
        <is>
          <t>CUST-00985</t>
        </is>
      </c>
      <c r="B989" s="8" t="inlineStr">
        <is>
          <t>Nicole Watson</t>
        </is>
      </c>
      <c r="C989" s="8" t="inlineStr">
        <is>
          <t>Male</t>
        </is>
      </c>
      <c r="D989" s="8" t="n">
        <v>48</v>
      </c>
      <c r="E989" s="8">
        <f>IF(D989&lt;25, "18-24", IF(D989&lt;35, "25-34", IF(D989&lt;50, "35-49", "50+")))</f>
        <v/>
      </c>
      <c r="F989" s="8" t="inlineStr">
        <is>
          <t>Seoul</t>
        </is>
      </c>
      <c r="G989" s="8" t="inlineStr">
        <is>
          <t>Gyeonggi</t>
        </is>
      </c>
      <c r="H989" s="8" t="inlineStr">
        <is>
          <t>REG-APAC</t>
        </is>
      </c>
      <c r="I989" s="8" t="inlineStr">
        <is>
          <t>Enterprise</t>
        </is>
      </c>
      <c r="J989" s="8" t="inlineStr">
        <is>
          <t>2024-05-31</t>
        </is>
      </c>
      <c r="K989" s="8">
        <f>COUNTIFS('05_Orders'!$C:$C, A989)</f>
        <v/>
      </c>
      <c r="L989" s="9">
        <f>SUMIFS('05_Orders'!$I:$I, '05_Orders'!$C:$C, A989)</f>
        <v/>
      </c>
      <c r="M989" s="8">
        <f>IF(L989&gt;=2000, "Platinum VIP", IF(L989&gt;=1000, "Gold", IF(L989&gt;=500, "Silver", "Standard")))</f>
        <v/>
      </c>
    </row>
    <row r="990">
      <c r="A990" s="8" t="inlineStr">
        <is>
          <t>CUST-00986</t>
        </is>
      </c>
      <c r="B990" s="8" t="inlineStr">
        <is>
          <t>Kimberly Hill</t>
        </is>
      </c>
      <c r="C990" s="8" t="inlineStr">
        <is>
          <t>Other</t>
        </is>
      </c>
      <c r="D990" s="8" t="n">
        <v>72</v>
      </c>
      <c r="E990" s="8">
        <f>IF(D990&lt;25, "18-24", IF(D990&lt;35, "25-34", IF(D990&lt;50, "35-49", "50+")))</f>
        <v/>
      </c>
      <c r="F990" s="8" t="inlineStr">
        <is>
          <t>Houston</t>
        </is>
      </c>
      <c r="G990" s="8" t="inlineStr">
        <is>
          <t>Texas</t>
        </is>
      </c>
      <c r="H990" s="8" t="inlineStr">
        <is>
          <t>REG-NA</t>
        </is>
      </c>
      <c r="I990" s="8" t="inlineStr">
        <is>
          <t>Corporate</t>
        </is>
      </c>
      <c r="J990" s="8" t="inlineStr">
        <is>
          <t>2024-04-01</t>
        </is>
      </c>
      <c r="K990" s="8">
        <f>COUNTIFS('05_Orders'!$C:$C, A990)</f>
        <v/>
      </c>
      <c r="L990" s="9">
        <f>SUMIFS('05_Orders'!$I:$I, '05_Orders'!$C:$C, A990)</f>
        <v/>
      </c>
      <c r="M990" s="8">
        <f>IF(L990&gt;=2000, "Platinum VIP", IF(L990&gt;=1000, "Gold", IF(L990&gt;=500, "Silver", "Standard")))</f>
        <v/>
      </c>
    </row>
    <row r="991">
      <c r="A991" s="8" t="inlineStr">
        <is>
          <t>CUST-00987</t>
        </is>
      </c>
      <c r="B991" s="8" t="inlineStr">
        <is>
          <t>Cynthia Walker</t>
        </is>
      </c>
      <c r="C991" s="8" t="inlineStr">
        <is>
          <t>Female</t>
        </is>
      </c>
      <c r="D991" s="8" t="n">
        <v>18</v>
      </c>
      <c r="E991" s="8">
        <f>IF(D991&lt;25, "18-24", IF(D991&lt;35, "25-34", IF(D991&lt;50, "35-49", "50+")))</f>
        <v/>
      </c>
      <c r="F991" s="8" t="inlineStr">
        <is>
          <t>Manchester</t>
        </is>
      </c>
      <c r="G991" s="8" t="inlineStr">
        <is>
          <t>Greater Manchester</t>
        </is>
      </c>
      <c r="H991" s="8" t="inlineStr">
        <is>
          <t>REG-EU</t>
        </is>
      </c>
      <c r="I991" s="8" t="inlineStr">
        <is>
          <t>Home Office</t>
        </is>
      </c>
      <c r="J991" s="8" t="inlineStr">
        <is>
          <t>2022-07-15</t>
        </is>
      </c>
      <c r="K991" s="8">
        <f>COUNTIFS('05_Orders'!$C:$C, A991)</f>
        <v/>
      </c>
      <c r="L991" s="9">
        <f>SUMIFS('05_Orders'!$I:$I, '05_Orders'!$C:$C, A991)</f>
        <v/>
      </c>
      <c r="M991" s="8">
        <f>IF(L991&gt;=2000, "Platinum VIP", IF(L991&gt;=1000, "Gold", IF(L991&gt;=500, "Silver", "Standard")))</f>
        <v/>
      </c>
    </row>
    <row r="992">
      <c r="A992" s="8" t="inlineStr">
        <is>
          <t>CUST-00988</t>
        </is>
      </c>
      <c r="B992" s="8" t="inlineStr">
        <is>
          <t>Janet Foster</t>
        </is>
      </c>
      <c r="C992" s="8" t="inlineStr">
        <is>
          <t>Other</t>
        </is>
      </c>
      <c r="D992" s="8" t="n">
        <v>68</v>
      </c>
      <c r="E992" s="8">
        <f>IF(D992&lt;25, "18-24", IF(D992&lt;35, "25-34", IF(D992&lt;50, "35-49", "50+")))</f>
        <v/>
      </c>
      <c r="F992" s="8" t="inlineStr">
        <is>
          <t>Denver</t>
        </is>
      </c>
      <c r="G992" s="8" t="inlineStr">
        <is>
          <t>Colorado</t>
        </is>
      </c>
      <c r="H992" s="8" t="inlineStr">
        <is>
          <t>REG-NA</t>
        </is>
      </c>
      <c r="I992" s="8" t="inlineStr">
        <is>
          <t>Corporate</t>
        </is>
      </c>
      <c r="J992" s="8" t="inlineStr">
        <is>
          <t>2023-10-15</t>
        </is>
      </c>
      <c r="K992" s="8">
        <f>COUNTIFS('05_Orders'!$C:$C, A992)</f>
        <v/>
      </c>
      <c r="L992" s="9">
        <f>SUMIFS('05_Orders'!$I:$I, '05_Orders'!$C:$C, A992)</f>
        <v/>
      </c>
      <c r="M992" s="8">
        <f>IF(L992&gt;=2000, "Platinum VIP", IF(L992&gt;=1000, "Gold", IF(L992&gt;=500, "Silver", "Standard")))</f>
        <v/>
      </c>
    </row>
    <row r="993">
      <c r="A993" s="8" t="inlineStr">
        <is>
          <t>CUST-00989</t>
        </is>
      </c>
      <c r="B993" s="8" t="inlineStr">
        <is>
          <t>Joseph Walker</t>
        </is>
      </c>
      <c r="C993" s="8" t="inlineStr">
        <is>
          <t>Female</t>
        </is>
      </c>
      <c r="D993" s="8" t="n">
        <v>45</v>
      </c>
      <c r="E993" s="8">
        <f>IF(D993&lt;25, "18-24", IF(D993&lt;35, "25-34", IF(D993&lt;50, "35-49", "50+")))</f>
        <v/>
      </c>
      <c r="F993" s="8" t="inlineStr">
        <is>
          <t>Osaka</t>
        </is>
      </c>
      <c r="G993" s="8" t="inlineStr">
        <is>
          <t>Kansai</t>
        </is>
      </c>
      <c r="H993" s="8" t="inlineStr">
        <is>
          <t>REG-APAC</t>
        </is>
      </c>
      <c r="I993" s="8" t="inlineStr">
        <is>
          <t>Corporate</t>
        </is>
      </c>
      <c r="J993" s="8" t="inlineStr">
        <is>
          <t>2022-02-15</t>
        </is>
      </c>
      <c r="K993" s="8">
        <f>COUNTIFS('05_Orders'!$C:$C, A993)</f>
        <v/>
      </c>
      <c r="L993" s="9">
        <f>SUMIFS('05_Orders'!$I:$I, '05_Orders'!$C:$C, A993)</f>
        <v/>
      </c>
      <c r="M993" s="8">
        <f>IF(L993&gt;=2000, "Platinum VIP", IF(L993&gt;=1000, "Gold", IF(L993&gt;=500, "Silver", "Standard")))</f>
        <v/>
      </c>
    </row>
    <row r="994">
      <c r="A994" s="8" t="inlineStr">
        <is>
          <t>CUST-00990</t>
        </is>
      </c>
      <c r="B994" s="8" t="inlineStr">
        <is>
          <t>Amy Williams</t>
        </is>
      </c>
      <c r="C994" s="8" t="inlineStr">
        <is>
          <t>Male</t>
        </is>
      </c>
      <c r="D994" s="8" t="n">
        <v>26</v>
      </c>
      <c r="E994" s="8">
        <f>IF(D994&lt;25, "18-24", IF(D994&lt;35, "25-34", IF(D994&lt;50, "35-49", "50+")))</f>
        <v/>
      </c>
      <c r="F994" s="8" t="inlineStr">
        <is>
          <t>Bogota</t>
        </is>
      </c>
      <c r="G994" s="8" t="inlineStr">
        <is>
          <t>Cundinamarca</t>
        </is>
      </c>
      <c r="H994" s="8" t="inlineStr">
        <is>
          <t>REG-LATAM</t>
        </is>
      </c>
      <c r="I994" s="8" t="inlineStr">
        <is>
          <t>Consumer</t>
        </is>
      </c>
      <c r="J994" s="8" t="inlineStr">
        <is>
          <t>2022-08-22</t>
        </is>
      </c>
      <c r="K994" s="8">
        <f>COUNTIFS('05_Orders'!$C:$C, A994)</f>
        <v/>
      </c>
      <c r="L994" s="9">
        <f>SUMIFS('05_Orders'!$I:$I, '05_Orders'!$C:$C, A994)</f>
        <v/>
      </c>
      <c r="M994" s="8">
        <f>IF(L994&gt;=2000, "Platinum VIP", IF(L994&gt;=1000, "Gold", IF(L994&gt;=500, "Silver", "Standard")))</f>
        <v/>
      </c>
    </row>
    <row r="995">
      <c r="A995" s="8" t="inlineStr">
        <is>
          <t>CUST-00991</t>
        </is>
      </c>
      <c r="B995" s="8" t="inlineStr">
        <is>
          <t>Christopher Campbell</t>
        </is>
      </c>
      <c r="C995" s="8" t="inlineStr">
        <is>
          <t>Male</t>
        </is>
      </c>
      <c r="D995" s="8" t="n">
        <v>66</v>
      </c>
      <c r="E995" s="8">
        <f>IF(D995&lt;25, "18-24", IF(D995&lt;35, "25-34", IF(D995&lt;50, "35-49", "50+")))</f>
        <v/>
      </c>
      <c r="F995" s="8" t="inlineStr">
        <is>
          <t>Bogota</t>
        </is>
      </c>
      <c r="G995" s="8" t="inlineStr">
        <is>
          <t>Cundinamarca</t>
        </is>
      </c>
      <c r="H995" s="8" t="inlineStr">
        <is>
          <t>REG-LATAM</t>
        </is>
      </c>
      <c r="I995" s="8" t="inlineStr">
        <is>
          <t>Enterprise</t>
        </is>
      </c>
      <c r="J995" s="8" t="inlineStr">
        <is>
          <t>2024-11-17</t>
        </is>
      </c>
      <c r="K995" s="8">
        <f>COUNTIFS('05_Orders'!$C:$C, A995)</f>
        <v/>
      </c>
      <c r="L995" s="9">
        <f>SUMIFS('05_Orders'!$I:$I, '05_Orders'!$C:$C, A995)</f>
        <v/>
      </c>
      <c r="M995" s="8">
        <f>IF(L995&gt;=2000, "Platinum VIP", IF(L995&gt;=1000, "Gold", IF(L995&gt;=500, "Silver", "Standard")))</f>
        <v/>
      </c>
    </row>
    <row r="996">
      <c r="A996" s="8" t="inlineStr">
        <is>
          <t>CUST-00992</t>
        </is>
      </c>
      <c r="B996" s="8" t="inlineStr">
        <is>
          <t>James Walker</t>
        </is>
      </c>
      <c r="C996" s="8" t="inlineStr">
        <is>
          <t>Male</t>
        </is>
      </c>
      <c r="D996" s="8" t="n">
        <v>67</v>
      </c>
      <c r="E996" s="8">
        <f>IF(D996&lt;25, "18-24", IF(D996&lt;35, "25-34", IF(D996&lt;50, "35-49", "50+")))</f>
        <v/>
      </c>
      <c r="F996" s="8" t="inlineStr">
        <is>
          <t>Melbourne</t>
        </is>
      </c>
      <c r="G996" s="8" t="inlineStr">
        <is>
          <t>Victoria</t>
        </is>
      </c>
      <c r="H996" s="8" t="inlineStr">
        <is>
          <t>REG-APAC</t>
        </is>
      </c>
      <c r="I996" s="8" t="inlineStr">
        <is>
          <t>Enterprise</t>
        </is>
      </c>
      <c r="J996" s="8" t="inlineStr">
        <is>
          <t>2021-08-21</t>
        </is>
      </c>
      <c r="K996" s="8">
        <f>COUNTIFS('05_Orders'!$C:$C, A996)</f>
        <v/>
      </c>
      <c r="L996" s="9">
        <f>SUMIFS('05_Orders'!$I:$I, '05_Orders'!$C:$C, A996)</f>
        <v/>
      </c>
      <c r="M996" s="8">
        <f>IF(L996&gt;=2000, "Platinum VIP", IF(L996&gt;=1000, "Gold", IF(L996&gt;=500, "Silver", "Standard")))</f>
        <v/>
      </c>
    </row>
    <row r="997">
      <c r="A997" s="8" t="inlineStr">
        <is>
          <t>CUST-00993</t>
        </is>
      </c>
      <c r="B997" s="8" t="inlineStr">
        <is>
          <t>Stephen Reyes</t>
        </is>
      </c>
      <c r="C997" s="8" t="inlineStr">
        <is>
          <t>Other</t>
        </is>
      </c>
      <c r="D997" s="8" t="n">
        <v>25</v>
      </c>
      <c r="E997" s="8">
        <f>IF(D997&lt;25, "18-24", IF(D997&lt;35, "25-34", IF(D997&lt;50, "35-49", "50+")))</f>
        <v/>
      </c>
      <c r="F997" s="8" t="inlineStr">
        <is>
          <t>Stockholm</t>
        </is>
      </c>
      <c r="G997" s="8" t="inlineStr">
        <is>
          <t>Stockholm County</t>
        </is>
      </c>
      <c r="H997" s="8" t="inlineStr">
        <is>
          <t>REG-EU</t>
        </is>
      </c>
      <c r="I997" s="8" t="inlineStr">
        <is>
          <t>Consumer</t>
        </is>
      </c>
      <c r="J997" s="8" t="inlineStr">
        <is>
          <t>2021-06-20</t>
        </is>
      </c>
      <c r="K997" s="8">
        <f>COUNTIFS('05_Orders'!$C:$C, A997)</f>
        <v/>
      </c>
      <c r="L997" s="9">
        <f>SUMIFS('05_Orders'!$I:$I, '05_Orders'!$C:$C, A997)</f>
        <v/>
      </c>
      <c r="M997" s="8">
        <f>IF(L997&gt;=2000, "Platinum VIP", IF(L997&gt;=1000, "Gold", IF(L997&gt;=500, "Silver", "Standard")))</f>
        <v/>
      </c>
    </row>
    <row r="998">
      <c r="A998" s="8" t="inlineStr">
        <is>
          <t>CUST-00994</t>
        </is>
      </c>
      <c r="B998" s="8" t="inlineStr">
        <is>
          <t>Anna Allen</t>
        </is>
      </c>
      <c r="C998" s="8" t="inlineStr">
        <is>
          <t>Other</t>
        </is>
      </c>
      <c r="D998" s="8" t="n">
        <v>19</v>
      </c>
      <c r="E998" s="8">
        <f>IF(D998&lt;25, "18-24", IF(D998&lt;35, "25-34", IF(D998&lt;50, "35-49", "50+")))</f>
        <v/>
      </c>
      <c r="F998" s="8" t="inlineStr">
        <is>
          <t>Medellin</t>
        </is>
      </c>
      <c r="G998" s="8" t="inlineStr">
        <is>
          <t>Antioquia</t>
        </is>
      </c>
      <c r="H998" s="8" t="inlineStr">
        <is>
          <t>REG-LATAM</t>
        </is>
      </c>
      <c r="I998" s="8" t="inlineStr">
        <is>
          <t>Home Office</t>
        </is>
      </c>
      <c r="J998" s="8" t="inlineStr">
        <is>
          <t>2025-04-19</t>
        </is>
      </c>
      <c r="K998" s="8">
        <f>COUNTIFS('05_Orders'!$C:$C, A998)</f>
        <v/>
      </c>
      <c r="L998" s="9">
        <f>SUMIFS('05_Orders'!$I:$I, '05_Orders'!$C:$C, A998)</f>
        <v/>
      </c>
      <c r="M998" s="8">
        <f>IF(L998&gt;=2000, "Platinum VIP", IF(L998&gt;=1000, "Gold", IF(L998&gt;=500, "Silver", "Standard")))</f>
        <v/>
      </c>
    </row>
    <row r="999">
      <c r="A999" s="8" t="inlineStr">
        <is>
          <t>CUST-00995</t>
        </is>
      </c>
      <c r="B999" s="8" t="inlineStr">
        <is>
          <t>Raymond Morgan</t>
        </is>
      </c>
      <c r="C999" s="8" t="inlineStr">
        <is>
          <t>Male</t>
        </is>
      </c>
      <c r="D999" s="8" t="n">
        <v>48</v>
      </c>
      <c r="E999" s="8">
        <f>IF(D999&lt;25, "18-24", IF(D999&lt;35, "25-34", IF(D999&lt;50, "35-49", "50+")))</f>
        <v/>
      </c>
      <c r="F999" s="8" t="inlineStr">
        <is>
          <t>Santiago</t>
        </is>
      </c>
      <c r="G999" s="8" t="inlineStr">
        <is>
          <t>Santiago Metro</t>
        </is>
      </c>
      <c r="H999" s="8" t="inlineStr">
        <is>
          <t>REG-LATAM</t>
        </is>
      </c>
      <c r="I999" s="8" t="inlineStr">
        <is>
          <t>Consumer</t>
        </is>
      </c>
      <c r="J999" s="8" t="inlineStr">
        <is>
          <t>2023-03-09</t>
        </is>
      </c>
      <c r="K999" s="8">
        <f>COUNTIFS('05_Orders'!$C:$C, A999)</f>
        <v/>
      </c>
      <c r="L999" s="9">
        <f>SUMIFS('05_Orders'!$I:$I, '05_Orders'!$C:$C, A999)</f>
        <v/>
      </c>
      <c r="M999" s="8">
        <f>IF(L999&gt;=2000, "Platinum VIP", IF(L999&gt;=1000, "Gold", IF(L999&gt;=500, "Silver", "Standard")))</f>
        <v/>
      </c>
    </row>
    <row r="1000">
      <c r="A1000" s="8" t="inlineStr">
        <is>
          <t>CUST-00996</t>
        </is>
      </c>
      <c r="B1000" s="8" t="inlineStr">
        <is>
          <t>Rebecca Ramirez</t>
        </is>
      </c>
      <c r="C1000" s="8" t="inlineStr">
        <is>
          <t>Male</t>
        </is>
      </c>
      <c r="D1000" s="8" t="n">
        <v>30</v>
      </c>
      <c r="E1000" s="8">
        <f>IF(D1000&lt;25, "18-24", IF(D1000&lt;35, "25-34", IF(D1000&lt;50, "35-49", "50+")))</f>
        <v/>
      </c>
      <c r="F1000" s="8" t="inlineStr">
        <is>
          <t>Madrid</t>
        </is>
      </c>
      <c r="G1000" s="8" t="inlineStr">
        <is>
          <t>Community of Madrid</t>
        </is>
      </c>
      <c r="H1000" s="8" t="inlineStr">
        <is>
          <t>REG-EU</t>
        </is>
      </c>
      <c r="I1000" s="8" t="inlineStr">
        <is>
          <t>Home Office</t>
        </is>
      </c>
      <c r="J1000" s="8" t="inlineStr">
        <is>
          <t>2025-03-12</t>
        </is>
      </c>
      <c r="K1000" s="8">
        <f>COUNTIFS('05_Orders'!$C:$C, A1000)</f>
        <v/>
      </c>
      <c r="L1000" s="9">
        <f>SUMIFS('05_Orders'!$I:$I, '05_Orders'!$C:$C, A1000)</f>
        <v/>
      </c>
      <c r="M1000" s="8">
        <f>IF(L1000&gt;=2000, "Platinum VIP", IF(L1000&gt;=1000, "Gold", IF(L1000&gt;=500, "Silver", "Standard")))</f>
        <v/>
      </c>
    </row>
    <row r="1001">
      <c r="A1001" s="8" t="inlineStr">
        <is>
          <t>CUST-00997</t>
        </is>
      </c>
      <c r="B1001" s="8" t="inlineStr">
        <is>
          <t>Heather Murphy</t>
        </is>
      </c>
      <c r="C1001" s="8" t="inlineStr">
        <is>
          <t>Other</t>
        </is>
      </c>
      <c r="D1001" s="8" t="n">
        <v>67</v>
      </c>
      <c r="E1001" s="8">
        <f>IF(D1001&lt;25, "18-24", IF(D1001&lt;35, "25-34", IF(D1001&lt;50, "35-49", "50+")))</f>
        <v/>
      </c>
      <c r="F1001" s="8" t="inlineStr">
        <is>
          <t>Lyon</t>
        </is>
      </c>
      <c r="G1001" s="8" t="inlineStr">
        <is>
          <t>Auvergne-Rhone-Alpes</t>
        </is>
      </c>
      <c r="H1001" s="8" t="inlineStr">
        <is>
          <t>REG-EU</t>
        </is>
      </c>
      <c r="I1001" s="8" t="inlineStr">
        <is>
          <t>Corporate</t>
        </is>
      </c>
      <c r="J1001" s="8" t="inlineStr">
        <is>
          <t>2022-02-12</t>
        </is>
      </c>
      <c r="K1001" s="8">
        <f>COUNTIFS('05_Orders'!$C:$C, A1001)</f>
        <v/>
      </c>
      <c r="L1001" s="9">
        <f>SUMIFS('05_Orders'!$I:$I, '05_Orders'!$C:$C, A1001)</f>
        <v/>
      </c>
      <c r="M1001" s="8">
        <f>IF(L1001&gt;=2000, "Platinum VIP", IF(L1001&gt;=1000, "Gold", IF(L1001&gt;=500, "Silver", "Standard")))</f>
        <v/>
      </c>
    </row>
    <row r="1002">
      <c r="A1002" s="8" t="inlineStr">
        <is>
          <t>CUST-00998</t>
        </is>
      </c>
      <c r="B1002" s="8" t="inlineStr">
        <is>
          <t>John Bennett</t>
        </is>
      </c>
      <c r="C1002" s="8" t="inlineStr">
        <is>
          <t>Female</t>
        </is>
      </c>
      <c r="D1002" s="8" t="n">
        <v>59</v>
      </c>
      <c r="E1002" s="8">
        <f>IF(D1002&lt;25, "18-24", IF(D1002&lt;35, "25-34", IF(D1002&lt;50, "35-49", "50+")))</f>
        <v/>
      </c>
      <c r="F1002" s="8" t="inlineStr">
        <is>
          <t>New York</t>
        </is>
      </c>
      <c r="G1002" s="8" t="inlineStr">
        <is>
          <t>New York</t>
        </is>
      </c>
      <c r="H1002" s="8" t="inlineStr">
        <is>
          <t>REG-NA</t>
        </is>
      </c>
      <c r="I1002" s="8" t="inlineStr">
        <is>
          <t>Enterprise</t>
        </is>
      </c>
      <c r="J1002" s="8" t="inlineStr">
        <is>
          <t>2023-08-08</t>
        </is>
      </c>
      <c r="K1002" s="8">
        <f>COUNTIFS('05_Orders'!$C:$C, A1002)</f>
        <v/>
      </c>
      <c r="L1002" s="9">
        <f>SUMIFS('05_Orders'!$I:$I, '05_Orders'!$C:$C, A1002)</f>
        <v/>
      </c>
      <c r="M1002" s="8">
        <f>IF(L1002&gt;=2000, "Platinum VIP", IF(L1002&gt;=1000, "Gold", IF(L1002&gt;=500, "Silver", "Standard")))</f>
        <v/>
      </c>
    </row>
    <row r="1003">
      <c r="A1003" s="8" t="inlineStr">
        <is>
          <t>CUST-00999</t>
        </is>
      </c>
      <c r="B1003" s="8" t="inlineStr">
        <is>
          <t>Joseph Ramos</t>
        </is>
      </c>
      <c r="C1003" s="8" t="inlineStr">
        <is>
          <t>Male</t>
        </is>
      </c>
      <c r="D1003" s="8" t="n">
        <v>48</v>
      </c>
      <c r="E1003" s="8">
        <f>IF(D1003&lt;25, "18-24", IF(D1003&lt;35, "25-34", IF(D1003&lt;50, "35-49", "50+")))</f>
        <v/>
      </c>
      <c r="F1003" s="8" t="inlineStr">
        <is>
          <t>Dublin</t>
        </is>
      </c>
      <c r="G1003" s="8" t="inlineStr">
        <is>
          <t>Leinster</t>
        </is>
      </c>
      <c r="H1003" s="8" t="inlineStr">
        <is>
          <t>REG-EU</t>
        </is>
      </c>
      <c r="I1003" s="8" t="inlineStr">
        <is>
          <t>Corporate</t>
        </is>
      </c>
      <c r="J1003" s="8" t="inlineStr">
        <is>
          <t>2022-11-29</t>
        </is>
      </c>
      <c r="K1003" s="8">
        <f>COUNTIFS('05_Orders'!$C:$C, A1003)</f>
        <v/>
      </c>
      <c r="L1003" s="9">
        <f>SUMIFS('05_Orders'!$I:$I, '05_Orders'!$C:$C, A1003)</f>
        <v/>
      </c>
      <c r="M1003" s="8">
        <f>IF(L1003&gt;=2000, "Platinum VIP", IF(L1003&gt;=1000, "Gold", IF(L1003&gt;=500, "Silver", "Standard")))</f>
        <v/>
      </c>
    </row>
    <row r="1004">
      <c r="A1004" s="8" t="inlineStr">
        <is>
          <t>CUST-01000</t>
        </is>
      </c>
      <c r="B1004" s="8" t="inlineStr">
        <is>
          <t>Ashley Flores</t>
        </is>
      </c>
      <c r="C1004" s="8" t="inlineStr">
        <is>
          <t>Other</t>
        </is>
      </c>
      <c r="D1004" s="8" t="n">
        <v>70</v>
      </c>
      <c r="E1004" s="8">
        <f>IF(D1004&lt;25, "18-24", IF(D1004&lt;35, "25-34", IF(D1004&lt;50, "35-49", "50+")))</f>
        <v/>
      </c>
      <c r="F1004" s="8" t="inlineStr">
        <is>
          <t>London</t>
        </is>
      </c>
      <c r="G1004" s="8" t="inlineStr">
        <is>
          <t>Greater London</t>
        </is>
      </c>
      <c r="H1004" s="8" t="inlineStr">
        <is>
          <t>REG-EU</t>
        </is>
      </c>
      <c r="I1004" s="8" t="inlineStr">
        <is>
          <t>Home Office</t>
        </is>
      </c>
      <c r="J1004" s="8" t="inlineStr">
        <is>
          <t>2021-04-23</t>
        </is>
      </c>
      <c r="K1004" s="8">
        <f>COUNTIFS('05_Orders'!$C:$C, A1004)</f>
        <v/>
      </c>
      <c r="L1004" s="9">
        <f>SUMIFS('05_Orders'!$I:$I, '05_Orders'!$C:$C, A1004)</f>
        <v/>
      </c>
      <c r="M1004" s="8">
        <f>IF(L1004&gt;=2000, "Platinum VIP", IF(L1004&gt;=1000, "Gold", IF(L1004&gt;=500, "Silver", "Standard")))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4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50" customWidth="1" min="2" max="2"/>
    <col width="19" customWidth="1" min="3" max="3"/>
    <col width="29" customWidth="1" min="4" max="4"/>
    <col width="15" customWidth="1" min="5" max="5"/>
    <col width="14" customWidth="1" min="6" max="6"/>
    <col width="17" customWidth="1" min="7" max="7"/>
    <col width="17" customWidth="1" min="8" max="8"/>
    <col width="24" customWidth="1" min="9" max="9"/>
    <col width="66" customWidth="1" min="10" max="10"/>
    <col width="17" customWidth="1" min="11" max="11"/>
  </cols>
  <sheetData>
    <row r="1">
      <c r="A1" s="1" t="inlineStr">
        <is>
          <t>PRODUCT CATALOG &amp; MARGIN MATRIX</t>
        </is>
      </c>
    </row>
    <row r="2">
      <c r="A2" s="2" t="inlineStr">
        <is>
          <t>SKU pricing tiers, base cost, list selling price, gross margin %, and reorder alert flags.</t>
        </is>
      </c>
    </row>
    <row r="3"/>
    <row r="4" ht="26" customHeight="1">
      <c r="A4" s="3" t="inlineStr">
        <is>
          <t>Product_ID</t>
        </is>
      </c>
      <c r="B4" s="3" t="inlineStr">
        <is>
          <t>Product_Name</t>
        </is>
      </c>
      <c r="C4" s="3" t="inlineStr">
        <is>
          <t>Category</t>
        </is>
      </c>
      <c r="D4" s="3" t="inlineStr">
        <is>
          <t>Sub_Category</t>
        </is>
      </c>
      <c r="E4" s="3" t="inlineStr">
        <is>
          <t>Brand</t>
        </is>
      </c>
      <c r="F4" s="3" t="inlineStr">
        <is>
          <t>Cost_Price</t>
        </is>
      </c>
      <c r="G4" s="3" t="inlineStr">
        <is>
          <t>Selling_Price</t>
        </is>
      </c>
      <c r="H4" s="3" t="inlineStr">
        <is>
          <t>Markup_Amount</t>
        </is>
      </c>
      <c r="I4" s="3" t="inlineStr">
        <is>
          <t>Gross_Margin_Pct</t>
        </is>
      </c>
      <c r="J4" s="3" t="inlineStr">
        <is>
          <t>Price_Tier</t>
        </is>
      </c>
      <c r="K4" s="3" t="inlineStr">
        <is>
          <t>Reorder_Level</t>
        </is>
      </c>
    </row>
    <row r="5">
      <c r="A5" s="8" t="inlineStr">
        <is>
          <t>PRD-0001</t>
        </is>
      </c>
      <c r="B5" s="8" t="inlineStr">
        <is>
          <t>OptimaPrint Pens, Inks &amp; Marker Model-242</t>
        </is>
      </c>
      <c r="C5" s="8" t="inlineStr">
        <is>
          <t>Office Supplies</t>
        </is>
      </c>
      <c r="D5" s="8" t="inlineStr">
        <is>
          <t>Pens, Inks &amp; Markers</t>
        </is>
      </c>
      <c r="E5" s="8" t="inlineStr">
        <is>
          <t>OptimaPrint</t>
        </is>
      </c>
      <c r="F5" s="9" t="n">
        <v>5.51</v>
      </c>
      <c r="G5" s="9" t="n">
        <v>9</v>
      </c>
      <c r="H5" s="9">
        <f>G5-F5</f>
        <v/>
      </c>
      <c r="I5" s="11">
        <f>IFERROR(H5/G5, 0)</f>
        <v/>
      </c>
      <c r="J5" s="8">
        <f>IF(G5&gt;=400, "High-End", IF(G5&gt;=100, "Mid-Tier", "Economy"))</f>
        <v/>
      </c>
      <c r="K5" s="8" t="n">
        <v>35</v>
      </c>
    </row>
    <row r="6">
      <c r="A6" s="8" t="inlineStr">
        <is>
          <t>PRD-0002</t>
        </is>
      </c>
      <c r="B6" s="8" t="inlineStr">
        <is>
          <t>ErgoComfort Standing Desk Model-716</t>
        </is>
      </c>
      <c r="C6" s="8" t="inlineStr">
        <is>
          <t>Furniture</t>
        </is>
      </c>
      <c r="D6" s="8" t="inlineStr">
        <is>
          <t>Standing Desks</t>
        </is>
      </c>
      <c r="E6" s="8" t="inlineStr">
        <is>
          <t>ErgoComfort</t>
        </is>
      </c>
      <c r="F6" s="9" t="n">
        <v>63.03</v>
      </c>
      <c r="G6" s="9" t="n">
        <v>91.41</v>
      </c>
      <c r="H6" s="9">
        <f>G6-F6</f>
        <v/>
      </c>
      <c r="I6" s="11">
        <f>IFERROR(H6/G6, 0)</f>
        <v/>
      </c>
      <c r="J6" s="8">
        <f>IF(G6&gt;=400, "High-End", IF(G6&gt;=100, "Mid-Tier", "Economy"))</f>
        <v/>
      </c>
      <c r="K6" s="8" t="n">
        <v>100</v>
      </c>
    </row>
    <row r="7">
      <c r="A7" s="8" t="inlineStr">
        <is>
          <t>PRD-0003</t>
        </is>
      </c>
      <c r="B7" s="8" t="inlineStr">
        <is>
          <t>ZenithLogix Monitors &amp; Display Model-877</t>
        </is>
      </c>
      <c r="C7" s="8" t="inlineStr">
        <is>
          <t>Technology</t>
        </is>
      </c>
      <c r="D7" s="8" t="inlineStr">
        <is>
          <t>Monitors &amp; Displays</t>
        </is>
      </c>
      <c r="E7" s="8" t="inlineStr">
        <is>
          <t>ZenithLogix</t>
        </is>
      </c>
      <c r="F7" s="9" t="n">
        <v>574.1799999999999</v>
      </c>
      <c r="G7" s="9" t="n">
        <v>807.39</v>
      </c>
      <c r="H7" s="9">
        <f>G7-F7</f>
        <v/>
      </c>
      <c r="I7" s="11">
        <f>IFERROR(H7/G7, 0)</f>
        <v/>
      </c>
      <c r="J7" s="8">
        <f>IF(G7&gt;=400, "High-End", IF(G7&gt;=100, "Mid-Tier", "Economy"))</f>
        <v/>
      </c>
      <c r="K7" s="8" t="n">
        <v>20</v>
      </c>
    </row>
    <row r="8">
      <c r="A8" s="8" t="inlineStr">
        <is>
          <t>PRD-0004</t>
        </is>
      </c>
      <c r="B8" s="8" t="inlineStr">
        <is>
          <t>AccuBinder Desk Accessorie Model-967</t>
        </is>
      </c>
      <c r="C8" s="8" t="inlineStr">
        <is>
          <t>Office Supplies</t>
        </is>
      </c>
      <c r="D8" s="8" t="inlineStr">
        <is>
          <t>Desk Accessories</t>
        </is>
      </c>
      <c r="E8" s="8" t="inlineStr">
        <is>
          <t>AccuBinder</t>
        </is>
      </c>
      <c r="F8" s="9" t="n">
        <v>8.640000000000001</v>
      </c>
      <c r="G8" s="9" t="n">
        <v>13.71</v>
      </c>
      <c r="H8" s="9">
        <f>G8-F8</f>
        <v/>
      </c>
      <c r="I8" s="11">
        <f>IFERROR(H8/G8, 0)</f>
        <v/>
      </c>
      <c r="J8" s="8">
        <f>IF(G8&gt;=400, "High-End", IF(G8&gt;=100, "Mid-Tier", "Economy"))</f>
        <v/>
      </c>
      <c r="K8" s="8" t="n">
        <v>50</v>
      </c>
    </row>
    <row r="9">
      <c r="A9" s="8" t="inlineStr">
        <is>
          <t>PRD-0005</t>
        </is>
      </c>
      <c r="B9" s="8" t="inlineStr">
        <is>
          <t>ZenithLogix Smartphones &amp; Accessorie Model-733</t>
        </is>
      </c>
      <c r="C9" s="8" t="inlineStr">
        <is>
          <t>Technology</t>
        </is>
      </c>
      <c r="D9" s="8" t="inlineStr">
        <is>
          <t>Smartphones &amp; Accessories</t>
        </is>
      </c>
      <c r="E9" s="8" t="inlineStr">
        <is>
          <t>ZenithLogix</t>
        </is>
      </c>
      <c r="F9" s="9" t="n">
        <v>107.1</v>
      </c>
      <c r="G9" s="9" t="n">
        <v>148.59</v>
      </c>
      <c r="H9" s="9">
        <f>G9-F9</f>
        <v/>
      </c>
      <c r="I9" s="11">
        <f>IFERROR(H9/G9, 0)</f>
        <v/>
      </c>
      <c r="J9" s="8">
        <f>IF(G9&gt;=400, "High-End", IF(G9&gt;=100, "Mid-Tier", "Economy"))</f>
        <v/>
      </c>
      <c r="K9" s="8" t="n">
        <v>150</v>
      </c>
    </row>
    <row r="10">
      <c r="A10" s="8" t="inlineStr">
        <is>
          <t>PRD-0006</t>
        </is>
      </c>
      <c r="B10" s="8" t="inlineStr">
        <is>
          <t>EverWrite Pens, Inks &amp; Marker Model-987</t>
        </is>
      </c>
      <c r="C10" s="8" t="inlineStr">
        <is>
          <t>Office Supplies</t>
        </is>
      </c>
      <c r="D10" s="8" t="inlineStr">
        <is>
          <t>Pens, Inks &amp; Markers</t>
        </is>
      </c>
      <c r="E10" s="8" t="inlineStr">
        <is>
          <t>EverWrite</t>
        </is>
      </c>
      <c r="F10" s="9" t="n">
        <v>35.81</v>
      </c>
      <c r="G10" s="9" t="n">
        <v>64.34</v>
      </c>
      <c r="H10" s="9">
        <f>G10-F10</f>
        <v/>
      </c>
      <c r="I10" s="11">
        <f>IFERROR(H10/G10, 0)</f>
        <v/>
      </c>
      <c r="J10" s="8">
        <f>IF(G10&gt;=400, "High-End", IF(G10&gt;=100, "Mid-Tier", "Economy"))</f>
        <v/>
      </c>
      <c r="K10" s="8" t="n">
        <v>35</v>
      </c>
    </row>
    <row r="11">
      <c r="A11" s="8" t="inlineStr">
        <is>
          <t>PRD-0007</t>
        </is>
      </c>
      <c r="B11" s="8" t="inlineStr">
        <is>
          <t>NordicCraft Office Chair Model-763</t>
        </is>
      </c>
      <c r="C11" s="8" t="inlineStr">
        <is>
          <t>Furniture</t>
        </is>
      </c>
      <c r="D11" s="8" t="inlineStr">
        <is>
          <t>Office Chairs</t>
        </is>
      </c>
      <c r="E11" s="8" t="inlineStr">
        <is>
          <t>NordicCraft</t>
        </is>
      </c>
      <c r="F11" s="9" t="n">
        <v>171.75</v>
      </c>
      <c r="G11" s="9" t="n">
        <v>254.43</v>
      </c>
      <c r="H11" s="9">
        <f>G11-F11</f>
        <v/>
      </c>
      <c r="I11" s="11">
        <f>IFERROR(H11/G11, 0)</f>
        <v/>
      </c>
      <c r="J11" s="8">
        <f>IF(G11&gt;=400, "High-End", IF(G11&gt;=100, "Mid-Tier", "Economy"))</f>
        <v/>
      </c>
      <c r="K11" s="8" t="n">
        <v>150</v>
      </c>
    </row>
    <row r="12">
      <c r="A12" s="8" t="inlineStr">
        <is>
          <t>PRD-0008</t>
        </is>
      </c>
      <c r="B12" s="8" t="inlineStr">
        <is>
          <t>ModuDesk Bookcases &amp; Storage Model-670</t>
        </is>
      </c>
      <c r="C12" s="8" t="inlineStr">
        <is>
          <t>Furniture</t>
        </is>
      </c>
      <c r="D12" s="8" t="inlineStr">
        <is>
          <t>Bookcases &amp; Storage</t>
        </is>
      </c>
      <c r="E12" s="8" t="inlineStr">
        <is>
          <t>ModuDesk</t>
        </is>
      </c>
      <c r="F12" s="9" t="n">
        <v>208.32</v>
      </c>
      <c r="G12" s="9" t="n">
        <v>323.49</v>
      </c>
      <c r="H12" s="9">
        <f>G12-F12</f>
        <v/>
      </c>
      <c r="I12" s="11">
        <f>IFERROR(H12/G12, 0)</f>
        <v/>
      </c>
      <c r="J12" s="8">
        <f>IF(G12&gt;=400, "High-End", IF(G12&gt;=100, "Mid-Tier", "Economy"))</f>
        <v/>
      </c>
      <c r="K12" s="8" t="n">
        <v>150</v>
      </c>
    </row>
    <row r="13">
      <c r="A13" s="8" t="inlineStr">
        <is>
          <t>PRD-0009</t>
        </is>
      </c>
      <c r="B13" s="8" t="inlineStr">
        <is>
          <t>UrbanShield Corporate Apparel Model-316</t>
        </is>
      </c>
      <c r="C13" s="8" t="inlineStr">
        <is>
          <t>Apparel &amp; Gear</t>
        </is>
      </c>
      <c r="D13" s="8" t="inlineStr">
        <is>
          <t>Corporate Apparel</t>
        </is>
      </c>
      <c r="E13" s="8" t="inlineStr">
        <is>
          <t>UrbanShield</t>
        </is>
      </c>
      <c r="F13" s="9" t="n">
        <v>115.63</v>
      </c>
      <c r="G13" s="9" t="n">
        <v>186.43</v>
      </c>
      <c r="H13" s="9">
        <f>G13-F13</f>
        <v/>
      </c>
      <c r="I13" s="11">
        <f>IFERROR(H13/G13, 0)</f>
        <v/>
      </c>
      <c r="J13" s="8">
        <f>IF(G13&gt;=400, "High-End", IF(G13&gt;=100, "Mid-Tier", "Economy"))</f>
        <v/>
      </c>
      <c r="K13" s="8" t="n">
        <v>20</v>
      </c>
    </row>
    <row r="14">
      <c r="A14" s="8" t="inlineStr">
        <is>
          <t>PRD-0010</t>
        </is>
      </c>
      <c r="B14" s="8" t="inlineStr">
        <is>
          <t>ModuDesk Bookcases &amp; Storage Model-371</t>
        </is>
      </c>
      <c r="C14" s="8" t="inlineStr">
        <is>
          <t>Furniture</t>
        </is>
      </c>
      <c r="D14" s="8" t="inlineStr">
        <is>
          <t>Bookcases &amp; Storage</t>
        </is>
      </c>
      <c r="E14" s="8" t="inlineStr">
        <is>
          <t>ModuDesk</t>
        </is>
      </c>
      <c r="F14" s="9" t="n">
        <v>580.23</v>
      </c>
      <c r="G14" s="9" t="n">
        <v>863.3</v>
      </c>
      <c r="H14" s="9">
        <f>G14-F14</f>
        <v/>
      </c>
      <c r="I14" s="11">
        <f>IFERROR(H14/G14, 0)</f>
        <v/>
      </c>
      <c r="J14" s="8">
        <f>IF(G14&gt;=400, "High-End", IF(G14&gt;=100, "Mid-Tier", "Economy"))</f>
        <v/>
      </c>
      <c r="K14" s="8" t="n">
        <v>35</v>
      </c>
    </row>
    <row r="15">
      <c r="A15" s="8" t="inlineStr">
        <is>
          <t>PRD-0011</t>
        </is>
      </c>
      <c r="B15" s="8" t="inlineStr">
        <is>
          <t>Kinetix Standing Desk Model-621</t>
        </is>
      </c>
      <c r="C15" s="8" t="inlineStr">
        <is>
          <t>Furniture</t>
        </is>
      </c>
      <c r="D15" s="8" t="inlineStr">
        <is>
          <t>Standing Desks</t>
        </is>
      </c>
      <c r="E15" s="8" t="inlineStr">
        <is>
          <t>Kinetix</t>
        </is>
      </c>
      <c r="F15" s="9" t="n">
        <v>286.64</v>
      </c>
      <c r="G15" s="9" t="n">
        <v>415.76</v>
      </c>
      <c r="H15" s="9">
        <f>G15-F15</f>
        <v/>
      </c>
      <c r="I15" s="11">
        <f>IFERROR(H15/G15, 0)</f>
        <v/>
      </c>
      <c r="J15" s="8">
        <f>IF(G15&gt;=400, "High-End", IF(G15&gt;=100, "Mid-Tier", "Economy"))</f>
        <v/>
      </c>
      <c r="K15" s="8" t="n">
        <v>35</v>
      </c>
    </row>
    <row r="16">
      <c r="A16" s="8" t="inlineStr">
        <is>
          <t>PRD-0012</t>
        </is>
      </c>
      <c r="B16" s="8" t="inlineStr">
        <is>
          <t>Hyperion Audio &amp; Headphone Model-710</t>
        </is>
      </c>
      <c r="C16" s="8" t="inlineStr">
        <is>
          <t>Technology</t>
        </is>
      </c>
      <c r="D16" s="8" t="inlineStr">
        <is>
          <t>Audio &amp; Headphones</t>
        </is>
      </c>
      <c r="E16" s="8" t="inlineStr">
        <is>
          <t>Hyperion</t>
        </is>
      </c>
      <c r="F16" s="9" t="n">
        <v>421.28</v>
      </c>
      <c r="G16" s="9" t="n">
        <v>583.3099999999999</v>
      </c>
      <c r="H16" s="9">
        <f>G16-F16</f>
        <v/>
      </c>
      <c r="I16" s="11">
        <f>IFERROR(H16/G16, 0)</f>
        <v/>
      </c>
      <c r="J16" s="8">
        <f>IF(G16&gt;=400, "High-End", IF(G16&gt;=100, "Mid-Tier", "Economy"))</f>
        <v/>
      </c>
      <c r="K16" s="8" t="n">
        <v>75</v>
      </c>
    </row>
    <row r="17">
      <c r="A17" s="8" t="inlineStr">
        <is>
          <t>PRD-0013</t>
        </is>
      </c>
      <c r="B17" s="8" t="inlineStr">
        <is>
          <t>Hyperion Laptops &amp; Desktop Model-868</t>
        </is>
      </c>
      <c r="C17" s="8" t="inlineStr">
        <is>
          <t>Technology</t>
        </is>
      </c>
      <c r="D17" s="8" t="inlineStr">
        <is>
          <t>Laptops &amp; Desktops</t>
        </is>
      </c>
      <c r="E17" s="8" t="inlineStr">
        <is>
          <t>Hyperion</t>
        </is>
      </c>
      <c r="F17" s="9" t="n">
        <v>694.46</v>
      </c>
      <c r="G17" s="9" t="n">
        <v>990.85</v>
      </c>
      <c r="H17" s="9">
        <f>G17-F17</f>
        <v/>
      </c>
      <c r="I17" s="11">
        <f>IFERROR(H17/G17, 0)</f>
        <v/>
      </c>
      <c r="J17" s="8">
        <f>IF(G17&gt;=400, "High-End", IF(G17&gt;=100, "Mid-Tier", "Economy"))</f>
        <v/>
      </c>
      <c r="K17" s="8" t="n">
        <v>100</v>
      </c>
    </row>
    <row r="18">
      <c r="A18" s="8" t="inlineStr">
        <is>
          <t>PRD-0014</t>
        </is>
      </c>
      <c r="B18" s="8" t="inlineStr">
        <is>
          <t>ErgoComfort Bookcases &amp; Storage Model-612</t>
        </is>
      </c>
      <c r="C18" s="8" t="inlineStr">
        <is>
          <t>Furniture</t>
        </is>
      </c>
      <c r="D18" s="8" t="inlineStr">
        <is>
          <t>Bookcases &amp; Storage</t>
        </is>
      </c>
      <c r="E18" s="8" t="inlineStr">
        <is>
          <t>ErgoComfort</t>
        </is>
      </c>
      <c r="F18" s="9" t="n">
        <v>622.0599999999999</v>
      </c>
      <c r="G18" s="9" t="n">
        <v>958.87</v>
      </c>
      <c r="H18" s="9">
        <f>G18-F18</f>
        <v/>
      </c>
      <c r="I18" s="11">
        <f>IFERROR(H18/G18, 0)</f>
        <v/>
      </c>
      <c r="J18" s="8">
        <f>IF(G18&gt;=400, "High-End", IF(G18&gt;=100, "Mid-Tier", "Economy"))</f>
        <v/>
      </c>
      <c r="K18" s="8" t="n">
        <v>50</v>
      </c>
    </row>
    <row r="19">
      <c r="A19" s="8" t="inlineStr">
        <is>
          <t>PRD-0015</t>
        </is>
      </c>
      <c r="B19" s="8" t="inlineStr">
        <is>
          <t>ApexGear Corporate Apparel Model-652</t>
        </is>
      </c>
      <c r="C19" s="8" t="inlineStr">
        <is>
          <t>Apparel &amp; Gear</t>
        </is>
      </c>
      <c r="D19" s="8" t="inlineStr">
        <is>
          <t>Corporate Apparel</t>
        </is>
      </c>
      <c r="E19" s="8" t="inlineStr">
        <is>
          <t>ApexGear</t>
        </is>
      </c>
      <c r="F19" s="9" t="n">
        <v>91.12</v>
      </c>
      <c r="G19" s="9" t="n">
        <v>141.71</v>
      </c>
      <c r="H19" s="9">
        <f>G19-F19</f>
        <v/>
      </c>
      <c r="I19" s="11">
        <f>IFERROR(H19/G19, 0)</f>
        <v/>
      </c>
      <c r="J19" s="8">
        <f>IF(G19&gt;=400, "High-End", IF(G19&gt;=100, "Mid-Tier", "Economy"))</f>
        <v/>
      </c>
      <c r="K19" s="8" t="n">
        <v>35</v>
      </c>
    </row>
    <row r="20">
      <c r="A20" s="8" t="inlineStr">
        <is>
          <t>PRD-0016</t>
        </is>
      </c>
      <c r="B20" s="8" t="inlineStr">
        <is>
          <t>ErgoComfort Bookcases &amp; Storage Model-345</t>
        </is>
      </c>
      <c r="C20" s="8" t="inlineStr">
        <is>
          <t>Furniture</t>
        </is>
      </c>
      <c r="D20" s="8" t="inlineStr">
        <is>
          <t>Bookcases &amp; Storage</t>
        </is>
      </c>
      <c r="E20" s="8" t="inlineStr">
        <is>
          <t>ErgoComfort</t>
        </is>
      </c>
      <c r="F20" s="9" t="n">
        <v>112.68</v>
      </c>
      <c r="G20" s="9" t="n">
        <v>160.4</v>
      </c>
      <c r="H20" s="9">
        <f>G20-F20</f>
        <v/>
      </c>
      <c r="I20" s="11">
        <f>IFERROR(H20/G20, 0)</f>
        <v/>
      </c>
      <c r="J20" s="8">
        <f>IF(G20&gt;=400, "High-End", IF(G20&gt;=100, "Mid-Tier", "Economy"))</f>
        <v/>
      </c>
      <c r="K20" s="8" t="n">
        <v>50</v>
      </c>
    </row>
    <row r="21">
      <c r="A21" s="8" t="inlineStr">
        <is>
          <t>PRD-0017</t>
        </is>
      </c>
      <c r="B21" s="8" t="inlineStr">
        <is>
          <t>ErgoComfort Bookcases &amp; Storage Model-231</t>
        </is>
      </c>
      <c r="C21" s="8" t="inlineStr">
        <is>
          <t>Furniture</t>
        </is>
      </c>
      <c r="D21" s="8" t="inlineStr">
        <is>
          <t>Bookcases &amp; Storage</t>
        </is>
      </c>
      <c r="E21" s="8" t="inlineStr">
        <is>
          <t>ErgoComfort</t>
        </is>
      </c>
      <c r="F21" s="9" t="n">
        <v>636.6799999999999</v>
      </c>
      <c r="G21" s="9" t="n">
        <v>931.16</v>
      </c>
      <c r="H21" s="9">
        <f>G21-F21</f>
        <v/>
      </c>
      <c r="I21" s="11">
        <f>IFERROR(H21/G21, 0)</f>
        <v/>
      </c>
      <c r="J21" s="8">
        <f>IF(G21&gt;=400, "High-End", IF(G21&gt;=100, "Mid-Tier", "Economy"))</f>
        <v/>
      </c>
      <c r="K21" s="8" t="n">
        <v>35</v>
      </c>
    </row>
    <row r="22">
      <c r="A22" s="8" t="inlineStr">
        <is>
          <t>PRD-0018</t>
        </is>
      </c>
      <c r="B22" s="8" t="inlineStr">
        <is>
          <t>EcoPaper Paper &amp; Stationery Model-806</t>
        </is>
      </c>
      <c r="C22" s="8" t="inlineStr">
        <is>
          <t>Office Supplies</t>
        </is>
      </c>
      <c r="D22" s="8" t="inlineStr">
        <is>
          <t>Paper &amp; Stationery</t>
        </is>
      </c>
      <c r="E22" s="8" t="inlineStr">
        <is>
          <t>EcoPaper</t>
        </is>
      </c>
      <c r="F22" s="9" t="n">
        <v>43.56</v>
      </c>
      <c r="G22" s="9" t="n">
        <v>75.52</v>
      </c>
      <c r="H22" s="9">
        <f>G22-F22</f>
        <v/>
      </c>
      <c r="I22" s="11">
        <f>IFERROR(H22/G22, 0)</f>
        <v/>
      </c>
      <c r="J22" s="8">
        <f>IF(G22&gt;=400, "High-End", IF(G22&gt;=100, "Mid-Tier", "Economy"))</f>
        <v/>
      </c>
      <c r="K22" s="8" t="n">
        <v>150</v>
      </c>
    </row>
    <row r="23">
      <c r="A23" s="8" t="inlineStr">
        <is>
          <t>PRD-0019</t>
        </is>
      </c>
      <c r="B23" s="8" t="inlineStr">
        <is>
          <t>Kinetix Bookcases &amp; Storage Model-446</t>
        </is>
      </c>
      <c r="C23" s="8" t="inlineStr">
        <is>
          <t>Furniture</t>
        </is>
      </c>
      <c r="D23" s="8" t="inlineStr">
        <is>
          <t>Bookcases &amp; Storage</t>
        </is>
      </c>
      <c r="E23" s="8" t="inlineStr">
        <is>
          <t>Kinetix</t>
        </is>
      </c>
      <c r="F23" s="9" t="n">
        <v>318.15</v>
      </c>
      <c r="G23" s="9" t="n">
        <v>444.46</v>
      </c>
      <c r="H23" s="9">
        <f>G23-F23</f>
        <v/>
      </c>
      <c r="I23" s="11">
        <f>IFERROR(H23/G23, 0)</f>
        <v/>
      </c>
      <c r="J23" s="8">
        <f>IF(G23&gt;=400, "High-End", IF(G23&gt;=100, "Mid-Tier", "Economy"))</f>
        <v/>
      </c>
      <c r="K23" s="8" t="n">
        <v>20</v>
      </c>
    </row>
    <row r="24">
      <c r="A24" s="8" t="inlineStr">
        <is>
          <t>PRD-0020</t>
        </is>
      </c>
      <c r="B24" s="8" t="inlineStr">
        <is>
          <t>OptimaPrint Storage &amp; Organization Model-172</t>
        </is>
      </c>
      <c r="C24" s="8" t="inlineStr">
        <is>
          <t>Office Supplies</t>
        </is>
      </c>
      <c r="D24" s="8" t="inlineStr">
        <is>
          <t>Storage &amp; Organization</t>
        </is>
      </c>
      <c r="E24" s="8" t="inlineStr">
        <is>
          <t>OptimaPrint</t>
        </is>
      </c>
      <c r="F24" s="9" t="n">
        <v>13.77</v>
      </c>
      <c r="G24" s="9" t="n">
        <v>22.42</v>
      </c>
      <c r="H24" s="9">
        <f>G24-F24</f>
        <v/>
      </c>
      <c r="I24" s="11">
        <f>IFERROR(H24/G24, 0)</f>
        <v/>
      </c>
      <c r="J24" s="8">
        <f>IF(G24&gt;=400, "High-End", IF(G24&gt;=100, "Mid-Tier", "Economy"))</f>
        <v/>
      </c>
      <c r="K24" s="8" t="n">
        <v>50</v>
      </c>
    </row>
    <row r="25">
      <c r="A25" s="8" t="inlineStr">
        <is>
          <t>PRD-0021</t>
        </is>
      </c>
      <c r="B25" s="8" t="inlineStr">
        <is>
          <t>SafeKeep Storage &amp; Organization Model-926</t>
        </is>
      </c>
      <c r="C25" s="8" t="inlineStr">
        <is>
          <t>Office Supplies</t>
        </is>
      </c>
      <c r="D25" s="8" t="inlineStr">
        <is>
          <t>Storage &amp; Organization</t>
        </is>
      </c>
      <c r="E25" s="8" t="inlineStr">
        <is>
          <t>SafeKeep</t>
        </is>
      </c>
      <c r="F25" s="9" t="n">
        <v>27.84</v>
      </c>
      <c r="G25" s="9" t="n">
        <v>41.09</v>
      </c>
      <c r="H25" s="9">
        <f>G25-F25</f>
        <v/>
      </c>
      <c r="I25" s="11">
        <f>IFERROR(H25/G25, 0)</f>
        <v/>
      </c>
      <c r="J25" s="8">
        <f>IF(G25&gt;=400, "High-End", IF(G25&gt;=100, "Mid-Tier", "Economy"))</f>
        <v/>
      </c>
      <c r="K25" s="8" t="n">
        <v>75</v>
      </c>
    </row>
    <row r="26">
      <c r="A26" s="8" t="inlineStr">
        <is>
          <t>PRD-0022</t>
        </is>
      </c>
      <c r="B26" s="8" t="inlineStr">
        <is>
          <t>ModuDesk Standing Desk Model-761</t>
        </is>
      </c>
      <c r="C26" s="8" t="inlineStr">
        <is>
          <t>Furniture</t>
        </is>
      </c>
      <c r="D26" s="8" t="inlineStr">
        <is>
          <t>Standing Desks</t>
        </is>
      </c>
      <c r="E26" s="8" t="inlineStr">
        <is>
          <t>ModuDesk</t>
        </is>
      </c>
      <c r="F26" s="9" t="n">
        <v>567.62</v>
      </c>
      <c r="G26" s="9" t="n">
        <v>801.74</v>
      </c>
      <c r="H26" s="9">
        <f>G26-F26</f>
        <v/>
      </c>
      <c r="I26" s="11">
        <f>IFERROR(H26/G26, 0)</f>
        <v/>
      </c>
      <c r="J26" s="8">
        <f>IF(G26&gt;=400, "High-End", IF(G26&gt;=100, "Mid-Tier", "Economy"))</f>
        <v/>
      </c>
      <c r="K26" s="8" t="n">
        <v>150</v>
      </c>
    </row>
    <row r="27">
      <c r="A27" s="8" t="inlineStr">
        <is>
          <t>PRD-0023</t>
        </is>
      </c>
      <c r="B27" s="8" t="inlineStr">
        <is>
          <t>Novacore Monitors &amp; Display Model-287</t>
        </is>
      </c>
      <c r="C27" s="8" t="inlineStr">
        <is>
          <t>Technology</t>
        </is>
      </c>
      <c r="D27" s="8" t="inlineStr">
        <is>
          <t>Monitors &amp; Displays</t>
        </is>
      </c>
      <c r="E27" s="8" t="inlineStr">
        <is>
          <t>Novacore</t>
        </is>
      </c>
      <c r="F27" s="9" t="n">
        <v>209.04</v>
      </c>
      <c r="G27" s="9" t="n">
        <v>276.6</v>
      </c>
      <c r="H27" s="9">
        <f>G27-F27</f>
        <v/>
      </c>
      <c r="I27" s="11">
        <f>IFERROR(H27/G27, 0)</f>
        <v/>
      </c>
      <c r="J27" s="8">
        <f>IF(G27&gt;=400, "High-End", IF(G27&gt;=100, "Mid-Tier", "Economy"))</f>
        <v/>
      </c>
      <c r="K27" s="8" t="n">
        <v>75</v>
      </c>
    </row>
    <row r="28">
      <c r="A28" s="8" t="inlineStr">
        <is>
          <t>PRD-0024</t>
        </is>
      </c>
      <c r="B28" s="8" t="inlineStr">
        <is>
          <t>ApexGear Corporate Apparel Model-956</t>
        </is>
      </c>
      <c r="C28" s="8" t="inlineStr">
        <is>
          <t>Apparel &amp; Gear</t>
        </is>
      </c>
      <c r="D28" s="8" t="inlineStr">
        <is>
          <t>Corporate Apparel</t>
        </is>
      </c>
      <c r="E28" s="8" t="inlineStr">
        <is>
          <t>ApexGear</t>
        </is>
      </c>
      <c r="F28" s="9" t="n">
        <v>27.24</v>
      </c>
      <c r="G28" s="9" t="n">
        <v>45.49</v>
      </c>
      <c r="H28" s="9">
        <f>G28-F28</f>
        <v/>
      </c>
      <c r="I28" s="11">
        <f>IFERROR(H28/G28, 0)</f>
        <v/>
      </c>
      <c r="J28" s="8">
        <f>IF(G28&gt;=400, "High-End", IF(G28&gt;=100, "Mid-Tier", "Economy"))</f>
        <v/>
      </c>
      <c r="K28" s="8" t="n">
        <v>100</v>
      </c>
    </row>
    <row r="29">
      <c r="A29" s="8" t="inlineStr">
        <is>
          <t>PRD-0025</t>
        </is>
      </c>
      <c r="B29" s="8" t="inlineStr">
        <is>
          <t>ModuDesk Standing Desk Model-268</t>
        </is>
      </c>
      <c r="C29" s="8" t="inlineStr">
        <is>
          <t>Furniture</t>
        </is>
      </c>
      <c r="D29" s="8" t="inlineStr">
        <is>
          <t>Standing Desks</t>
        </is>
      </c>
      <c r="E29" s="8" t="inlineStr">
        <is>
          <t>ModuDesk</t>
        </is>
      </c>
      <c r="F29" s="9" t="n">
        <v>336.22</v>
      </c>
      <c r="G29" s="9" t="n">
        <v>537.5700000000001</v>
      </c>
      <c r="H29" s="9">
        <f>G29-F29</f>
        <v/>
      </c>
      <c r="I29" s="11">
        <f>IFERROR(H29/G29, 0)</f>
        <v/>
      </c>
      <c r="J29" s="8">
        <f>IF(G29&gt;=400, "High-End", IF(G29&gt;=100, "Mid-Tier", "Economy"))</f>
        <v/>
      </c>
      <c r="K29" s="8" t="n">
        <v>20</v>
      </c>
    </row>
    <row r="30">
      <c r="A30" s="8" t="inlineStr">
        <is>
          <t>PRD-0026</t>
        </is>
      </c>
      <c r="B30" s="8" t="inlineStr">
        <is>
          <t>NordicCraft Bookcases &amp; Storage Model-777</t>
        </is>
      </c>
      <c r="C30" s="8" t="inlineStr">
        <is>
          <t>Furniture</t>
        </is>
      </c>
      <c r="D30" s="8" t="inlineStr">
        <is>
          <t>Bookcases &amp; Storage</t>
        </is>
      </c>
      <c r="E30" s="8" t="inlineStr">
        <is>
          <t>NordicCraft</t>
        </is>
      </c>
      <c r="F30" s="9" t="n">
        <v>300.92</v>
      </c>
      <c r="G30" s="9" t="n">
        <v>469.49</v>
      </c>
      <c r="H30" s="9">
        <f>G30-F30</f>
        <v/>
      </c>
      <c r="I30" s="11">
        <f>IFERROR(H30/G30, 0)</f>
        <v/>
      </c>
      <c r="J30" s="8">
        <f>IF(G30&gt;=400, "High-End", IF(G30&gt;=100, "Mid-Tier", "Economy"))</f>
        <v/>
      </c>
      <c r="K30" s="8" t="n">
        <v>100</v>
      </c>
    </row>
    <row r="31">
      <c r="A31" s="8" t="inlineStr">
        <is>
          <t>PRD-0027</t>
        </is>
      </c>
      <c r="B31" s="8" t="inlineStr">
        <is>
          <t>SafeKeep Paper &amp; Stationery Model-698</t>
        </is>
      </c>
      <c r="C31" s="8" t="inlineStr">
        <is>
          <t>Office Supplies</t>
        </is>
      </c>
      <c r="D31" s="8" t="inlineStr">
        <is>
          <t>Paper &amp; Stationery</t>
        </is>
      </c>
      <c r="E31" s="8" t="inlineStr">
        <is>
          <t>SafeKeep</t>
        </is>
      </c>
      <c r="F31" s="9" t="n">
        <v>6.97</v>
      </c>
      <c r="G31" s="9" t="n">
        <v>11.1</v>
      </c>
      <c r="H31" s="9">
        <f>G31-F31</f>
        <v/>
      </c>
      <c r="I31" s="11">
        <f>IFERROR(H31/G31, 0)</f>
        <v/>
      </c>
      <c r="J31" s="8">
        <f>IF(G31&gt;=400, "High-End", IF(G31&gt;=100, "Mid-Tier", "Economy"))</f>
        <v/>
      </c>
      <c r="K31" s="8" t="n">
        <v>20</v>
      </c>
    </row>
    <row r="32">
      <c r="A32" s="8" t="inlineStr">
        <is>
          <t>PRD-0028</t>
        </is>
      </c>
      <c r="B32" s="8" t="inlineStr">
        <is>
          <t>ErgoComfort Conference Table Model-791</t>
        </is>
      </c>
      <c r="C32" s="8" t="inlineStr">
        <is>
          <t>Furniture</t>
        </is>
      </c>
      <c r="D32" s="8" t="inlineStr">
        <is>
          <t>Conference Tables</t>
        </is>
      </c>
      <c r="E32" s="8" t="inlineStr">
        <is>
          <t>ErgoComfort</t>
        </is>
      </c>
      <c r="F32" s="9" t="n">
        <v>560.0599999999999</v>
      </c>
      <c r="G32" s="9" t="n">
        <v>832.11</v>
      </c>
      <c r="H32" s="9">
        <f>G32-F32</f>
        <v/>
      </c>
      <c r="I32" s="11">
        <f>IFERROR(H32/G32, 0)</f>
        <v/>
      </c>
      <c r="J32" s="8">
        <f>IF(G32&gt;=400, "High-End", IF(G32&gt;=100, "Mid-Tier", "Economy"))</f>
        <v/>
      </c>
      <c r="K32" s="8" t="n">
        <v>20</v>
      </c>
    </row>
    <row r="33">
      <c r="A33" s="8" t="inlineStr">
        <is>
          <t>PRD-0029</t>
        </is>
      </c>
      <c r="B33" s="8" t="inlineStr">
        <is>
          <t>SafeKeep Paper &amp; Stationery Model-697</t>
        </is>
      </c>
      <c r="C33" s="8" t="inlineStr">
        <is>
          <t>Office Supplies</t>
        </is>
      </c>
      <c r="D33" s="8" t="inlineStr">
        <is>
          <t>Paper &amp; Stationery</t>
        </is>
      </c>
      <c r="E33" s="8" t="inlineStr">
        <is>
          <t>SafeKeep</t>
        </is>
      </c>
      <c r="F33" s="9" t="n">
        <v>6.11</v>
      </c>
      <c r="G33" s="9" t="n">
        <v>9.4</v>
      </c>
      <c r="H33" s="9">
        <f>G33-F33</f>
        <v/>
      </c>
      <c r="I33" s="11">
        <f>IFERROR(H33/G33, 0)</f>
        <v/>
      </c>
      <c r="J33" s="8">
        <f>IF(G33&gt;=400, "High-End", IF(G33&gt;=100, "Mid-Tier", "Economy"))</f>
        <v/>
      </c>
      <c r="K33" s="8" t="n">
        <v>150</v>
      </c>
    </row>
    <row r="34">
      <c r="A34" s="8" t="inlineStr">
        <is>
          <t>PRD-0030</t>
        </is>
      </c>
      <c r="B34" s="8" t="inlineStr">
        <is>
          <t>SteelForm Office Chair Model-407</t>
        </is>
      </c>
      <c r="C34" s="8" t="inlineStr">
        <is>
          <t>Furniture</t>
        </is>
      </c>
      <c r="D34" s="8" t="inlineStr">
        <is>
          <t>Office Chairs</t>
        </is>
      </c>
      <c r="E34" s="8" t="inlineStr">
        <is>
          <t>SteelForm</t>
        </is>
      </c>
      <c r="F34" s="9" t="n">
        <v>205.7</v>
      </c>
      <c r="G34" s="9" t="n">
        <v>298.29</v>
      </c>
      <c r="H34" s="9">
        <f>G34-F34</f>
        <v/>
      </c>
      <c r="I34" s="11">
        <f>IFERROR(H34/G34, 0)</f>
        <v/>
      </c>
      <c r="J34" s="8">
        <f>IF(G34&gt;=400, "High-End", IF(G34&gt;=100, "Mid-Tier", "Economy"))</f>
        <v/>
      </c>
      <c r="K34" s="8" t="n">
        <v>150</v>
      </c>
    </row>
    <row r="35">
      <c r="A35" s="8" t="inlineStr">
        <is>
          <t>PRD-0031</t>
        </is>
      </c>
      <c r="B35" s="8" t="inlineStr">
        <is>
          <t>SafeKeep Paper &amp; Stationery Model-618</t>
        </is>
      </c>
      <c r="C35" s="8" t="inlineStr">
        <is>
          <t>Office Supplies</t>
        </is>
      </c>
      <c r="D35" s="8" t="inlineStr">
        <is>
          <t>Paper &amp; Stationery</t>
        </is>
      </c>
      <c r="E35" s="8" t="inlineStr">
        <is>
          <t>SafeKeep</t>
        </is>
      </c>
      <c r="F35" s="9" t="n">
        <v>44.84</v>
      </c>
      <c r="G35" s="9" t="n">
        <v>68.91</v>
      </c>
      <c r="H35" s="9">
        <f>G35-F35</f>
        <v/>
      </c>
      <c r="I35" s="11">
        <f>IFERROR(H35/G35, 0)</f>
        <v/>
      </c>
      <c r="J35" s="8">
        <f>IF(G35&gt;=400, "High-End", IF(G35&gt;=100, "Mid-Tier", "Economy"))</f>
        <v/>
      </c>
      <c r="K35" s="8" t="n">
        <v>35</v>
      </c>
    </row>
    <row r="36">
      <c r="A36" s="8" t="inlineStr">
        <is>
          <t>PRD-0032</t>
        </is>
      </c>
      <c r="B36" s="8" t="inlineStr">
        <is>
          <t>NordicCraft Office Chair Model-409</t>
        </is>
      </c>
      <c r="C36" s="8" t="inlineStr">
        <is>
          <t>Furniture</t>
        </is>
      </c>
      <c r="D36" s="8" t="inlineStr">
        <is>
          <t>Office Chairs</t>
        </is>
      </c>
      <c r="E36" s="8" t="inlineStr">
        <is>
          <t>NordicCraft</t>
        </is>
      </c>
      <c r="F36" s="9" t="n">
        <v>140.44</v>
      </c>
      <c r="G36" s="9" t="n">
        <v>226.36</v>
      </c>
      <c r="H36" s="9">
        <f>G36-F36</f>
        <v/>
      </c>
      <c r="I36" s="11">
        <f>IFERROR(H36/G36, 0)</f>
        <v/>
      </c>
      <c r="J36" s="8">
        <f>IF(G36&gt;=400, "High-End", IF(G36&gt;=100, "Mid-Tier", "Economy"))</f>
        <v/>
      </c>
      <c r="K36" s="8" t="n">
        <v>150</v>
      </c>
    </row>
    <row r="37">
      <c r="A37" s="8" t="inlineStr">
        <is>
          <t>PRD-0033</t>
        </is>
      </c>
      <c r="B37" s="8" t="inlineStr">
        <is>
          <t>ApexGear Corporate Apparel Model-370</t>
        </is>
      </c>
      <c r="C37" s="8" t="inlineStr">
        <is>
          <t>Apparel &amp; Gear</t>
        </is>
      </c>
      <c r="D37" s="8" t="inlineStr">
        <is>
          <t>Corporate Apparel</t>
        </is>
      </c>
      <c r="E37" s="8" t="inlineStr">
        <is>
          <t>ApexGear</t>
        </is>
      </c>
      <c r="F37" s="9" t="n">
        <v>52.42</v>
      </c>
      <c r="G37" s="9" t="n">
        <v>87.68000000000001</v>
      </c>
      <c r="H37" s="9">
        <f>G37-F37</f>
        <v/>
      </c>
      <c r="I37" s="11">
        <f>IFERROR(H37/G37, 0)</f>
        <v/>
      </c>
      <c r="J37" s="8">
        <f>IF(G37&gt;=400, "High-End", IF(G37&gt;=100, "Mid-Tier", "Economy"))</f>
        <v/>
      </c>
      <c r="K37" s="8" t="n">
        <v>35</v>
      </c>
    </row>
    <row r="38">
      <c r="A38" s="8" t="inlineStr">
        <is>
          <t>PRD-0034</t>
        </is>
      </c>
      <c r="B38" s="8" t="inlineStr">
        <is>
          <t>EverWrite Paper &amp; Stationery Model-973</t>
        </is>
      </c>
      <c r="C38" s="8" t="inlineStr">
        <is>
          <t>Office Supplies</t>
        </is>
      </c>
      <c r="D38" s="8" t="inlineStr">
        <is>
          <t>Paper &amp; Stationery</t>
        </is>
      </c>
      <c r="E38" s="8" t="inlineStr">
        <is>
          <t>EverWrite</t>
        </is>
      </c>
      <c r="F38" s="9" t="n">
        <v>33.56</v>
      </c>
      <c r="G38" s="9" t="n">
        <v>52.58</v>
      </c>
      <c r="H38" s="9">
        <f>G38-F38</f>
        <v/>
      </c>
      <c r="I38" s="11">
        <f>IFERROR(H38/G38, 0)</f>
        <v/>
      </c>
      <c r="J38" s="8">
        <f>IF(G38&gt;=400, "High-End", IF(G38&gt;=100, "Mid-Tier", "Economy"))</f>
        <v/>
      </c>
      <c r="K38" s="8" t="n">
        <v>150</v>
      </c>
    </row>
    <row r="39">
      <c r="A39" s="8" t="inlineStr">
        <is>
          <t>PRD-0035</t>
        </is>
      </c>
      <c r="B39" s="8" t="inlineStr">
        <is>
          <t>Hyperion Smartphones &amp; Accessorie Model-441</t>
        </is>
      </c>
      <c r="C39" s="8" t="inlineStr">
        <is>
          <t>Technology</t>
        </is>
      </c>
      <c r="D39" s="8" t="inlineStr">
        <is>
          <t>Smartphones &amp; Accessories</t>
        </is>
      </c>
      <c r="E39" s="8" t="inlineStr">
        <is>
          <t>Hyperion</t>
        </is>
      </c>
      <c r="F39" s="9" t="n">
        <v>422.57</v>
      </c>
      <c r="G39" s="9" t="n">
        <v>584.6799999999999</v>
      </c>
      <c r="H39" s="9">
        <f>G39-F39</f>
        <v/>
      </c>
      <c r="I39" s="11">
        <f>IFERROR(H39/G39, 0)</f>
        <v/>
      </c>
      <c r="J39" s="8">
        <f>IF(G39&gt;=400, "High-End", IF(G39&gt;=100, "Mid-Tier", "Economy"))</f>
        <v/>
      </c>
      <c r="K39" s="8" t="n">
        <v>20</v>
      </c>
    </row>
    <row r="40">
      <c r="A40" s="8" t="inlineStr">
        <is>
          <t>PRD-0036</t>
        </is>
      </c>
      <c r="B40" s="8" t="inlineStr">
        <is>
          <t>ModuDesk Conference Table Model-252</t>
        </is>
      </c>
      <c r="C40" s="8" t="inlineStr">
        <is>
          <t>Furniture</t>
        </is>
      </c>
      <c r="D40" s="8" t="inlineStr">
        <is>
          <t>Conference Tables</t>
        </is>
      </c>
      <c r="E40" s="8" t="inlineStr">
        <is>
          <t>ModuDesk</t>
        </is>
      </c>
      <c r="F40" s="9" t="n">
        <v>384.35</v>
      </c>
      <c r="G40" s="9" t="n">
        <v>574.88</v>
      </c>
      <c r="H40" s="9">
        <f>G40-F40</f>
        <v/>
      </c>
      <c r="I40" s="11">
        <f>IFERROR(H40/G40, 0)</f>
        <v/>
      </c>
      <c r="J40" s="8">
        <f>IF(G40&gt;=400, "High-End", IF(G40&gt;=100, "Mid-Tier", "Economy"))</f>
        <v/>
      </c>
      <c r="K40" s="8" t="n">
        <v>150</v>
      </c>
    </row>
    <row r="41">
      <c r="A41" s="8" t="inlineStr">
        <is>
          <t>PRD-0037</t>
        </is>
      </c>
      <c r="B41" s="8" t="inlineStr">
        <is>
          <t>ApexTech Audio &amp; Headphone Model-466</t>
        </is>
      </c>
      <c r="C41" s="8" t="inlineStr">
        <is>
          <t>Technology</t>
        </is>
      </c>
      <c r="D41" s="8" t="inlineStr">
        <is>
          <t>Audio &amp; Headphones</t>
        </is>
      </c>
      <c r="E41" s="8" t="inlineStr">
        <is>
          <t>ApexTech</t>
        </is>
      </c>
      <c r="F41" s="9" t="n">
        <v>317.06</v>
      </c>
      <c r="G41" s="9" t="n">
        <v>499.93</v>
      </c>
      <c r="H41" s="9">
        <f>G41-F41</f>
        <v/>
      </c>
      <c r="I41" s="11">
        <f>IFERROR(H41/G41, 0)</f>
        <v/>
      </c>
      <c r="J41" s="8">
        <f>IF(G41&gt;=400, "High-End", IF(G41&gt;=100, "Mid-Tier", "Economy"))</f>
        <v/>
      </c>
      <c r="K41" s="8" t="n">
        <v>20</v>
      </c>
    </row>
    <row r="42">
      <c r="A42" s="8" t="inlineStr">
        <is>
          <t>PRD-0038</t>
        </is>
      </c>
      <c r="B42" s="8" t="inlineStr">
        <is>
          <t>TrekLine Backpacks &amp; Laptop Bag Model-985</t>
        </is>
      </c>
      <c r="C42" s="8" t="inlineStr">
        <is>
          <t>Apparel &amp; Gear</t>
        </is>
      </c>
      <c r="D42" s="8" t="inlineStr">
        <is>
          <t>Backpacks &amp; Laptop Bags</t>
        </is>
      </c>
      <c r="E42" s="8" t="inlineStr">
        <is>
          <t>TrekLine</t>
        </is>
      </c>
      <c r="F42" s="9" t="n">
        <v>136.73</v>
      </c>
      <c r="G42" s="9" t="n">
        <v>220.46</v>
      </c>
      <c r="H42" s="9">
        <f>G42-F42</f>
        <v/>
      </c>
      <c r="I42" s="11">
        <f>IFERROR(H42/G42, 0)</f>
        <v/>
      </c>
      <c r="J42" s="8">
        <f>IF(G42&gt;=400, "High-End", IF(G42&gt;=100, "Mid-Tier", "Economy"))</f>
        <v/>
      </c>
      <c r="K42" s="8" t="n">
        <v>35</v>
      </c>
    </row>
    <row r="43">
      <c r="A43" s="8" t="inlineStr">
        <is>
          <t>PRD-0039</t>
        </is>
      </c>
      <c r="B43" s="8" t="inlineStr">
        <is>
          <t>Hyperion Audio &amp; Headphone Model-921</t>
        </is>
      </c>
      <c r="C43" s="8" t="inlineStr">
        <is>
          <t>Technology</t>
        </is>
      </c>
      <c r="D43" s="8" t="inlineStr">
        <is>
          <t>Audio &amp; Headphones</t>
        </is>
      </c>
      <c r="E43" s="8" t="inlineStr">
        <is>
          <t>Hyperion</t>
        </is>
      </c>
      <c r="F43" s="9" t="n">
        <v>880.91</v>
      </c>
      <c r="G43" s="9" t="n">
        <v>1365.37</v>
      </c>
      <c r="H43" s="9">
        <f>G43-F43</f>
        <v/>
      </c>
      <c r="I43" s="11">
        <f>IFERROR(H43/G43, 0)</f>
        <v/>
      </c>
      <c r="J43" s="8">
        <f>IF(G43&gt;=400, "High-End", IF(G43&gt;=100, "Mid-Tier", "Economy"))</f>
        <v/>
      </c>
      <c r="K43" s="8" t="n">
        <v>75</v>
      </c>
    </row>
    <row r="44">
      <c r="A44" s="8" t="inlineStr">
        <is>
          <t>PRD-0040</t>
        </is>
      </c>
      <c r="B44" s="8" t="inlineStr">
        <is>
          <t>OptimaPrint Storage &amp; Organization Model-327</t>
        </is>
      </c>
      <c r="C44" s="8" t="inlineStr">
        <is>
          <t>Office Supplies</t>
        </is>
      </c>
      <c r="D44" s="8" t="inlineStr">
        <is>
          <t>Storage &amp; Organization</t>
        </is>
      </c>
      <c r="E44" s="8" t="inlineStr">
        <is>
          <t>OptimaPrint</t>
        </is>
      </c>
      <c r="F44" s="9" t="n">
        <v>19.99</v>
      </c>
      <c r="G44" s="9" t="n">
        <v>28.56</v>
      </c>
      <c r="H44" s="9">
        <f>G44-F44</f>
        <v/>
      </c>
      <c r="I44" s="11">
        <f>IFERROR(H44/G44, 0)</f>
        <v/>
      </c>
      <c r="J44" s="8">
        <f>IF(G44&gt;=400, "High-End", IF(G44&gt;=100, "Mid-Tier", "Economy"))</f>
        <v/>
      </c>
      <c r="K44" s="8" t="n">
        <v>75</v>
      </c>
    </row>
    <row r="45">
      <c r="A45" s="8" t="inlineStr">
        <is>
          <t>PRD-0041</t>
        </is>
      </c>
      <c r="B45" s="8" t="inlineStr">
        <is>
          <t>VanguardPro Corporate Apparel Model-436</t>
        </is>
      </c>
      <c r="C45" s="8" t="inlineStr">
        <is>
          <t>Apparel &amp; Gear</t>
        </is>
      </c>
      <c r="D45" s="8" t="inlineStr">
        <is>
          <t>Corporate Apparel</t>
        </is>
      </c>
      <c r="E45" s="8" t="inlineStr">
        <is>
          <t>VanguardPro</t>
        </is>
      </c>
      <c r="F45" s="9" t="n">
        <v>42.87</v>
      </c>
      <c r="G45" s="9" t="n">
        <v>71.67</v>
      </c>
      <c r="H45" s="9">
        <f>G45-F45</f>
        <v/>
      </c>
      <c r="I45" s="11">
        <f>IFERROR(H45/G45, 0)</f>
        <v/>
      </c>
      <c r="J45" s="8">
        <f>IF(G45&gt;=400, "High-End", IF(G45&gt;=100, "Mid-Tier", "Economy"))</f>
        <v/>
      </c>
      <c r="K45" s="8" t="n">
        <v>75</v>
      </c>
    </row>
    <row r="46">
      <c r="A46" s="8" t="inlineStr">
        <is>
          <t>PRD-0042</t>
        </is>
      </c>
      <c r="B46" s="8" t="inlineStr">
        <is>
          <t>ModuDesk Conference Table Model-128</t>
        </is>
      </c>
      <c r="C46" s="8" t="inlineStr">
        <is>
          <t>Furniture</t>
        </is>
      </c>
      <c r="D46" s="8" t="inlineStr">
        <is>
          <t>Conference Tables</t>
        </is>
      </c>
      <c r="E46" s="8" t="inlineStr">
        <is>
          <t>ModuDesk</t>
        </is>
      </c>
      <c r="F46" s="9" t="n">
        <v>456.11</v>
      </c>
      <c r="G46" s="9" t="n">
        <v>758.99</v>
      </c>
      <c r="H46" s="9">
        <f>G46-F46</f>
        <v/>
      </c>
      <c r="I46" s="11">
        <f>IFERROR(H46/G46, 0)</f>
        <v/>
      </c>
      <c r="J46" s="8">
        <f>IF(G46&gt;=400, "High-End", IF(G46&gt;=100, "Mid-Tier", "Economy"))</f>
        <v/>
      </c>
      <c r="K46" s="8" t="n">
        <v>50</v>
      </c>
    </row>
    <row r="47">
      <c r="A47" s="8" t="inlineStr">
        <is>
          <t>PRD-0043</t>
        </is>
      </c>
      <c r="B47" s="8" t="inlineStr">
        <is>
          <t>ApexTech Printers &amp; Networking Model-905</t>
        </is>
      </c>
      <c r="C47" s="8" t="inlineStr">
        <is>
          <t>Technology</t>
        </is>
      </c>
      <c r="D47" s="8" t="inlineStr">
        <is>
          <t>Printers &amp; Networking</t>
        </is>
      </c>
      <c r="E47" s="8" t="inlineStr">
        <is>
          <t>ApexTech</t>
        </is>
      </c>
      <c r="F47" s="9" t="n">
        <v>134.19</v>
      </c>
      <c r="G47" s="9" t="n">
        <v>174.44</v>
      </c>
      <c r="H47" s="9">
        <f>G47-F47</f>
        <v/>
      </c>
      <c r="I47" s="11">
        <f>IFERROR(H47/G47, 0)</f>
        <v/>
      </c>
      <c r="J47" s="8">
        <f>IF(G47&gt;=400, "High-End", IF(G47&gt;=100, "Mid-Tier", "Economy"))</f>
        <v/>
      </c>
      <c r="K47" s="8" t="n">
        <v>150</v>
      </c>
    </row>
    <row r="48">
      <c r="A48" s="8" t="inlineStr">
        <is>
          <t>PRD-0044</t>
        </is>
      </c>
      <c r="B48" s="8" t="inlineStr">
        <is>
          <t>EverWrite Paper &amp; Stationery Model-632</t>
        </is>
      </c>
      <c r="C48" s="8" t="inlineStr">
        <is>
          <t>Office Supplies</t>
        </is>
      </c>
      <c r="D48" s="8" t="inlineStr">
        <is>
          <t>Paper &amp; Stationery</t>
        </is>
      </c>
      <c r="E48" s="8" t="inlineStr">
        <is>
          <t>EverWrite</t>
        </is>
      </c>
      <c r="F48" s="9" t="n">
        <v>14.82</v>
      </c>
      <c r="G48" s="9" t="n">
        <v>24.94</v>
      </c>
      <c r="H48" s="9">
        <f>G48-F48</f>
        <v/>
      </c>
      <c r="I48" s="11">
        <f>IFERROR(H48/G48, 0)</f>
        <v/>
      </c>
      <c r="J48" s="8">
        <f>IF(G48&gt;=400, "High-End", IF(G48&gt;=100, "Mid-Tier", "Economy"))</f>
        <v/>
      </c>
      <c r="K48" s="8" t="n">
        <v>20</v>
      </c>
    </row>
    <row r="49">
      <c r="A49" s="8" t="inlineStr">
        <is>
          <t>PRD-0045</t>
        </is>
      </c>
      <c r="B49" s="8" t="inlineStr">
        <is>
          <t>EverWrite Pens, Inks &amp; Marker Model-438</t>
        </is>
      </c>
      <c r="C49" s="8" t="inlineStr">
        <is>
          <t>Office Supplies</t>
        </is>
      </c>
      <c r="D49" s="8" t="inlineStr">
        <is>
          <t>Pens, Inks &amp; Markers</t>
        </is>
      </c>
      <c r="E49" s="8" t="inlineStr">
        <is>
          <t>EverWrite</t>
        </is>
      </c>
      <c r="F49" s="9" t="n">
        <v>19.25</v>
      </c>
      <c r="G49" s="9" t="n">
        <v>30.53</v>
      </c>
      <c r="H49" s="9">
        <f>G49-F49</f>
        <v/>
      </c>
      <c r="I49" s="11">
        <f>IFERROR(H49/G49, 0)</f>
        <v/>
      </c>
      <c r="J49" s="8">
        <f>IF(G49&gt;=400, "High-End", IF(G49&gt;=100, "Mid-Tier", "Economy"))</f>
        <v/>
      </c>
      <c r="K49" s="8" t="n">
        <v>150</v>
      </c>
    </row>
    <row r="50">
      <c r="A50" s="8" t="inlineStr">
        <is>
          <t>PRD-0046</t>
        </is>
      </c>
      <c r="B50" s="8" t="inlineStr">
        <is>
          <t>NordicCraft Conference Table Model-402</t>
        </is>
      </c>
      <c r="C50" s="8" t="inlineStr">
        <is>
          <t>Furniture</t>
        </is>
      </c>
      <c r="D50" s="8" t="inlineStr">
        <is>
          <t>Conference Tables</t>
        </is>
      </c>
      <c r="E50" s="8" t="inlineStr">
        <is>
          <t>NordicCraft</t>
        </is>
      </c>
      <c r="F50" s="9" t="n">
        <v>448.47</v>
      </c>
      <c r="G50" s="9" t="n">
        <v>692.9</v>
      </c>
      <c r="H50" s="9">
        <f>G50-F50</f>
        <v/>
      </c>
      <c r="I50" s="11">
        <f>IFERROR(H50/G50, 0)</f>
        <v/>
      </c>
      <c r="J50" s="8">
        <f>IF(G50&gt;=400, "High-End", IF(G50&gt;=100, "Mid-Tier", "Economy"))</f>
        <v/>
      </c>
      <c r="K50" s="8" t="n">
        <v>150</v>
      </c>
    </row>
    <row r="51">
      <c r="A51" s="8" t="inlineStr">
        <is>
          <t>PRD-0047</t>
        </is>
      </c>
      <c r="B51" s="8" t="inlineStr">
        <is>
          <t>EverWrite Storage &amp; Organization Model-953</t>
        </is>
      </c>
      <c r="C51" s="8" t="inlineStr">
        <is>
          <t>Office Supplies</t>
        </is>
      </c>
      <c r="D51" s="8" t="inlineStr">
        <is>
          <t>Storage &amp; Organization</t>
        </is>
      </c>
      <c r="E51" s="8" t="inlineStr">
        <is>
          <t>EverWrite</t>
        </is>
      </c>
      <c r="F51" s="9" t="n">
        <v>29.43</v>
      </c>
      <c r="G51" s="9" t="n">
        <v>43.83</v>
      </c>
      <c r="H51" s="9">
        <f>G51-F51</f>
        <v/>
      </c>
      <c r="I51" s="11">
        <f>IFERROR(H51/G51, 0)</f>
        <v/>
      </c>
      <c r="J51" s="8">
        <f>IF(G51&gt;=400, "High-End", IF(G51&gt;=100, "Mid-Tier", "Economy"))</f>
        <v/>
      </c>
      <c r="K51" s="8" t="n">
        <v>100</v>
      </c>
    </row>
    <row r="52">
      <c r="A52" s="8" t="inlineStr">
        <is>
          <t>PRD-0048</t>
        </is>
      </c>
      <c r="B52" s="8" t="inlineStr">
        <is>
          <t>AccuBinder Pens, Inks &amp; Marker Model-623</t>
        </is>
      </c>
      <c r="C52" s="8" t="inlineStr">
        <is>
          <t>Office Supplies</t>
        </is>
      </c>
      <c r="D52" s="8" t="inlineStr">
        <is>
          <t>Pens, Inks &amp; Markers</t>
        </is>
      </c>
      <c r="E52" s="8" t="inlineStr">
        <is>
          <t>AccuBinder</t>
        </is>
      </c>
      <c r="F52" s="9" t="n">
        <v>23.33</v>
      </c>
      <c r="G52" s="9" t="n">
        <v>39</v>
      </c>
      <c r="H52" s="9">
        <f>G52-F52</f>
        <v/>
      </c>
      <c r="I52" s="11">
        <f>IFERROR(H52/G52, 0)</f>
        <v/>
      </c>
      <c r="J52" s="8">
        <f>IF(G52&gt;=400, "High-End", IF(G52&gt;=100, "Mid-Tier", "Economy"))</f>
        <v/>
      </c>
      <c r="K52" s="8" t="n">
        <v>35</v>
      </c>
    </row>
    <row r="53">
      <c r="A53" s="8" t="inlineStr">
        <is>
          <t>PRD-0049</t>
        </is>
      </c>
      <c r="B53" s="8" t="inlineStr">
        <is>
          <t>QuantumByte Smartphones &amp; Accessorie Model-195</t>
        </is>
      </c>
      <c r="C53" s="8" t="inlineStr">
        <is>
          <t>Technology</t>
        </is>
      </c>
      <c r="D53" s="8" t="inlineStr">
        <is>
          <t>Smartphones &amp; Accessories</t>
        </is>
      </c>
      <c r="E53" s="8" t="inlineStr">
        <is>
          <t>QuantumByte</t>
        </is>
      </c>
      <c r="F53" s="9" t="n">
        <v>506.64</v>
      </c>
      <c r="G53" s="9" t="n">
        <v>742.52</v>
      </c>
      <c r="H53" s="9">
        <f>G53-F53</f>
        <v/>
      </c>
      <c r="I53" s="11">
        <f>IFERROR(H53/G53, 0)</f>
        <v/>
      </c>
      <c r="J53" s="8">
        <f>IF(G53&gt;=400, "High-End", IF(G53&gt;=100, "Mid-Tier", "Economy"))</f>
        <v/>
      </c>
      <c r="K53" s="8" t="n">
        <v>50</v>
      </c>
    </row>
    <row r="54">
      <c r="A54" s="8" t="inlineStr">
        <is>
          <t>PRD-0050</t>
        </is>
      </c>
      <c r="B54" s="8" t="inlineStr">
        <is>
          <t>Novacore Monitors &amp; Display Model-725</t>
        </is>
      </c>
      <c r="C54" s="8" t="inlineStr">
        <is>
          <t>Technology</t>
        </is>
      </c>
      <c r="D54" s="8" t="inlineStr">
        <is>
          <t>Monitors &amp; Displays</t>
        </is>
      </c>
      <c r="E54" s="8" t="inlineStr">
        <is>
          <t>Novacore</t>
        </is>
      </c>
      <c r="F54" s="9" t="n">
        <v>57.35</v>
      </c>
      <c r="G54" s="9" t="n">
        <v>73.2</v>
      </c>
      <c r="H54" s="9">
        <f>G54-F54</f>
        <v/>
      </c>
      <c r="I54" s="11">
        <f>IFERROR(H54/G54, 0)</f>
        <v/>
      </c>
      <c r="J54" s="8">
        <f>IF(G54&gt;=400, "High-End", IF(G54&gt;=100, "Mid-Tier", "Economy"))</f>
        <v/>
      </c>
      <c r="K54" s="8" t="n">
        <v>75</v>
      </c>
    </row>
    <row r="55">
      <c r="A55" s="8" t="inlineStr">
        <is>
          <t>PRD-0051</t>
        </is>
      </c>
      <c r="B55" s="8" t="inlineStr">
        <is>
          <t>Hyperion Monitors &amp; Display Model-251</t>
        </is>
      </c>
      <c r="C55" s="8" t="inlineStr">
        <is>
          <t>Technology</t>
        </is>
      </c>
      <c r="D55" s="8" t="inlineStr">
        <is>
          <t>Monitors &amp; Displays</t>
        </is>
      </c>
      <c r="E55" s="8" t="inlineStr">
        <is>
          <t>Hyperion</t>
        </is>
      </c>
      <c r="F55" s="9" t="n">
        <v>672.16</v>
      </c>
      <c r="G55" s="9" t="n">
        <v>896.46</v>
      </c>
      <c r="H55" s="9">
        <f>G55-F55</f>
        <v/>
      </c>
      <c r="I55" s="11">
        <f>IFERROR(H55/G55, 0)</f>
        <v/>
      </c>
      <c r="J55" s="8">
        <f>IF(G55&gt;=400, "High-End", IF(G55&gt;=100, "Mid-Tier", "Economy"))</f>
        <v/>
      </c>
      <c r="K55" s="8" t="n">
        <v>35</v>
      </c>
    </row>
    <row r="56">
      <c r="A56" s="8" t="inlineStr">
        <is>
          <t>PRD-0052</t>
        </is>
      </c>
      <c r="B56" s="8" t="inlineStr">
        <is>
          <t>ZenithLogix Smartphones &amp; Accessorie Model-630</t>
        </is>
      </c>
      <c r="C56" s="8" t="inlineStr">
        <is>
          <t>Technology</t>
        </is>
      </c>
      <c r="D56" s="8" t="inlineStr">
        <is>
          <t>Smartphones &amp; Accessories</t>
        </is>
      </c>
      <c r="E56" s="8" t="inlineStr">
        <is>
          <t>ZenithLogix</t>
        </is>
      </c>
      <c r="F56" s="9" t="n">
        <v>235.24</v>
      </c>
      <c r="G56" s="9" t="n">
        <v>354.02</v>
      </c>
      <c r="H56" s="9">
        <f>G56-F56</f>
        <v/>
      </c>
      <c r="I56" s="11">
        <f>IFERROR(H56/G56, 0)</f>
        <v/>
      </c>
      <c r="J56" s="8">
        <f>IF(G56&gt;=400, "High-End", IF(G56&gt;=100, "Mid-Tier", "Economy"))</f>
        <v/>
      </c>
      <c r="K56" s="8" t="n">
        <v>150</v>
      </c>
    </row>
    <row r="57">
      <c r="A57" s="8" t="inlineStr">
        <is>
          <t>PRD-0053</t>
        </is>
      </c>
      <c r="B57" s="8" t="inlineStr">
        <is>
          <t>ZenithLogix Audio &amp; Headphone Model-424</t>
        </is>
      </c>
      <c r="C57" s="8" t="inlineStr">
        <is>
          <t>Technology</t>
        </is>
      </c>
      <c r="D57" s="8" t="inlineStr">
        <is>
          <t>Audio &amp; Headphones</t>
        </is>
      </c>
      <c r="E57" s="8" t="inlineStr">
        <is>
          <t>ZenithLogix</t>
        </is>
      </c>
      <c r="F57" s="9" t="n">
        <v>645.83</v>
      </c>
      <c r="G57" s="9" t="n">
        <v>1031.53</v>
      </c>
      <c r="H57" s="9">
        <f>G57-F57</f>
        <v/>
      </c>
      <c r="I57" s="11">
        <f>IFERROR(H57/G57, 0)</f>
        <v/>
      </c>
      <c r="J57" s="8">
        <f>IF(G57&gt;=400, "High-End", IF(G57&gt;=100, "Mid-Tier", "Economy"))</f>
        <v/>
      </c>
      <c r="K57" s="8" t="n">
        <v>100</v>
      </c>
    </row>
    <row r="58">
      <c r="A58" s="8" t="inlineStr">
        <is>
          <t>PRD-0054</t>
        </is>
      </c>
      <c r="B58" s="8" t="inlineStr">
        <is>
          <t>ModuDesk Conference Table Model-861</t>
        </is>
      </c>
      <c r="C58" s="8" t="inlineStr">
        <is>
          <t>Furniture</t>
        </is>
      </c>
      <c r="D58" s="8" t="inlineStr">
        <is>
          <t>Conference Tables</t>
        </is>
      </c>
      <c r="E58" s="8" t="inlineStr">
        <is>
          <t>ModuDesk</t>
        </is>
      </c>
      <c r="F58" s="9" t="n">
        <v>547.49</v>
      </c>
      <c r="G58" s="9" t="n">
        <v>873.8</v>
      </c>
      <c r="H58" s="9">
        <f>G58-F58</f>
        <v/>
      </c>
      <c r="I58" s="11">
        <f>IFERROR(H58/G58, 0)</f>
        <v/>
      </c>
      <c r="J58" s="8">
        <f>IF(G58&gt;=400, "High-End", IF(G58&gt;=100, "Mid-Tier", "Economy"))</f>
        <v/>
      </c>
      <c r="K58" s="8" t="n">
        <v>35</v>
      </c>
    </row>
    <row r="59">
      <c r="A59" s="8" t="inlineStr">
        <is>
          <t>PRD-0055</t>
        </is>
      </c>
      <c r="B59" s="8" t="inlineStr">
        <is>
          <t>AeroSonic Printers &amp; Networking Model-179</t>
        </is>
      </c>
      <c r="C59" s="8" t="inlineStr">
        <is>
          <t>Technology</t>
        </is>
      </c>
      <c r="D59" s="8" t="inlineStr">
        <is>
          <t>Printers &amp; Networking</t>
        </is>
      </c>
      <c r="E59" s="8" t="inlineStr">
        <is>
          <t>AeroSonic</t>
        </is>
      </c>
      <c r="F59" s="9" t="n">
        <v>478.41</v>
      </c>
      <c r="G59" s="9" t="n">
        <v>600.42</v>
      </c>
      <c r="H59" s="9">
        <f>G59-F59</f>
        <v/>
      </c>
      <c r="I59" s="11">
        <f>IFERROR(H59/G59, 0)</f>
        <v/>
      </c>
      <c r="J59" s="8">
        <f>IF(G59&gt;=400, "High-End", IF(G59&gt;=100, "Mid-Tier", "Economy"))</f>
        <v/>
      </c>
      <c r="K59" s="8" t="n">
        <v>75</v>
      </c>
    </row>
    <row r="60">
      <c r="A60" s="8" t="inlineStr">
        <is>
          <t>PRD-0056</t>
        </is>
      </c>
      <c r="B60" s="8" t="inlineStr">
        <is>
          <t>Novacore Smartphones &amp; Accessorie Model-823</t>
        </is>
      </c>
      <c r="C60" s="8" t="inlineStr">
        <is>
          <t>Technology</t>
        </is>
      </c>
      <c r="D60" s="8" t="inlineStr">
        <is>
          <t>Smartphones &amp; Accessories</t>
        </is>
      </c>
      <c r="E60" s="8" t="inlineStr">
        <is>
          <t>Novacore</t>
        </is>
      </c>
      <c r="F60" s="9" t="n">
        <v>173.01</v>
      </c>
      <c r="G60" s="9" t="n">
        <v>243.62</v>
      </c>
      <c r="H60" s="9">
        <f>G60-F60</f>
        <v/>
      </c>
      <c r="I60" s="11">
        <f>IFERROR(H60/G60, 0)</f>
        <v/>
      </c>
      <c r="J60" s="8">
        <f>IF(G60&gt;=400, "High-End", IF(G60&gt;=100, "Mid-Tier", "Economy"))</f>
        <v/>
      </c>
      <c r="K60" s="8" t="n">
        <v>35</v>
      </c>
    </row>
    <row r="61">
      <c r="A61" s="8" t="inlineStr">
        <is>
          <t>PRD-0057</t>
        </is>
      </c>
      <c r="B61" s="8" t="inlineStr">
        <is>
          <t>Novacore Laptops &amp; Desktop Model-812</t>
        </is>
      </c>
      <c r="C61" s="8" t="inlineStr">
        <is>
          <t>Technology</t>
        </is>
      </c>
      <c r="D61" s="8" t="inlineStr">
        <is>
          <t>Laptops &amp; Desktops</t>
        </is>
      </c>
      <c r="E61" s="8" t="inlineStr">
        <is>
          <t>Novacore</t>
        </is>
      </c>
      <c r="F61" s="9" t="n">
        <v>797.1</v>
      </c>
      <c r="G61" s="9" t="n">
        <v>1083.72</v>
      </c>
      <c r="H61" s="9">
        <f>G61-F61</f>
        <v/>
      </c>
      <c r="I61" s="11">
        <f>IFERROR(H61/G61, 0)</f>
        <v/>
      </c>
      <c r="J61" s="8">
        <f>IF(G61&gt;=400, "High-End", IF(G61&gt;=100, "Mid-Tier", "Economy"))</f>
        <v/>
      </c>
      <c r="K61" s="8" t="n">
        <v>100</v>
      </c>
    </row>
    <row r="62">
      <c r="A62" s="8" t="inlineStr">
        <is>
          <t>PRD-0058</t>
        </is>
      </c>
      <c r="B62" s="8" t="inlineStr">
        <is>
          <t>NordicCraft Office Chair Model-651</t>
        </is>
      </c>
      <c r="C62" s="8" t="inlineStr">
        <is>
          <t>Furniture</t>
        </is>
      </c>
      <c r="D62" s="8" t="inlineStr">
        <is>
          <t>Office Chairs</t>
        </is>
      </c>
      <c r="E62" s="8" t="inlineStr">
        <is>
          <t>NordicCraft</t>
        </is>
      </c>
      <c r="F62" s="9" t="n">
        <v>500.85</v>
      </c>
      <c r="G62" s="9" t="n">
        <v>809.52</v>
      </c>
      <c r="H62" s="9">
        <f>G62-F62</f>
        <v/>
      </c>
      <c r="I62" s="11">
        <f>IFERROR(H62/G62, 0)</f>
        <v/>
      </c>
      <c r="J62" s="8">
        <f>IF(G62&gt;=400, "High-End", IF(G62&gt;=100, "Mid-Tier", "Economy"))</f>
        <v/>
      </c>
      <c r="K62" s="8" t="n">
        <v>75</v>
      </c>
    </row>
    <row r="63">
      <c r="A63" s="8" t="inlineStr">
        <is>
          <t>PRD-0059</t>
        </is>
      </c>
      <c r="B63" s="8" t="inlineStr">
        <is>
          <t>QuantumByte Monitors &amp; Display Model-784</t>
        </is>
      </c>
      <c r="C63" s="8" t="inlineStr">
        <is>
          <t>Technology</t>
        </is>
      </c>
      <c r="D63" s="8" t="inlineStr">
        <is>
          <t>Monitors &amp; Displays</t>
        </is>
      </c>
      <c r="E63" s="8" t="inlineStr">
        <is>
          <t>QuantumByte</t>
        </is>
      </c>
      <c r="F63" s="9" t="n">
        <v>433.79</v>
      </c>
      <c r="G63" s="9" t="n">
        <v>532.12</v>
      </c>
      <c r="H63" s="9">
        <f>G63-F63</f>
        <v/>
      </c>
      <c r="I63" s="11">
        <f>IFERROR(H63/G63, 0)</f>
        <v/>
      </c>
      <c r="J63" s="8">
        <f>IF(G63&gt;=400, "High-End", IF(G63&gt;=100, "Mid-Tier", "Economy"))</f>
        <v/>
      </c>
      <c r="K63" s="8" t="n">
        <v>50</v>
      </c>
    </row>
    <row r="64">
      <c r="A64" s="8" t="inlineStr">
        <is>
          <t>PRD-0060</t>
        </is>
      </c>
      <c r="B64" s="8" t="inlineStr">
        <is>
          <t>AeroSonic Audio &amp; Headphone Model-677</t>
        </is>
      </c>
      <c r="C64" s="8" t="inlineStr">
        <is>
          <t>Technology</t>
        </is>
      </c>
      <c r="D64" s="8" t="inlineStr">
        <is>
          <t>Audio &amp; Headphones</t>
        </is>
      </c>
      <c r="E64" s="8" t="inlineStr">
        <is>
          <t>AeroSonic</t>
        </is>
      </c>
      <c r="F64" s="9" t="n">
        <v>523.72</v>
      </c>
      <c r="G64" s="9" t="n">
        <v>826.74</v>
      </c>
      <c r="H64" s="9">
        <f>G64-F64</f>
        <v/>
      </c>
      <c r="I64" s="11">
        <f>IFERROR(H64/G64, 0)</f>
        <v/>
      </c>
      <c r="J64" s="8">
        <f>IF(G64&gt;=400, "High-End", IF(G64&gt;=100, "Mid-Tier", "Economy"))</f>
        <v/>
      </c>
      <c r="K64" s="8" t="n">
        <v>100</v>
      </c>
    </row>
    <row r="65">
      <c r="A65" s="8" t="inlineStr">
        <is>
          <t>PRD-0061</t>
        </is>
      </c>
      <c r="B65" s="8" t="inlineStr">
        <is>
          <t>ApexTech Audio &amp; Headphone Model-434</t>
        </is>
      </c>
      <c r="C65" s="8" t="inlineStr">
        <is>
          <t>Technology</t>
        </is>
      </c>
      <c r="D65" s="8" t="inlineStr">
        <is>
          <t>Audio &amp; Headphones</t>
        </is>
      </c>
      <c r="E65" s="8" t="inlineStr">
        <is>
          <t>ApexTech</t>
        </is>
      </c>
      <c r="F65" s="9" t="n">
        <v>273.04</v>
      </c>
      <c r="G65" s="9" t="n">
        <v>394.62</v>
      </c>
      <c r="H65" s="9">
        <f>G65-F65</f>
        <v/>
      </c>
      <c r="I65" s="11">
        <f>IFERROR(H65/G65, 0)</f>
        <v/>
      </c>
      <c r="J65" s="8">
        <f>IF(G65&gt;=400, "High-End", IF(G65&gt;=100, "Mid-Tier", "Economy"))</f>
        <v/>
      </c>
      <c r="K65" s="8" t="n">
        <v>75</v>
      </c>
    </row>
    <row r="66">
      <c r="A66" s="8" t="inlineStr">
        <is>
          <t>PRD-0062</t>
        </is>
      </c>
      <c r="B66" s="8" t="inlineStr">
        <is>
          <t>NordicCraft Standing Desk Model-652</t>
        </is>
      </c>
      <c r="C66" s="8" t="inlineStr">
        <is>
          <t>Furniture</t>
        </is>
      </c>
      <c r="D66" s="8" t="inlineStr">
        <is>
          <t>Standing Desks</t>
        </is>
      </c>
      <c r="E66" s="8" t="inlineStr">
        <is>
          <t>NordicCraft</t>
        </is>
      </c>
      <c r="F66" s="9" t="n">
        <v>550.12</v>
      </c>
      <c r="G66" s="9" t="n">
        <v>829.67</v>
      </c>
      <c r="H66" s="9">
        <f>G66-F66</f>
        <v/>
      </c>
      <c r="I66" s="11">
        <f>IFERROR(H66/G66, 0)</f>
        <v/>
      </c>
      <c r="J66" s="8">
        <f>IF(G66&gt;=400, "High-End", IF(G66&gt;=100, "Mid-Tier", "Economy"))</f>
        <v/>
      </c>
      <c r="K66" s="8" t="n">
        <v>150</v>
      </c>
    </row>
    <row r="67">
      <c r="A67" s="8" t="inlineStr">
        <is>
          <t>PRD-0063</t>
        </is>
      </c>
      <c r="B67" s="8" t="inlineStr">
        <is>
          <t>OptimaPrint Pens, Inks &amp; Marker Model-959</t>
        </is>
      </c>
      <c r="C67" s="8" t="inlineStr">
        <is>
          <t>Office Supplies</t>
        </is>
      </c>
      <c r="D67" s="8" t="inlineStr">
        <is>
          <t>Pens, Inks &amp; Markers</t>
        </is>
      </c>
      <c r="E67" s="8" t="inlineStr">
        <is>
          <t>OptimaPrint</t>
        </is>
      </c>
      <c r="F67" s="9" t="n">
        <v>35.05</v>
      </c>
      <c r="G67" s="9" t="n">
        <v>62.68</v>
      </c>
      <c r="H67" s="9">
        <f>G67-F67</f>
        <v/>
      </c>
      <c r="I67" s="11">
        <f>IFERROR(H67/G67, 0)</f>
        <v/>
      </c>
      <c r="J67" s="8">
        <f>IF(G67&gt;=400, "High-End", IF(G67&gt;=100, "Mid-Tier", "Economy"))</f>
        <v/>
      </c>
      <c r="K67" s="8" t="n">
        <v>35</v>
      </c>
    </row>
    <row r="68">
      <c r="A68" s="8" t="inlineStr">
        <is>
          <t>PRD-0064</t>
        </is>
      </c>
      <c r="B68" s="8" t="inlineStr">
        <is>
          <t>EverWrite Paper &amp; Stationery Model-271</t>
        </is>
      </c>
      <c r="C68" s="8" t="inlineStr">
        <is>
          <t>Office Supplies</t>
        </is>
      </c>
      <c r="D68" s="8" t="inlineStr">
        <is>
          <t>Paper &amp; Stationery</t>
        </is>
      </c>
      <c r="E68" s="8" t="inlineStr">
        <is>
          <t>EverWrite</t>
        </is>
      </c>
      <c r="F68" s="9" t="n">
        <v>23.33</v>
      </c>
      <c r="G68" s="9" t="n">
        <v>36.84</v>
      </c>
      <c r="H68" s="9">
        <f>G68-F68</f>
        <v/>
      </c>
      <c r="I68" s="11">
        <f>IFERROR(H68/G68, 0)</f>
        <v/>
      </c>
      <c r="J68" s="8">
        <f>IF(G68&gt;=400, "High-End", IF(G68&gt;=100, "Mid-Tier", "Economy"))</f>
        <v/>
      </c>
      <c r="K68" s="8" t="n">
        <v>50</v>
      </c>
    </row>
    <row r="69">
      <c r="A69" s="8" t="inlineStr">
        <is>
          <t>PRD-0065</t>
        </is>
      </c>
      <c r="B69" s="8" t="inlineStr">
        <is>
          <t>QuantumByte Audio &amp; Headphone Model-689</t>
        </is>
      </c>
      <c r="C69" s="8" t="inlineStr">
        <is>
          <t>Technology</t>
        </is>
      </c>
      <c r="D69" s="8" t="inlineStr">
        <is>
          <t>Audio &amp; Headphones</t>
        </is>
      </c>
      <c r="E69" s="8" t="inlineStr">
        <is>
          <t>QuantumByte</t>
        </is>
      </c>
      <c r="F69" s="9" t="n">
        <v>133.91</v>
      </c>
      <c r="G69" s="9" t="n">
        <v>184.25</v>
      </c>
      <c r="H69" s="9">
        <f>G69-F69</f>
        <v/>
      </c>
      <c r="I69" s="11">
        <f>IFERROR(H69/G69, 0)</f>
        <v/>
      </c>
      <c r="J69" s="8">
        <f>IF(G69&gt;=400, "High-End", IF(G69&gt;=100, "Mid-Tier", "Economy"))</f>
        <v/>
      </c>
      <c r="K69" s="8" t="n">
        <v>50</v>
      </c>
    </row>
    <row r="70">
      <c r="A70" s="8" t="inlineStr">
        <is>
          <t>PRD-0066</t>
        </is>
      </c>
      <c r="B70" s="8" t="inlineStr">
        <is>
          <t>AeroSonic Smartphones &amp; Accessorie Model-813</t>
        </is>
      </c>
      <c r="C70" s="8" t="inlineStr">
        <is>
          <t>Technology</t>
        </is>
      </c>
      <c r="D70" s="8" t="inlineStr">
        <is>
          <t>Smartphones &amp; Accessories</t>
        </is>
      </c>
      <c r="E70" s="8" t="inlineStr">
        <is>
          <t>AeroSonic</t>
        </is>
      </c>
      <c r="F70" s="9" t="n">
        <v>666.91</v>
      </c>
      <c r="G70" s="9" t="n">
        <v>976.53</v>
      </c>
      <c r="H70" s="9">
        <f>G70-F70</f>
        <v/>
      </c>
      <c r="I70" s="11">
        <f>IFERROR(H70/G70, 0)</f>
        <v/>
      </c>
      <c r="J70" s="8">
        <f>IF(G70&gt;=400, "High-End", IF(G70&gt;=100, "Mid-Tier", "Economy"))</f>
        <v/>
      </c>
      <c r="K70" s="8" t="n">
        <v>20</v>
      </c>
    </row>
    <row r="71">
      <c r="A71" s="8" t="inlineStr">
        <is>
          <t>PRD-0067</t>
        </is>
      </c>
      <c r="B71" s="8" t="inlineStr">
        <is>
          <t>OptimaPrint Paper &amp; Stationery Model-170</t>
        </is>
      </c>
      <c r="C71" s="8" t="inlineStr">
        <is>
          <t>Office Supplies</t>
        </is>
      </c>
      <c r="D71" s="8" t="inlineStr">
        <is>
          <t>Paper &amp; Stationery</t>
        </is>
      </c>
      <c r="E71" s="8" t="inlineStr">
        <is>
          <t>OptimaPrint</t>
        </is>
      </c>
      <c r="F71" s="9" t="n">
        <v>18.56</v>
      </c>
      <c r="G71" s="9" t="n">
        <v>30.04</v>
      </c>
      <c r="H71" s="9">
        <f>G71-F71</f>
        <v/>
      </c>
      <c r="I71" s="11">
        <f>IFERROR(H71/G71, 0)</f>
        <v/>
      </c>
      <c r="J71" s="8">
        <f>IF(G71&gt;=400, "High-End", IF(G71&gt;=100, "Mid-Tier", "Economy"))</f>
        <v/>
      </c>
      <c r="K71" s="8" t="n">
        <v>50</v>
      </c>
    </row>
    <row r="72">
      <c r="A72" s="8" t="inlineStr">
        <is>
          <t>PRD-0068</t>
        </is>
      </c>
      <c r="B72" s="8" t="inlineStr">
        <is>
          <t>ZenithLogix Smartphones &amp; Accessorie Model-824</t>
        </is>
      </c>
      <c r="C72" s="8" t="inlineStr">
        <is>
          <t>Technology</t>
        </is>
      </c>
      <c r="D72" s="8" t="inlineStr">
        <is>
          <t>Smartphones &amp; Accessories</t>
        </is>
      </c>
      <c r="E72" s="8" t="inlineStr">
        <is>
          <t>ZenithLogix</t>
        </is>
      </c>
      <c r="F72" s="9" t="n">
        <v>914.12</v>
      </c>
      <c r="G72" s="9" t="n">
        <v>1340.27</v>
      </c>
      <c r="H72" s="9">
        <f>G72-F72</f>
        <v/>
      </c>
      <c r="I72" s="11">
        <f>IFERROR(H72/G72, 0)</f>
        <v/>
      </c>
      <c r="J72" s="8">
        <f>IF(G72&gt;=400, "High-End", IF(G72&gt;=100, "Mid-Tier", "Economy"))</f>
        <v/>
      </c>
      <c r="K72" s="8" t="n">
        <v>75</v>
      </c>
    </row>
    <row r="73">
      <c r="A73" s="8" t="inlineStr">
        <is>
          <t>PRD-0069</t>
        </is>
      </c>
      <c r="B73" s="8" t="inlineStr">
        <is>
          <t>SafeKeep Paper &amp; Stationery Model-706</t>
        </is>
      </c>
      <c r="C73" s="8" t="inlineStr">
        <is>
          <t>Office Supplies</t>
        </is>
      </c>
      <c r="D73" s="8" t="inlineStr">
        <is>
          <t>Paper &amp; Stationery</t>
        </is>
      </c>
      <c r="E73" s="8" t="inlineStr">
        <is>
          <t>SafeKeep</t>
        </is>
      </c>
      <c r="F73" s="9" t="n">
        <v>35.87</v>
      </c>
      <c r="G73" s="9" t="n">
        <v>58.36</v>
      </c>
      <c r="H73" s="9">
        <f>G73-F73</f>
        <v/>
      </c>
      <c r="I73" s="11">
        <f>IFERROR(H73/G73, 0)</f>
        <v/>
      </c>
      <c r="J73" s="8">
        <f>IF(G73&gt;=400, "High-End", IF(G73&gt;=100, "Mid-Tier", "Economy"))</f>
        <v/>
      </c>
      <c r="K73" s="8" t="n">
        <v>150</v>
      </c>
    </row>
    <row r="74">
      <c r="A74" s="8" t="inlineStr">
        <is>
          <t>PRD-0070</t>
        </is>
      </c>
      <c r="B74" s="8" t="inlineStr">
        <is>
          <t>TrekLine Backpacks &amp; Laptop Bag Model-784</t>
        </is>
      </c>
      <c r="C74" s="8" t="inlineStr">
        <is>
          <t>Apparel &amp; Gear</t>
        </is>
      </c>
      <c r="D74" s="8" t="inlineStr">
        <is>
          <t>Backpacks &amp; Laptop Bags</t>
        </is>
      </c>
      <c r="E74" s="8" t="inlineStr">
        <is>
          <t>TrekLine</t>
        </is>
      </c>
      <c r="F74" s="9" t="n">
        <v>45.48</v>
      </c>
      <c r="G74" s="9" t="n">
        <v>70.34999999999999</v>
      </c>
      <c r="H74" s="9">
        <f>G74-F74</f>
        <v/>
      </c>
      <c r="I74" s="11">
        <f>IFERROR(H74/G74, 0)</f>
        <v/>
      </c>
      <c r="J74" s="8">
        <f>IF(G74&gt;=400, "High-End", IF(G74&gt;=100, "Mid-Tier", "Economy"))</f>
        <v/>
      </c>
      <c r="K74" s="8" t="n">
        <v>100</v>
      </c>
    </row>
    <row r="75">
      <c r="A75" s="8" t="inlineStr">
        <is>
          <t>PRD-0071</t>
        </is>
      </c>
      <c r="B75" s="8" t="inlineStr">
        <is>
          <t>QuantumByte Monitors &amp; Display Model-818</t>
        </is>
      </c>
      <c r="C75" s="8" t="inlineStr">
        <is>
          <t>Technology</t>
        </is>
      </c>
      <c r="D75" s="8" t="inlineStr">
        <is>
          <t>Monitors &amp; Displays</t>
        </is>
      </c>
      <c r="E75" s="8" t="inlineStr">
        <is>
          <t>QuantumByte</t>
        </is>
      </c>
      <c r="F75" s="9" t="n">
        <v>765.02</v>
      </c>
      <c r="G75" s="9" t="n">
        <v>993.21</v>
      </c>
      <c r="H75" s="9">
        <f>G75-F75</f>
        <v/>
      </c>
      <c r="I75" s="11">
        <f>IFERROR(H75/G75, 0)</f>
        <v/>
      </c>
      <c r="J75" s="8">
        <f>IF(G75&gt;=400, "High-End", IF(G75&gt;=100, "Mid-Tier", "Economy"))</f>
        <v/>
      </c>
      <c r="K75" s="8" t="n">
        <v>100</v>
      </c>
    </row>
    <row r="76">
      <c r="A76" s="8" t="inlineStr">
        <is>
          <t>PRD-0072</t>
        </is>
      </c>
      <c r="B76" s="8" t="inlineStr">
        <is>
          <t>Hyperion Monitors &amp; Display Model-807</t>
        </is>
      </c>
      <c r="C76" s="8" t="inlineStr">
        <is>
          <t>Technology</t>
        </is>
      </c>
      <c r="D76" s="8" t="inlineStr">
        <is>
          <t>Monitors &amp; Displays</t>
        </is>
      </c>
      <c r="E76" s="8" t="inlineStr">
        <is>
          <t>Hyperion</t>
        </is>
      </c>
      <c r="F76" s="9" t="n">
        <v>406.88</v>
      </c>
      <c r="G76" s="9" t="n">
        <v>548.35</v>
      </c>
      <c r="H76" s="9">
        <f>G76-F76</f>
        <v/>
      </c>
      <c r="I76" s="11">
        <f>IFERROR(H76/G76, 0)</f>
        <v/>
      </c>
      <c r="J76" s="8">
        <f>IF(G76&gt;=400, "High-End", IF(G76&gt;=100, "Mid-Tier", "Economy"))</f>
        <v/>
      </c>
      <c r="K76" s="8" t="n">
        <v>35</v>
      </c>
    </row>
    <row r="77">
      <c r="A77" s="8" t="inlineStr">
        <is>
          <t>PRD-0073</t>
        </is>
      </c>
      <c r="B77" s="8" t="inlineStr">
        <is>
          <t>Novacore Printers &amp; Networking Model-695</t>
        </is>
      </c>
      <c r="C77" s="8" t="inlineStr">
        <is>
          <t>Technology</t>
        </is>
      </c>
      <c r="D77" s="8" t="inlineStr">
        <is>
          <t>Printers &amp; Networking</t>
        </is>
      </c>
      <c r="E77" s="8" t="inlineStr">
        <is>
          <t>Novacore</t>
        </is>
      </c>
      <c r="F77" s="9" t="n">
        <v>405.03</v>
      </c>
      <c r="G77" s="9" t="n">
        <v>508.7</v>
      </c>
      <c r="H77" s="9">
        <f>G77-F77</f>
        <v/>
      </c>
      <c r="I77" s="11">
        <f>IFERROR(H77/G77, 0)</f>
        <v/>
      </c>
      <c r="J77" s="8">
        <f>IF(G77&gt;=400, "High-End", IF(G77&gt;=100, "Mid-Tier", "Economy"))</f>
        <v/>
      </c>
      <c r="K77" s="8" t="n">
        <v>150</v>
      </c>
    </row>
    <row r="78">
      <c r="A78" s="8" t="inlineStr">
        <is>
          <t>PRD-0074</t>
        </is>
      </c>
      <c r="B78" s="8" t="inlineStr">
        <is>
          <t>NordicCraft Conference Table Model-357</t>
        </is>
      </c>
      <c r="C78" s="8" t="inlineStr">
        <is>
          <t>Furniture</t>
        </is>
      </c>
      <c r="D78" s="8" t="inlineStr">
        <is>
          <t>Conference Tables</t>
        </is>
      </c>
      <c r="E78" s="8" t="inlineStr">
        <is>
          <t>NordicCraft</t>
        </is>
      </c>
      <c r="F78" s="9" t="n">
        <v>257.85</v>
      </c>
      <c r="G78" s="9" t="n">
        <v>405.95</v>
      </c>
      <c r="H78" s="9">
        <f>G78-F78</f>
        <v/>
      </c>
      <c r="I78" s="11">
        <f>IFERROR(H78/G78, 0)</f>
        <v/>
      </c>
      <c r="J78" s="8">
        <f>IF(G78&gt;=400, "High-End", IF(G78&gt;=100, "Mid-Tier", "Economy"))</f>
        <v/>
      </c>
      <c r="K78" s="8" t="n">
        <v>50</v>
      </c>
    </row>
    <row r="79">
      <c r="A79" s="8" t="inlineStr">
        <is>
          <t>PRD-0075</t>
        </is>
      </c>
      <c r="B79" s="8" t="inlineStr">
        <is>
          <t>EverWrite Desk Accessorie Model-841</t>
        </is>
      </c>
      <c r="C79" s="8" t="inlineStr">
        <is>
          <t>Office Supplies</t>
        </is>
      </c>
      <c r="D79" s="8" t="inlineStr">
        <is>
          <t>Desk Accessories</t>
        </is>
      </c>
      <c r="E79" s="8" t="inlineStr">
        <is>
          <t>EverWrite</t>
        </is>
      </c>
      <c r="F79" s="9" t="n">
        <v>12.26</v>
      </c>
      <c r="G79" s="9" t="n">
        <v>20.47</v>
      </c>
      <c r="H79" s="9">
        <f>G79-F79</f>
        <v/>
      </c>
      <c r="I79" s="11">
        <f>IFERROR(H79/G79, 0)</f>
        <v/>
      </c>
      <c r="J79" s="8">
        <f>IF(G79&gt;=400, "High-End", IF(G79&gt;=100, "Mid-Tier", "Economy"))</f>
        <v/>
      </c>
      <c r="K79" s="8" t="n">
        <v>50</v>
      </c>
    </row>
    <row r="80">
      <c r="A80" s="8" t="inlineStr">
        <is>
          <t>PRD-0076</t>
        </is>
      </c>
      <c r="B80" s="8" t="inlineStr">
        <is>
          <t>VanguardPro Corporate Apparel Model-114</t>
        </is>
      </c>
      <c r="C80" s="8" t="inlineStr">
        <is>
          <t>Apparel &amp; Gear</t>
        </is>
      </c>
      <c r="D80" s="8" t="inlineStr">
        <is>
          <t>Corporate Apparel</t>
        </is>
      </c>
      <c r="E80" s="8" t="inlineStr">
        <is>
          <t>VanguardPro</t>
        </is>
      </c>
      <c r="F80" s="9" t="n">
        <v>52.03</v>
      </c>
      <c r="G80" s="9" t="n">
        <v>83.40000000000001</v>
      </c>
      <c r="H80" s="9">
        <f>G80-F80</f>
        <v/>
      </c>
      <c r="I80" s="11">
        <f>IFERROR(H80/G80, 0)</f>
        <v/>
      </c>
      <c r="J80" s="8">
        <f>IF(G80&gt;=400, "High-End", IF(G80&gt;=100, "Mid-Tier", "Economy"))</f>
        <v/>
      </c>
      <c r="K80" s="8" t="n">
        <v>50</v>
      </c>
    </row>
    <row r="81">
      <c r="A81" s="8" t="inlineStr">
        <is>
          <t>PRD-0077</t>
        </is>
      </c>
      <c r="B81" s="8" t="inlineStr">
        <is>
          <t>Hyperion Printers &amp; Networking Model-205</t>
        </is>
      </c>
      <c r="C81" s="8" t="inlineStr">
        <is>
          <t>Technology</t>
        </is>
      </c>
      <c r="D81" s="8" t="inlineStr">
        <is>
          <t>Printers &amp; Networking</t>
        </is>
      </c>
      <c r="E81" s="8" t="inlineStr">
        <is>
          <t>Hyperion</t>
        </is>
      </c>
      <c r="F81" s="9" t="n">
        <v>898.84</v>
      </c>
      <c r="G81" s="9" t="n">
        <v>1210.48</v>
      </c>
      <c r="H81" s="9">
        <f>G81-F81</f>
        <v/>
      </c>
      <c r="I81" s="11">
        <f>IFERROR(H81/G81, 0)</f>
        <v/>
      </c>
      <c r="J81" s="8">
        <f>IF(G81&gt;=400, "High-End", IF(G81&gt;=100, "Mid-Tier", "Economy"))</f>
        <v/>
      </c>
      <c r="K81" s="8" t="n">
        <v>75</v>
      </c>
    </row>
    <row r="82">
      <c r="A82" s="8" t="inlineStr">
        <is>
          <t>PRD-0078</t>
        </is>
      </c>
      <c r="B82" s="8" t="inlineStr">
        <is>
          <t>ApexTech Audio &amp; Headphone Model-941</t>
        </is>
      </c>
      <c r="C82" s="8" t="inlineStr">
        <is>
          <t>Technology</t>
        </is>
      </c>
      <c r="D82" s="8" t="inlineStr">
        <is>
          <t>Audio &amp; Headphones</t>
        </is>
      </c>
      <c r="E82" s="8" t="inlineStr">
        <is>
          <t>ApexTech</t>
        </is>
      </c>
      <c r="F82" s="9" t="n">
        <v>266.02</v>
      </c>
      <c r="G82" s="9" t="n">
        <v>417.17</v>
      </c>
      <c r="H82" s="9">
        <f>G82-F82</f>
        <v/>
      </c>
      <c r="I82" s="11">
        <f>IFERROR(H82/G82, 0)</f>
        <v/>
      </c>
      <c r="J82" s="8">
        <f>IF(G82&gt;=400, "High-End", IF(G82&gt;=100, "Mid-Tier", "Economy"))</f>
        <v/>
      </c>
      <c r="K82" s="8" t="n">
        <v>20</v>
      </c>
    </row>
    <row r="83">
      <c r="A83" s="8" t="inlineStr">
        <is>
          <t>PRD-0079</t>
        </is>
      </c>
      <c r="B83" s="8" t="inlineStr">
        <is>
          <t>Novacore Audio &amp; Headphone Model-354</t>
        </is>
      </c>
      <c r="C83" s="8" t="inlineStr">
        <is>
          <t>Technology</t>
        </is>
      </c>
      <c r="D83" s="8" t="inlineStr">
        <is>
          <t>Audio &amp; Headphones</t>
        </is>
      </c>
      <c r="E83" s="8" t="inlineStr">
        <is>
          <t>Novacore</t>
        </is>
      </c>
      <c r="F83" s="9" t="n">
        <v>777.1900000000001</v>
      </c>
      <c r="G83" s="9" t="n">
        <v>1234.41</v>
      </c>
      <c r="H83" s="9">
        <f>G83-F83</f>
        <v/>
      </c>
      <c r="I83" s="11">
        <f>IFERROR(H83/G83, 0)</f>
        <v/>
      </c>
      <c r="J83" s="8">
        <f>IF(G83&gt;=400, "High-End", IF(G83&gt;=100, "Mid-Tier", "Economy"))</f>
        <v/>
      </c>
      <c r="K83" s="8" t="n">
        <v>20</v>
      </c>
    </row>
    <row r="84">
      <c r="A84" s="8" t="inlineStr">
        <is>
          <t>PRD-0080</t>
        </is>
      </c>
      <c r="B84" s="8" t="inlineStr">
        <is>
          <t>AeroSonic Monitors &amp; Display Model-980</t>
        </is>
      </c>
      <c r="C84" s="8" t="inlineStr">
        <is>
          <t>Technology</t>
        </is>
      </c>
      <c r="D84" s="8" t="inlineStr">
        <is>
          <t>Monitors &amp; Displays</t>
        </is>
      </c>
      <c r="E84" s="8" t="inlineStr">
        <is>
          <t>AeroSonic</t>
        </is>
      </c>
      <c r="F84" s="9" t="n">
        <v>383.05</v>
      </c>
      <c r="G84" s="9" t="n">
        <v>547.36</v>
      </c>
      <c r="H84" s="9">
        <f>G84-F84</f>
        <v/>
      </c>
      <c r="I84" s="11">
        <f>IFERROR(H84/G84, 0)</f>
        <v/>
      </c>
      <c r="J84" s="8">
        <f>IF(G84&gt;=400, "High-End", IF(G84&gt;=100, "Mid-Tier", "Economy"))</f>
        <v/>
      </c>
      <c r="K84" s="8" t="n">
        <v>50</v>
      </c>
    </row>
    <row r="85">
      <c r="A85" s="8" t="inlineStr">
        <is>
          <t>PRD-0081</t>
        </is>
      </c>
      <c r="B85" s="8" t="inlineStr">
        <is>
          <t>OptimaPrint Storage &amp; Organization Model-370</t>
        </is>
      </c>
      <c r="C85" s="8" t="inlineStr">
        <is>
          <t>Office Supplies</t>
        </is>
      </c>
      <c r="D85" s="8" t="inlineStr">
        <is>
          <t>Storage &amp; Organization</t>
        </is>
      </c>
      <c r="E85" s="8" t="inlineStr">
        <is>
          <t>OptimaPrint</t>
        </is>
      </c>
      <c r="F85" s="9" t="n">
        <v>42.88</v>
      </c>
      <c r="G85" s="9" t="n">
        <v>62.94</v>
      </c>
      <c r="H85" s="9">
        <f>G85-F85</f>
        <v/>
      </c>
      <c r="I85" s="11">
        <f>IFERROR(H85/G85, 0)</f>
        <v/>
      </c>
      <c r="J85" s="8">
        <f>IF(G85&gt;=400, "High-End", IF(G85&gt;=100, "Mid-Tier", "Economy"))</f>
        <v/>
      </c>
      <c r="K85" s="8" t="n">
        <v>35</v>
      </c>
    </row>
    <row r="86">
      <c r="A86" s="8" t="inlineStr">
        <is>
          <t>PRD-0082</t>
        </is>
      </c>
      <c r="B86" s="8" t="inlineStr">
        <is>
          <t>ZenithLogix Laptops &amp; Desktop Model-133</t>
        </is>
      </c>
      <c r="C86" s="8" t="inlineStr">
        <is>
          <t>Technology</t>
        </is>
      </c>
      <c r="D86" s="8" t="inlineStr">
        <is>
          <t>Laptops &amp; Desktops</t>
        </is>
      </c>
      <c r="E86" s="8" t="inlineStr">
        <is>
          <t>ZenithLogix</t>
        </is>
      </c>
      <c r="F86" s="9" t="n">
        <v>447.21</v>
      </c>
      <c r="G86" s="9" t="n">
        <v>629.04</v>
      </c>
      <c r="H86" s="9">
        <f>G86-F86</f>
        <v/>
      </c>
      <c r="I86" s="11">
        <f>IFERROR(H86/G86, 0)</f>
        <v/>
      </c>
      <c r="J86" s="8">
        <f>IF(G86&gt;=400, "High-End", IF(G86&gt;=100, "Mid-Tier", "Economy"))</f>
        <v/>
      </c>
      <c r="K86" s="8" t="n">
        <v>50</v>
      </c>
    </row>
    <row r="87">
      <c r="A87" s="8" t="inlineStr">
        <is>
          <t>PRD-0083</t>
        </is>
      </c>
      <c r="B87" s="8" t="inlineStr">
        <is>
          <t>EverWrite Pens, Inks &amp; Marker Model-703</t>
        </is>
      </c>
      <c r="C87" s="8" t="inlineStr">
        <is>
          <t>Office Supplies</t>
        </is>
      </c>
      <c r="D87" s="8" t="inlineStr">
        <is>
          <t>Pens, Inks &amp; Markers</t>
        </is>
      </c>
      <c r="E87" s="8" t="inlineStr">
        <is>
          <t>EverWrite</t>
        </is>
      </c>
      <c r="F87" s="9" t="n">
        <v>41.92</v>
      </c>
      <c r="G87" s="9" t="n">
        <v>73.41</v>
      </c>
      <c r="H87" s="9">
        <f>G87-F87</f>
        <v/>
      </c>
      <c r="I87" s="11">
        <f>IFERROR(H87/G87, 0)</f>
        <v/>
      </c>
      <c r="J87" s="8">
        <f>IF(G87&gt;=400, "High-End", IF(G87&gt;=100, "Mid-Tier", "Economy"))</f>
        <v/>
      </c>
      <c r="K87" s="8" t="n">
        <v>150</v>
      </c>
    </row>
    <row r="88">
      <c r="A88" s="8" t="inlineStr">
        <is>
          <t>PRD-0084</t>
        </is>
      </c>
      <c r="B88" s="8" t="inlineStr">
        <is>
          <t>EverWrite Pens, Inks &amp; Marker Model-161</t>
        </is>
      </c>
      <c r="C88" s="8" t="inlineStr">
        <is>
          <t>Office Supplies</t>
        </is>
      </c>
      <c r="D88" s="8" t="inlineStr">
        <is>
          <t>Pens, Inks &amp; Markers</t>
        </is>
      </c>
      <c r="E88" s="8" t="inlineStr">
        <is>
          <t>EverWrite</t>
        </is>
      </c>
      <c r="F88" s="9" t="n">
        <v>41.29</v>
      </c>
      <c r="G88" s="9" t="n">
        <v>72.68000000000001</v>
      </c>
      <c r="H88" s="9">
        <f>G88-F88</f>
        <v/>
      </c>
      <c r="I88" s="11">
        <f>IFERROR(H88/G88, 0)</f>
        <v/>
      </c>
      <c r="J88" s="8">
        <f>IF(G88&gt;=400, "High-End", IF(G88&gt;=100, "Mid-Tier", "Economy"))</f>
        <v/>
      </c>
      <c r="K88" s="8" t="n">
        <v>20</v>
      </c>
    </row>
    <row r="89">
      <c r="A89" s="8" t="inlineStr">
        <is>
          <t>PRD-0085</t>
        </is>
      </c>
      <c r="B89" s="8" t="inlineStr">
        <is>
          <t>ZenithLogix Printers &amp; Networking Model-512</t>
        </is>
      </c>
      <c r="C89" s="8" t="inlineStr">
        <is>
          <t>Technology</t>
        </is>
      </c>
      <c r="D89" s="8" t="inlineStr">
        <is>
          <t>Printers &amp; Networking</t>
        </is>
      </c>
      <c r="E89" s="8" t="inlineStr">
        <is>
          <t>ZenithLogix</t>
        </is>
      </c>
      <c r="F89" s="9" t="n">
        <v>148.78</v>
      </c>
      <c r="G89" s="9" t="n">
        <v>202.1</v>
      </c>
      <c r="H89" s="9">
        <f>G89-F89</f>
        <v/>
      </c>
      <c r="I89" s="11">
        <f>IFERROR(H89/G89, 0)</f>
        <v/>
      </c>
      <c r="J89" s="8">
        <f>IF(G89&gt;=400, "High-End", IF(G89&gt;=100, "Mid-Tier", "Economy"))</f>
        <v/>
      </c>
      <c r="K89" s="8" t="n">
        <v>150</v>
      </c>
    </row>
    <row r="90">
      <c r="A90" s="8" t="inlineStr">
        <is>
          <t>PRD-0086</t>
        </is>
      </c>
      <c r="B90" s="8" t="inlineStr">
        <is>
          <t>ZenithLogix Laptops &amp; Desktop Model-193</t>
        </is>
      </c>
      <c r="C90" s="8" t="inlineStr">
        <is>
          <t>Technology</t>
        </is>
      </c>
      <c r="D90" s="8" t="inlineStr">
        <is>
          <t>Laptops &amp; Desktops</t>
        </is>
      </c>
      <c r="E90" s="8" t="inlineStr">
        <is>
          <t>ZenithLogix</t>
        </is>
      </c>
      <c r="F90" s="9" t="n">
        <v>707.1</v>
      </c>
      <c r="G90" s="9" t="n">
        <v>996.2</v>
      </c>
      <c r="H90" s="9">
        <f>G90-F90</f>
        <v/>
      </c>
      <c r="I90" s="11">
        <f>IFERROR(H90/G90, 0)</f>
        <v/>
      </c>
      <c r="J90" s="8">
        <f>IF(G90&gt;=400, "High-End", IF(G90&gt;=100, "Mid-Tier", "Economy"))</f>
        <v/>
      </c>
      <c r="K90" s="8" t="n">
        <v>20</v>
      </c>
    </row>
    <row r="91">
      <c r="A91" s="8" t="inlineStr">
        <is>
          <t>PRD-0087</t>
        </is>
      </c>
      <c r="B91" s="8" t="inlineStr">
        <is>
          <t>Hyperion Laptops &amp; Desktop Model-581</t>
        </is>
      </c>
      <c r="C91" s="8" t="inlineStr">
        <is>
          <t>Technology</t>
        </is>
      </c>
      <c r="D91" s="8" t="inlineStr">
        <is>
          <t>Laptops &amp; Desktops</t>
        </is>
      </c>
      <c r="E91" s="8" t="inlineStr">
        <is>
          <t>Hyperion</t>
        </is>
      </c>
      <c r="F91" s="9" t="n">
        <v>786.6</v>
      </c>
      <c r="G91" s="9" t="n">
        <v>1103.24</v>
      </c>
      <c r="H91" s="9">
        <f>G91-F91</f>
        <v/>
      </c>
      <c r="I91" s="11">
        <f>IFERROR(H91/G91, 0)</f>
        <v/>
      </c>
      <c r="J91" s="8">
        <f>IF(G91&gt;=400, "High-End", IF(G91&gt;=100, "Mid-Tier", "Economy"))</f>
        <v/>
      </c>
      <c r="K91" s="8" t="n">
        <v>35</v>
      </c>
    </row>
    <row r="92">
      <c r="A92" s="8" t="inlineStr">
        <is>
          <t>PRD-0088</t>
        </is>
      </c>
      <c r="B92" s="8" t="inlineStr">
        <is>
          <t>ModuDesk Standing Desk Model-441</t>
        </is>
      </c>
      <c r="C92" s="8" t="inlineStr">
        <is>
          <t>Furniture</t>
        </is>
      </c>
      <c r="D92" s="8" t="inlineStr">
        <is>
          <t>Standing Desks</t>
        </is>
      </c>
      <c r="E92" s="8" t="inlineStr">
        <is>
          <t>ModuDesk</t>
        </is>
      </c>
      <c r="F92" s="9" t="n">
        <v>631.28</v>
      </c>
      <c r="G92" s="9" t="n">
        <v>952.03</v>
      </c>
      <c r="H92" s="9">
        <f>G92-F92</f>
        <v/>
      </c>
      <c r="I92" s="11">
        <f>IFERROR(H92/G92, 0)</f>
        <v/>
      </c>
      <c r="J92" s="8">
        <f>IF(G92&gt;=400, "High-End", IF(G92&gt;=100, "Mid-Tier", "Economy"))</f>
        <v/>
      </c>
      <c r="K92" s="8" t="n">
        <v>75</v>
      </c>
    </row>
    <row r="93">
      <c r="A93" s="8" t="inlineStr">
        <is>
          <t>PRD-0089</t>
        </is>
      </c>
      <c r="B93" s="8" t="inlineStr">
        <is>
          <t>NordicCraft Bookcases &amp; Storage Model-137</t>
        </is>
      </c>
      <c r="C93" s="8" t="inlineStr">
        <is>
          <t>Furniture</t>
        </is>
      </c>
      <c r="D93" s="8" t="inlineStr">
        <is>
          <t>Bookcases &amp; Storage</t>
        </is>
      </c>
      <c r="E93" s="8" t="inlineStr">
        <is>
          <t>NordicCraft</t>
        </is>
      </c>
      <c r="F93" s="9" t="n">
        <v>445.86</v>
      </c>
      <c r="G93" s="9" t="n">
        <v>638.52</v>
      </c>
      <c r="H93" s="9">
        <f>G93-F93</f>
        <v/>
      </c>
      <c r="I93" s="11">
        <f>IFERROR(H93/G93, 0)</f>
        <v/>
      </c>
      <c r="J93" s="8">
        <f>IF(G93&gt;=400, "High-End", IF(G93&gt;=100, "Mid-Tier", "Economy"))</f>
        <v/>
      </c>
      <c r="K93" s="8" t="n">
        <v>100</v>
      </c>
    </row>
    <row r="94">
      <c r="A94" s="8" t="inlineStr">
        <is>
          <t>PRD-0090</t>
        </is>
      </c>
      <c r="B94" s="8" t="inlineStr">
        <is>
          <t>Kinetix Standing Desk Model-573</t>
        </is>
      </c>
      <c r="C94" s="8" t="inlineStr">
        <is>
          <t>Furniture</t>
        </is>
      </c>
      <c r="D94" s="8" t="inlineStr">
        <is>
          <t>Standing Desks</t>
        </is>
      </c>
      <c r="E94" s="8" t="inlineStr">
        <is>
          <t>Kinetix</t>
        </is>
      </c>
      <c r="F94" s="9" t="n">
        <v>544.08</v>
      </c>
      <c r="G94" s="9" t="n">
        <v>761.86</v>
      </c>
      <c r="H94" s="9">
        <f>G94-F94</f>
        <v/>
      </c>
      <c r="I94" s="11">
        <f>IFERROR(H94/G94, 0)</f>
        <v/>
      </c>
      <c r="J94" s="8">
        <f>IF(G94&gt;=400, "High-End", IF(G94&gt;=100, "Mid-Tier", "Economy"))</f>
        <v/>
      </c>
      <c r="K94" s="8" t="n">
        <v>100</v>
      </c>
    </row>
    <row r="95">
      <c r="A95" s="8" t="inlineStr">
        <is>
          <t>PRD-0091</t>
        </is>
      </c>
      <c r="B95" s="8" t="inlineStr">
        <is>
          <t>EcoPaper Pens, Inks &amp; Marker Model-234</t>
        </is>
      </c>
      <c r="C95" s="8" t="inlineStr">
        <is>
          <t>Office Supplies</t>
        </is>
      </c>
      <c r="D95" s="8" t="inlineStr">
        <is>
          <t>Pens, Inks &amp; Markers</t>
        </is>
      </c>
      <c r="E95" s="8" t="inlineStr">
        <is>
          <t>EcoPaper</t>
        </is>
      </c>
      <c r="F95" s="9" t="n">
        <v>35.28</v>
      </c>
      <c r="G95" s="9" t="n">
        <v>57.04</v>
      </c>
      <c r="H95" s="9">
        <f>G95-F95</f>
        <v/>
      </c>
      <c r="I95" s="11">
        <f>IFERROR(H95/G95, 0)</f>
        <v/>
      </c>
      <c r="J95" s="8">
        <f>IF(G95&gt;=400, "High-End", IF(G95&gt;=100, "Mid-Tier", "Economy"))</f>
        <v/>
      </c>
      <c r="K95" s="8" t="n">
        <v>100</v>
      </c>
    </row>
    <row r="96">
      <c r="A96" s="8" t="inlineStr">
        <is>
          <t>PRD-0092</t>
        </is>
      </c>
      <c r="B96" s="8" t="inlineStr">
        <is>
          <t>SafeKeep Pens, Inks &amp; Marker Model-664</t>
        </is>
      </c>
      <c r="C96" s="8" t="inlineStr">
        <is>
          <t>Office Supplies</t>
        </is>
      </c>
      <c r="D96" s="8" t="inlineStr">
        <is>
          <t>Pens, Inks &amp; Markers</t>
        </is>
      </c>
      <c r="E96" s="8" t="inlineStr">
        <is>
          <t>SafeKeep</t>
        </is>
      </c>
      <c r="F96" s="9" t="n">
        <v>36.87</v>
      </c>
      <c r="G96" s="9" t="n">
        <v>63.9</v>
      </c>
      <c r="H96" s="9">
        <f>G96-F96</f>
        <v/>
      </c>
      <c r="I96" s="11">
        <f>IFERROR(H96/G96, 0)</f>
        <v/>
      </c>
      <c r="J96" s="8">
        <f>IF(G96&gt;=400, "High-End", IF(G96&gt;=100, "Mid-Tier", "Economy"))</f>
        <v/>
      </c>
      <c r="K96" s="8" t="n">
        <v>50</v>
      </c>
    </row>
    <row r="97">
      <c r="A97" s="8" t="inlineStr">
        <is>
          <t>PRD-0093</t>
        </is>
      </c>
      <c r="B97" s="8" t="inlineStr">
        <is>
          <t>ZenithLogix Smartphones &amp; Accessorie Model-610</t>
        </is>
      </c>
      <c r="C97" s="8" t="inlineStr">
        <is>
          <t>Technology</t>
        </is>
      </c>
      <c r="D97" s="8" t="inlineStr">
        <is>
          <t>Smartphones &amp; Accessories</t>
        </is>
      </c>
      <c r="E97" s="8" t="inlineStr">
        <is>
          <t>ZenithLogix</t>
        </is>
      </c>
      <c r="F97" s="9" t="n">
        <v>901.5599999999999</v>
      </c>
      <c r="G97" s="9" t="n">
        <v>1324.37</v>
      </c>
      <c r="H97" s="9">
        <f>G97-F97</f>
        <v/>
      </c>
      <c r="I97" s="11">
        <f>IFERROR(H97/G97, 0)</f>
        <v/>
      </c>
      <c r="J97" s="8">
        <f>IF(G97&gt;=400, "High-End", IF(G97&gt;=100, "Mid-Tier", "Economy"))</f>
        <v/>
      </c>
      <c r="K97" s="8" t="n">
        <v>35</v>
      </c>
    </row>
    <row r="98">
      <c r="A98" s="8" t="inlineStr">
        <is>
          <t>PRD-0094</t>
        </is>
      </c>
      <c r="B98" s="8" t="inlineStr">
        <is>
          <t>ModuDesk Bookcases &amp; Storage Model-295</t>
        </is>
      </c>
      <c r="C98" s="8" t="inlineStr">
        <is>
          <t>Furniture</t>
        </is>
      </c>
      <c r="D98" s="8" t="inlineStr">
        <is>
          <t>Bookcases &amp; Storage</t>
        </is>
      </c>
      <c r="E98" s="8" t="inlineStr">
        <is>
          <t>ModuDesk</t>
        </is>
      </c>
      <c r="F98" s="9" t="n">
        <v>192.46</v>
      </c>
      <c r="G98" s="9" t="n">
        <v>282.3</v>
      </c>
      <c r="H98" s="9">
        <f>G98-F98</f>
        <v/>
      </c>
      <c r="I98" s="11">
        <f>IFERROR(H98/G98, 0)</f>
        <v/>
      </c>
      <c r="J98" s="8">
        <f>IF(G98&gt;=400, "High-End", IF(G98&gt;=100, "Mid-Tier", "Economy"))</f>
        <v/>
      </c>
      <c r="K98" s="8" t="n">
        <v>75</v>
      </c>
    </row>
    <row r="99">
      <c r="A99" s="8" t="inlineStr">
        <is>
          <t>PRD-0095</t>
        </is>
      </c>
      <c r="B99" s="8" t="inlineStr">
        <is>
          <t>ZenithLogix Printers &amp; Networking Model-940</t>
        </is>
      </c>
      <c r="C99" s="8" t="inlineStr">
        <is>
          <t>Technology</t>
        </is>
      </c>
      <c r="D99" s="8" t="inlineStr">
        <is>
          <t>Printers &amp; Networking</t>
        </is>
      </c>
      <c r="E99" s="8" t="inlineStr">
        <is>
          <t>ZenithLogix</t>
        </is>
      </c>
      <c r="F99" s="9" t="n">
        <v>345.99</v>
      </c>
      <c r="G99" s="9" t="n">
        <v>477.87</v>
      </c>
      <c r="H99" s="9">
        <f>G99-F99</f>
        <v/>
      </c>
      <c r="I99" s="11">
        <f>IFERROR(H99/G99, 0)</f>
        <v/>
      </c>
      <c r="J99" s="8">
        <f>IF(G99&gt;=400, "High-End", IF(G99&gt;=100, "Mid-Tier", "Economy"))</f>
        <v/>
      </c>
      <c r="K99" s="8" t="n">
        <v>50</v>
      </c>
    </row>
    <row r="100">
      <c r="A100" s="8" t="inlineStr">
        <is>
          <t>PRD-0096</t>
        </is>
      </c>
      <c r="B100" s="8" t="inlineStr">
        <is>
          <t>EcoPaper Pens, Inks &amp; Marker Model-453</t>
        </is>
      </c>
      <c r="C100" s="8" t="inlineStr">
        <is>
          <t>Office Supplies</t>
        </is>
      </c>
      <c r="D100" s="8" t="inlineStr">
        <is>
          <t>Pens, Inks &amp; Markers</t>
        </is>
      </c>
      <c r="E100" s="8" t="inlineStr">
        <is>
          <t>EcoPaper</t>
        </is>
      </c>
      <c r="F100" s="9" t="n">
        <v>39.54</v>
      </c>
      <c r="G100" s="9" t="n">
        <v>66.14</v>
      </c>
      <c r="H100" s="9">
        <f>G100-F100</f>
        <v/>
      </c>
      <c r="I100" s="11">
        <f>IFERROR(H100/G100, 0)</f>
        <v/>
      </c>
      <c r="J100" s="8">
        <f>IF(G100&gt;=400, "High-End", IF(G100&gt;=100, "Mid-Tier", "Economy"))</f>
        <v/>
      </c>
      <c r="K100" s="8" t="n">
        <v>75</v>
      </c>
    </row>
    <row r="101">
      <c r="A101" s="8" t="inlineStr">
        <is>
          <t>PRD-0097</t>
        </is>
      </c>
      <c r="B101" s="8" t="inlineStr">
        <is>
          <t>VanguardPro Corporate Apparel Model-339</t>
        </is>
      </c>
      <c r="C101" s="8" t="inlineStr">
        <is>
          <t>Apparel &amp; Gear</t>
        </is>
      </c>
      <c r="D101" s="8" t="inlineStr">
        <is>
          <t>Corporate Apparel</t>
        </is>
      </c>
      <c r="E101" s="8" t="inlineStr">
        <is>
          <t>VanguardPro</t>
        </is>
      </c>
      <c r="F101" s="9" t="n">
        <v>137.6</v>
      </c>
      <c r="G101" s="9" t="n">
        <v>216.71</v>
      </c>
      <c r="H101" s="9">
        <f>G101-F101</f>
        <v/>
      </c>
      <c r="I101" s="11">
        <f>IFERROR(H101/G101, 0)</f>
        <v/>
      </c>
      <c r="J101" s="8">
        <f>IF(G101&gt;=400, "High-End", IF(G101&gt;=100, "Mid-Tier", "Economy"))</f>
        <v/>
      </c>
      <c r="K101" s="8" t="n">
        <v>75</v>
      </c>
    </row>
    <row r="102">
      <c r="A102" s="8" t="inlineStr">
        <is>
          <t>PRD-0098</t>
        </is>
      </c>
      <c r="B102" s="8" t="inlineStr">
        <is>
          <t>TrekLine Backpacks &amp; Laptop Bag Model-255</t>
        </is>
      </c>
      <c r="C102" s="8" t="inlineStr">
        <is>
          <t>Apparel &amp; Gear</t>
        </is>
      </c>
      <c r="D102" s="8" t="inlineStr">
        <is>
          <t>Backpacks &amp; Laptop Bags</t>
        </is>
      </c>
      <c r="E102" s="8" t="inlineStr">
        <is>
          <t>TrekLine</t>
        </is>
      </c>
      <c r="F102" s="9" t="n">
        <v>63.26</v>
      </c>
      <c r="G102" s="9" t="n">
        <v>100.75</v>
      </c>
      <c r="H102" s="9">
        <f>G102-F102</f>
        <v/>
      </c>
      <c r="I102" s="11">
        <f>IFERROR(H102/G102, 0)</f>
        <v/>
      </c>
      <c r="J102" s="8">
        <f>IF(G102&gt;=400, "High-End", IF(G102&gt;=100, "Mid-Tier", "Economy"))</f>
        <v/>
      </c>
      <c r="K102" s="8" t="n">
        <v>150</v>
      </c>
    </row>
    <row r="103">
      <c r="A103" s="8" t="inlineStr">
        <is>
          <t>PRD-0099</t>
        </is>
      </c>
      <c r="B103" s="8" t="inlineStr">
        <is>
          <t>UrbanShield Corporate Apparel Model-567</t>
        </is>
      </c>
      <c r="C103" s="8" t="inlineStr">
        <is>
          <t>Apparel &amp; Gear</t>
        </is>
      </c>
      <c r="D103" s="8" t="inlineStr">
        <is>
          <t>Corporate Apparel</t>
        </is>
      </c>
      <c r="E103" s="8" t="inlineStr">
        <is>
          <t>UrbanShield</t>
        </is>
      </c>
      <c r="F103" s="9" t="n">
        <v>124.27</v>
      </c>
      <c r="G103" s="9" t="n">
        <v>201.48</v>
      </c>
      <c r="H103" s="9">
        <f>G103-F103</f>
        <v/>
      </c>
      <c r="I103" s="11">
        <f>IFERROR(H103/G103, 0)</f>
        <v/>
      </c>
      <c r="J103" s="8">
        <f>IF(G103&gt;=400, "High-End", IF(G103&gt;=100, "Mid-Tier", "Economy"))</f>
        <v/>
      </c>
      <c r="K103" s="8" t="n">
        <v>100</v>
      </c>
    </row>
    <row r="104">
      <c r="A104" s="8" t="inlineStr">
        <is>
          <t>PRD-0100</t>
        </is>
      </c>
      <c r="B104" s="8" t="inlineStr">
        <is>
          <t>ZenithLogix Smartphones &amp; Accessorie Model-809</t>
        </is>
      </c>
      <c r="C104" s="8" t="inlineStr">
        <is>
          <t>Technology</t>
        </is>
      </c>
      <c r="D104" s="8" t="inlineStr">
        <is>
          <t>Smartphones &amp; Accessories</t>
        </is>
      </c>
      <c r="E104" s="8" t="inlineStr">
        <is>
          <t>ZenithLogix</t>
        </is>
      </c>
      <c r="F104" s="9" t="n">
        <v>750.1</v>
      </c>
      <c r="G104" s="9" t="n">
        <v>1035.85</v>
      </c>
      <c r="H104" s="9">
        <f>G104-F104</f>
        <v/>
      </c>
      <c r="I104" s="11">
        <f>IFERROR(H104/G104, 0)</f>
        <v/>
      </c>
      <c r="J104" s="8">
        <f>IF(G104&gt;=400, "High-End", IF(G104&gt;=100, "Mid-Tier", "Economy"))</f>
        <v/>
      </c>
      <c r="K104" s="8" t="n">
        <v>100</v>
      </c>
    </row>
    <row r="105">
      <c r="A105" s="8" t="inlineStr">
        <is>
          <t>PRD-0101</t>
        </is>
      </c>
      <c r="B105" s="8" t="inlineStr">
        <is>
          <t>ModuDesk Conference Table Model-993</t>
        </is>
      </c>
      <c r="C105" s="8" t="inlineStr">
        <is>
          <t>Furniture</t>
        </is>
      </c>
      <c r="D105" s="8" t="inlineStr">
        <is>
          <t>Conference Tables</t>
        </is>
      </c>
      <c r="E105" s="8" t="inlineStr">
        <is>
          <t>ModuDesk</t>
        </is>
      </c>
      <c r="F105" s="9" t="n">
        <v>622.25</v>
      </c>
      <c r="G105" s="9" t="n">
        <v>1004.41</v>
      </c>
      <c r="H105" s="9">
        <f>G105-F105</f>
        <v/>
      </c>
      <c r="I105" s="11">
        <f>IFERROR(H105/G105, 0)</f>
        <v/>
      </c>
      <c r="J105" s="8">
        <f>IF(G105&gt;=400, "High-End", IF(G105&gt;=100, "Mid-Tier", "Economy"))</f>
        <v/>
      </c>
      <c r="K105" s="8" t="n">
        <v>75</v>
      </c>
    </row>
    <row r="106">
      <c r="A106" s="8" t="inlineStr">
        <is>
          <t>PRD-0102</t>
        </is>
      </c>
      <c r="B106" s="8" t="inlineStr">
        <is>
          <t>Novacore Printers &amp; Networking Model-878</t>
        </is>
      </c>
      <c r="C106" s="8" t="inlineStr">
        <is>
          <t>Technology</t>
        </is>
      </c>
      <c r="D106" s="8" t="inlineStr">
        <is>
          <t>Printers &amp; Networking</t>
        </is>
      </c>
      <c r="E106" s="8" t="inlineStr">
        <is>
          <t>Novacore</t>
        </is>
      </c>
      <c r="F106" s="9" t="n">
        <v>718.29</v>
      </c>
      <c r="G106" s="9" t="n">
        <v>933.64</v>
      </c>
      <c r="H106" s="9">
        <f>G106-F106</f>
        <v/>
      </c>
      <c r="I106" s="11">
        <f>IFERROR(H106/G106, 0)</f>
        <v/>
      </c>
      <c r="J106" s="8">
        <f>IF(G106&gt;=400, "High-End", IF(G106&gt;=100, "Mid-Tier", "Economy"))</f>
        <v/>
      </c>
      <c r="K106" s="8" t="n">
        <v>20</v>
      </c>
    </row>
    <row r="107">
      <c r="A107" s="8" t="inlineStr">
        <is>
          <t>PRD-0103</t>
        </is>
      </c>
      <c r="B107" s="8" t="inlineStr">
        <is>
          <t>UrbanShield Backpacks &amp; Laptop Bag Model-467</t>
        </is>
      </c>
      <c r="C107" s="8" t="inlineStr">
        <is>
          <t>Apparel &amp; Gear</t>
        </is>
      </c>
      <c r="D107" s="8" t="inlineStr">
        <is>
          <t>Backpacks &amp; Laptop Bags</t>
        </is>
      </c>
      <c r="E107" s="8" t="inlineStr">
        <is>
          <t>UrbanShield</t>
        </is>
      </c>
      <c r="F107" s="9" t="n">
        <v>20.75</v>
      </c>
      <c r="G107" s="9" t="n">
        <v>33.68</v>
      </c>
      <c r="H107" s="9">
        <f>G107-F107</f>
        <v/>
      </c>
      <c r="I107" s="11">
        <f>IFERROR(H107/G107, 0)</f>
        <v/>
      </c>
      <c r="J107" s="8">
        <f>IF(G107&gt;=400, "High-End", IF(G107&gt;=100, "Mid-Tier", "Economy"))</f>
        <v/>
      </c>
      <c r="K107" s="8" t="n">
        <v>50</v>
      </c>
    </row>
    <row r="108">
      <c r="A108" s="8" t="inlineStr">
        <is>
          <t>PRD-0104</t>
        </is>
      </c>
      <c r="B108" s="8" t="inlineStr">
        <is>
          <t>EverWrite Desk Accessorie Model-734</t>
        </is>
      </c>
      <c r="C108" s="8" t="inlineStr">
        <is>
          <t>Office Supplies</t>
        </is>
      </c>
      <c r="D108" s="8" t="inlineStr">
        <is>
          <t>Desk Accessories</t>
        </is>
      </c>
      <c r="E108" s="8" t="inlineStr">
        <is>
          <t>EverWrite</t>
        </is>
      </c>
      <c r="F108" s="9" t="n">
        <v>11.38</v>
      </c>
      <c r="G108" s="9" t="n">
        <v>17.28</v>
      </c>
      <c r="H108" s="9">
        <f>G108-F108</f>
        <v/>
      </c>
      <c r="I108" s="11">
        <f>IFERROR(H108/G108, 0)</f>
        <v/>
      </c>
      <c r="J108" s="8">
        <f>IF(G108&gt;=400, "High-End", IF(G108&gt;=100, "Mid-Tier", "Economy"))</f>
        <v/>
      </c>
      <c r="K108" s="8" t="n">
        <v>75</v>
      </c>
    </row>
    <row r="109">
      <c r="A109" s="8" t="inlineStr">
        <is>
          <t>PRD-0105</t>
        </is>
      </c>
      <c r="B109" s="8" t="inlineStr">
        <is>
          <t>AccuBinder Pens, Inks &amp; Marker Model-394</t>
        </is>
      </c>
      <c r="C109" s="8" t="inlineStr">
        <is>
          <t>Office Supplies</t>
        </is>
      </c>
      <c r="D109" s="8" t="inlineStr">
        <is>
          <t>Pens, Inks &amp; Markers</t>
        </is>
      </c>
      <c r="E109" s="8" t="inlineStr">
        <is>
          <t>AccuBinder</t>
        </is>
      </c>
      <c r="F109" s="9" t="n">
        <v>23.11</v>
      </c>
      <c r="G109" s="9" t="n">
        <v>39.83</v>
      </c>
      <c r="H109" s="9">
        <f>G109-F109</f>
        <v/>
      </c>
      <c r="I109" s="11">
        <f>IFERROR(H109/G109, 0)</f>
        <v/>
      </c>
      <c r="J109" s="8">
        <f>IF(G109&gt;=400, "High-End", IF(G109&gt;=100, "Mid-Tier", "Economy"))</f>
        <v/>
      </c>
      <c r="K109" s="8" t="n">
        <v>75</v>
      </c>
    </row>
    <row r="110">
      <c r="A110" s="8" t="inlineStr">
        <is>
          <t>PRD-0106</t>
        </is>
      </c>
      <c r="B110" s="8" t="inlineStr">
        <is>
          <t>AccuBinder Paper &amp; Stationery Model-567</t>
        </is>
      </c>
      <c r="C110" s="8" t="inlineStr">
        <is>
          <t>Office Supplies</t>
        </is>
      </c>
      <c r="D110" s="8" t="inlineStr">
        <is>
          <t>Paper &amp; Stationery</t>
        </is>
      </c>
      <c r="E110" s="8" t="inlineStr">
        <is>
          <t>AccuBinder</t>
        </is>
      </c>
      <c r="F110" s="9" t="n">
        <v>30.38</v>
      </c>
      <c r="G110" s="9" t="n">
        <v>49.14</v>
      </c>
      <c r="H110" s="9">
        <f>G110-F110</f>
        <v/>
      </c>
      <c r="I110" s="11">
        <f>IFERROR(H110/G110, 0)</f>
        <v/>
      </c>
      <c r="J110" s="8">
        <f>IF(G110&gt;=400, "High-End", IF(G110&gt;=100, "Mid-Tier", "Economy"))</f>
        <v/>
      </c>
      <c r="K110" s="8" t="n">
        <v>50</v>
      </c>
    </row>
    <row r="111">
      <c r="A111" s="8" t="inlineStr">
        <is>
          <t>PRD-0107</t>
        </is>
      </c>
      <c r="B111" s="8" t="inlineStr">
        <is>
          <t>ZenithLogix Monitors &amp; Display Model-402</t>
        </is>
      </c>
      <c r="C111" s="8" t="inlineStr">
        <is>
          <t>Technology</t>
        </is>
      </c>
      <c r="D111" s="8" t="inlineStr">
        <is>
          <t>Monitors &amp; Displays</t>
        </is>
      </c>
      <c r="E111" s="8" t="inlineStr">
        <is>
          <t>ZenithLogix</t>
        </is>
      </c>
      <c r="F111" s="9" t="n">
        <v>558.3099999999999</v>
      </c>
      <c r="G111" s="9" t="n">
        <v>754.95</v>
      </c>
      <c r="H111" s="9">
        <f>G111-F111</f>
        <v/>
      </c>
      <c r="I111" s="11">
        <f>IFERROR(H111/G111, 0)</f>
        <v/>
      </c>
      <c r="J111" s="8">
        <f>IF(G111&gt;=400, "High-End", IF(G111&gt;=100, "Mid-Tier", "Economy"))</f>
        <v/>
      </c>
      <c r="K111" s="8" t="n">
        <v>150</v>
      </c>
    </row>
    <row r="112">
      <c r="A112" s="8" t="inlineStr">
        <is>
          <t>PRD-0108</t>
        </is>
      </c>
      <c r="B112" s="8" t="inlineStr">
        <is>
          <t>UrbanShield Corporate Apparel Model-894</t>
        </is>
      </c>
      <c r="C112" s="8" t="inlineStr">
        <is>
          <t>Apparel &amp; Gear</t>
        </is>
      </c>
      <c r="D112" s="8" t="inlineStr">
        <is>
          <t>Corporate Apparel</t>
        </is>
      </c>
      <c r="E112" s="8" t="inlineStr">
        <is>
          <t>UrbanShield</t>
        </is>
      </c>
      <c r="F112" s="9" t="n">
        <v>128.83</v>
      </c>
      <c r="G112" s="9" t="n">
        <v>217.9</v>
      </c>
      <c r="H112" s="9">
        <f>G112-F112</f>
        <v/>
      </c>
      <c r="I112" s="11">
        <f>IFERROR(H112/G112, 0)</f>
        <v/>
      </c>
      <c r="J112" s="8">
        <f>IF(G112&gt;=400, "High-End", IF(G112&gt;=100, "Mid-Tier", "Economy"))</f>
        <v/>
      </c>
      <c r="K112" s="8" t="n">
        <v>50</v>
      </c>
    </row>
    <row r="113">
      <c r="A113" s="8" t="inlineStr">
        <is>
          <t>PRD-0109</t>
        </is>
      </c>
      <c r="B113" s="8" t="inlineStr">
        <is>
          <t>AccuBinder Paper &amp; Stationery Model-797</t>
        </is>
      </c>
      <c r="C113" s="8" t="inlineStr">
        <is>
          <t>Office Supplies</t>
        </is>
      </c>
      <c r="D113" s="8" t="inlineStr">
        <is>
          <t>Paper &amp; Stationery</t>
        </is>
      </c>
      <c r="E113" s="8" t="inlineStr">
        <is>
          <t>AccuBinder</t>
        </is>
      </c>
      <c r="F113" s="9" t="n">
        <v>31.95</v>
      </c>
      <c r="G113" s="9" t="n">
        <v>53.86</v>
      </c>
      <c r="H113" s="9">
        <f>G113-F113</f>
        <v/>
      </c>
      <c r="I113" s="11">
        <f>IFERROR(H113/G113, 0)</f>
        <v/>
      </c>
      <c r="J113" s="8">
        <f>IF(G113&gt;=400, "High-End", IF(G113&gt;=100, "Mid-Tier", "Economy"))</f>
        <v/>
      </c>
      <c r="K113" s="8" t="n">
        <v>150</v>
      </c>
    </row>
    <row r="114">
      <c r="A114" s="8" t="inlineStr">
        <is>
          <t>PRD-0110</t>
        </is>
      </c>
      <c r="B114" s="8" t="inlineStr">
        <is>
          <t>ZenithLogix Printers &amp; Networking Model-192</t>
        </is>
      </c>
      <c r="C114" s="8" t="inlineStr">
        <is>
          <t>Technology</t>
        </is>
      </c>
      <c r="D114" s="8" t="inlineStr">
        <is>
          <t>Printers &amp; Networking</t>
        </is>
      </c>
      <c r="E114" s="8" t="inlineStr">
        <is>
          <t>ZenithLogix</t>
        </is>
      </c>
      <c r="F114" s="9" t="n">
        <v>65.53</v>
      </c>
      <c r="G114" s="9" t="n">
        <v>84.14</v>
      </c>
      <c r="H114" s="9">
        <f>G114-F114</f>
        <v/>
      </c>
      <c r="I114" s="11">
        <f>IFERROR(H114/G114, 0)</f>
        <v/>
      </c>
      <c r="J114" s="8">
        <f>IF(G114&gt;=400, "High-End", IF(G114&gt;=100, "Mid-Tier", "Economy"))</f>
        <v/>
      </c>
      <c r="K114" s="8" t="n">
        <v>35</v>
      </c>
    </row>
    <row r="115">
      <c r="A115" s="8" t="inlineStr">
        <is>
          <t>PRD-0111</t>
        </is>
      </c>
      <c r="B115" s="8" t="inlineStr">
        <is>
          <t>SafeKeep Desk Accessorie Model-379</t>
        </is>
      </c>
      <c r="C115" s="8" t="inlineStr">
        <is>
          <t>Office Supplies</t>
        </is>
      </c>
      <c r="D115" s="8" t="inlineStr">
        <is>
          <t>Desk Accessories</t>
        </is>
      </c>
      <c r="E115" s="8" t="inlineStr">
        <is>
          <t>SafeKeep</t>
        </is>
      </c>
      <c r="F115" s="9" t="n">
        <v>40</v>
      </c>
      <c r="G115" s="9" t="n">
        <v>63.37</v>
      </c>
      <c r="H115" s="9">
        <f>G115-F115</f>
        <v/>
      </c>
      <c r="I115" s="11">
        <f>IFERROR(H115/G115, 0)</f>
        <v/>
      </c>
      <c r="J115" s="8">
        <f>IF(G115&gt;=400, "High-End", IF(G115&gt;=100, "Mid-Tier", "Economy"))</f>
        <v/>
      </c>
      <c r="K115" s="8" t="n">
        <v>100</v>
      </c>
    </row>
    <row r="116">
      <c r="A116" s="8" t="inlineStr">
        <is>
          <t>PRD-0112</t>
        </is>
      </c>
      <c r="B116" s="8" t="inlineStr">
        <is>
          <t>AccuBinder Desk Accessorie Model-579</t>
        </is>
      </c>
      <c r="C116" s="8" t="inlineStr">
        <is>
          <t>Office Supplies</t>
        </is>
      </c>
      <c r="D116" s="8" t="inlineStr">
        <is>
          <t>Desk Accessories</t>
        </is>
      </c>
      <c r="E116" s="8" t="inlineStr">
        <is>
          <t>AccuBinder</t>
        </is>
      </c>
      <c r="F116" s="9" t="n">
        <v>34.74</v>
      </c>
      <c r="G116" s="9" t="n">
        <v>54.82</v>
      </c>
      <c r="H116" s="9">
        <f>G116-F116</f>
        <v/>
      </c>
      <c r="I116" s="11">
        <f>IFERROR(H116/G116, 0)</f>
        <v/>
      </c>
      <c r="J116" s="8">
        <f>IF(G116&gt;=400, "High-End", IF(G116&gt;=100, "Mid-Tier", "Economy"))</f>
        <v/>
      </c>
      <c r="K116" s="8" t="n">
        <v>20</v>
      </c>
    </row>
    <row r="117">
      <c r="A117" s="8" t="inlineStr">
        <is>
          <t>PRD-0113</t>
        </is>
      </c>
      <c r="B117" s="8" t="inlineStr">
        <is>
          <t>EcoPaper Storage &amp; Organization Model-192</t>
        </is>
      </c>
      <c r="C117" s="8" t="inlineStr">
        <is>
          <t>Office Supplies</t>
        </is>
      </c>
      <c r="D117" s="8" t="inlineStr">
        <is>
          <t>Storage &amp; Organization</t>
        </is>
      </c>
      <c r="E117" s="8" t="inlineStr">
        <is>
          <t>EcoPaper</t>
        </is>
      </c>
      <c r="F117" s="9" t="n">
        <v>43.67</v>
      </c>
      <c r="G117" s="9" t="n">
        <v>70.09</v>
      </c>
      <c r="H117" s="9">
        <f>G117-F117</f>
        <v/>
      </c>
      <c r="I117" s="11">
        <f>IFERROR(H117/G117, 0)</f>
        <v/>
      </c>
      <c r="J117" s="8">
        <f>IF(G117&gt;=400, "High-End", IF(G117&gt;=100, "Mid-Tier", "Economy"))</f>
        <v/>
      </c>
      <c r="K117" s="8" t="n">
        <v>50</v>
      </c>
    </row>
    <row r="118">
      <c r="A118" s="8" t="inlineStr">
        <is>
          <t>PRD-0114</t>
        </is>
      </c>
      <c r="B118" s="8" t="inlineStr">
        <is>
          <t>AccuBinder Pens, Inks &amp; Marker Model-210</t>
        </is>
      </c>
      <c r="C118" s="8" t="inlineStr">
        <is>
          <t>Office Supplies</t>
        </is>
      </c>
      <c r="D118" s="8" t="inlineStr">
        <is>
          <t>Pens, Inks &amp; Markers</t>
        </is>
      </c>
      <c r="E118" s="8" t="inlineStr">
        <is>
          <t>AccuBinder</t>
        </is>
      </c>
      <c r="F118" s="9" t="n">
        <v>28.17</v>
      </c>
      <c r="G118" s="9" t="n">
        <v>49.56</v>
      </c>
      <c r="H118" s="9">
        <f>G118-F118</f>
        <v/>
      </c>
      <c r="I118" s="11">
        <f>IFERROR(H118/G118, 0)</f>
        <v/>
      </c>
      <c r="J118" s="8">
        <f>IF(G118&gt;=400, "High-End", IF(G118&gt;=100, "Mid-Tier", "Economy"))</f>
        <v/>
      </c>
      <c r="K118" s="8" t="n">
        <v>50</v>
      </c>
    </row>
    <row r="119">
      <c r="A119" s="8" t="inlineStr">
        <is>
          <t>PRD-0115</t>
        </is>
      </c>
      <c r="B119" s="8" t="inlineStr">
        <is>
          <t>Kinetix Office Chair Model-817</t>
        </is>
      </c>
      <c r="C119" s="8" t="inlineStr">
        <is>
          <t>Furniture</t>
        </is>
      </c>
      <c r="D119" s="8" t="inlineStr">
        <is>
          <t>Office Chairs</t>
        </is>
      </c>
      <c r="E119" s="8" t="inlineStr">
        <is>
          <t>Kinetix</t>
        </is>
      </c>
      <c r="F119" s="9" t="n">
        <v>178.93</v>
      </c>
      <c r="G119" s="9" t="n">
        <v>256.68</v>
      </c>
      <c r="H119" s="9">
        <f>G119-F119</f>
        <v/>
      </c>
      <c r="I119" s="11">
        <f>IFERROR(H119/G119, 0)</f>
        <v/>
      </c>
      <c r="J119" s="8">
        <f>IF(G119&gt;=400, "High-End", IF(G119&gt;=100, "Mid-Tier", "Economy"))</f>
        <v/>
      </c>
      <c r="K119" s="8" t="n">
        <v>75</v>
      </c>
    </row>
    <row r="120">
      <c r="A120" s="8" t="inlineStr">
        <is>
          <t>PRD-0116</t>
        </is>
      </c>
      <c r="B120" s="8" t="inlineStr">
        <is>
          <t>ZenithLogix Printers &amp; Networking Model-238</t>
        </is>
      </c>
      <c r="C120" s="8" t="inlineStr">
        <is>
          <t>Technology</t>
        </is>
      </c>
      <c r="D120" s="8" t="inlineStr">
        <is>
          <t>Printers &amp; Networking</t>
        </is>
      </c>
      <c r="E120" s="8" t="inlineStr">
        <is>
          <t>ZenithLogix</t>
        </is>
      </c>
      <c r="F120" s="9" t="n">
        <v>141.25</v>
      </c>
      <c r="G120" s="9" t="n">
        <v>177.13</v>
      </c>
      <c r="H120" s="9">
        <f>G120-F120</f>
        <v/>
      </c>
      <c r="I120" s="11">
        <f>IFERROR(H120/G120, 0)</f>
        <v/>
      </c>
      <c r="J120" s="8">
        <f>IF(G120&gt;=400, "High-End", IF(G120&gt;=100, "Mid-Tier", "Economy"))</f>
        <v/>
      </c>
      <c r="K120" s="8" t="n">
        <v>100</v>
      </c>
    </row>
    <row r="121">
      <c r="A121" s="8" t="inlineStr">
        <is>
          <t>PRD-0117</t>
        </is>
      </c>
      <c r="B121" s="8" t="inlineStr">
        <is>
          <t>ModuDesk Conference Table Model-770</t>
        </is>
      </c>
      <c r="C121" s="8" t="inlineStr">
        <is>
          <t>Furniture</t>
        </is>
      </c>
      <c r="D121" s="8" t="inlineStr">
        <is>
          <t>Conference Tables</t>
        </is>
      </c>
      <c r="E121" s="8" t="inlineStr">
        <is>
          <t>ModuDesk</t>
        </is>
      </c>
      <c r="F121" s="9" t="n">
        <v>400.34</v>
      </c>
      <c r="G121" s="9" t="n">
        <v>655.4</v>
      </c>
      <c r="H121" s="9">
        <f>G121-F121</f>
        <v/>
      </c>
      <c r="I121" s="11">
        <f>IFERROR(H121/G121, 0)</f>
        <v/>
      </c>
      <c r="J121" s="8">
        <f>IF(G121&gt;=400, "High-End", IF(G121&gt;=100, "Mid-Tier", "Economy"))</f>
        <v/>
      </c>
      <c r="K121" s="8" t="n">
        <v>75</v>
      </c>
    </row>
    <row r="122">
      <c r="A122" s="8" t="inlineStr">
        <is>
          <t>PRD-0118</t>
        </is>
      </c>
      <c r="B122" s="8" t="inlineStr">
        <is>
          <t>Hyperion Laptops &amp; Desktop Model-975</t>
        </is>
      </c>
      <c r="C122" s="8" t="inlineStr">
        <is>
          <t>Technology</t>
        </is>
      </c>
      <c r="D122" s="8" t="inlineStr">
        <is>
          <t>Laptops &amp; Desktops</t>
        </is>
      </c>
      <c r="E122" s="8" t="inlineStr">
        <is>
          <t>Hyperion</t>
        </is>
      </c>
      <c r="F122" s="9" t="n">
        <v>374.03</v>
      </c>
      <c r="G122" s="9" t="n">
        <v>513.16</v>
      </c>
      <c r="H122" s="9">
        <f>G122-F122</f>
        <v/>
      </c>
      <c r="I122" s="11">
        <f>IFERROR(H122/G122, 0)</f>
        <v/>
      </c>
      <c r="J122" s="8">
        <f>IF(G122&gt;=400, "High-End", IF(G122&gt;=100, "Mid-Tier", "Economy"))</f>
        <v/>
      </c>
      <c r="K122" s="8" t="n">
        <v>35</v>
      </c>
    </row>
    <row r="123">
      <c r="A123" s="8" t="inlineStr">
        <is>
          <t>PRD-0119</t>
        </is>
      </c>
      <c r="B123" s="8" t="inlineStr">
        <is>
          <t>AccuBinder Pens, Inks &amp; Marker Model-968</t>
        </is>
      </c>
      <c r="C123" s="8" t="inlineStr">
        <is>
          <t>Office Supplies</t>
        </is>
      </c>
      <c r="D123" s="8" t="inlineStr">
        <is>
          <t>Pens, Inks &amp; Markers</t>
        </is>
      </c>
      <c r="E123" s="8" t="inlineStr">
        <is>
          <t>AccuBinder</t>
        </is>
      </c>
      <c r="F123" s="9" t="n">
        <v>6.95</v>
      </c>
      <c r="G123" s="9" t="n">
        <v>11.35</v>
      </c>
      <c r="H123" s="9">
        <f>G123-F123</f>
        <v/>
      </c>
      <c r="I123" s="11">
        <f>IFERROR(H123/G123, 0)</f>
        <v/>
      </c>
      <c r="J123" s="8">
        <f>IF(G123&gt;=400, "High-End", IF(G123&gt;=100, "Mid-Tier", "Economy"))</f>
        <v/>
      </c>
      <c r="K123" s="8" t="n">
        <v>20</v>
      </c>
    </row>
    <row r="124">
      <c r="A124" s="8" t="inlineStr">
        <is>
          <t>PRD-0120</t>
        </is>
      </c>
      <c r="B124" s="8" t="inlineStr">
        <is>
          <t>ApexTech Laptops &amp; Desktop Model-905</t>
        </is>
      </c>
      <c r="C124" s="8" t="inlineStr">
        <is>
          <t>Technology</t>
        </is>
      </c>
      <c r="D124" s="8" t="inlineStr">
        <is>
          <t>Laptops &amp; Desktops</t>
        </is>
      </c>
      <c r="E124" s="8" t="inlineStr">
        <is>
          <t>ApexTech</t>
        </is>
      </c>
      <c r="F124" s="9" t="n">
        <v>754.92</v>
      </c>
      <c r="G124" s="9" t="n">
        <v>1001.04</v>
      </c>
      <c r="H124" s="9">
        <f>G124-F124</f>
        <v/>
      </c>
      <c r="I124" s="11">
        <f>IFERROR(H124/G124, 0)</f>
        <v/>
      </c>
      <c r="J124" s="8">
        <f>IF(G124&gt;=400, "High-End", IF(G124&gt;=100, "Mid-Tier", "Economy"))</f>
        <v/>
      </c>
      <c r="K124" s="8" t="n">
        <v>35</v>
      </c>
    </row>
    <row r="125">
      <c r="A125" s="8" t="inlineStr">
        <is>
          <t>PRD-0121</t>
        </is>
      </c>
      <c r="B125" s="8" t="inlineStr">
        <is>
          <t>Novacore Monitors &amp; Display Model-102</t>
        </is>
      </c>
      <c r="C125" s="8" t="inlineStr">
        <is>
          <t>Technology</t>
        </is>
      </c>
      <c r="D125" s="8" t="inlineStr">
        <is>
          <t>Monitors &amp; Displays</t>
        </is>
      </c>
      <c r="E125" s="8" t="inlineStr">
        <is>
          <t>Novacore</t>
        </is>
      </c>
      <c r="F125" s="9" t="n">
        <v>335.63</v>
      </c>
      <c r="G125" s="9" t="n">
        <v>420.86</v>
      </c>
      <c r="H125" s="9">
        <f>G125-F125</f>
        <v/>
      </c>
      <c r="I125" s="11">
        <f>IFERROR(H125/G125, 0)</f>
        <v/>
      </c>
      <c r="J125" s="8">
        <f>IF(G125&gt;=400, "High-End", IF(G125&gt;=100, "Mid-Tier", "Economy"))</f>
        <v/>
      </c>
      <c r="K125" s="8" t="n">
        <v>100</v>
      </c>
    </row>
    <row r="126">
      <c r="A126" s="8" t="inlineStr">
        <is>
          <t>PRD-0122</t>
        </is>
      </c>
      <c r="B126" s="8" t="inlineStr">
        <is>
          <t>EverWrite Desk Accessorie Model-115</t>
        </is>
      </c>
      <c r="C126" s="8" t="inlineStr">
        <is>
          <t>Office Supplies</t>
        </is>
      </c>
      <c r="D126" s="8" t="inlineStr">
        <is>
          <t>Desk Accessories</t>
        </is>
      </c>
      <c r="E126" s="8" t="inlineStr">
        <is>
          <t>EverWrite</t>
        </is>
      </c>
      <c r="F126" s="9" t="n">
        <v>8.949999999999999</v>
      </c>
      <c r="G126" s="9" t="n">
        <v>15.21</v>
      </c>
      <c r="H126" s="9">
        <f>G126-F126</f>
        <v/>
      </c>
      <c r="I126" s="11">
        <f>IFERROR(H126/G126, 0)</f>
        <v/>
      </c>
      <c r="J126" s="8">
        <f>IF(G126&gt;=400, "High-End", IF(G126&gt;=100, "Mid-Tier", "Economy"))</f>
        <v/>
      </c>
      <c r="K126" s="8" t="n">
        <v>35</v>
      </c>
    </row>
    <row r="127">
      <c r="A127" s="8" t="inlineStr">
        <is>
          <t>PRD-0123</t>
        </is>
      </c>
      <c r="B127" s="8" t="inlineStr">
        <is>
          <t>ApexTech Printers &amp; Networking Model-863</t>
        </is>
      </c>
      <c r="C127" s="8" t="inlineStr">
        <is>
          <t>Technology</t>
        </is>
      </c>
      <c r="D127" s="8" t="inlineStr">
        <is>
          <t>Printers &amp; Networking</t>
        </is>
      </c>
      <c r="E127" s="8" t="inlineStr">
        <is>
          <t>ApexTech</t>
        </is>
      </c>
      <c r="F127" s="9" t="n">
        <v>150.98</v>
      </c>
      <c r="G127" s="9" t="n">
        <v>195.79</v>
      </c>
      <c r="H127" s="9">
        <f>G127-F127</f>
        <v/>
      </c>
      <c r="I127" s="11">
        <f>IFERROR(H127/G127, 0)</f>
        <v/>
      </c>
      <c r="J127" s="8">
        <f>IF(G127&gt;=400, "High-End", IF(G127&gt;=100, "Mid-Tier", "Economy"))</f>
        <v/>
      </c>
      <c r="K127" s="8" t="n">
        <v>20</v>
      </c>
    </row>
    <row r="128">
      <c r="A128" s="8" t="inlineStr">
        <is>
          <t>PRD-0124</t>
        </is>
      </c>
      <c r="B128" s="8" t="inlineStr">
        <is>
          <t>Kinetix Bookcases &amp; Storage Model-902</t>
        </is>
      </c>
      <c r="C128" s="8" t="inlineStr">
        <is>
          <t>Furniture</t>
        </is>
      </c>
      <c r="D128" s="8" t="inlineStr">
        <is>
          <t>Bookcases &amp; Storage</t>
        </is>
      </c>
      <c r="E128" s="8" t="inlineStr">
        <is>
          <t>Kinetix</t>
        </is>
      </c>
      <c r="F128" s="9" t="n">
        <v>179.04</v>
      </c>
      <c r="G128" s="9" t="n">
        <v>265.24</v>
      </c>
      <c r="H128" s="9">
        <f>G128-F128</f>
        <v/>
      </c>
      <c r="I128" s="11">
        <f>IFERROR(H128/G128, 0)</f>
        <v/>
      </c>
      <c r="J128" s="8">
        <f>IF(G128&gt;=400, "High-End", IF(G128&gt;=100, "Mid-Tier", "Economy"))</f>
        <v/>
      </c>
      <c r="K128" s="8" t="n">
        <v>150</v>
      </c>
    </row>
    <row r="129">
      <c r="A129" s="8" t="inlineStr">
        <is>
          <t>PRD-0125</t>
        </is>
      </c>
      <c r="B129" s="8" t="inlineStr">
        <is>
          <t>ApexTech Laptops &amp; Desktop Model-802</t>
        </is>
      </c>
      <c r="C129" s="8" t="inlineStr">
        <is>
          <t>Technology</t>
        </is>
      </c>
      <c r="D129" s="8" t="inlineStr">
        <is>
          <t>Laptops &amp; Desktops</t>
        </is>
      </c>
      <c r="E129" s="8" t="inlineStr">
        <is>
          <t>ApexTech</t>
        </is>
      </c>
      <c r="F129" s="9" t="n">
        <v>948.71</v>
      </c>
      <c r="G129" s="9" t="n">
        <v>1389.75</v>
      </c>
      <c r="H129" s="9">
        <f>G129-F129</f>
        <v/>
      </c>
      <c r="I129" s="11">
        <f>IFERROR(H129/G129, 0)</f>
        <v/>
      </c>
      <c r="J129" s="8">
        <f>IF(G129&gt;=400, "High-End", IF(G129&gt;=100, "Mid-Tier", "Economy"))</f>
        <v/>
      </c>
      <c r="K129" s="8" t="n">
        <v>75</v>
      </c>
    </row>
    <row r="130">
      <c r="A130" s="8" t="inlineStr">
        <is>
          <t>PRD-0126</t>
        </is>
      </c>
      <c r="B130" s="8" t="inlineStr">
        <is>
          <t>Kinetix Office Chair Model-748</t>
        </is>
      </c>
      <c r="C130" s="8" t="inlineStr">
        <is>
          <t>Furniture</t>
        </is>
      </c>
      <c r="D130" s="8" t="inlineStr">
        <is>
          <t>Office Chairs</t>
        </is>
      </c>
      <c r="E130" s="8" t="inlineStr">
        <is>
          <t>Kinetix</t>
        </is>
      </c>
      <c r="F130" s="9" t="n">
        <v>134.74</v>
      </c>
      <c r="G130" s="9" t="n">
        <v>195.24</v>
      </c>
      <c r="H130" s="9">
        <f>G130-F130</f>
        <v/>
      </c>
      <c r="I130" s="11">
        <f>IFERROR(H130/G130, 0)</f>
        <v/>
      </c>
      <c r="J130" s="8">
        <f>IF(G130&gt;=400, "High-End", IF(G130&gt;=100, "Mid-Tier", "Economy"))</f>
        <v/>
      </c>
      <c r="K130" s="8" t="n">
        <v>100</v>
      </c>
    </row>
    <row r="131">
      <c r="A131" s="8" t="inlineStr">
        <is>
          <t>PRD-0127</t>
        </is>
      </c>
      <c r="B131" s="8" t="inlineStr">
        <is>
          <t>ZenithLogix Printers &amp; Networking Model-217</t>
        </is>
      </c>
      <c r="C131" s="8" t="inlineStr">
        <is>
          <t>Technology</t>
        </is>
      </c>
      <c r="D131" s="8" t="inlineStr">
        <is>
          <t>Printers &amp; Networking</t>
        </is>
      </c>
      <c r="E131" s="8" t="inlineStr">
        <is>
          <t>ZenithLogix</t>
        </is>
      </c>
      <c r="F131" s="9" t="n">
        <v>497.58</v>
      </c>
      <c r="G131" s="9" t="n">
        <v>646.33</v>
      </c>
      <c r="H131" s="9">
        <f>G131-F131</f>
        <v/>
      </c>
      <c r="I131" s="11">
        <f>IFERROR(H131/G131, 0)</f>
        <v/>
      </c>
      <c r="J131" s="8">
        <f>IF(G131&gt;=400, "High-End", IF(G131&gt;=100, "Mid-Tier", "Economy"))</f>
        <v/>
      </c>
      <c r="K131" s="8" t="n">
        <v>150</v>
      </c>
    </row>
    <row r="132">
      <c r="A132" s="8" t="inlineStr">
        <is>
          <t>PRD-0128</t>
        </is>
      </c>
      <c r="B132" s="8" t="inlineStr">
        <is>
          <t>ZenithLogix Monitors &amp; Display Model-947</t>
        </is>
      </c>
      <c r="C132" s="8" t="inlineStr">
        <is>
          <t>Technology</t>
        </is>
      </c>
      <c r="D132" s="8" t="inlineStr">
        <is>
          <t>Monitors &amp; Displays</t>
        </is>
      </c>
      <c r="E132" s="8" t="inlineStr">
        <is>
          <t>ZenithLogix</t>
        </is>
      </c>
      <c r="F132" s="9" t="n">
        <v>448.17</v>
      </c>
      <c r="G132" s="9" t="n">
        <v>570.3200000000001</v>
      </c>
      <c r="H132" s="9">
        <f>G132-F132</f>
        <v/>
      </c>
      <c r="I132" s="11">
        <f>IFERROR(H132/G132, 0)</f>
        <v/>
      </c>
      <c r="J132" s="8">
        <f>IF(G132&gt;=400, "High-End", IF(G132&gt;=100, "Mid-Tier", "Economy"))</f>
        <v/>
      </c>
      <c r="K132" s="8" t="n">
        <v>50</v>
      </c>
    </row>
    <row r="133">
      <c r="A133" s="8" t="inlineStr">
        <is>
          <t>PRD-0129</t>
        </is>
      </c>
      <c r="B133" s="8" t="inlineStr">
        <is>
          <t>AccuBinder Pens, Inks &amp; Marker Model-168</t>
        </is>
      </c>
      <c r="C133" s="8" t="inlineStr">
        <is>
          <t>Office Supplies</t>
        </is>
      </c>
      <c r="D133" s="8" t="inlineStr">
        <is>
          <t>Pens, Inks &amp; Markers</t>
        </is>
      </c>
      <c r="E133" s="8" t="inlineStr">
        <is>
          <t>AccuBinder</t>
        </is>
      </c>
      <c r="F133" s="9" t="n">
        <v>19.66</v>
      </c>
      <c r="G133" s="9" t="n">
        <v>31.56</v>
      </c>
      <c r="H133" s="9">
        <f>G133-F133</f>
        <v/>
      </c>
      <c r="I133" s="11">
        <f>IFERROR(H133/G133, 0)</f>
        <v/>
      </c>
      <c r="J133" s="8">
        <f>IF(G133&gt;=400, "High-End", IF(G133&gt;=100, "Mid-Tier", "Economy"))</f>
        <v/>
      </c>
      <c r="K133" s="8" t="n">
        <v>75</v>
      </c>
    </row>
    <row r="134">
      <c r="A134" s="8" t="inlineStr">
        <is>
          <t>PRD-0130</t>
        </is>
      </c>
      <c r="B134" s="8" t="inlineStr">
        <is>
          <t>SteelForm Office Chair Model-675</t>
        </is>
      </c>
      <c r="C134" s="8" t="inlineStr">
        <is>
          <t>Furniture</t>
        </is>
      </c>
      <c r="D134" s="8" t="inlineStr">
        <is>
          <t>Office Chairs</t>
        </is>
      </c>
      <c r="E134" s="8" t="inlineStr">
        <is>
          <t>SteelForm</t>
        </is>
      </c>
      <c r="F134" s="9" t="n">
        <v>381.6</v>
      </c>
      <c r="G134" s="9" t="n">
        <v>593.34</v>
      </c>
      <c r="H134" s="9">
        <f>G134-F134</f>
        <v/>
      </c>
      <c r="I134" s="11">
        <f>IFERROR(H134/G134, 0)</f>
        <v/>
      </c>
      <c r="J134" s="8">
        <f>IF(G134&gt;=400, "High-End", IF(G134&gt;=100, "Mid-Tier", "Economy"))</f>
        <v/>
      </c>
      <c r="K134" s="8" t="n">
        <v>100</v>
      </c>
    </row>
    <row r="135">
      <c r="A135" s="8" t="inlineStr">
        <is>
          <t>PRD-0131</t>
        </is>
      </c>
      <c r="B135" s="8" t="inlineStr">
        <is>
          <t>EcoPaper Desk Accessorie Model-714</t>
        </is>
      </c>
      <c r="C135" s="8" t="inlineStr">
        <is>
          <t>Office Supplies</t>
        </is>
      </c>
      <c r="D135" s="8" t="inlineStr">
        <is>
          <t>Desk Accessories</t>
        </is>
      </c>
      <c r="E135" s="8" t="inlineStr">
        <is>
          <t>EcoPaper</t>
        </is>
      </c>
      <c r="F135" s="9" t="n">
        <v>39.66</v>
      </c>
      <c r="G135" s="9" t="n">
        <v>66.06999999999999</v>
      </c>
      <c r="H135" s="9">
        <f>G135-F135</f>
        <v/>
      </c>
      <c r="I135" s="11">
        <f>IFERROR(H135/G135, 0)</f>
        <v/>
      </c>
      <c r="J135" s="8">
        <f>IF(G135&gt;=400, "High-End", IF(G135&gt;=100, "Mid-Tier", "Economy"))</f>
        <v/>
      </c>
      <c r="K135" s="8" t="n">
        <v>50</v>
      </c>
    </row>
    <row r="136">
      <c r="A136" s="8" t="inlineStr">
        <is>
          <t>PRD-0132</t>
        </is>
      </c>
      <c r="B136" s="8" t="inlineStr">
        <is>
          <t>SteelForm Bookcases &amp; Storage Model-476</t>
        </is>
      </c>
      <c r="C136" s="8" t="inlineStr">
        <is>
          <t>Furniture</t>
        </is>
      </c>
      <c r="D136" s="8" t="inlineStr">
        <is>
          <t>Bookcases &amp; Storage</t>
        </is>
      </c>
      <c r="E136" s="8" t="inlineStr">
        <is>
          <t>SteelForm</t>
        </is>
      </c>
      <c r="F136" s="9" t="n">
        <v>557.6</v>
      </c>
      <c r="G136" s="9" t="n">
        <v>792.09</v>
      </c>
      <c r="H136" s="9">
        <f>G136-F136</f>
        <v/>
      </c>
      <c r="I136" s="11">
        <f>IFERROR(H136/G136, 0)</f>
        <v/>
      </c>
      <c r="J136" s="8">
        <f>IF(G136&gt;=400, "High-End", IF(G136&gt;=100, "Mid-Tier", "Economy"))</f>
        <v/>
      </c>
      <c r="K136" s="8" t="n">
        <v>100</v>
      </c>
    </row>
    <row r="137">
      <c r="A137" s="8" t="inlineStr">
        <is>
          <t>PRD-0133</t>
        </is>
      </c>
      <c r="B137" s="8" t="inlineStr">
        <is>
          <t>Kinetix Conference Table Model-723</t>
        </is>
      </c>
      <c r="C137" s="8" t="inlineStr">
        <is>
          <t>Furniture</t>
        </is>
      </c>
      <c r="D137" s="8" t="inlineStr">
        <is>
          <t>Conference Tables</t>
        </is>
      </c>
      <c r="E137" s="8" t="inlineStr">
        <is>
          <t>Kinetix</t>
        </is>
      </c>
      <c r="F137" s="9" t="n">
        <v>416.21</v>
      </c>
      <c r="G137" s="9" t="n">
        <v>673.35</v>
      </c>
      <c r="H137" s="9">
        <f>G137-F137</f>
        <v/>
      </c>
      <c r="I137" s="11">
        <f>IFERROR(H137/G137, 0)</f>
        <v/>
      </c>
      <c r="J137" s="8">
        <f>IF(G137&gt;=400, "High-End", IF(G137&gt;=100, "Mid-Tier", "Economy"))</f>
        <v/>
      </c>
      <c r="K137" s="8" t="n">
        <v>20</v>
      </c>
    </row>
    <row r="138">
      <c r="A138" s="8" t="inlineStr">
        <is>
          <t>PRD-0134</t>
        </is>
      </c>
      <c r="B138" s="8" t="inlineStr">
        <is>
          <t>AccuBinder Storage &amp; Organization Model-990</t>
        </is>
      </c>
      <c r="C138" s="8" t="inlineStr">
        <is>
          <t>Office Supplies</t>
        </is>
      </c>
      <c r="D138" s="8" t="inlineStr">
        <is>
          <t>Storage &amp; Organization</t>
        </is>
      </c>
      <c r="E138" s="8" t="inlineStr">
        <is>
          <t>AccuBinder</t>
        </is>
      </c>
      <c r="F138" s="9" t="n">
        <v>41.82</v>
      </c>
      <c r="G138" s="9" t="n">
        <v>62.76</v>
      </c>
      <c r="H138" s="9">
        <f>G138-F138</f>
        <v/>
      </c>
      <c r="I138" s="11">
        <f>IFERROR(H138/G138, 0)</f>
        <v/>
      </c>
      <c r="J138" s="8">
        <f>IF(G138&gt;=400, "High-End", IF(G138&gt;=100, "Mid-Tier", "Economy"))</f>
        <v/>
      </c>
      <c r="K138" s="8" t="n">
        <v>35</v>
      </c>
    </row>
    <row r="139">
      <c r="A139" s="8" t="inlineStr">
        <is>
          <t>PRD-0135</t>
        </is>
      </c>
      <c r="B139" s="8" t="inlineStr">
        <is>
          <t>ApexTech Laptops &amp; Desktop Model-564</t>
        </is>
      </c>
      <c r="C139" s="8" t="inlineStr">
        <is>
          <t>Technology</t>
        </is>
      </c>
      <c r="D139" s="8" t="inlineStr">
        <is>
          <t>Laptops &amp; Desktops</t>
        </is>
      </c>
      <c r="E139" s="8" t="inlineStr">
        <is>
          <t>ApexTech</t>
        </is>
      </c>
      <c r="F139" s="9" t="n">
        <v>717.6900000000001</v>
      </c>
      <c r="G139" s="9" t="n">
        <v>946.98</v>
      </c>
      <c r="H139" s="9">
        <f>G139-F139</f>
        <v/>
      </c>
      <c r="I139" s="11">
        <f>IFERROR(H139/G139, 0)</f>
        <v/>
      </c>
      <c r="J139" s="8">
        <f>IF(G139&gt;=400, "High-End", IF(G139&gt;=100, "Mid-Tier", "Economy"))</f>
        <v/>
      </c>
      <c r="K139" s="8" t="n">
        <v>75</v>
      </c>
    </row>
    <row r="140">
      <c r="A140" s="8" t="inlineStr">
        <is>
          <t>PRD-0136</t>
        </is>
      </c>
      <c r="B140" s="8" t="inlineStr">
        <is>
          <t>SafeKeep Paper &amp; Stationery Model-872</t>
        </is>
      </c>
      <c r="C140" s="8" t="inlineStr">
        <is>
          <t>Office Supplies</t>
        </is>
      </c>
      <c r="D140" s="8" t="inlineStr">
        <is>
          <t>Paper &amp; Stationery</t>
        </is>
      </c>
      <c r="E140" s="8" t="inlineStr">
        <is>
          <t>SafeKeep</t>
        </is>
      </c>
      <c r="F140" s="9" t="n">
        <v>7.94</v>
      </c>
      <c r="G140" s="9" t="n">
        <v>12.16</v>
      </c>
      <c r="H140" s="9">
        <f>G140-F140</f>
        <v/>
      </c>
      <c r="I140" s="11">
        <f>IFERROR(H140/G140, 0)</f>
        <v/>
      </c>
      <c r="J140" s="8">
        <f>IF(G140&gt;=400, "High-End", IF(G140&gt;=100, "Mid-Tier", "Economy"))</f>
        <v/>
      </c>
      <c r="K140" s="8" t="n">
        <v>35</v>
      </c>
    </row>
    <row r="141">
      <c r="A141" s="8" t="inlineStr">
        <is>
          <t>PRD-0137</t>
        </is>
      </c>
      <c r="B141" s="8" t="inlineStr">
        <is>
          <t>Kinetix Bookcases &amp; Storage Model-216</t>
        </is>
      </c>
      <c r="C141" s="8" t="inlineStr">
        <is>
          <t>Furniture</t>
        </is>
      </c>
      <c r="D141" s="8" t="inlineStr">
        <is>
          <t>Bookcases &amp; Storage</t>
        </is>
      </c>
      <c r="E141" s="8" t="inlineStr">
        <is>
          <t>Kinetix</t>
        </is>
      </c>
      <c r="F141" s="9" t="n">
        <v>312.44</v>
      </c>
      <c r="G141" s="9" t="n">
        <v>438.3</v>
      </c>
      <c r="H141" s="9">
        <f>G141-F141</f>
        <v/>
      </c>
      <c r="I141" s="11">
        <f>IFERROR(H141/G141, 0)</f>
        <v/>
      </c>
      <c r="J141" s="8">
        <f>IF(G141&gt;=400, "High-End", IF(G141&gt;=100, "Mid-Tier", "Economy"))</f>
        <v/>
      </c>
      <c r="K141" s="8" t="n">
        <v>100</v>
      </c>
    </row>
    <row r="142">
      <c r="A142" s="8" t="inlineStr">
        <is>
          <t>PRD-0138</t>
        </is>
      </c>
      <c r="B142" s="8" t="inlineStr">
        <is>
          <t>NordicCraft Conference Table Model-156</t>
        </is>
      </c>
      <c r="C142" s="8" t="inlineStr">
        <is>
          <t>Furniture</t>
        </is>
      </c>
      <c r="D142" s="8" t="inlineStr">
        <is>
          <t>Conference Tables</t>
        </is>
      </c>
      <c r="E142" s="8" t="inlineStr">
        <is>
          <t>NordicCraft</t>
        </is>
      </c>
      <c r="F142" s="9" t="n">
        <v>72.48</v>
      </c>
      <c r="G142" s="9" t="n">
        <v>113.13</v>
      </c>
      <c r="H142" s="9">
        <f>G142-F142</f>
        <v/>
      </c>
      <c r="I142" s="11">
        <f>IFERROR(H142/G142, 0)</f>
        <v/>
      </c>
      <c r="J142" s="8">
        <f>IF(G142&gt;=400, "High-End", IF(G142&gt;=100, "Mid-Tier", "Economy"))</f>
        <v/>
      </c>
      <c r="K142" s="8" t="n">
        <v>100</v>
      </c>
    </row>
    <row r="143">
      <c r="A143" s="8" t="inlineStr">
        <is>
          <t>PRD-0139</t>
        </is>
      </c>
      <c r="B143" s="8" t="inlineStr">
        <is>
          <t>QuantumByte Printers &amp; Networking Model-540</t>
        </is>
      </c>
      <c r="C143" s="8" t="inlineStr">
        <is>
          <t>Technology</t>
        </is>
      </c>
      <c r="D143" s="8" t="inlineStr">
        <is>
          <t>Printers &amp; Networking</t>
        </is>
      </c>
      <c r="E143" s="8" t="inlineStr">
        <is>
          <t>QuantumByte</t>
        </is>
      </c>
      <c r="F143" s="9" t="n">
        <v>335.23</v>
      </c>
      <c r="G143" s="9" t="n">
        <v>402.87</v>
      </c>
      <c r="H143" s="9">
        <f>G143-F143</f>
        <v/>
      </c>
      <c r="I143" s="11">
        <f>IFERROR(H143/G143, 0)</f>
        <v/>
      </c>
      <c r="J143" s="8">
        <f>IF(G143&gt;=400, "High-End", IF(G143&gt;=100, "Mid-Tier", "Economy"))</f>
        <v/>
      </c>
      <c r="K143" s="8" t="n">
        <v>150</v>
      </c>
    </row>
    <row r="144">
      <c r="A144" s="8" t="inlineStr">
        <is>
          <t>PRD-0140</t>
        </is>
      </c>
      <c r="B144" s="8" t="inlineStr">
        <is>
          <t>AeroWeave Corporate Apparel Model-546</t>
        </is>
      </c>
      <c r="C144" s="8" t="inlineStr">
        <is>
          <t>Apparel &amp; Gear</t>
        </is>
      </c>
      <c r="D144" s="8" t="inlineStr">
        <is>
          <t>Corporate Apparel</t>
        </is>
      </c>
      <c r="E144" s="8" t="inlineStr">
        <is>
          <t>AeroWeave</t>
        </is>
      </c>
      <c r="F144" s="9" t="n">
        <v>24.01</v>
      </c>
      <c r="G144" s="9" t="n">
        <v>41.25</v>
      </c>
      <c r="H144" s="9">
        <f>G144-F144</f>
        <v/>
      </c>
      <c r="I144" s="11">
        <f>IFERROR(H144/G144, 0)</f>
        <v/>
      </c>
      <c r="J144" s="8">
        <f>IF(G144&gt;=400, "High-End", IF(G144&gt;=100, "Mid-Tier", "Economy"))</f>
        <v/>
      </c>
      <c r="K144" s="8" t="n">
        <v>20</v>
      </c>
    </row>
    <row r="145">
      <c r="A145" s="8" t="inlineStr">
        <is>
          <t>PRD-0141</t>
        </is>
      </c>
      <c r="B145" s="8" t="inlineStr">
        <is>
          <t>EcoPaper Paper &amp; Stationery Model-514</t>
        </is>
      </c>
      <c r="C145" s="8" t="inlineStr">
        <is>
          <t>Office Supplies</t>
        </is>
      </c>
      <c r="D145" s="8" t="inlineStr">
        <is>
          <t>Paper &amp; Stationery</t>
        </is>
      </c>
      <c r="E145" s="8" t="inlineStr">
        <is>
          <t>EcoPaper</t>
        </is>
      </c>
      <c r="F145" s="9" t="n">
        <v>33.23</v>
      </c>
      <c r="G145" s="9" t="n">
        <v>53.7</v>
      </c>
      <c r="H145" s="9">
        <f>G145-F145</f>
        <v/>
      </c>
      <c r="I145" s="11">
        <f>IFERROR(H145/G145, 0)</f>
        <v/>
      </c>
      <c r="J145" s="8">
        <f>IF(G145&gt;=400, "High-End", IF(G145&gt;=100, "Mid-Tier", "Economy"))</f>
        <v/>
      </c>
      <c r="K145" s="8" t="n">
        <v>20</v>
      </c>
    </row>
    <row r="146">
      <c r="A146" s="8" t="inlineStr">
        <is>
          <t>PRD-0142</t>
        </is>
      </c>
      <c r="B146" s="8" t="inlineStr">
        <is>
          <t>AeroWeave Corporate Apparel Model-546</t>
        </is>
      </c>
      <c r="C146" s="8" t="inlineStr">
        <is>
          <t>Apparel &amp; Gear</t>
        </is>
      </c>
      <c r="D146" s="8" t="inlineStr">
        <is>
          <t>Corporate Apparel</t>
        </is>
      </c>
      <c r="E146" s="8" t="inlineStr">
        <is>
          <t>AeroWeave</t>
        </is>
      </c>
      <c r="F146" s="9" t="n">
        <v>26.02</v>
      </c>
      <c r="G146" s="9" t="n">
        <v>44.6</v>
      </c>
      <c r="H146" s="9">
        <f>G146-F146</f>
        <v/>
      </c>
      <c r="I146" s="11">
        <f>IFERROR(H146/G146, 0)</f>
        <v/>
      </c>
      <c r="J146" s="8">
        <f>IF(G146&gt;=400, "High-End", IF(G146&gt;=100, "Mid-Tier", "Economy"))</f>
        <v/>
      </c>
      <c r="K146" s="8" t="n">
        <v>35</v>
      </c>
    </row>
    <row r="147">
      <c r="A147" s="8" t="inlineStr">
        <is>
          <t>PRD-0143</t>
        </is>
      </c>
      <c r="B147" s="8" t="inlineStr">
        <is>
          <t>SteelForm Office Chair Model-748</t>
        </is>
      </c>
      <c r="C147" s="8" t="inlineStr">
        <is>
          <t>Furniture</t>
        </is>
      </c>
      <c r="D147" s="8" t="inlineStr">
        <is>
          <t>Office Chairs</t>
        </is>
      </c>
      <c r="E147" s="8" t="inlineStr">
        <is>
          <t>SteelForm</t>
        </is>
      </c>
      <c r="F147" s="9" t="n">
        <v>246.51</v>
      </c>
      <c r="G147" s="9" t="n">
        <v>359.58</v>
      </c>
      <c r="H147" s="9">
        <f>G147-F147</f>
        <v/>
      </c>
      <c r="I147" s="11">
        <f>IFERROR(H147/G147, 0)</f>
        <v/>
      </c>
      <c r="J147" s="8">
        <f>IF(G147&gt;=400, "High-End", IF(G147&gt;=100, "Mid-Tier", "Economy"))</f>
        <v/>
      </c>
      <c r="K147" s="8" t="n">
        <v>100</v>
      </c>
    </row>
    <row r="148">
      <c r="A148" s="8" t="inlineStr">
        <is>
          <t>PRD-0144</t>
        </is>
      </c>
      <c r="B148" s="8" t="inlineStr">
        <is>
          <t>EverWrite Storage &amp; Organization Model-277</t>
        </is>
      </c>
      <c r="C148" s="8" t="inlineStr">
        <is>
          <t>Office Supplies</t>
        </is>
      </c>
      <c r="D148" s="8" t="inlineStr">
        <is>
          <t>Storage &amp; Organization</t>
        </is>
      </c>
      <c r="E148" s="8" t="inlineStr">
        <is>
          <t>EverWrite</t>
        </is>
      </c>
      <c r="F148" s="9" t="n">
        <v>14.07</v>
      </c>
      <c r="G148" s="9" t="n">
        <v>20.45</v>
      </c>
      <c r="H148" s="9">
        <f>G148-F148</f>
        <v/>
      </c>
      <c r="I148" s="11">
        <f>IFERROR(H148/G148, 0)</f>
        <v/>
      </c>
      <c r="J148" s="8">
        <f>IF(G148&gt;=400, "High-End", IF(G148&gt;=100, "Mid-Tier", "Economy"))</f>
        <v/>
      </c>
      <c r="K148" s="8" t="n">
        <v>35</v>
      </c>
    </row>
    <row r="149">
      <c r="A149" s="8" t="inlineStr">
        <is>
          <t>PRD-0145</t>
        </is>
      </c>
      <c r="B149" s="8" t="inlineStr">
        <is>
          <t>EcoPaper Desk Accessorie Model-559</t>
        </is>
      </c>
      <c r="C149" s="8" t="inlineStr">
        <is>
          <t>Office Supplies</t>
        </is>
      </c>
      <c r="D149" s="8" t="inlineStr">
        <is>
          <t>Desk Accessories</t>
        </is>
      </c>
      <c r="E149" s="8" t="inlineStr">
        <is>
          <t>EcoPaper</t>
        </is>
      </c>
      <c r="F149" s="9" t="n">
        <v>23.29</v>
      </c>
      <c r="G149" s="9" t="n">
        <v>37.95</v>
      </c>
      <c r="H149" s="9">
        <f>G149-F149</f>
        <v/>
      </c>
      <c r="I149" s="11">
        <f>IFERROR(H149/G149, 0)</f>
        <v/>
      </c>
      <c r="J149" s="8">
        <f>IF(G149&gt;=400, "High-End", IF(G149&gt;=100, "Mid-Tier", "Economy"))</f>
        <v/>
      </c>
      <c r="K149" s="8" t="n">
        <v>100</v>
      </c>
    </row>
    <row r="150">
      <c r="A150" s="8" t="inlineStr">
        <is>
          <t>PRD-0146</t>
        </is>
      </c>
      <c r="B150" s="8" t="inlineStr">
        <is>
          <t>NordicCraft Office Chair Model-746</t>
        </is>
      </c>
      <c r="C150" s="8" t="inlineStr">
        <is>
          <t>Furniture</t>
        </is>
      </c>
      <c r="D150" s="8" t="inlineStr">
        <is>
          <t>Office Chairs</t>
        </is>
      </c>
      <c r="E150" s="8" t="inlineStr">
        <is>
          <t>NordicCraft</t>
        </is>
      </c>
      <c r="F150" s="9" t="n">
        <v>136.33</v>
      </c>
      <c r="G150" s="9" t="n">
        <v>195.73</v>
      </c>
      <c r="H150" s="9">
        <f>G150-F150</f>
        <v/>
      </c>
      <c r="I150" s="11">
        <f>IFERROR(H150/G150, 0)</f>
        <v/>
      </c>
      <c r="J150" s="8">
        <f>IF(G150&gt;=400, "High-End", IF(G150&gt;=100, "Mid-Tier", "Economy"))</f>
        <v/>
      </c>
      <c r="K150" s="8" t="n">
        <v>75</v>
      </c>
    </row>
    <row r="151">
      <c r="A151" s="8" t="inlineStr">
        <is>
          <t>PRD-0147</t>
        </is>
      </c>
      <c r="B151" s="8" t="inlineStr">
        <is>
          <t>ZenithLogix Printers &amp; Networking Model-178</t>
        </is>
      </c>
      <c r="C151" s="8" t="inlineStr">
        <is>
          <t>Technology</t>
        </is>
      </c>
      <c r="D151" s="8" t="inlineStr">
        <is>
          <t>Printers &amp; Networking</t>
        </is>
      </c>
      <c r="E151" s="8" t="inlineStr">
        <is>
          <t>ZenithLogix</t>
        </is>
      </c>
      <c r="F151" s="9" t="n">
        <v>448.5</v>
      </c>
      <c r="G151" s="9" t="n">
        <v>544.0700000000001</v>
      </c>
      <c r="H151" s="9">
        <f>G151-F151</f>
        <v/>
      </c>
      <c r="I151" s="11">
        <f>IFERROR(H151/G151, 0)</f>
        <v/>
      </c>
      <c r="J151" s="8">
        <f>IF(G151&gt;=400, "High-End", IF(G151&gt;=100, "Mid-Tier", "Economy"))</f>
        <v/>
      </c>
      <c r="K151" s="8" t="n">
        <v>50</v>
      </c>
    </row>
    <row r="152">
      <c r="A152" s="8" t="inlineStr">
        <is>
          <t>PRD-0148</t>
        </is>
      </c>
      <c r="B152" s="8" t="inlineStr">
        <is>
          <t>ModuDesk Standing Desk Model-142</t>
        </is>
      </c>
      <c r="C152" s="8" t="inlineStr">
        <is>
          <t>Furniture</t>
        </is>
      </c>
      <c r="D152" s="8" t="inlineStr">
        <is>
          <t>Standing Desks</t>
        </is>
      </c>
      <c r="E152" s="8" t="inlineStr">
        <is>
          <t>ModuDesk</t>
        </is>
      </c>
      <c r="F152" s="9" t="n">
        <v>396.1</v>
      </c>
      <c r="G152" s="9" t="n">
        <v>641.47</v>
      </c>
      <c r="H152" s="9">
        <f>G152-F152</f>
        <v/>
      </c>
      <c r="I152" s="11">
        <f>IFERROR(H152/G152, 0)</f>
        <v/>
      </c>
      <c r="J152" s="8">
        <f>IF(G152&gt;=400, "High-End", IF(G152&gt;=100, "Mid-Tier", "Economy"))</f>
        <v/>
      </c>
      <c r="K152" s="8" t="n">
        <v>150</v>
      </c>
    </row>
    <row r="153">
      <c r="A153" s="8" t="inlineStr">
        <is>
          <t>PRD-0149</t>
        </is>
      </c>
      <c r="B153" s="8" t="inlineStr">
        <is>
          <t>Kinetix Bookcases &amp; Storage Model-930</t>
        </is>
      </c>
      <c r="C153" s="8" t="inlineStr">
        <is>
          <t>Furniture</t>
        </is>
      </c>
      <c r="D153" s="8" t="inlineStr">
        <is>
          <t>Bookcases &amp; Storage</t>
        </is>
      </c>
      <c r="E153" s="8" t="inlineStr">
        <is>
          <t>Kinetix</t>
        </is>
      </c>
      <c r="F153" s="9" t="n">
        <v>136.27</v>
      </c>
      <c r="G153" s="9" t="n">
        <v>184.54</v>
      </c>
      <c r="H153" s="9">
        <f>G153-F153</f>
        <v/>
      </c>
      <c r="I153" s="11">
        <f>IFERROR(H153/G153, 0)</f>
        <v/>
      </c>
      <c r="J153" s="8">
        <f>IF(G153&gt;=400, "High-End", IF(G153&gt;=100, "Mid-Tier", "Economy"))</f>
        <v/>
      </c>
      <c r="K153" s="8" t="n">
        <v>20</v>
      </c>
    </row>
    <row r="154">
      <c r="A154" s="8" t="inlineStr">
        <is>
          <t>PRD-0150</t>
        </is>
      </c>
      <c r="B154" s="8" t="inlineStr">
        <is>
          <t>ApexTech Audio &amp; Headphone Model-636</t>
        </is>
      </c>
      <c r="C154" s="8" t="inlineStr">
        <is>
          <t>Technology</t>
        </is>
      </c>
      <c r="D154" s="8" t="inlineStr">
        <is>
          <t>Audio &amp; Headphones</t>
        </is>
      </c>
      <c r="E154" s="8" t="inlineStr">
        <is>
          <t>ApexTech</t>
        </is>
      </c>
      <c r="F154" s="9" t="n">
        <v>261.69</v>
      </c>
      <c r="G154" s="9" t="n">
        <v>384.86</v>
      </c>
      <c r="H154" s="9">
        <f>G154-F154</f>
        <v/>
      </c>
      <c r="I154" s="11">
        <f>IFERROR(H154/G154, 0)</f>
        <v/>
      </c>
      <c r="J154" s="8">
        <f>IF(G154&gt;=400, "High-End", IF(G154&gt;=100, "Mid-Tier", "Economy"))</f>
        <v/>
      </c>
      <c r="K154" s="8" t="n">
        <v>75</v>
      </c>
    </row>
    <row r="155">
      <c r="A155" s="8" t="inlineStr">
        <is>
          <t>PRD-0151</t>
        </is>
      </c>
      <c r="B155" s="8" t="inlineStr">
        <is>
          <t>NordicCraft Standing Desk Model-762</t>
        </is>
      </c>
      <c r="C155" s="8" t="inlineStr">
        <is>
          <t>Furniture</t>
        </is>
      </c>
      <c r="D155" s="8" t="inlineStr">
        <is>
          <t>Standing Desks</t>
        </is>
      </c>
      <c r="E155" s="8" t="inlineStr">
        <is>
          <t>NordicCraft</t>
        </is>
      </c>
      <c r="F155" s="9" t="n">
        <v>455.73</v>
      </c>
      <c r="G155" s="9" t="n">
        <v>643.51</v>
      </c>
      <c r="H155" s="9">
        <f>G155-F155</f>
        <v/>
      </c>
      <c r="I155" s="11">
        <f>IFERROR(H155/G155, 0)</f>
        <v/>
      </c>
      <c r="J155" s="8">
        <f>IF(G155&gt;=400, "High-End", IF(G155&gt;=100, "Mid-Tier", "Economy"))</f>
        <v/>
      </c>
      <c r="K155" s="8" t="n">
        <v>150</v>
      </c>
    </row>
    <row r="156">
      <c r="A156" s="8" t="inlineStr">
        <is>
          <t>PRD-0152</t>
        </is>
      </c>
      <c r="B156" s="8" t="inlineStr">
        <is>
          <t>Hyperion Printers &amp; Networking Model-994</t>
        </is>
      </c>
      <c r="C156" s="8" t="inlineStr">
        <is>
          <t>Technology</t>
        </is>
      </c>
      <c r="D156" s="8" t="inlineStr">
        <is>
          <t>Printers &amp; Networking</t>
        </is>
      </c>
      <c r="E156" s="8" t="inlineStr">
        <is>
          <t>Hyperion</t>
        </is>
      </c>
      <c r="F156" s="9" t="n">
        <v>814.1799999999999</v>
      </c>
      <c r="G156" s="9" t="n">
        <v>1157.61</v>
      </c>
      <c r="H156" s="9">
        <f>G156-F156</f>
        <v/>
      </c>
      <c r="I156" s="11">
        <f>IFERROR(H156/G156, 0)</f>
        <v/>
      </c>
      <c r="J156" s="8">
        <f>IF(G156&gt;=400, "High-End", IF(G156&gt;=100, "Mid-Tier", "Economy"))</f>
        <v/>
      </c>
      <c r="K156" s="8" t="n">
        <v>100</v>
      </c>
    </row>
    <row r="157">
      <c r="A157" s="8" t="inlineStr">
        <is>
          <t>PRD-0153</t>
        </is>
      </c>
      <c r="B157" s="8" t="inlineStr">
        <is>
          <t>Hyperion Printers &amp; Networking Model-825</t>
        </is>
      </c>
      <c r="C157" s="8" t="inlineStr">
        <is>
          <t>Technology</t>
        </is>
      </c>
      <c r="D157" s="8" t="inlineStr">
        <is>
          <t>Printers &amp; Networking</t>
        </is>
      </c>
      <c r="E157" s="8" t="inlineStr">
        <is>
          <t>Hyperion</t>
        </is>
      </c>
      <c r="F157" s="9" t="n">
        <v>674.11</v>
      </c>
      <c r="G157" s="9" t="n">
        <v>869.7</v>
      </c>
      <c r="H157" s="9">
        <f>G157-F157</f>
        <v/>
      </c>
      <c r="I157" s="11">
        <f>IFERROR(H157/G157, 0)</f>
        <v/>
      </c>
      <c r="J157" s="8">
        <f>IF(G157&gt;=400, "High-End", IF(G157&gt;=100, "Mid-Tier", "Economy"))</f>
        <v/>
      </c>
      <c r="K157" s="8" t="n">
        <v>100</v>
      </c>
    </row>
    <row r="158">
      <c r="A158" s="8" t="inlineStr">
        <is>
          <t>PRD-0154</t>
        </is>
      </c>
      <c r="B158" s="8" t="inlineStr">
        <is>
          <t>VanguardPro Corporate Apparel Model-801</t>
        </is>
      </c>
      <c r="C158" s="8" t="inlineStr">
        <is>
          <t>Apparel &amp; Gear</t>
        </is>
      </c>
      <c r="D158" s="8" t="inlineStr">
        <is>
          <t>Corporate Apparel</t>
        </is>
      </c>
      <c r="E158" s="8" t="inlineStr">
        <is>
          <t>VanguardPro</t>
        </is>
      </c>
      <c r="F158" s="9" t="n">
        <v>98.76000000000001</v>
      </c>
      <c r="G158" s="9" t="n">
        <v>168.94</v>
      </c>
      <c r="H158" s="9">
        <f>G158-F158</f>
        <v/>
      </c>
      <c r="I158" s="11">
        <f>IFERROR(H158/G158, 0)</f>
        <v/>
      </c>
      <c r="J158" s="8">
        <f>IF(G158&gt;=400, "High-End", IF(G158&gt;=100, "Mid-Tier", "Economy"))</f>
        <v/>
      </c>
      <c r="K158" s="8" t="n">
        <v>150</v>
      </c>
    </row>
    <row r="159">
      <c r="A159" s="8" t="inlineStr">
        <is>
          <t>PRD-0155</t>
        </is>
      </c>
      <c r="B159" s="8" t="inlineStr">
        <is>
          <t>QuantumByte Laptops &amp; Desktop Model-884</t>
        </is>
      </c>
      <c r="C159" s="8" t="inlineStr">
        <is>
          <t>Technology</t>
        </is>
      </c>
      <c r="D159" s="8" t="inlineStr">
        <is>
          <t>Laptops &amp; Desktops</t>
        </is>
      </c>
      <c r="E159" s="8" t="inlineStr">
        <is>
          <t>QuantumByte</t>
        </is>
      </c>
      <c r="F159" s="9" t="n">
        <v>317.61</v>
      </c>
      <c r="G159" s="9" t="n">
        <v>472.85</v>
      </c>
      <c r="H159" s="9">
        <f>G159-F159</f>
        <v/>
      </c>
      <c r="I159" s="11">
        <f>IFERROR(H159/G159, 0)</f>
        <v/>
      </c>
      <c r="J159" s="8">
        <f>IF(G159&gt;=400, "High-End", IF(G159&gt;=100, "Mid-Tier", "Economy"))</f>
        <v/>
      </c>
      <c r="K159" s="8" t="n">
        <v>50</v>
      </c>
    </row>
    <row r="160">
      <c r="A160" s="8" t="inlineStr">
        <is>
          <t>PRD-0156</t>
        </is>
      </c>
      <c r="B160" s="8" t="inlineStr">
        <is>
          <t>UrbanShield Corporate Apparel Model-639</t>
        </is>
      </c>
      <c r="C160" s="8" t="inlineStr">
        <is>
          <t>Apparel &amp; Gear</t>
        </is>
      </c>
      <c r="D160" s="8" t="inlineStr">
        <is>
          <t>Corporate Apparel</t>
        </is>
      </c>
      <c r="E160" s="8" t="inlineStr">
        <is>
          <t>UrbanShield</t>
        </is>
      </c>
      <c r="F160" s="9" t="n">
        <v>78.45999999999999</v>
      </c>
      <c r="G160" s="9" t="n">
        <v>129</v>
      </c>
      <c r="H160" s="9">
        <f>G160-F160</f>
        <v/>
      </c>
      <c r="I160" s="11">
        <f>IFERROR(H160/G160, 0)</f>
        <v/>
      </c>
      <c r="J160" s="8">
        <f>IF(G160&gt;=400, "High-End", IF(G160&gt;=100, "Mid-Tier", "Economy"))</f>
        <v/>
      </c>
      <c r="K160" s="8" t="n">
        <v>150</v>
      </c>
    </row>
    <row r="161">
      <c r="A161" s="8" t="inlineStr">
        <is>
          <t>PRD-0157</t>
        </is>
      </c>
      <c r="B161" s="8" t="inlineStr">
        <is>
          <t>SteelForm Standing Desk Model-928</t>
        </is>
      </c>
      <c r="C161" s="8" t="inlineStr">
        <is>
          <t>Furniture</t>
        </is>
      </c>
      <c r="D161" s="8" t="inlineStr">
        <is>
          <t>Standing Desks</t>
        </is>
      </c>
      <c r="E161" s="8" t="inlineStr">
        <is>
          <t>SteelForm</t>
        </is>
      </c>
      <c r="F161" s="9" t="n">
        <v>143.16</v>
      </c>
      <c r="G161" s="9" t="n">
        <v>227.8</v>
      </c>
      <c r="H161" s="9">
        <f>G161-F161</f>
        <v/>
      </c>
      <c r="I161" s="11">
        <f>IFERROR(H161/G161, 0)</f>
        <v/>
      </c>
      <c r="J161" s="8">
        <f>IF(G161&gt;=400, "High-End", IF(G161&gt;=100, "Mid-Tier", "Economy"))</f>
        <v/>
      </c>
      <c r="K161" s="8" t="n">
        <v>100</v>
      </c>
    </row>
    <row r="162">
      <c r="A162" s="8" t="inlineStr">
        <is>
          <t>PRD-0158</t>
        </is>
      </c>
      <c r="B162" s="8" t="inlineStr">
        <is>
          <t>EverWrite Storage &amp; Organization Model-902</t>
        </is>
      </c>
      <c r="C162" s="8" t="inlineStr">
        <is>
          <t>Office Supplies</t>
        </is>
      </c>
      <c r="D162" s="8" t="inlineStr">
        <is>
          <t>Storage &amp; Organization</t>
        </is>
      </c>
      <c r="E162" s="8" t="inlineStr">
        <is>
          <t>EverWrite</t>
        </is>
      </c>
      <c r="F162" s="9" t="n">
        <v>43.77</v>
      </c>
      <c r="G162" s="9" t="n">
        <v>68.3</v>
      </c>
      <c r="H162" s="9">
        <f>G162-F162</f>
        <v/>
      </c>
      <c r="I162" s="11">
        <f>IFERROR(H162/G162, 0)</f>
        <v/>
      </c>
      <c r="J162" s="8">
        <f>IF(G162&gt;=400, "High-End", IF(G162&gt;=100, "Mid-Tier", "Economy"))</f>
        <v/>
      </c>
      <c r="K162" s="8" t="n">
        <v>150</v>
      </c>
    </row>
    <row r="163">
      <c r="A163" s="8" t="inlineStr">
        <is>
          <t>PRD-0159</t>
        </is>
      </c>
      <c r="B163" s="8" t="inlineStr">
        <is>
          <t>SteelForm Bookcases &amp; Storage Model-572</t>
        </is>
      </c>
      <c r="C163" s="8" t="inlineStr">
        <is>
          <t>Furniture</t>
        </is>
      </c>
      <c r="D163" s="8" t="inlineStr">
        <is>
          <t>Bookcases &amp; Storage</t>
        </is>
      </c>
      <c r="E163" s="8" t="inlineStr">
        <is>
          <t>SteelForm</t>
        </is>
      </c>
      <c r="F163" s="9" t="n">
        <v>267.54</v>
      </c>
      <c r="G163" s="9" t="n">
        <v>416.78</v>
      </c>
      <c r="H163" s="9">
        <f>G163-F163</f>
        <v/>
      </c>
      <c r="I163" s="11">
        <f>IFERROR(H163/G163, 0)</f>
        <v/>
      </c>
      <c r="J163" s="8">
        <f>IF(G163&gt;=400, "High-End", IF(G163&gt;=100, "Mid-Tier", "Economy"))</f>
        <v/>
      </c>
      <c r="K163" s="8" t="n">
        <v>75</v>
      </c>
    </row>
    <row r="164">
      <c r="A164" s="8" t="inlineStr">
        <is>
          <t>PRD-0160</t>
        </is>
      </c>
      <c r="B164" s="8" t="inlineStr">
        <is>
          <t>Novacore Audio &amp; Headphone Model-153</t>
        </is>
      </c>
      <c r="C164" s="8" t="inlineStr">
        <is>
          <t>Technology</t>
        </is>
      </c>
      <c r="D164" s="8" t="inlineStr">
        <is>
          <t>Audio &amp; Headphones</t>
        </is>
      </c>
      <c r="E164" s="8" t="inlineStr">
        <is>
          <t>Novacore</t>
        </is>
      </c>
      <c r="F164" s="9" t="n">
        <v>768.15</v>
      </c>
      <c r="G164" s="9" t="n">
        <v>1076.82</v>
      </c>
      <c r="H164" s="9">
        <f>G164-F164</f>
        <v/>
      </c>
      <c r="I164" s="11">
        <f>IFERROR(H164/G164, 0)</f>
        <v/>
      </c>
      <c r="J164" s="8">
        <f>IF(G164&gt;=400, "High-End", IF(G164&gt;=100, "Mid-Tier", "Economy"))</f>
        <v/>
      </c>
      <c r="K164" s="8" t="n">
        <v>50</v>
      </c>
    </row>
    <row r="165">
      <c r="A165" s="8" t="inlineStr">
        <is>
          <t>PRD-0161</t>
        </is>
      </c>
      <c r="B165" s="8" t="inlineStr">
        <is>
          <t>ApexGear Corporate Apparel Model-379</t>
        </is>
      </c>
      <c r="C165" s="8" t="inlineStr">
        <is>
          <t>Apparel &amp; Gear</t>
        </is>
      </c>
      <c r="D165" s="8" t="inlineStr">
        <is>
          <t>Corporate Apparel</t>
        </is>
      </c>
      <c r="E165" s="8" t="inlineStr">
        <is>
          <t>ApexGear</t>
        </is>
      </c>
      <c r="F165" s="9" t="n">
        <v>121.4</v>
      </c>
      <c r="G165" s="9" t="n">
        <v>192.49</v>
      </c>
      <c r="H165" s="9">
        <f>G165-F165</f>
        <v/>
      </c>
      <c r="I165" s="11">
        <f>IFERROR(H165/G165, 0)</f>
        <v/>
      </c>
      <c r="J165" s="8">
        <f>IF(G165&gt;=400, "High-End", IF(G165&gt;=100, "Mid-Tier", "Economy"))</f>
        <v/>
      </c>
      <c r="K165" s="8" t="n">
        <v>35</v>
      </c>
    </row>
    <row r="166">
      <c r="A166" s="8" t="inlineStr">
        <is>
          <t>PRD-0162</t>
        </is>
      </c>
      <c r="B166" s="8" t="inlineStr">
        <is>
          <t>VanguardPro Backpacks &amp; Laptop Bag Model-524</t>
        </is>
      </c>
      <c r="C166" s="8" t="inlineStr">
        <is>
          <t>Apparel &amp; Gear</t>
        </is>
      </c>
      <c r="D166" s="8" t="inlineStr">
        <is>
          <t>Backpacks &amp; Laptop Bags</t>
        </is>
      </c>
      <c r="E166" s="8" t="inlineStr">
        <is>
          <t>VanguardPro</t>
        </is>
      </c>
      <c r="F166" s="9" t="n">
        <v>117.09</v>
      </c>
      <c r="G166" s="9" t="n">
        <v>192.43</v>
      </c>
      <c r="H166" s="9">
        <f>G166-F166</f>
        <v/>
      </c>
      <c r="I166" s="11">
        <f>IFERROR(H166/G166, 0)</f>
        <v/>
      </c>
      <c r="J166" s="8">
        <f>IF(G166&gt;=400, "High-End", IF(G166&gt;=100, "Mid-Tier", "Economy"))</f>
        <v/>
      </c>
      <c r="K166" s="8" t="n">
        <v>20</v>
      </c>
    </row>
    <row r="167">
      <c r="A167" s="8" t="inlineStr">
        <is>
          <t>PRD-0163</t>
        </is>
      </c>
      <c r="B167" s="8" t="inlineStr">
        <is>
          <t>SteelForm Office Chair Model-765</t>
        </is>
      </c>
      <c r="C167" s="8" t="inlineStr">
        <is>
          <t>Furniture</t>
        </is>
      </c>
      <c r="D167" s="8" t="inlineStr">
        <is>
          <t>Office Chairs</t>
        </is>
      </c>
      <c r="E167" s="8" t="inlineStr">
        <is>
          <t>SteelForm</t>
        </is>
      </c>
      <c r="F167" s="9" t="n">
        <v>62.05</v>
      </c>
      <c r="G167" s="9" t="n">
        <v>101.4</v>
      </c>
      <c r="H167" s="9">
        <f>G167-F167</f>
        <v/>
      </c>
      <c r="I167" s="11">
        <f>IFERROR(H167/G167, 0)</f>
        <v/>
      </c>
      <c r="J167" s="8">
        <f>IF(G167&gt;=400, "High-End", IF(G167&gt;=100, "Mid-Tier", "Economy"))</f>
        <v/>
      </c>
      <c r="K167" s="8" t="n">
        <v>150</v>
      </c>
    </row>
    <row r="168">
      <c r="A168" s="8" t="inlineStr">
        <is>
          <t>PRD-0164</t>
        </is>
      </c>
      <c r="B168" s="8" t="inlineStr">
        <is>
          <t>SteelForm Bookcases &amp; Storage Model-105</t>
        </is>
      </c>
      <c r="C168" s="8" t="inlineStr">
        <is>
          <t>Furniture</t>
        </is>
      </c>
      <c r="D168" s="8" t="inlineStr">
        <is>
          <t>Bookcases &amp; Storage</t>
        </is>
      </c>
      <c r="E168" s="8" t="inlineStr">
        <is>
          <t>SteelForm</t>
        </is>
      </c>
      <c r="F168" s="9" t="n">
        <v>504.1</v>
      </c>
      <c r="G168" s="9" t="n">
        <v>729.88</v>
      </c>
      <c r="H168" s="9">
        <f>G168-F168</f>
        <v/>
      </c>
      <c r="I168" s="11">
        <f>IFERROR(H168/G168, 0)</f>
        <v/>
      </c>
      <c r="J168" s="8">
        <f>IF(G168&gt;=400, "High-End", IF(G168&gt;=100, "Mid-Tier", "Economy"))</f>
        <v/>
      </c>
      <c r="K168" s="8" t="n">
        <v>100</v>
      </c>
    </row>
    <row r="169">
      <c r="A169" s="8" t="inlineStr">
        <is>
          <t>PRD-0165</t>
        </is>
      </c>
      <c r="B169" s="8" t="inlineStr">
        <is>
          <t>SafeKeep Storage &amp; Organization Model-343</t>
        </is>
      </c>
      <c r="C169" s="8" t="inlineStr">
        <is>
          <t>Office Supplies</t>
        </is>
      </c>
      <c r="D169" s="8" t="inlineStr">
        <is>
          <t>Storage &amp; Organization</t>
        </is>
      </c>
      <c r="E169" s="8" t="inlineStr">
        <is>
          <t>SafeKeep</t>
        </is>
      </c>
      <c r="F169" s="9" t="n">
        <v>25.87</v>
      </c>
      <c r="G169" s="9" t="n">
        <v>37.4</v>
      </c>
      <c r="H169" s="9">
        <f>G169-F169</f>
        <v/>
      </c>
      <c r="I169" s="11">
        <f>IFERROR(H169/G169, 0)</f>
        <v/>
      </c>
      <c r="J169" s="8">
        <f>IF(G169&gt;=400, "High-End", IF(G169&gt;=100, "Mid-Tier", "Economy"))</f>
        <v/>
      </c>
      <c r="K169" s="8" t="n">
        <v>50</v>
      </c>
    </row>
    <row r="170">
      <c r="A170" s="8" t="inlineStr">
        <is>
          <t>PRD-0166</t>
        </is>
      </c>
      <c r="B170" s="8" t="inlineStr">
        <is>
          <t>ErgoComfort Bookcases &amp; Storage Model-648</t>
        </is>
      </c>
      <c r="C170" s="8" t="inlineStr">
        <is>
          <t>Furniture</t>
        </is>
      </c>
      <c r="D170" s="8" t="inlineStr">
        <is>
          <t>Bookcases &amp; Storage</t>
        </is>
      </c>
      <c r="E170" s="8" t="inlineStr">
        <is>
          <t>ErgoComfort</t>
        </is>
      </c>
      <c r="F170" s="9" t="n">
        <v>112.07</v>
      </c>
      <c r="G170" s="9" t="n">
        <v>173.5</v>
      </c>
      <c r="H170" s="9">
        <f>G170-F170</f>
        <v/>
      </c>
      <c r="I170" s="11">
        <f>IFERROR(H170/G170, 0)</f>
        <v/>
      </c>
      <c r="J170" s="8">
        <f>IF(G170&gt;=400, "High-End", IF(G170&gt;=100, "Mid-Tier", "Economy"))</f>
        <v/>
      </c>
      <c r="K170" s="8" t="n">
        <v>100</v>
      </c>
    </row>
    <row r="171">
      <c r="A171" s="8" t="inlineStr">
        <is>
          <t>PRD-0167</t>
        </is>
      </c>
      <c r="B171" s="8" t="inlineStr">
        <is>
          <t>ErgoComfort Standing Desk Model-291</t>
        </is>
      </c>
      <c r="C171" s="8" t="inlineStr">
        <is>
          <t>Furniture</t>
        </is>
      </c>
      <c r="D171" s="8" t="inlineStr">
        <is>
          <t>Standing Desks</t>
        </is>
      </c>
      <c r="E171" s="8" t="inlineStr">
        <is>
          <t>ErgoComfort</t>
        </is>
      </c>
      <c r="F171" s="9" t="n">
        <v>416.96</v>
      </c>
      <c r="G171" s="9" t="n">
        <v>606.8099999999999</v>
      </c>
      <c r="H171" s="9">
        <f>G171-F171</f>
        <v/>
      </c>
      <c r="I171" s="11">
        <f>IFERROR(H171/G171, 0)</f>
        <v/>
      </c>
      <c r="J171" s="8">
        <f>IF(G171&gt;=400, "High-End", IF(G171&gt;=100, "Mid-Tier", "Economy"))</f>
        <v/>
      </c>
      <c r="K171" s="8" t="n">
        <v>75</v>
      </c>
    </row>
    <row r="172">
      <c r="A172" s="8" t="inlineStr">
        <is>
          <t>PRD-0168</t>
        </is>
      </c>
      <c r="B172" s="8" t="inlineStr">
        <is>
          <t>Kinetix Conference Table Model-120</t>
        </is>
      </c>
      <c r="C172" s="8" t="inlineStr">
        <is>
          <t>Furniture</t>
        </is>
      </c>
      <c r="D172" s="8" t="inlineStr">
        <is>
          <t>Conference Tables</t>
        </is>
      </c>
      <c r="E172" s="8" t="inlineStr">
        <is>
          <t>Kinetix</t>
        </is>
      </c>
      <c r="F172" s="9" t="n">
        <v>351.93</v>
      </c>
      <c r="G172" s="9" t="n">
        <v>597.34</v>
      </c>
      <c r="H172" s="9">
        <f>G172-F172</f>
        <v/>
      </c>
      <c r="I172" s="11">
        <f>IFERROR(H172/G172, 0)</f>
        <v/>
      </c>
      <c r="J172" s="8">
        <f>IF(G172&gt;=400, "High-End", IF(G172&gt;=100, "Mid-Tier", "Economy"))</f>
        <v/>
      </c>
      <c r="K172" s="8" t="n">
        <v>100</v>
      </c>
    </row>
    <row r="173">
      <c r="A173" s="8" t="inlineStr">
        <is>
          <t>PRD-0169</t>
        </is>
      </c>
      <c r="B173" s="8" t="inlineStr">
        <is>
          <t>Hyperion Printers &amp; Networking Model-346</t>
        </is>
      </c>
      <c r="C173" s="8" t="inlineStr">
        <is>
          <t>Technology</t>
        </is>
      </c>
      <c r="D173" s="8" t="inlineStr">
        <is>
          <t>Printers &amp; Networking</t>
        </is>
      </c>
      <c r="E173" s="8" t="inlineStr">
        <is>
          <t>Hyperion</t>
        </is>
      </c>
      <c r="F173" s="9" t="n">
        <v>49.86</v>
      </c>
      <c r="G173" s="9" t="n">
        <v>68.87</v>
      </c>
      <c r="H173" s="9">
        <f>G173-F173</f>
        <v/>
      </c>
      <c r="I173" s="11">
        <f>IFERROR(H173/G173, 0)</f>
        <v/>
      </c>
      <c r="J173" s="8">
        <f>IF(G173&gt;=400, "High-End", IF(G173&gt;=100, "Mid-Tier", "Economy"))</f>
        <v/>
      </c>
      <c r="K173" s="8" t="n">
        <v>50</v>
      </c>
    </row>
    <row r="174">
      <c r="A174" s="8" t="inlineStr">
        <is>
          <t>PRD-0170</t>
        </is>
      </c>
      <c r="B174" s="8" t="inlineStr">
        <is>
          <t>SteelForm Office Chair Model-279</t>
        </is>
      </c>
      <c r="C174" s="8" t="inlineStr">
        <is>
          <t>Furniture</t>
        </is>
      </c>
      <c r="D174" s="8" t="inlineStr">
        <is>
          <t>Office Chairs</t>
        </is>
      </c>
      <c r="E174" s="8" t="inlineStr">
        <is>
          <t>SteelForm</t>
        </is>
      </c>
      <c r="F174" s="9" t="n">
        <v>71.81999999999999</v>
      </c>
      <c r="G174" s="9" t="n">
        <v>111</v>
      </c>
      <c r="H174" s="9">
        <f>G174-F174</f>
        <v/>
      </c>
      <c r="I174" s="11">
        <f>IFERROR(H174/G174, 0)</f>
        <v/>
      </c>
      <c r="J174" s="8">
        <f>IF(G174&gt;=400, "High-End", IF(G174&gt;=100, "Mid-Tier", "Economy"))</f>
        <v/>
      </c>
      <c r="K174" s="8" t="n">
        <v>150</v>
      </c>
    </row>
    <row r="175">
      <c r="A175" s="8" t="inlineStr">
        <is>
          <t>PRD-0171</t>
        </is>
      </c>
      <c r="B175" s="8" t="inlineStr">
        <is>
          <t>Novacore Audio &amp; Headphone Model-137</t>
        </is>
      </c>
      <c r="C175" s="8" t="inlineStr">
        <is>
          <t>Technology</t>
        </is>
      </c>
      <c r="D175" s="8" t="inlineStr">
        <is>
          <t>Audio &amp; Headphones</t>
        </is>
      </c>
      <c r="E175" s="8" t="inlineStr">
        <is>
          <t>Novacore</t>
        </is>
      </c>
      <c r="F175" s="9" t="n">
        <v>92.73999999999999</v>
      </c>
      <c r="G175" s="9" t="n">
        <v>143.61</v>
      </c>
      <c r="H175" s="9">
        <f>G175-F175</f>
        <v/>
      </c>
      <c r="I175" s="11">
        <f>IFERROR(H175/G175, 0)</f>
        <v/>
      </c>
      <c r="J175" s="8">
        <f>IF(G175&gt;=400, "High-End", IF(G175&gt;=100, "Mid-Tier", "Economy"))</f>
        <v/>
      </c>
      <c r="K175" s="8" t="n">
        <v>75</v>
      </c>
    </row>
    <row r="176">
      <c r="A176" s="8" t="inlineStr">
        <is>
          <t>PRD-0172</t>
        </is>
      </c>
      <c r="B176" s="8" t="inlineStr">
        <is>
          <t>AeroWeave Backpacks &amp; Laptop Bag Model-584</t>
        </is>
      </c>
      <c r="C176" s="8" t="inlineStr">
        <is>
          <t>Apparel &amp; Gear</t>
        </is>
      </c>
      <c r="D176" s="8" t="inlineStr">
        <is>
          <t>Backpacks &amp; Laptop Bags</t>
        </is>
      </c>
      <c r="E176" s="8" t="inlineStr">
        <is>
          <t>AeroWeave</t>
        </is>
      </c>
      <c r="F176" s="9" t="n">
        <v>79.42</v>
      </c>
      <c r="G176" s="9" t="n">
        <v>132.43</v>
      </c>
      <c r="H176" s="9">
        <f>G176-F176</f>
        <v/>
      </c>
      <c r="I176" s="11">
        <f>IFERROR(H176/G176, 0)</f>
        <v/>
      </c>
      <c r="J176" s="8">
        <f>IF(G176&gt;=400, "High-End", IF(G176&gt;=100, "Mid-Tier", "Economy"))</f>
        <v/>
      </c>
      <c r="K176" s="8" t="n">
        <v>100</v>
      </c>
    </row>
    <row r="177">
      <c r="A177" s="8" t="inlineStr">
        <is>
          <t>PRD-0173</t>
        </is>
      </c>
      <c r="B177" s="8" t="inlineStr">
        <is>
          <t>OptimaPrint Desk Accessorie Model-918</t>
        </is>
      </c>
      <c r="C177" s="8" t="inlineStr">
        <is>
          <t>Office Supplies</t>
        </is>
      </c>
      <c r="D177" s="8" t="inlineStr">
        <is>
          <t>Desk Accessories</t>
        </is>
      </c>
      <c r="E177" s="8" t="inlineStr">
        <is>
          <t>OptimaPrint</t>
        </is>
      </c>
      <c r="F177" s="9" t="n">
        <v>39.56</v>
      </c>
      <c r="G177" s="9" t="n">
        <v>62.36</v>
      </c>
      <c r="H177" s="9">
        <f>G177-F177</f>
        <v/>
      </c>
      <c r="I177" s="11">
        <f>IFERROR(H177/G177, 0)</f>
        <v/>
      </c>
      <c r="J177" s="8">
        <f>IF(G177&gt;=400, "High-End", IF(G177&gt;=100, "Mid-Tier", "Economy"))</f>
        <v/>
      </c>
      <c r="K177" s="8" t="n">
        <v>20</v>
      </c>
    </row>
    <row r="178">
      <c r="A178" s="8" t="inlineStr">
        <is>
          <t>PRD-0174</t>
        </is>
      </c>
      <c r="B178" s="8" t="inlineStr">
        <is>
          <t>NordicCraft Standing Desk Model-476</t>
        </is>
      </c>
      <c r="C178" s="8" t="inlineStr">
        <is>
          <t>Furniture</t>
        </is>
      </c>
      <c r="D178" s="8" t="inlineStr">
        <is>
          <t>Standing Desks</t>
        </is>
      </c>
      <c r="E178" s="8" t="inlineStr">
        <is>
          <t>NordicCraft</t>
        </is>
      </c>
      <c r="F178" s="9" t="n">
        <v>634.1</v>
      </c>
      <c r="G178" s="9" t="n">
        <v>960.11</v>
      </c>
      <c r="H178" s="9">
        <f>G178-F178</f>
        <v/>
      </c>
      <c r="I178" s="11">
        <f>IFERROR(H178/G178, 0)</f>
        <v/>
      </c>
      <c r="J178" s="8">
        <f>IF(G178&gt;=400, "High-End", IF(G178&gt;=100, "Mid-Tier", "Economy"))</f>
        <v/>
      </c>
      <c r="K178" s="8" t="n">
        <v>75</v>
      </c>
    </row>
    <row r="179">
      <c r="A179" s="8" t="inlineStr">
        <is>
          <t>PRD-0175</t>
        </is>
      </c>
      <c r="B179" s="8" t="inlineStr">
        <is>
          <t>ZenithLogix Smartphones &amp; Accessorie Model-400</t>
        </is>
      </c>
      <c r="C179" s="8" t="inlineStr">
        <is>
          <t>Technology</t>
        </is>
      </c>
      <c r="D179" s="8" t="inlineStr">
        <is>
          <t>Smartphones &amp; Accessories</t>
        </is>
      </c>
      <c r="E179" s="8" t="inlineStr">
        <is>
          <t>ZenithLogix</t>
        </is>
      </c>
      <c r="F179" s="9" t="n">
        <v>586.24</v>
      </c>
      <c r="G179" s="9" t="n">
        <v>884.72</v>
      </c>
      <c r="H179" s="9">
        <f>G179-F179</f>
        <v/>
      </c>
      <c r="I179" s="11">
        <f>IFERROR(H179/G179, 0)</f>
        <v/>
      </c>
      <c r="J179" s="8">
        <f>IF(G179&gt;=400, "High-End", IF(G179&gt;=100, "Mid-Tier", "Economy"))</f>
        <v/>
      </c>
      <c r="K179" s="8" t="n">
        <v>100</v>
      </c>
    </row>
    <row r="180">
      <c r="A180" s="8" t="inlineStr">
        <is>
          <t>PRD-0176</t>
        </is>
      </c>
      <c r="B180" s="8" t="inlineStr">
        <is>
          <t>EcoPaper Paper &amp; Stationery Model-143</t>
        </is>
      </c>
      <c r="C180" s="8" t="inlineStr">
        <is>
          <t>Office Supplies</t>
        </is>
      </c>
      <c r="D180" s="8" t="inlineStr">
        <is>
          <t>Paper &amp; Stationery</t>
        </is>
      </c>
      <c r="E180" s="8" t="inlineStr">
        <is>
          <t>EcoPaper</t>
        </is>
      </c>
      <c r="F180" s="9" t="n">
        <v>11.25</v>
      </c>
      <c r="G180" s="9" t="n">
        <v>18.25</v>
      </c>
      <c r="H180" s="9">
        <f>G180-F180</f>
        <v/>
      </c>
      <c r="I180" s="11">
        <f>IFERROR(H180/G180, 0)</f>
        <v/>
      </c>
      <c r="J180" s="8">
        <f>IF(G180&gt;=400, "High-End", IF(G180&gt;=100, "Mid-Tier", "Economy"))</f>
        <v/>
      </c>
      <c r="K180" s="8" t="n">
        <v>75</v>
      </c>
    </row>
    <row r="181">
      <c r="A181" s="8" t="inlineStr">
        <is>
          <t>PRD-0177</t>
        </is>
      </c>
      <c r="B181" s="8" t="inlineStr">
        <is>
          <t>OptimaPrint Pens, Inks &amp; Marker Model-625</t>
        </is>
      </c>
      <c r="C181" s="8" t="inlineStr">
        <is>
          <t>Office Supplies</t>
        </is>
      </c>
      <c r="D181" s="8" t="inlineStr">
        <is>
          <t>Pens, Inks &amp; Markers</t>
        </is>
      </c>
      <c r="E181" s="8" t="inlineStr">
        <is>
          <t>OptimaPrint</t>
        </is>
      </c>
      <c r="F181" s="9" t="n">
        <v>7.54</v>
      </c>
      <c r="G181" s="9" t="n">
        <v>12.94</v>
      </c>
      <c r="H181" s="9">
        <f>G181-F181</f>
        <v/>
      </c>
      <c r="I181" s="11">
        <f>IFERROR(H181/G181, 0)</f>
        <v/>
      </c>
      <c r="J181" s="8">
        <f>IF(G181&gt;=400, "High-End", IF(G181&gt;=100, "Mid-Tier", "Economy"))</f>
        <v/>
      </c>
      <c r="K181" s="8" t="n">
        <v>50</v>
      </c>
    </row>
    <row r="182">
      <c r="A182" s="8" t="inlineStr">
        <is>
          <t>PRD-0178</t>
        </is>
      </c>
      <c r="B182" s="8" t="inlineStr">
        <is>
          <t>EcoPaper Paper &amp; Stationery Model-475</t>
        </is>
      </c>
      <c r="C182" s="8" t="inlineStr">
        <is>
          <t>Office Supplies</t>
        </is>
      </c>
      <c r="D182" s="8" t="inlineStr">
        <is>
          <t>Paper &amp; Stationery</t>
        </is>
      </c>
      <c r="E182" s="8" t="inlineStr">
        <is>
          <t>EcoPaper</t>
        </is>
      </c>
      <c r="F182" s="9" t="n">
        <v>5.91</v>
      </c>
      <c r="G182" s="9" t="n">
        <v>9.07</v>
      </c>
      <c r="H182" s="9">
        <f>G182-F182</f>
        <v/>
      </c>
      <c r="I182" s="11">
        <f>IFERROR(H182/G182, 0)</f>
        <v/>
      </c>
      <c r="J182" s="8">
        <f>IF(G182&gt;=400, "High-End", IF(G182&gt;=100, "Mid-Tier", "Economy"))</f>
        <v/>
      </c>
      <c r="K182" s="8" t="n">
        <v>150</v>
      </c>
    </row>
    <row r="183">
      <c r="A183" s="8" t="inlineStr">
        <is>
          <t>PRD-0179</t>
        </is>
      </c>
      <c r="B183" s="8" t="inlineStr">
        <is>
          <t>NordicCraft Bookcases &amp; Storage Model-240</t>
        </is>
      </c>
      <c r="C183" s="8" t="inlineStr">
        <is>
          <t>Furniture</t>
        </is>
      </c>
      <c r="D183" s="8" t="inlineStr">
        <is>
          <t>Bookcases &amp; Storage</t>
        </is>
      </c>
      <c r="E183" s="8" t="inlineStr">
        <is>
          <t>NordicCraft</t>
        </is>
      </c>
      <c r="F183" s="9" t="n">
        <v>270.07</v>
      </c>
      <c r="G183" s="9" t="n">
        <v>409.29</v>
      </c>
      <c r="H183" s="9">
        <f>G183-F183</f>
        <v/>
      </c>
      <c r="I183" s="11">
        <f>IFERROR(H183/G183, 0)</f>
        <v/>
      </c>
      <c r="J183" s="8">
        <f>IF(G183&gt;=400, "High-End", IF(G183&gt;=100, "Mid-Tier", "Economy"))</f>
        <v/>
      </c>
      <c r="K183" s="8" t="n">
        <v>100</v>
      </c>
    </row>
    <row r="184">
      <c r="A184" s="8" t="inlineStr">
        <is>
          <t>PRD-0180</t>
        </is>
      </c>
      <c r="B184" s="8" t="inlineStr">
        <is>
          <t>ApexTech Smartphones &amp; Accessorie Model-675</t>
        </is>
      </c>
      <c r="C184" s="8" t="inlineStr">
        <is>
          <t>Technology</t>
        </is>
      </c>
      <c r="D184" s="8" t="inlineStr">
        <is>
          <t>Smartphones &amp; Accessories</t>
        </is>
      </c>
      <c r="E184" s="8" t="inlineStr">
        <is>
          <t>ApexTech</t>
        </is>
      </c>
      <c r="F184" s="9" t="n">
        <v>708.14</v>
      </c>
      <c r="G184" s="9" t="n">
        <v>1016.03</v>
      </c>
      <c r="H184" s="9">
        <f>G184-F184</f>
        <v/>
      </c>
      <c r="I184" s="11">
        <f>IFERROR(H184/G184, 0)</f>
        <v/>
      </c>
      <c r="J184" s="8">
        <f>IF(G184&gt;=400, "High-End", IF(G184&gt;=100, "Mid-Tier", "Economy"))</f>
        <v/>
      </c>
      <c r="K184" s="8" t="n">
        <v>75</v>
      </c>
    </row>
    <row r="185">
      <c r="A185" s="8" t="inlineStr">
        <is>
          <t>PRD-0181</t>
        </is>
      </c>
      <c r="B185" s="8" t="inlineStr">
        <is>
          <t>AccuBinder Paper &amp; Stationery Model-225</t>
        </is>
      </c>
      <c r="C185" s="8" t="inlineStr">
        <is>
          <t>Office Supplies</t>
        </is>
      </c>
      <c r="D185" s="8" t="inlineStr">
        <is>
          <t>Paper &amp; Stationery</t>
        </is>
      </c>
      <c r="E185" s="8" t="inlineStr">
        <is>
          <t>AccuBinder</t>
        </is>
      </c>
      <c r="F185" s="9" t="n">
        <v>32.61</v>
      </c>
      <c r="G185" s="9" t="n">
        <v>57.06</v>
      </c>
      <c r="H185" s="9">
        <f>G185-F185</f>
        <v/>
      </c>
      <c r="I185" s="11">
        <f>IFERROR(H185/G185, 0)</f>
        <v/>
      </c>
      <c r="J185" s="8">
        <f>IF(G185&gt;=400, "High-End", IF(G185&gt;=100, "Mid-Tier", "Economy"))</f>
        <v/>
      </c>
      <c r="K185" s="8" t="n">
        <v>35</v>
      </c>
    </row>
    <row r="186">
      <c r="A186" s="8" t="inlineStr">
        <is>
          <t>PRD-0182</t>
        </is>
      </c>
      <c r="B186" s="8" t="inlineStr">
        <is>
          <t>Hyperion Smartphones &amp; Accessorie Model-455</t>
        </is>
      </c>
      <c r="C186" s="8" t="inlineStr">
        <is>
          <t>Technology</t>
        </is>
      </c>
      <c r="D186" s="8" t="inlineStr">
        <is>
          <t>Smartphones &amp; Accessories</t>
        </is>
      </c>
      <c r="E186" s="8" t="inlineStr">
        <is>
          <t>Hyperion</t>
        </is>
      </c>
      <c r="F186" s="9" t="n">
        <v>920.3200000000001</v>
      </c>
      <c r="G186" s="9" t="n">
        <v>1423.65</v>
      </c>
      <c r="H186" s="9">
        <f>G186-F186</f>
        <v/>
      </c>
      <c r="I186" s="11">
        <f>IFERROR(H186/G186, 0)</f>
        <v/>
      </c>
      <c r="J186" s="8">
        <f>IF(G186&gt;=400, "High-End", IF(G186&gt;=100, "Mid-Tier", "Economy"))</f>
        <v/>
      </c>
      <c r="K186" s="8" t="n">
        <v>150</v>
      </c>
    </row>
    <row r="187">
      <c r="A187" s="8" t="inlineStr">
        <is>
          <t>PRD-0183</t>
        </is>
      </c>
      <c r="B187" s="8" t="inlineStr">
        <is>
          <t>Hyperion Audio &amp; Headphone Model-912</t>
        </is>
      </c>
      <c r="C187" s="8" t="inlineStr">
        <is>
          <t>Technology</t>
        </is>
      </c>
      <c r="D187" s="8" t="inlineStr">
        <is>
          <t>Audio &amp; Headphones</t>
        </is>
      </c>
      <c r="E187" s="8" t="inlineStr">
        <is>
          <t>Hyperion</t>
        </is>
      </c>
      <c r="F187" s="9" t="n">
        <v>684.25</v>
      </c>
      <c r="G187" s="9" t="n">
        <v>1047.62</v>
      </c>
      <c r="H187" s="9">
        <f>G187-F187</f>
        <v/>
      </c>
      <c r="I187" s="11">
        <f>IFERROR(H187/G187, 0)</f>
        <v/>
      </c>
      <c r="J187" s="8">
        <f>IF(G187&gt;=400, "High-End", IF(G187&gt;=100, "Mid-Tier", "Economy"))</f>
        <v/>
      </c>
      <c r="K187" s="8" t="n">
        <v>35</v>
      </c>
    </row>
    <row r="188">
      <c r="A188" s="8" t="inlineStr">
        <is>
          <t>PRD-0184</t>
        </is>
      </c>
      <c r="B188" s="8" t="inlineStr">
        <is>
          <t>ZenithLogix Monitors &amp; Display Model-578</t>
        </is>
      </c>
      <c r="C188" s="8" t="inlineStr">
        <is>
          <t>Technology</t>
        </is>
      </c>
      <c r="D188" s="8" t="inlineStr">
        <is>
          <t>Monitors &amp; Displays</t>
        </is>
      </c>
      <c r="E188" s="8" t="inlineStr">
        <is>
          <t>ZenithLogix</t>
        </is>
      </c>
      <c r="F188" s="9" t="n">
        <v>59.05</v>
      </c>
      <c r="G188" s="9" t="n">
        <v>79.56999999999999</v>
      </c>
      <c r="H188" s="9">
        <f>G188-F188</f>
        <v/>
      </c>
      <c r="I188" s="11">
        <f>IFERROR(H188/G188, 0)</f>
        <v/>
      </c>
      <c r="J188" s="8">
        <f>IF(G188&gt;=400, "High-End", IF(G188&gt;=100, "Mid-Tier", "Economy"))</f>
        <v/>
      </c>
      <c r="K188" s="8" t="n">
        <v>50</v>
      </c>
    </row>
    <row r="189">
      <c r="A189" s="8" t="inlineStr">
        <is>
          <t>PRD-0185</t>
        </is>
      </c>
      <c r="B189" s="8" t="inlineStr">
        <is>
          <t>ZenithLogix Printers &amp; Networking Model-520</t>
        </is>
      </c>
      <c r="C189" s="8" t="inlineStr">
        <is>
          <t>Technology</t>
        </is>
      </c>
      <c r="D189" s="8" t="inlineStr">
        <is>
          <t>Printers &amp; Networking</t>
        </is>
      </c>
      <c r="E189" s="8" t="inlineStr">
        <is>
          <t>ZenithLogix</t>
        </is>
      </c>
      <c r="F189" s="9" t="n">
        <v>949.63</v>
      </c>
      <c r="G189" s="9" t="n">
        <v>1296.57</v>
      </c>
      <c r="H189" s="9">
        <f>G189-F189</f>
        <v/>
      </c>
      <c r="I189" s="11">
        <f>IFERROR(H189/G189, 0)</f>
        <v/>
      </c>
      <c r="J189" s="8">
        <f>IF(G189&gt;=400, "High-End", IF(G189&gt;=100, "Mid-Tier", "Economy"))</f>
        <v/>
      </c>
      <c r="K189" s="8" t="n">
        <v>100</v>
      </c>
    </row>
    <row r="190">
      <c r="A190" s="8" t="inlineStr">
        <is>
          <t>PRD-0186</t>
        </is>
      </c>
      <c r="B190" s="8" t="inlineStr">
        <is>
          <t>OptimaPrint Pens, Inks &amp; Marker Model-231</t>
        </is>
      </c>
      <c r="C190" s="8" t="inlineStr">
        <is>
          <t>Office Supplies</t>
        </is>
      </c>
      <c r="D190" s="8" t="inlineStr">
        <is>
          <t>Pens, Inks &amp; Markers</t>
        </is>
      </c>
      <c r="E190" s="8" t="inlineStr">
        <is>
          <t>OptimaPrint</t>
        </is>
      </c>
      <c r="F190" s="9" t="n">
        <v>22.72</v>
      </c>
      <c r="G190" s="9" t="n">
        <v>39.22</v>
      </c>
      <c r="H190" s="9">
        <f>G190-F190</f>
        <v/>
      </c>
      <c r="I190" s="11">
        <f>IFERROR(H190/G190, 0)</f>
        <v/>
      </c>
      <c r="J190" s="8">
        <f>IF(G190&gt;=400, "High-End", IF(G190&gt;=100, "Mid-Tier", "Economy"))</f>
        <v/>
      </c>
      <c r="K190" s="8" t="n">
        <v>50</v>
      </c>
    </row>
    <row r="191">
      <c r="A191" s="8" t="inlineStr">
        <is>
          <t>PRD-0187</t>
        </is>
      </c>
      <c r="B191" s="8" t="inlineStr">
        <is>
          <t>ZenithLogix Audio &amp; Headphone Model-630</t>
        </is>
      </c>
      <c r="C191" s="8" t="inlineStr">
        <is>
          <t>Technology</t>
        </is>
      </c>
      <c r="D191" s="8" t="inlineStr">
        <is>
          <t>Audio &amp; Headphones</t>
        </is>
      </c>
      <c r="E191" s="8" t="inlineStr">
        <is>
          <t>ZenithLogix</t>
        </is>
      </c>
      <c r="F191" s="9" t="n">
        <v>495.12</v>
      </c>
      <c r="G191" s="9" t="n">
        <v>777.1799999999999</v>
      </c>
      <c r="H191" s="9">
        <f>G191-F191</f>
        <v/>
      </c>
      <c r="I191" s="11">
        <f>IFERROR(H191/G191, 0)</f>
        <v/>
      </c>
      <c r="J191" s="8">
        <f>IF(G191&gt;=400, "High-End", IF(G191&gt;=100, "Mid-Tier", "Economy"))</f>
        <v/>
      </c>
      <c r="K191" s="8" t="n">
        <v>20</v>
      </c>
    </row>
    <row r="192">
      <c r="A192" s="8" t="inlineStr">
        <is>
          <t>PRD-0188</t>
        </is>
      </c>
      <c r="B192" s="8" t="inlineStr">
        <is>
          <t>Kinetix Office Chair Model-301</t>
        </is>
      </c>
      <c r="C192" s="8" t="inlineStr">
        <is>
          <t>Furniture</t>
        </is>
      </c>
      <c r="D192" s="8" t="inlineStr">
        <is>
          <t>Office Chairs</t>
        </is>
      </c>
      <c r="E192" s="8" t="inlineStr">
        <is>
          <t>Kinetix</t>
        </is>
      </c>
      <c r="F192" s="9" t="n">
        <v>586.4299999999999</v>
      </c>
      <c r="G192" s="9" t="n">
        <v>946.83</v>
      </c>
      <c r="H192" s="9">
        <f>G192-F192</f>
        <v/>
      </c>
      <c r="I192" s="11">
        <f>IFERROR(H192/G192, 0)</f>
        <v/>
      </c>
      <c r="J192" s="8">
        <f>IF(G192&gt;=400, "High-End", IF(G192&gt;=100, "Mid-Tier", "Economy"))</f>
        <v/>
      </c>
      <c r="K192" s="8" t="n">
        <v>50</v>
      </c>
    </row>
    <row r="193">
      <c r="A193" s="8" t="inlineStr">
        <is>
          <t>PRD-0189</t>
        </is>
      </c>
      <c r="B193" s="8" t="inlineStr">
        <is>
          <t>ErgoComfort Conference Table Model-257</t>
        </is>
      </c>
      <c r="C193" s="8" t="inlineStr">
        <is>
          <t>Furniture</t>
        </is>
      </c>
      <c r="D193" s="8" t="inlineStr">
        <is>
          <t>Conference Tables</t>
        </is>
      </c>
      <c r="E193" s="8" t="inlineStr">
        <is>
          <t>ErgoComfort</t>
        </is>
      </c>
      <c r="F193" s="9" t="n">
        <v>349.06</v>
      </c>
      <c r="G193" s="9" t="n">
        <v>526.66</v>
      </c>
      <c r="H193" s="9">
        <f>G193-F193</f>
        <v/>
      </c>
      <c r="I193" s="11">
        <f>IFERROR(H193/G193, 0)</f>
        <v/>
      </c>
      <c r="J193" s="8">
        <f>IF(G193&gt;=400, "High-End", IF(G193&gt;=100, "Mid-Tier", "Economy"))</f>
        <v/>
      </c>
      <c r="K193" s="8" t="n">
        <v>100</v>
      </c>
    </row>
    <row r="194">
      <c r="A194" s="8" t="inlineStr">
        <is>
          <t>PRD-0190</t>
        </is>
      </c>
      <c r="B194" s="8" t="inlineStr">
        <is>
          <t>ApexGear Backpacks &amp; Laptop Bag Model-146</t>
        </is>
      </c>
      <c r="C194" s="8" t="inlineStr">
        <is>
          <t>Apparel &amp; Gear</t>
        </is>
      </c>
      <c r="D194" s="8" t="inlineStr">
        <is>
          <t>Backpacks &amp; Laptop Bags</t>
        </is>
      </c>
      <c r="E194" s="8" t="inlineStr">
        <is>
          <t>ApexGear</t>
        </is>
      </c>
      <c r="F194" s="9" t="n">
        <v>20.15</v>
      </c>
      <c r="G194" s="9" t="n">
        <v>33.02</v>
      </c>
      <c r="H194" s="9">
        <f>G194-F194</f>
        <v/>
      </c>
      <c r="I194" s="11">
        <f>IFERROR(H194/G194, 0)</f>
        <v/>
      </c>
      <c r="J194" s="8">
        <f>IF(G194&gt;=400, "High-End", IF(G194&gt;=100, "Mid-Tier", "Economy"))</f>
        <v/>
      </c>
      <c r="K194" s="8" t="n">
        <v>20</v>
      </c>
    </row>
    <row r="195">
      <c r="A195" s="8" t="inlineStr">
        <is>
          <t>PRD-0191</t>
        </is>
      </c>
      <c r="B195" s="8" t="inlineStr">
        <is>
          <t>EcoPaper Paper &amp; Stationery Model-658</t>
        </is>
      </c>
      <c r="C195" s="8" t="inlineStr">
        <is>
          <t>Office Supplies</t>
        </is>
      </c>
      <c r="D195" s="8" t="inlineStr">
        <is>
          <t>Paper &amp; Stationery</t>
        </is>
      </c>
      <c r="E195" s="8" t="inlineStr">
        <is>
          <t>EcoPaper</t>
        </is>
      </c>
      <c r="F195" s="9" t="n">
        <v>29.53</v>
      </c>
      <c r="G195" s="9" t="n">
        <v>45.09</v>
      </c>
      <c r="H195" s="9">
        <f>G195-F195</f>
        <v/>
      </c>
      <c r="I195" s="11">
        <f>IFERROR(H195/G195, 0)</f>
        <v/>
      </c>
      <c r="J195" s="8">
        <f>IF(G195&gt;=400, "High-End", IF(G195&gt;=100, "Mid-Tier", "Economy"))</f>
        <v/>
      </c>
      <c r="K195" s="8" t="n">
        <v>150</v>
      </c>
    </row>
    <row r="196">
      <c r="A196" s="8" t="inlineStr">
        <is>
          <t>PRD-0192</t>
        </is>
      </c>
      <c r="B196" s="8" t="inlineStr">
        <is>
          <t>EcoPaper Pens, Inks &amp; Marker Model-261</t>
        </is>
      </c>
      <c r="C196" s="8" t="inlineStr">
        <is>
          <t>Office Supplies</t>
        </is>
      </c>
      <c r="D196" s="8" t="inlineStr">
        <is>
          <t>Pens, Inks &amp; Markers</t>
        </is>
      </c>
      <c r="E196" s="8" t="inlineStr">
        <is>
          <t>EcoPaper</t>
        </is>
      </c>
      <c r="F196" s="9" t="n">
        <v>16.55</v>
      </c>
      <c r="G196" s="9" t="n">
        <v>26.26</v>
      </c>
      <c r="H196" s="9">
        <f>G196-F196</f>
        <v/>
      </c>
      <c r="I196" s="11">
        <f>IFERROR(H196/G196, 0)</f>
        <v/>
      </c>
      <c r="J196" s="8">
        <f>IF(G196&gt;=400, "High-End", IF(G196&gt;=100, "Mid-Tier", "Economy"))</f>
        <v/>
      </c>
      <c r="K196" s="8" t="n">
        <v>20</v>
      </c>
    </row>
    <row r="197">
      <c r="A197" s="8" t="inlineStr">
        <is>
          <t>PRD-0193</t>
        </is>
      </c>
      <c r="B197" s="8" t="inlineStr">
        <is>
          <t>NordicCraft Office Chair Model-233</t>
        </is>
      </c>
      <c r="C197" s="8" t="inlineStr">
        <is>
          <t>Furniture</t>
        </is>
      </c>
      <c r="D197" s="8" t="inlineStr">
        <is>
          <t>Office Chairs</t>
        </is>
      </c>
      <c r="E197" s="8" t="inlineStr">
        <is>
          <t>NordicCraft</t>
        </is>
      </c>
      <c r="F197" s="9" t="n">
        <v>489.19</v>
      </c>
      <c r="G197" s="9" t="n">
        <v>791.5</v>
      </c>
      <c r="H197" s="9">
        <f>G197-F197</f>
        <v/>
      </c>
      <c r="I197" s="11">
        <f>IFERROR(H197/G197, 0)</f>
        <v/>
      </c>
      <c r="J197" s="8">
        <f>IF(G197&gt;=400, "High-End", IF(G197&gt;=100, "Mid-Tier", "Economy"))</f>
        <v/>
      </c>
      <c r="K197" s="8" t="n">
        <v>75</v>
      </c>
    </row>
    <row r="198">
      <c r="A198" s="8" t="inlineStr">
        <is>
          <t>PRD-0194</t>
        </is>
      </c>
      <c r="B198" s="8" t="inlineStr">
        <is>
          <t>QuantumByte Smartphones &amp; Accessorie Model-397</t>
        </is>
      </c>
      <c r="C198" s="8" t="inlineStr">
        <is>
          <t>Technology</t>
        </is>
      </c>
      <c r="D198" s="8" t="inlineStr">
        <is>
          <t>Smartphones &amp; Accessories</t>
        </is>
      </c>
      <c r="E198" s="8" t="inlineStr">
        <is>
          <t>QuantumByte</t>
        </is>
      </c>
      <c r="F198" s="9" t="n">
        <v>446.38</v>
      </c>
      <c r="G198" s="9" t="n">
        <v>603.6900000000001</v>
      </c>
      <c r="H198" s="9">
        <f>G198-F198</f>
        <v/>
      </c>
      <c r="I198" s="11">
        <f>IFERROR(H198/G198, 0)</f>
        <v/>
      </c>
      <c r="J198" s="8">
        <f>IF(G198&gt;=400, "High-End", IF(G198&gt;=100, "Mid-Tier", "Economy"))</f>
        <v/>
      </c>
      <c r="K198" s="8" t="n">
        <v>20</v>
      </c>
    </row>
    <row r="199">
      <c r="A199" s="8" t="inlineStr">
        <is>
          <t>PRD-0195</t>
        </is>
      </c>
      <c r="B199" s="8" t="inlineStr">
        <is>
          <t>VanguardPro Backpacks &amp; Laptop Bag Model-420</t>
        </is>
      </c>
      <c r="C199" s="8" t="inlineStr">
        <is>
          <t>Apparel &amp; Gear</t>
        </is>
      </c>
      <c r="D199" s="8" t="inlineStr">
        <is>
          <t>Backpacks &amp; Laptop Bags</t>
        </is>
      </c>
      <c r="E199" s="8" t="inlineStr">
        <is>
          <t>VanguardPro</t>
        </is>
      </c>
      <c r="F199" s="9" t="n">
        <v>116.68</v>
      </c>
      <c r="G199" s="9" t="n">
        <v>193.08</v>
      </c>
      <c r="H199" s="9">
        <f>G199-F199</f>
        <v/>
      </c>
      <c r="I199" s="11">
        <f>IFERROR(H199/G199, 0)</f>
        <v/>
      </c>
      <c r="J199" s="8">
        <f>IF(G199&gt;=400, "High-End", IF(G199&gt;=100, "Mid-Tier", "Economy"))</f>
        <v/>
      </c>
      <c r="K199" s="8" t="n">
        <v>150</v>
      </c>
    </row>
    <row r="200">
      <c r="A200" s="8" t="inlineStr">
        <is>
          <t>PRD-0196</t>
        </is>
      </c>
      <c r="B200" s="8" t="inlineStr">
        <is>
          <t>AeroWeave Backpacks &amp; Laptop Bag Model-617</t>
        </is>
      </c>
      <c r="C200" s="8" t="inlineStr">
        <is>
          <t>Apparel &amp; Gear</t>
        </is>
      </c>
      <c r="D200" s="8" t="inlineStr">
        <is>
          <t>Backpacks &amp; Laptop Bags</t>
        </is>
      </c>
      <c r="E200" s="8" t="inlineStr">
        <is>
          <t>AeroWeave</t>
        </is>
      </c>
      <c r="F200" s="9" t="n">
        <v>77.17</v>
      </c>
      <c r="G200" s="9" t="n">
        <v>112.72</v>
      </c>
      <c r="H200" s="9">
        <f>G200-F200</f>
        <v/>
      </c>
      <c r="I200" s="11">
        <f>IFERROR(H200/G200, 0)</f>
        <v/>
      </c>
      <c r="J200" s="8">
        <f>IF(G200&gt;=400, "High-End", IF(G200&gt;=100, "Mid-Tier", "Economy"))</f>
        <v/>
      </c>
      <c r="K200" s="8" t="n">
        <v>75</v>
      </c>
    </row>
    <row r="201">
      <c r="A201" s="8" t="inlineStr">
        <is>
          <t>PRD-0197</t>
        </is>
      </c>
      <c r="B201" s="8" t="inlineStr">
        <is>
          <t>ZenithLogix Printers &amp; Networking Model-581</t>
        </is>
      </c>
      <c r="C201" s="8" t="inlineStr">
        <is>
          <t>Technology</t>
        </is>
      </c>
      <c r="D201" s="8" t="inlineStr">
        <is>
          <t>Printers &amp; Networking</t>
        </is>
      </c>
      <c r="E201" s="8" t="inlineStr">
        <is>
          <t>ZenithLogix</t>
        </is>
      </c>
      <c r="F201" s="9" t="n">
        <v>581.73</v>
      </c>
      <c r="G201" s="9" t="n">
        <v>810.85</v>
      </c>
      <c r="H201" s="9">
        <f>G201-F201</f>
        <v/>
      </c>
      <c r="I201" s="11">
        <f>IFERROR(H201/G201, 0)</f>
        <v/>
      </c>
      <c r="J201" s="8">
        <f>IF(G201&gt;=400, "High-End", IF(G201&gt;=100, "Mid-Tier", "Economy"))</f>
        <v/>
      </c>
      <c r="K201" s="8" t="n">
        <v>150</v>
      </c>
    </row>
    <row r="202">
      <c r="A202" s="8" t="inlineStr">
        <is>
          <t>PRD-0198</t>
        </is>
      </c>
      <c r="B202" s="8" t="inlineStr">
        <is>
          <t>Hyperion Printers &amp; Networking Model-510</t>
        </is>
      </c>
      <c r="C202" s="8" t="inlineStr">
        <is>
          <t>Technology</t>
        </is>
      </c>
      <c r="D202" s="8" t="inlineStr">
        <is>
          <t>Printers &amp; Networking</t>
        </is>
      </c>
      <c r="E202" s="8" t="inlineStr">
        <is>
          <t>Hyperion</t>
        </is>
      </c>
      <c r="F202" s="9" t="n">
        <v>369.69</v>
      </c>
      <c r="G202" s="9" t="n">
        <v>477.92</v>
      </c>
      <c r="H202" s="9">
        <f>G202-F202</f>
        <v/>
      </c>
      <c r="I202" s="11">
        <f>IFERROR(H202/G202, 0)</f>
        <v/>
      </c>
      <c r="J202" s="8">
        <f>IF(G202&gt;=400, "High-End", IF(G202&gt;=100, "Mid-Tier", "Economy"))</f>
        <v/>
      </c>
      <c r="K202" s="8" t="n">
        <v>20</v>
      </c>
    </row>
    <row r="203">
      <c r="A203" s="8" t="inlineStr">
        <is>
          <t>PRD-0199</t>
        </is>
      </c>
      <c r="B203" s="8" t="inlineStr">
        <is>
          <t>Kinetix Standing Desk Model-796</t>
        </is>
      </c>
      <c r="C203" s="8" t="inlineStr">
        <is>
          <t>Furniture</t>
        </is>
      </c>
      <c r="D203" s="8" t="inlineStr">
        <is>
          <t>Standing Desks</t>
        </is>
      </c>
      <c r="E203" s="8" t="inlineStr">
        <is>
          <t>Kinetix</t>
        </is>
      </c>
      <c r="F203" s="9" t="n">
        <v>317.46</v>
      </c>
      <c r="G203" s="9" t="n">
        <v>484.59</v>
      </c>
      <c r="H203" s="9">
        <f>G203-F203</f>
        <v/>
      </c>
      <c r="I203" s="11">
        <f>IFERROR(H203/G203, 0)</f>
        <v/>
      </c>
      <c r="J203" s="8">
        <f>IF(G203&gt;=400, "High-End", IF(G203&gt;=100, "Mid-Tier", "Economy"))</f>
        <v/>
      </c>
      <c r="K203" s="8" t="n">
        <v>100</v>
      </c>
    </row>
    <row r="204">
      <c r="A204" s="8" t="inlineStr">
        <is>
          <t>PRD-0200</t>
        </is>
      </c>
      <c r="B204" s="8" t="inlineStr">
        <is>
          <t>Kinetix Office Chair Model-716</t>
        </is>
      </c>
      <c r="C204" s="8" t="inlineStr">
        <is>
          <t>Furniture</t>
        </is>
      </c>
      <c r="D204" s="8" t="inlineStr">
        <is>
          <t>Office Chairs</t>
        </is>
      </c>
      <c r="E204" s="8" t="inlineStr">
        <is>
          <t>Kinetix</t>
        </is>
      </c>
      <c r="F204" s="9" t="n">
        <v>613.0599999999999</v>
      </c>
      <c r="G204" s="9" t="n">
        <v>977</v>
      </c>
      <c r="H204" s="9">
        <f>G204-F204</f>
        <v/>
      </c>
      <c r="I204" s="11">
        <f>IFERROR(H204/G204, 0)</f>
        <v/>
      </c>
      <c r="J204" s="8">
        <f>IF(G204&gt;=400, "High-End", IF(G204&gt;=100, "Mid-Tier", "Economy"))</f>
        <v/>
      </c>
      <c r="K204" s="8" t="n">
        <v>35</v>
      </c>
    </row>
    <row r="205">
      <c r="A205" s="8" t="inlineStr">
        <is>
          <t>PRD-0201</t>
        </is>
      </c>
      <c r="B205" s="8" t="inlineStr">
        <is>
          <t>ModuDesk Office Chair Model-243</t>
        </is>
      </c>
      <c r="C205" s="8" t="inlineStr">
        <is>
          <t>Furniture</t>
        </is>
      </c>
      <c r="D205" s="8" t="inlineStr">
        <is>
          <t>Office Chairs</t>
        </is>
      </c>
      <c r="E205" s="8" t="inlineStr">
        <is>
          <t>ModuDesk</t>
        </is>
      </c>
      <c r="F205" s="9" t="n">
        <v>359.2</v>
      </c>
      <c r="G205" s="9" t="n">
        <v>522.37</v>
      </c>
      <c r="H205" s="9">
        <f>G205-F205</f>
        <v/>
      </c>
      <c r="I205" s="11">
        <f>IFERROR(H205/G205, 0)</f>
        <v/>
      </c>
      <c r="J205" s="8">
        <f>IF(G205&gt;=400, "High-End", IF(G205&gt;=100, "Mid-Tier", "Economy"))</f>
        <v/>
      </c>
      <c r="K205" s="8" t="n">
        <v>100</v>
      </c>
    </row>
    <row r="206">
      <c r="A206" s="8" t="inlineStr">
        <is>
          <t>PRD-0202</t>
        </is>
      </c>
      <c r="B206" s="8" t="inlineStr">
        <is>
          <t>AccuBinder Storage &amp; Organization Model-645</t>
        </is>
      </c>
      <c r="C206" s="8" t="inlineStr">
        <is>
          <t>Office Supplies</t>
        </is>
      </c>
      <c r="D206" s="8" t="inlineStr">
        <is>
          <t>Storage &amp; Organization</t>
        </is>
      </c>
      <c r="E206" s="8" t="inlineStr">
        <is>
          <t>AccuBinder</t>
        </is>
      </c>
      <c r="F206" s="9" t="n">
        <v>28.55</v>
      </c>
      <c r="G206" s="9" t="n">
        <v>43.87</v>
      </c>
      <c r="H206" s="9">
        <f>G206-F206</f>
        <v/>
      </c>
      <c r="I206" s="11">
        <f>IFERROR(H206/G206, 0)</f>
        <v/>
      </c>
      <c r="J206" s="8">
        <f>IF(G206&gt;=400, "High-End", IF(G206&gt;=100, "Mid-Tier", "Economy"))</f>
        <v/>
      </c>
      <c r="K206" s="8" t="n">
        <v>100</v>
      </c>
    </row>
    <row r="207">
      <c r="A207" s="8" t="inlineStr">
        <is>
          <t>PRD-0203</t>
        </is>
      </c>
      <c r="B207" s="8" t="inlineStr">
        <is>
          <t>ErgoComfort Office Chair Model-993</t>
        </is>
      </c>
      <c r="C207" s="8" t="inlineStr">
        <is>
          <t>Furniture</t>
        </is>
      </c>
      <c r="D207" s="8" t="inlineStr">
        <is>
          <t>Office Chairs</t>
        </is>
      </c>
      <c r="E207" s="8" t="inlineStr">
        <is>
          <t>ErgoComfort</t>
        </is>
      </c>
      <c r="F207" s="9" t="n">
        <v>637.84</v>
      </c>
      <c r="G207" s="9" t="n">
        <v>991.36</v>
      </c>
      <c r="H207" s="9">
        <f>G207-F207</f>
        <v/>
      </c>
      <c r="I207" s="11">
        <f>IFERROR(H207/G207, 0)</f>
        <v/>
      </c>
      <c r="J207" s="8">
        <f>IF(G207&gt;=400, "High-End", IF(G207&gt;=100, "Mid-Tier", "Economy"))</f>
        <v/>
      </c>
      <c r="K207" s="8" t="n">
        <v>150</v>
      </c>
    </row>
    <row r="208">
      <c r="A208" s="8" t="inlineStr">
        <is>
          <t>PRD-0204</t>
        </is>
      </c>
      <c r="B208" s="8" t="inlineStr">
        <is>
          <t>SafeKeep Desk Accessorie Model-591</t>
        </is>
      </c>
      <c r="C208" s="8" t="inlineStr">
        <is>
          <t>Office Supplies</t>
        </is>
      </c>
      <c r="D208" s="8" t="inlineStr">
        <is>
          <t>Desk Accessories</t>
        </is>
      </c>
      <c r="E208" s="8" t="inlineStr">
        <is>
          <t>SafeKeep</t>
        </is>
      </c>
      <c r="F208" s="9" t="n">
        <v>27.89</v>
      </c>
      <c r="G208" s="9" t="n">
        <v>46.46</v>
      </c>
      <c r="H208" s="9">
        <f>G208-F208</f>
        <v/>
      </c>
      <c r="I208" s="11">
        <f>IFERROR(H208/G208, 0)</f>
        <v/>
      </c>
      <c r="J208" s="8">
        <f>IF(G208&gt;=400, "High-End", IF(G208&gt;=100, "Mid-Tier", "Economy"))</f>
        <v/>
      </c>
      <c r="K208" s="8" t="n">
        <v>100</v>
      </c>
    </row>
    <row r="209">
      <c r="A209" s="8" t="inlineStr">
        <is>
          <t>PRD-0205</t>
        </is>
      </c>
      <c r="B209" s="8" t="inlineStr">
        <is>
          <t>Hyperion Audio &amp; Headphone Model-212</t>
        </is>
      </c>
      <c r="C209" s="8" t="inlineStr">
        <is>
          <t>Technology</t>
        </is>
      </c>
      <c r="D209" s="8" t="inlineStr">
        <is>
          <t>Audio &amp; Headphones</t>
        </is>
      </c>
      <c r="E209" s="8" t="inlineStr">
        <is>
          <t>Hyperion</t>
        </is>
      </c>
      <c r="F209" s="9" t="n">
        <v>256.61</v>
      </c>
      <c r="G209" s="9" t="n">
        <v>385.35</v>
      </c>
      <c r="H209" s="9">
        <f>G209-F209</f>
        <v/>
      </c>
      <c r="I209" s="11">
        <f>IFERROR(H209/G209, 0)</f>
        <v/>
      </c>
      <c r="J209" s="8">
        <f>IF(G209&gt;=400, "High-End", IF(G209&gt;=100, "Mid-Tier", "Economy"))</f>
        <v/>
      </c>
      <c r="K209" s="8" t="n">
        <v>150</v>
      </c>
    </row>
    <row r="210">
      <c r="A210" s="8" t="inlineStr">
        <is>
          <t>PRD-0206</t>
        </is>
      </c>
      <c r="B210" s="8" t="inlineStr">
        <is>
          <t>ZenithLogix Monitors &amp; Display Model-993</t>
        </is>
      </c>
      <c r="C210" s="8" t="inlineStr">
        <is>
          <t>Technology</t>
        </is>
      </c>
      <c r="D210" s="8" t="inlineStr">
        <is>
          <t>Monitors &amp; Displays</t>
        </is>
      </c>
      <c r="E210" s="8" t="inlineStr">
        <is>
          <t>ZenithLogix</t>
        </is>
      </c>
      <c r="F210" s="9" t="n">
        <v>494.16</v>
      </c>
      <c r="G210" s="9" t="n">
        <v>672.37</v>
      </c>
      <c r="H210" s="9">
        <f>G210-F210</f>
        <v/>
      </c>
      <c r="I210" s="11">
        <f>IFERROR(H210/G210, 0)</f>
        <v/>
      </c>
      <c r="J210" s="8">
        <f>IF(G210&gt;=400, "High-End", IF(G210&gt;=100, "Mid-Tier", "Economy"))</f>
        <v/>
      </c>
      <c r="K210" s="8" t="n">
        <v>75</v>
      </c>
    </row>
    <row r="211">
      <c r="A211" s="8" t="inlineStr">
        <is>
          <t>PRD-0207</t>
        </is>
      </c>
      <c r="B211" s="8" t="inlineStr">
        <is>
          <t>NordicCraft Conference Table Model-421</t>
        </is>
      </c>
      <c r="C211" s="8" t="inlineStr">
        <is>
          <t>Furniture</t>
        </is>
      </c>
      <c r="D211" s="8" t="inlineStr">
        <is>
          <t>Conference Tables</t>
        </is>
      </c>
      <c r="E211" s="8" t="inlineStr">
        <is>
          <t>NordicCraft</t>
        </is>
      </c>
      <c r="F211" s="9" t="n">
        <v>648.86</v>
      </c>
      <c r="G211" s="9" t="n">
        <v>1025.22</v>
      </c>
      <c r="H211" s="9">
        <f>G211-F211</f>
        <v/>
      </c>
      <c r="I211" s="11">
        <f>IFERROR(H211/G211, 0)</f>
        <v/>
      </c>
      <c r="J211" s="8">
        <f>IF(G211&gt;=400, "High-End", IF(G211&gt;=100, "Mid-Tier", "Economy"))</f>
        <v/>
      </c>
      <c r="K211" s="8" t="n">
        <v>75</v>
      </c>
    </row>
    <row r="212">
      <c r="A212" s="8" t="inlineStr">
        <is>
          <t>PRD-0208</t>
        </is>
      </c>
      <c r="B212" s="8" t="inlineStr">
        <is>
          <t>AccuBinder Pens, Inks &amp; Marker Model-385</t>
        </is>
      </c>
      <c r="C212" s="8" t="inlineStr">
        <is>
          <t>Office Supplies</t>
        </is>
      </c>
      <c r="D212" s="8" t="inlineStr">
        <is>
          <t>Pens, Inks &amp; Markers</t>
        </is>
      </c>
      <c r="E212" s="8" t="inlineStr">
        <is>
          <t>AccuBinder</t>
        </is>
      </c>
      <c r="F212" s="9" t="n">
        <v>29.21</v>
      </c>
      <c r="G212" s="9" t="n">
        <v>47.15</v>
      </c>
      <c r="H212" s="9">
        <f>G212-F212</f>
        <v/>
      </c>
      <c r="I212" s="11">
        <f>IFERROR(H212/G212, 0)</f>
        <v/>
      </c>
      <c r="J212" s="8">
        <f>IF(G212&gt;=400, "High-End", IF(G212&gt;=100, "Mid-Tier", "Economy"))</f>
        <v/>
      </c>
      <c r="K212" s="8" t="n">
        <v>35</v>
      </c>
    </row>
    <row r="213">
      <c r="A213" s="8" t="inlineStr">
        <is>
          <t>PRD-0209</t>
        </is>
      </c>
      <c r="B213" s="8" t="inlineStr">
        <is>
          <t>Hyperion Printers &amp; Networking Model-591</t>
        </is>
      </c>
      <c r="C213" s="8" t="inlineStr">
        <is>
          <t>Technology</t>
        </is>
      </c>
      <c r="D213" s="8" t="inlineStr">
        <is>
          <t>Printers &amp; Networking</t>
        </is>
      </c>
      <c r="E213" s="8" t="inlineStr">
        <is>
          <t>Hyperion</t>
        </is>
      </c>
      <c r="F213" s="9" t="n">
        <v>224.66</v>
      </c>
      <c r="G213" s="9" t="n">
        <v>306.02</v>
      </c>
      <c r="H213" s="9">
        <f>G213-F213</f>
        <v/>
      </c>
      <c r="I213" s="11">
        <f>IFERROR(H213/G213, 0)</f>
        <v/>
      </c>
      <c r="J213" s="8">
        <f>IF(G213&gt;=400, "High-End", IF(G213&gt;=100, "Mid-Tier", "Economy"))</f>
        <v/>
      </c>
      <c r="K213" s="8" t="n">
        <v>50</v>
      </c>
    </row>
    <row r="214">
      <c r="A214" s="8" t="inlineStr">
        <is>
          <t>PRD-0210</t>
        </is>
      </c>
      <c r="B214" s="8" t="inlineStr">
        <is>
          <t>AeroSonic Smartphones &amp; Accessorie Model-938</t>
        </is>
      </c>
      <c r="C214" s="8" t="inlineStr">
        <is>
          <t>Technology</t>
        </is>
      </c>
      <c r="D214" s="8" t="inlineStr">
        <is>
          <t>Smartphones &amp; Accessories</t>
        </is>
      </c>
      <c r="E214" s="8" t="inlineStr">
        <is>
          <t>AeroSonic</t>
        </is>
      </c>
      <c r="F214" s="9" t="n">
        <v>654.11</v>
      </c>
      <c r="G214" s="9" t="n">
        <v>920.55</v>
      </c>
      <c r="H214" s="9">
        <f>G214-F214</f>
        <v/>
      </c>
      <c r="I214" s="11">
        <f>IFERROR(H214/G214, 0)</f>
        <v/>
      </c>
      <c r="J214" s="8">
        <f>IF(G214&gt;=400, "High-End", IF(G214&gt;=100, "Mid-Tier", "Economy"))</f>
        <v/>
      </c>
      <c r="K214" s="8" t="n">
        <v>75</v>
      </c>
    </row>
    <row r="215">
      <c r="A215" s="8" t="inlineStr">
        <is>
          <t>PRD-0211</t>
        </is>
      </c>
      <c r="B215" s="8" t="inlineStr">
        <is>
          <t>OptimaPrint Storage &amp; Organization Model-865</t>
        </is>
      </c>
      <c r="C215" s="8" t="inlineStr">
        <is>
          <t>Office Supplies</t>
        </is>
      </c>
      <c r="D215" s="8" t="inlineStr">
        <is>
          <t>Storage &amp; Organization</t>
        </is>
      </c>
      <c r="E215" s="8" t="inlineStr">
        <is>
          <t>OptimaPrint</t>
        </is>
      </c>
      <c r="F215" s="9" t="n">
        <v>18.53</v>
      </c>
      <c r="G215" s="9" t="n">
        <v>28.2</v>
      </c>
      <c r="H215" s="9">
        <f>G215-F215</f>
        <v/>
      </c>
      <c r="I215" s="11">
        <f>IFERROR(H215/G215, 0)</f>
        <v/>
      </c>
      <c r="J215" s="8">
        <f>IF(G215&gt;=400, "High-End", IF(G215&gt;=100, "Mid-Tier", "Economy"))</f>
        <v/>
      </c>
      <c r="K215" s="8" t="n">
        <v>50</v>
      </c>
    </row>
    <row r="216">
      <c r="A216" s="8" t="inlineStr">
        <is>
          <t>PRD-0212</t>
        </is>
      </c>
      <c r="B216" s="8" t="inlineStr">
        <is>
          <t>AccuBinder Storage &amp; Organization Model-345</t>
        </is>
      </c>
      <c r="C216" s="8" t="inlineStr">
        <is>
          <t>Office Supplies</t>
        </is>
      </c>
      <c r="D216" s="8" t="inlineStr">
        <is>
          <t>Storage &amp; Organization</t>
        </is>
      </c>
      <c r="E216" s="8" t="inlineStr">
        <is>
          <t>AccuBinder</t>
        </is>
      </c>
      <c r="F216" s="9" t="n">
        <v>10.06</v>
      </c>
      <c r="G216" s="9" t="n">
        <v>15.71</v>
      </c>
      <c r="H216" s="9">
        <f>G216-F216</f>
        <v/>
      </c>
      <c r="I216" s="11">
        <f>IFERROR(H216/G216, 0)</f>
        <v/>
      </c>
      <c r="J216" s="8">
        <f>IF(G216&gt;=400, "High-End", IF(G216&gt;=100, "Mid-Tier", "Economy"))</f>
        <v/>
      </c>
      <c r="K216" s="8" t="n">
        <v>100</v>
      </c>
    </row>
    <row r="217">
      <c r="A217" s="8" t="inlineStr">
        <is>
          <t>PRD-0213</t>
        </is>
      </c>
      <c r="B217" s="8" t="inlineStr">
        <is>
          <t>ApexTech Laptops &amp; Desktop Model-797</t>
        </is>
      </c>
      <c r="C217" s="8" t="inlineStr">
        <is>
          <t>Technology</t>
        </is>
      </c>
      <c r="D217" s="8" t="inlineStr">
        <is>
          <t>Laptops &amp; Desktops</t>
        </is>
      </c>
      <c r="E217" s="8" t="inlineStr">
        <is>
          <t>ApexTech</t>
        </is>
      </c>
      <c r="F217" s="9" t="n">
        <v>413.17</v>
      </c>
      <c r="G217" s="9" t="n">
        <v>592.9</v>
      </c>
      <c r="H217" s="9">
        <f>G217-F217</f>
        <v/>
      </c>
      <c r="I217" s="11">
        <f>IFERROR(H217/G217, 0)</f>
        <v/>
      </c>
      <c r="J217" s="8">
        <f>IF(G217&gt;=400, "High-End", IF(G217&gt;=100, "Mid-Tier", "Economy"))</f>
        <v/>
      </c>
      <c r="K217" s="8" t="n">
        <v>20</v>
      </c>
    </row>
    <row r="218">
      <c r="A218" s="8" t="inlineStr">
        <is>
          <t>PRD-0214</t>
        </is>
      </c>
      <c r="B218" s="8" t="inlineStr">
        <is>
          <t>ModuDesk Standing Desk Model-428</t>
        </is>
      </c>
      <c r="C218" s="8" t="inlineStr">
        <is>
          <t>Furniture</t>
        </is>
      </c>
      <c r="D218" s="8" t="inlineStr">
        <is>
          <t>Standing Desks</t>
        </is>
      </c>
      <c r="E218" s="8" t="inlineStr">
        <is>
          <t>ModuDesk</t>
        </is>
      </c>
      <c r="F218" s="9" t="n">
        <v>333.86</v>
      </c>
      <c r="G218" s="9" t="n">
        <v>482.72</v>
      </c>
      <c r="H218" s="9">
        <f>G218-F218</f>
        <v/>
      </c>
      <c r="I218" s="11">
        <f>IFERROR(H218/G218, 0)</f>
        <v/>
      </c>
      <c r="J218" s="8">
        <f>IF(G218&gt;=400, "High-End", IF(G218&gt;=100, "Mid-Tier", "Economy"))</f>
        <v/>
      </c>
      <c r="K218" s="8" t="n">
        <v>50</v>
      </c>
    </row>
    <row r="219">
      <c r="A219" s="8" t="inlineStr">
        <is>
          <t>PRD-0215</t>
        </is>
      </c>
      <c r="B219" s="8" t="inlineStr">
        <is>
          <t>AeroSonic Monitors &amp; Display Model-279</t>
        </is>
      </c>
      <c r="C219" s="8" t="inlineStr">
        <is>
          <t>Technology</t>
        </is>
      </c>
      <c r="D219" s="8" t="inlineStr">
        <is>
          <t>Monitors &amp; Displays</t>
        </is>
      </c>
      <c r="E219" s="8" t="inlineStr">
        <is>
          <t>AeroSonic</t>
        </is>
      </c>
      <c r="F219" s="9" t="n">
        <v>710.9</v>
      </c>
      <c r="G219" s="9" t="n">
        <v>1006.33</v>
      </c>
      <c r="H219" s="9">
        <f>G219-F219</f>
        <v/>
      </c>
      <c r="I219" s="11">
        <f>IFERROR(H219/G219, 0)</f>
        <v/>
      </c>
      <c r="J219" s="8">
        <f>IF(G219&gt;=400, "High-End", IF(G219&gt;=100, "Mid-Tier", "Economy"))</f>
        <v/>
      </c>
      <c r="K219" s="8" t="n">
        <v>20</v>
      </c>
    </row>
    <row r="220">
      <c r="A220" s="8" t="inlineStr">
        <is>
          <t>PRD-0216</t>
        </is>
      </c>
      <c r="B220" s="8" t="inlineStr">
        <is>
          <t>TrekLine Corporate Apparel Model-993</t>
        </is>
      </c>
      <c r="C220" s="8" t="inlineStr">
        <is>
          <t>Apparel &amp; Gear</t>
        </is>
      </c>
      <c r="D220" s="8" t="inlineStr">
        <is>
          <t>Corporate Apparel</t>
        </is>
      </c>
      <c r="E220" s="8" t="inlineStr">
        <is>
          <t>TrekLine</t>
        </is>
      </c>
      <c r="F220" s="9" t="n">
        <v>113.5</v>
      </c>
      <c r="G220" s="9" t="n">
        <v>177.38</v>
      </c>
      <c r="H220" s="9">
        <f>G220-F220</f>
        <v/>
      </c>
      <c r="I220" s="11">
        <f>IFERROR(H220/G220, 0)</f>
        <v/>
      </c>
      <c r="J220" s="8">
        <f>IF(G220&gt;=400, "High-End", IF(G220&gt;=100, "Mid-Tier", "Economy"))</f>
        <v/>
      </c>
      <c r="K220" s="8" t="n">
        <v>150</v>
      </c>
    </row>
    <row r="221">
      <c r="A221" s="8" t="inlineStr">
        <is>
          <t>PRD-0217</t>
        </is>
      </c>
      <c r="B221" s="8" t="inlineStr">
        <is>
          <t>QuantumByte Smartphones &amp; Accessorie Model-636</t>
        </is>
      </c>
      <c r="C221" s="8" t="inlineStr">
        <is>
          <t>Technology</t>
        </is>
      </c>
      <c r="D221" s="8" t="inlineStr">
        <is>
          <t>Smartphones &amp; Accessories</t>
        </is>
      </c>
      <c r="E221" s="8" t="inlineStr">
        <is>
          <t>QuantumByte</t>
        </is>
      </c>
      <c r="F221" s="9" t="n">
        <v>295.37</v>
      </c>
      <c r="G221" s="9" t="n">
        <v>457.08</v>
      </c>
      <c r="H221" s="9">
        <f>G221-F221</f>
        <v/>
      </c>
      <c r="I221" s="11">
        <f>IFERROR(H221/G221, 0)</f>
        <v/>
      </c>
      <c r="J221" s="8">
        <f>IF(G221&gt;=400, "High-End", IF(G221&gt;=100, "Mid-Tier", "Economy"))</f>
        <v/>
      </c>
      <c r="K221" s="8" t="n">
        <v>100</v>
      </c>
    </row>
    <row r="222">
      <c r="A222" s="8" t="inlineStr">
        <is>
          <t>PRD-0218</t>
        </is>
      </c>
      <c r="B222" s="8" t="inlineStr">
        <is>
          <t>ApexTech Monitors &amp; Display Model-363</t>
        </is>
      </c>
      <c r="C222" s="8" t="inlineStr">
        <is>
          <t>Technology</t>
        </is>
      </c>
      <c r="D222" s="8" t="inlineStr">
        <is>
          <t>Monitors &amp; Displays</t>
        </is>
      </c>
      <c r="E222" s="8" t="inlineStr">
        <is>
          <t>ApexTech</t>
        </is>
      </c>
      <c r="F222" s="9" t="n">
        <v>337.58</v>
      </c>
      <c r="G222" s="9" t="n">
        <v>468.61</v>
      </c>
      <c r="H222" s="9">
        <f>G222-F222</f>
        <v/>
      </c>
      <c r="I222" s="11">
        <f>IFERROR(H222/G222, 0)</f>
        <v/>
      </c>
      <c r="J222" s="8">
        <f>IF(G222&gt;=400, "High-End", IF(G222&gt;=100, "Mid-Tier", "Economy"))</f>
        <v/>
      </c>
      <c r="K222" s="8" t="n">
        <v>150</v>
      </c>
    </row>
    <row r="223">
      <c r="A223" s="8" t="inlineStr">
        <is>
          <t>PRD-0219</t>
        </is>
      </c>
      <c r="B223" s="8" t="inlineStr">
        <is>
          <t>EverWrite Pens, Inks &amp; Marker Model-946</t>
        </is>
      </c>
      <c r="C223" s="8" t="inlineStr">
        <is>
          <t>Office Supplies</t>
        </is>
      </c>
      <c r="D223" s="8" t="inlineStr">
        <is>
          <t>Pens, Inks &amp; Markers</t>
        </is>
      </c>
      <c r="E223" s="8" t="inlineStr">
        <is>
          <t>EverWrite</t>
        </is>
      </c>
      <c r="F223" s="9" t="n">
        <v>11.61</v>
      </c>
      <c r="G223" s="9" t="n">
        <v>20.51</v>
      </c>
      <c r="H223" s="9">
        <f>G223-F223</f>
        <v/>
      </c>
      <c r="I223" s="11">
        <f>IFERROR(H223/G223, 0)</f>
        <v/>
      </c>
      <c r="J223" s="8">
        <f>IF(G223&gt;=400, "High-End", IF(G223&gt;=100, "Mid-Tier", "Economy"))</f>
        <v/>
      </c>
      <c r="K223" s="8" t="n">
        <v>75</v>
      </c>
    </row>
    <row r="224">
      <c r="A224" s="8" t="inlineStr">
        <is>
          <t>PRD-0220</t>
        </is>
      </c>
      <c r="B224" s="8" t="inlineStr">
        <is>
          <t>ZenithLogix Audio &amp; Headphone Model-492</t>
        </is>
      </c>
      <c r="C224" s="8" t="inlineStr">
        <is>
          <t>Technology</t>
        </is>
      </c>
      <c r="D224" s="8" t="inlineStr">
        <is>
          <t>Audio &amp; Headphones</t>
        </is>
      </c>
      <c r="E224" s="8" t="inlineStr">
        <is>
          <t>ZenithLogix</t>
        </is>
      </c>
      <c r="F224" s="9" t="n">
        <v>331.1</v>
      </c>
      <c r="G224" s="9" t="n">
        <v>472.5</v>
      </c>
      <c r="H224" s="9">
        <f>G224-F224</f>
        <v/>
      </c>
      <c r="I224" s="11">
        <f>IFERROR(H224/G224, 0)</f>
        <v/>
      </c>
      <c r="J224" s="8">
        <f>IF(G224&gt;=400, "High-End", IF(G224&gt;=100, "Mid-Tier", "Economy"))</f>
        <v/>
      </c>
      <c r="K224" s="8" t="n">
        <v>50</v>
      </c>
    </row>
    <row r="225">
      <c r="A225" s="8" t="inlineStr">
        <is>
          <t>PRD-0221</t>
        </is>
      </c>
      <c r="B225" s="8" t="inlineStr">
        <is>
          <t>SafeKeep Storage &amp; Organization Model-341</t>
        </is>
      </c>
      <c r="C225" s="8" t="inlineStr">
        <is>
          <t>Office Supplies</t>
        </is>
      </c>
      <c r="D225" s="8" t="inlineStr">
        <is>
          <t>Storage &amp; Organization</t>
        </is>
      </c>
      <c r="E225" s="8" t="inlineStr">
        <is>
          <t>SafeKeep</t>
        </is>
      </c>
      <c r="F225" s="9" t="n">
        <v>4.96</v>
      </c>
      <c r="G225" s="9" t="n">
        <v>7.79</v>
      </c>
      <c r="H225" s="9">
        <f>G225-F225</f>
        <v/>
      </c>
      <c r="I225" s="11">
        <f>IFERROR(H225/G225, 0)</f>
        <v/>
      </c>
      <c r="J225" s="8">
        <f>IF(G225&gt;=400, "High-End", IF(G225&gt;=100, "Mid-Tier", "Economy"))</f>
        <v/>
      </c>
      <c r="K225" s="8" t="n">
        <v>150</v>
      </c>
    </row>
    <row r="226">
      <c r="A226" s="8" t="inlineStr">
        <is>
          <t>PRD-0222</t>
        </is>
      </c>
      <c r="B226" s="8" t="inlineStr">
        <is>
          <t>NordicCraft Conference Table Model-476</t>
        </is>
      </c>
      <c r="C226" s="8" t="inlineStr">
        <is>
          <t>Furniture</t>
        </is>
      </c>
      <c r="D226" s="8" t="inlineStr">
        <is>
          <t>Conference Tables</t>
        </is>
      </c>
      <c r="E226" s="8" t="inlineStr">
        <is>
          <t>NordicCraft</t>
        </is>
      </c>
      <c r="F226" s="9" t="n">
        <v>462.63</v>
      </c>
      <c r="G226" s="9" t="n">
        <v>748.03</v>
      </c>
      <c r="H226" s="9">
        <f>G226-F226</f>
        <v/>
      </c>
      <c r="I226" s="11">
        <f>IFERROR(H226/G226, 0)</f>
        <v/>
      </c>
      <c r="J226" s="8">
        <f>IF(G226&gt;=400, "High-End", IF(G226&gt;=100, "Mid-Tier", "Economy"))</f>
        <v/>
      </c>
      <c r="K226" s="8" t="n">
        <v>50</v>
      </c>
    </row>
    <row r="227">
      <c r="A227" s="8" t="inlineStr">
        <is>
          <t>PRD-0223</t>
        </is>
      </c>
      <c r="B227" s="8" t="inlineStr">
        <is>
          <t>SafeKeep Storage &amp; Organization Model-875</t>
        </is>
      </c>
      <c r="C227" s="8" t="inlineStr">
        <is>
          <t>Office Supplies</t>
        </is>
      </c>
      <c r="D227" s="8" t="inlineStr">
        <is>
          <t>Storage &amp; Organization</t>
        </is>
      </c>
      <c r="E227" s="8" t="inlineStr">
        <is>
          <t>SafeKeep</t>
        </is>
      </c>
      <c r="F227" s="9" t="n">
        <v>19.63</v>
      </c>
      <c r="G227" s="9" t="n">
        <v>31.04</v>
      </c>
      <c r="H227" s="9">
        <f>G227-F227</f>
        <v/>
      </c>
      <c r="I227" s="11">
        <f>IFERROR(H227/G227, 0)</f>
        <v/>
      </c>
      <c r="J227" s="8">
        <f>IF(G227&gt;=400, "High-End", IF(G227&gt;=100, "Mid-Tier", "Economy"))</f>
        <v/>
      </c>
      <c r="K227" s="8" t="n">
        <v>75</v>
      </c>
    </row>
    <row r="228">
      <c r="A228" s="8" t="inlineStr">
        <is>
          <t>PRD-0224</t>
        </is>
      </c>
      <c r="B228" s="8" t="inlineStr">
        <is>
          <t>SafeKeep Desk Accessorie Model-640</t>
        </is>
      </c>
      <c r="C228" s="8" t="inlineStr">
        <is>
          <t>Office Supplies</t>
        </is>
      </c>
      <c r="D228" s="8" t="inlineStr">
        <is>
          <t>Desk Accessories</t>
        </is>
      </c>
      <c r="E228" s="8" t="inlineStr">
        <is>
          <t>SafeKeep</t>
        </is>
      </c>
      <c r="F228" s="9" t="n">
        <v>39.86</v>
      </c>
      <c r="G228" s="9" t="n">
        <v>60.54</v>
      </c>
      <c r="H228" s="9">
        <f>G228-F228</f>
        <v/>
      </c>
      <c r="I228" s="11">
        <f>IFERROR(H228/G228, 0)</f>
        <v/>
      </c>
      <c r="J228" s="8">
        <f>IF(G228&gt;=400, "High-End", IF(G228&gt;=100, "Mid-Tier", "Economy"))</f>
        <v/>
      </c>
      <c r="K228" s="8" t="n">
        <v>75</v>
      </c>
    </row>
    <row r="229">
      <c r="A229" s="8" t="inlineStr">
        <is>
          <t>PRD-0225</t>
        </is>
      </c>
      <c r="B229" s="8" t="inlineStr">
        <is>
          <t>Kinetix Conference Table Model-435</t>
        </is>
      </c>
      <c r="C229" s="8" t="inlineStr">
        <is>
          <t>Furniture</t>
        </is>
      </c>
      <c r="D229" s="8" t="inlineStr">
        <is>
          <t>Conference Tables</t>
        </is>
      </c>
      <c r="E229" s="8" t="inlineStr">
        <is>
          <t>Kinetix</t>
        </is>
      </c>
      <c r="F229" s="9" t="n">
        <v>167.3</v>
      </c>
      <c r="G229" s="9" t="n">
        <v>266.58</v>
      </c>
      <c r="H229" s="9">
        <f>G229-F229</f>
        <v/>
      </c>
      <c r="I229" s="11">
        <f>IFERROR(H229/G229, 0)</f>
        <v/>
      </c>
      <c r="J229" s="8">
        <f>IF(G229&gt;=400, "High-End", IF(G229&gt;=100, "Mid-Tier", "Economy"))</f>
        <v/>
      </c>
      <c r="K229" s="8" t="n">
        <v>35</v>
      </c>
    </row>
    <row r="230">
      <c r="A230" s="8" t="inlineStr">
        <is>
          <t>PRD-0226</t>
        </is>
      </c>
      <c r="B230" s="8" t="inlineStr">
        <is>
          <t>ErgoComfort Bookcases &amp; Storage Model-564</t>
        </is>
      </c>
      <c r="C230" s="8" t="inlineStr">
        <is>
          <t>Furniture</t>
        </is>
      </c>
      <c r="D230" s="8" t="inlineStr">
        <is>
          <t>Bookcases &amp; Storage</t>
        </is>
      </c>
      <c r="E230" s="8" t="inlineStr">
        <is>
          <t>ErgoComfort</t>
        </is>
      </c>
      <c r="F230" s="9" t="n">
        <v>588.83</v>
      </c>
      <c r="G230" s="9" t="n">
        <v>849.36</v>
      </c>
      <c r="H230" s="9">
        <f>G230-F230</f>
        <v/>
      </c>
      <c r="I230" s="11">
        <f>IFERROR(H230/G230, 0)</f>
        <v/>
      </c>
      <c r="J230" s="8">
        <f>IF(G230&gt;=400, "High-End", IF(G230&gt;=100, "Mid-Tier", "Economy"))</f>
        <v/>
      </c>
      <c r="K230" s="8" t="n">
        <v>20</v>
      </c>
    </row>
    <row r="231">
      <c r="A231" s="8" t="inlineStr">
        <is>
          <t>PRD-0227</t>
        </is>
      </c>
      <c r="B231" s="8" t="inlineStr">
        <is>
          <t>AccuBinder Pens, Inks &amp; Marker Model-863</t>
        </is>
      </c>
      <c r="C231" s="8" t="inlineStr">
        <is>
          <t>Office Supplies</t>
        </is>
      </c>
      <c r="D231" s="8" t="inlineStr">
        <is>
          <t>Pens, Inks &amp; Markers</t>
        </is>
      </c>
      <c r="E231" s="8" t="inlineStr">
        <is>
          <t>AccuBinder</t>
        </is>
      </c>
      <c r="F231" s="9" t="n">
        <v>33.79</v>
      </c>
      <c r="G231" s="9" t="n">
        <v>56.13</v>
      </c>
      <c r="H231" s="9">
        <f>G231-F231</f>
        <v/>
      </c>
      <c r="I231" s="11">
        <f>IFERROR(H231/G231, 0)</f>
        <v/>
      </c>
      <c r="J231" s="8">
        <f>IF(G231&gt;=400, "High-End", IF(G231&gt;=100, "Mid-Tier", "Economy"))</f>
        <v/>
      </c>
      <c r="K231" s="8" t="n">
        <v>20</v>
      </c>
    </row>
    <row r="232">
      <c r="A232" s="8" t="inlineStr">
        <is>
          <t>PRD-0228</t>
        </is>
      </c>
      <c r="B232" s="8" t="inlineStr">
        <is>
          <t>ErgoComfort Conference Table Model-132</t>
        </is>
      </c>
      <c r="C232" s="8" t="inlineStr">
        <is>
          <t>Furniture</t>
        </is>
      </c>
      <c r="D232" s="8" t="inlineStr">
        <is>
          <t>Conference Tables</t>
        </is>
      </c>
      <c r="E232" s="8" t="inlineStr">
        <is>
          <t>ErgoComfort</t>
        </is>
      </c>
      <c r="F232" s="9" t="n">
        <v>610.42</v>
      </c>
      <c r="G232" s="9" t="n">
        <v>907.01</v>
      </c>
      <c r="H232" s="9">
        <f>G232-F232</f>
        <v/>
      </c>
      <c r="I232" s="11">
        <f>IFERROR(H232/G232, 0)</f>
        <v/>
      </c>
      <c r="J232" s="8">
        <f>IF(G232&gt;=400, "High-End", IF(G232&gt;=100, "Mid-Tier", "Economy"))</f>
        <v/>
      </c>
      <c r="K232" s="8" t="n">
        <v>75</v>
      </c>
    </row>
    <row r="233">
      <c r="A233" s="8" t="inlineStr">
        <is>
          <t>PRD-0229</t>
        </is>
      </c>
      <c r="B233" s="8" t="inlineStr">
        <is>
          <t>EcoPaper Storage &amp; Organization Model-990</t>
        </is>
      </c>
      <c r="C233" s="8" t="inlineStr">
        <is>
          <t>Office Supplies</t>
        </is>
      </c>
      <c r="D233" s="8" t="inlineStr">
        <is>
          <t>Storage &amp; Organization</t>
        </is>
      </c>
      <c r="E233" s="8" t="inlineStr">
        <is>
          <t>EcoPaper</t>
        </is>
      </c>
      <c r="F233" s="9" t="n">
        <v>19.67</v>
      </c>
      <c r="G233" s="9" t="n">
        <v>31.96</v>
      </c>
      <c r="H233" s="9">
        <f>G233-F233</f>
        <v/>
      </c>
      <c r="I233" s="11">
        <f>IFERROR(H233/G233, 0)</f>
        <v/>
      </c>
      <c r="J233" s="8">
        <f>IF(G233&gt;=400, "High-End", IF(G233&gt;=100, "Mid-Tier", "Economy"))</f>
        <v/>
      </c>
      <c r="K233" s="8" t="n">
        <v>75</v>
      </c>
    </row>
    <row r="234">
      <c r="A234" s="8" t="inlineStr">
        <is>
          <t>PRD-0230</t>
        </is>
      </c>
      <c r="B234" s="8" t="inlineStr">
        <is>
          <t>ApexGear Corporate Apparel Model-282</t>
        </is>
      </c>
      <c r="C234" s="8" t="inlineStr">
        <is>
          <t>Apparel &amp; Gear</t>
        </is>
      </c>
      <c r="D234" s="8" t="inlineStr">
        <is>
          <t>Corporate Apparel</t>
        </is>
      </c>
      <c r="E234" s="8" t="inlineStr">
        <is>
          <t>ApexGear</t>
        </is>
      </c>
      <c r="F234" s="9" t="n">
        <v>31.62</v>
      </c>
      <c r="G234" s="9" t="n">
        <v>54.32</v>
      </c>
      <c r="H234" s="9">
        <f>G234-F234</f>
        <v/>
      </c>
      <c r="I234" s="11">
        <f>IFERROR(H234/G234, 0)</f>
        <v/>
      </c>
      <c r="J234" s="8">
        <f>IF(G234&gt;=400, "High-End", IF(G234&gt;=100, "Mid-Tier", "Economy"))</f>
        <v/>
      </c>
      <c r="K234" s="8" t="n">
        <v>20</v>
      </c>
    </row>
    <row r="235">
      <c r="A235" s="8" t="inlineStr">
        <is>
          <t>PRD-0231</t>
        </is>
      </c>
      <c r="B235" s="8" t="inlineStr">
        <is>
          <t>UrbanShield Corporate Apparel Model-789</t>
        </is>
      </c>
      <c r="C235" s="8" t="inlineStr">
        <is>
          <t>Apparel &amp; Gear</t>
        </is>
      </c>
      <c r="D235" s="8" t="inlineStr">
        <is>
          <t>Corporate Apparel</t>
        </is>
      </c>
      <c r="E235" s="8" t="inlineStr">
        <is>
          <t>UrbanShield</t>
        </is>
      </c>
      <c r="F235" s="9" t="n">
        <v>109.52</v>
      </c>
      <c r="G235" s="9" t="n">
        <v>191.12</v>
      </c>
      <c r="H235" s="9">
        <f>G235-F235</f>
        <v/>
      </c>
      <c r="I235" s="11">
        <f>IFERROR(H235/G235, 0)</f>
        <v/>
      </c>
      <c r="J235" s="8">
        <f>IF(G235&gt;=400, "High-End", IF(G235&gt;=100, "Mid-Tier", "Economy"))</f>
        <v/>
      </c>
      <c r="K235" s="8" t="n">
        <v>75</v>
      </c>
    </row>
    <row r="236">
      <c r="A236" s="8" t="inlineStr">
        <is>
          <t>PRD-0232</t>
        </is>
      </c>
      <c r="B236" s="8" t="inlineStr">
        <is>
          <t>NordicCraft Bookcases &amp; Storage Model-883</t>
        </is>
      </c>
      <c r="C236" s="8" t="inlineStr">
        <is>
          <t>Furniture</t>
        </is>
      </c>
      <c r="D236" s="8" t="inlineStr">
        <is>
          <t>Bookcases &amp; Storage</t>
        </is>
      </c>
      <c r="E236" s="8" t="inlineStr">
        <is>
          <t>NordicCraft</t>
        </is>
      </c>
      <c r="F236" s="9" t="n">
        <v>138.85</v>
      </c>
      <c r="G236" s="9" t="n">
        <v>192.08</v>
      </c>
      <c r="H236" s="9">
        <f>G236-F236</f>
        <v/>
      </c>
      <c r="I236" s="11">
        <f>IFERROR(H236/G236, 0)</f>
        <v/>
      </c>
      <c r="J236" s="8">
        <f>IF(G236&gt;=400, "High-End", IF(G236&gt;=100, "Mid-Tier", "Economy"))</f>
        <v/>
      </c>
      <c r="K236" s="8" t="n">
        <v>150</v>
      </c>
    </row>
    <row r="237">
      <c r="A237" s="8" t="inlineStr">
        <is>
          <t>PRD-0233</t>
        </is>
      </c>
      <c r="B237" s="8" t="inlineStr">
        <is>
          <t>UrbanShield Backpacks &amp; Laptop Bag Model-134</t>
        </is>
      </c>
      <c r="C237" s="8" t="inlineStr">
        <is>
          <t>Apparel &amp; Gear</t>
        </is>
      </c>
      <c r="D237" s="8" t="inlineStr">
        <is>
          <t>Backpacks &amp; Laptop Bags</t>
        </is>
      </c>
      <c r="E237" s="8" t="inlineStr">
        <is>
          <t>UrbanShield</t>
        </is>
      </c>
      <c r="F237" s="9" t="n">
        <v>45.08</v>
      </c>
      <c r="G237" s="9" t="n">
        <v>65.61</v>
      </c>
      <c r="H237" s="9">
        <f>G237-F237</f>
        <v/>
      </c>
      <c r="I237" s="11">
        <f>IFERROR(H237/G237, 0)</f>
        <v/>
      </c>
      <c r="J237" s="8">
        <f>IF(G237&gt;=400, "High-End", IF(G237&gt;=100, "Mid-Tier", "Economy"))</f>
        <v/>
      </c>
      <c r="K237" s="8" t="n">
        <v>100</v>
      </c>
    </row>
    <row r="238">
      <c r="A238" s="8" t="inlineStr">
        <is>
          <t>PRD-0234</t>
        </is>
      </c>
      <c r="B238" s="8" t="inlineStr">
        <is>
          <t>ZenithLogix Laptops &amp; Desktop Model-243</t>
        </is>
      </c>
      <c r="C238" s="8" t="inlineStr">
        <is>
          <t>Technology</t>
        </is>
      </c>
      <c r="D238" s="8" t="inlineStr">
        <is>
          <t>Laptops &amp; Desktops</t>
        </is>
      </c>
      <c r="E238" s="8" t="inlineStr">
        <is>
          <t>ZenithLogix</t>
        </is>
      </c>
      <c r="F238" s="9" t="n">
        <v>436.65</v>
      </c>
      <c r="G238" s="9" t="n">
        <v>608.75</v>
      </c>
      <c r="H238" s="9">
        <f>G238-F238</f>
        <v/>
      </c>
      <c r="I238" s="11">
        <f>IFERROR(H238/G238, 0)</f>
        <v/>
      </c>
      <c r="J238" s="8">
        <f>IF(G238&gt;=400, "High-End", IF(G238&gt;=100, "Mid-Tier", "Economy"))</f>
        <v/>
      </c>
      <c r="K238" s="8" t="n">
        <v>20</v>
      </c>
    </row>
    <row r="239">
      <c r="A239" s="8" t="inlineStr">
        <is>
          <t>PRD-0235</t>
        </is>
      </c>
      <c r="B239" s="8" t="inlineStr">
        <is>
          <t>Kinetix Office Chair Model-342</t>
        </is>
      </c>
      <c r="C239" s="8" t="inlineStr">
        <is>
          <t>Furniture</t>
        </is>
      </c>
      <c r="D239" s="8" t="inlineStr">
        <is>
          <t>Office Chairs</t>
        </is>
      </c>
      <c r="E239" s="8" t="inlineStr">
        <is>
          <t>Kinetix</t>
        </is>
      </c>
      <c r="F239" s="9" t="n">
        <v>406.74</v>
      </c>
      <c r="G239" s="9" t="n">
        <v>640.49</v>
      </c>
      <c r="H239" s="9">
        <f>G239-F239</f>
        <v/>
      </c>
      <c r="I239" s="11">
        <f>IFERROR(H239/G239, 0)</f>
        <v/>
      </c>
      <c r="J239" s="8">
        <f>IF(G239&gt;=400, "High-End", IF(G239&gt;=100, "Mid-Tier", "Economy"))</f>
        <v/>
      </c>
      <c r="K239" s="8" t="n">
        <v>50</v>
      </c>
    </row>
    <row r="240">
      <c r="A240" s="8" t="inlineStr">
        <is>
          <t>PRD-0236</t>
        </is>
      </c>
      <c r="B240" s="8" t="inlineStr">
        <is>
          <t>QuantumByte Printers &amp; Networking Model-279</t>
        </is>
      </c>
      <c r="C240" s="8" t="inlineStr">
        <is>
          <t>Technology</t>
        </is>
      </c>
      <c r="D240" s="8" t="inlineStr">
        <is>
          <t>Printers &amp; Networking</t>
        </is>
      </c>
      <c r="E240" s="8" t="inlineStr">
        <is>
          <t>QuantumByte</t>
        </is>
      </c>
      <c r="F240" s="9" t="n">
        <v>90.78</v>
      </c>
      <c r="G240" s="9" t="n">
        <v>128.74</v>
      </c>
      <c r="H240" s="9">
        <f>G240-F240</f>
        <v/>
      </c>
      <c r="I240" s="11">
        <f>IFERROR(H240/G240, 0)</f>
        <v/>
      </c>
      <c r="J240" s="8">
        <f>IF(G240&gt;=400, "High-End", IF(G240&gt;=100, "Mid-Tier", "Economy"))</f>
        <v/>
      </c>
      <c r="K240" s="8" t="n">
        <v>150</v>
      </c>
    </row>
    <row r="241">
      <c r="A241" s="8" t="inlineStr">
        <is>
          <t>PRD-0237</t>
        </is>
      </c>
      <c r="B241" s="8" t="inlineStr">
        <is>
          <t>EcoPaper Pens, Inks &amp; Marker Model-518</t>
        </is>
      </c>
      <c r="C241" s="8" t="inlineStr">
        <is>
          <t>Office Supplies</t>
        </is>
      </c>
      <c r="D241" s="8" t="inlineStr">
        <is>
          <t>Pens, Inks &amp; Markers</t>
        </is>
      </c>
      <c r="E241" s="8" t="inlineStr">
        <is>
          <t>EcoPaper</t>
        </is>
      </c>
      <c r="F241" s="9" t="n">
        <v>36.33</v>
      </c>
      <c r="G241" s="9" t="n">
        <v>59.7</v>
      </c>
      <c r="H241" s="9">
        <f>G241-F241</f>
        <v/>
      </c>
      <c r="I241" s="11">
        <f>IFERROR(H241/G241, 0)</f>
        <v/>
      </c>
      <c r="J241" s="8">
        <f>IF(G241&gt;=400, "High-End", IF(G241&gt;=100, "Mid-Tier", "Economy"))</f>
        <v/>
      </c>
      <c r="K241" s="8" t="n">
        <v>75</v>
      </c>
    </row>
    <row r="242">
      <c r="A242" s="8" t="inlineStr">
        <is>
          <t>PRD-0238</t>
        </is>
      </c>
      <c r="B242" s="8" t="inlineStr">
        <is>
          <t>VanguardPro Corporate Apparel Model-159</t>
        </is>
      </c>
      <c r="C242" s="8" t="inlineStr">
        <is>
          <t>Apparel &amp; Gear</t>
        </is>
      </c>
      <c r="D242" s="8" t="inlineStr">
        <is>
          <t>Corporate Apparel</t>
        </is>
      </c>
      <c r="E242" s="8" t="inlineStr">
        <is>
          <t>VanguardPro</t>
        </is>
      </c>
      <c r="F242" s="9" t="n">
        <v>52.59</v>
      </c>
      <c r="G242" s="9" t="n">
        <v>88.5</v>
      </c>
      <c r="H242" s="9">
        <f>G242-F242</f>
        <v/>
      </c>
      <c r="I242" s="11">
        <f>IFERROR(H242/G242, 0)</f>
        <v/>
      </c>
      <c r="J242" s="8">
        <f>IF(G242&gt;=400, "High-End", IF(G242&gt;=100, "Mid-Tier", "Economy"))</f>
        <v/>
      </c>
      <c r="K242" s="8" t="n">
        <v>75</v>
      </c>
    </row>
    <row r="243">
      <c r="A243" s="8" t="inlineStr">
        <is>
          <t>PRD-0239</t>
        </is>
      </c>
      <c r="B243" s="8" t="inlineStr">
        <is>
          <t>QuantumByte Monitors &amp; Display Model-967</t>
        </is>
      </c>
      <c r="C243" s="8" t="inlineStr">
        <is>
          <t>Technology</t>
        </is>
      </c>
      <c r="D243" s="8" t="inlineStr">
        <is>
          <t>Monitors &amp; Displays</t>
        </is>
      </c>
      <c r="E243" s="8" t="inlineStr">
        <is>
          <t>QuantumByte</t>
        </is>
      </c>
      <c r="F243" s="9" t="n">
        <v>221.05</v>
      </c>
      <c r="G243" s="9" t="n">
        <v>302.56</v>
      </c>
      <c r="H243" s="9">
        <f>G243-F243</f>
        <v/>
      </c>
      <c r="I243" s="11">
        <f>IFERROR(H243/G243, 0)</f>
        <v/>
      </c>
      <c r="J243" s="8">
        <f>IF(G243&gt;=400, "High-End", IF(G243&gt;=100, "Mid-Tier", "Economy"))</f>
        <v/>
      </c>
      <c r="K243" s="8" t="n">
        <v>75</v>
      </c>
    </row>
    <row r="244">
      <c r="A244" s="8" t="inlineStr">
        <is>
          <t>PRD-0240</t>
        </is>
      </c>
      <c r="B244" s="8" t="inlineStr">
        <is>
          <t>Kinetix Standing Desk Model-923</t>
        </is>
      </c>
      <c r="C244" s="8" t="inlineStr">
        <is>
          <t>Furniture</t>
        </is>
      </c>
      <c r="D244" s="8" t="inlineStr">
        <is>
          <t>Standing Desks</t>
        </is>
      </c>
      <c r="E244" s="8" t="inlineStr">
        <is>
          <t>Kinetix</t>
        </is>
      </c>
      <c r="F244" s="9" t="n">
        <v>409.77</v>
      </c>
      <c r="G244" s="9" t="n">
        <v>656.01</v>
      </c>
      <c r="H244" s="9">
        <f>G244-F244</f>
        <v/>
      </c>
      <c r="I244" s="11">
        <f>IFERROR(H244/G244, 0)</f>
        <v/>
      </c>
      <c r="J244" s="8">
        <f>IF(G244&gt;=400, "High-End", IF(G244&gt;=100, "Mid-Tier", "Economy"))</f>
        <v/>
      </c>
      <c r="K244" s="8" t="n">
        <v>35</v>
      </c>
    </row>
    <row r="245">
      <c r="A245" s="8" t="inlineStr">
        <is>
          <t>PRD-0241</t>
        </is>
      </c>
      <c r="B245" s="8" t="inlineStr">
        <is>
          <t>AeroWeave Corporate Apparel Model-294</t>
        </is>
      </c>
      <c r="C245" s="8" t="inlineStr">
        <is>
          <t>Apparel &amp; Gear</t>
        </is>
      </c>
      <c r="D245" s="8" t="inlineStr">
        <is>
          <t>Corporate Apparel</t>
        </is>
      </c>
      <c r="E245" s="8" t="inlineStr">
        <is>
          <t>AeroWeave</t>
        </is>
      </c>
      <c r="F245" s="9" t="n">
        <v>52.9</v>
      </c>
      <c r="G245" s="9" t="n">
        <v>91.47</v>
      </c>
      <c r="H245" s="9">
        <f>G245-F245</f>
        <v/>
      </c>
      <c r="I245" s="11">
        <f>IFERROR(H245/G245, 0)</f>
        <v/>
      </c>
      <c r="J245" s="8">
        <f>IF(G245&gt;=400, "High-End", IF(G245&gt;=100, "Mid-Tier", "Economy"))</f>
        <v/>
      </c>
      <c r="K245" s="8" t="n">
        <v>35</v>
      </c>
    </row>
    <row r="246">
      <c r="A246" s="8" t="inlineStr">
        <is>
          <t>PRD-0242</t>
        </is>
      </c>
      <c r="B246" s="8" t="inlineStr">
        <is>
          <t>Hyperion Monitors &amp; Display Model-665</t>
        </is>
      </c>
      <c r="C246" s="8" t="inlineStr">
        <is>
          <t>Technology</t>
        </is>
      </c>
      <c r="D246" s="8" t="inlineStr">
        <is>
          <t>Monitors &amp; Displays</t>
        </is>
      </c>
      <c r="E246" s="8" t="inlineStr">
        <is>
          <t>Hyperion</t>
        </is>
      </c>
      <c r="F246" s="9" t="n">
        <v>588.03</v>
      </c>
      <c r="G246" s="9" t="n">
        <v>745.0599999999999</v>
      </c>
      <c r="H246" s="9">
        <f>G246-F246</f>
        <v/>
      </c>
      <c r="I246" s="11">
        <f>IFERROR(H246/G246, 0)</f>
        <v/>
      </c>
      <c r="J246" s="8">
        <f>IF(G246&gt;=400, "High-End", IF(G246&gt;=100, "Mid-Tier", "Economy"))</f>
        <v/>
      </c>
      <c r="K246" s="8" t="n">
        <v>35</v>
      </c>
    </row>
    <row r="247">
      <c r="A247" s="8" t="inlineStr">
        <is>
          <t>PRD-0243</t>
        </is>
      </c>
      <c r="B247" s="8" t="inlineStr">
        <is>
          <t>QuantumByte Printers &amp; Networking Model-200</t>
        </is>
      </c>
      <c r="C247" s="8" t="inlineStr">
        <is>
          <t>Technology</t>
        </is>
      </c>
      <c r="D247" s="8" t="inlineStr">
        <is>
          <t>Printers &amp; Networking</t>
        </is>
      </c>
      <c r="E247" s="8" t="inlineStr">
        <is>
          <t>QuantumByte</t>
        </is>
      </c>
      <c r="F247" s="9" t="n">
        <v>364.07</v>
      </c>
      <c r="G247" s="9" t="n">
        <v>510.81</v>
      </c>
      <c r="H247" s="9">
        <f>G247-F247</f>
        <v/>
      </c>
      <c r="I247" s="11">
        <f>IFERROR(H247/G247, 0)</f>
        <v/>
      </c>
      <c r="J247" s="8">
        <f>IF(G247&gt;=400, "High-End", IF(G247&gt;=100, "Mid-Tier", "Economy"))</f>
        <v/>
      </c>
      <c r="K247" s="8" t="n">
        <v>75</v>
      </c>
    </row>
    <row r="248">
      <c r="A248" s="8" t="inlineStr">
        <is>
          <t>PRD-0244</t>
        </is>
      </c>
      <c r="B248" s="8" t="inlineStr">
        <is>
          <t>QuantumByte Monitors &amp; Display Model-859</t>
        </is>
      </c>
      <c r="C248" s="8" t="inlineStr">
        <is>
          <t>Technology</t>
        </is>
      </c>
      <c r="D248" s="8" t="inlineStr">
        <is>
          <t>Monitors &amp; Displays</t>
        </is>
      </c>
      <c r="E248" s="8" t="inlineStr">
        <is>
          <t>QuantumByte</t>
        </is>
      </c>
      <c r="F248" s="9" t="n">
        <v>321.32</v>
      </c>
      <c r="G248" s="9" t="n">
        <v>395.39</v>
      </c>
      <c r="H248" s="9">
        <f>G248-F248</f>
        <v/>
      </c>
      <c r="I248" s="11">
        <f>IFERROR(H248/G248, 0)</f>
        <v/>
      </c>
      <c r="J248" s="8">
        <f>IF(G248&gt;=400, "High-End", IF(G248&gt;=100, "Mid-Tier", "Economy"))</f>
        <v/>
      </c>
      <c r="K248" s="8" t="n">
        <v>35</v>
      </c>
    </row>
    <row r="249">
      <c r="A249" s="8" t="inlineStr">
        <is>
          <t>PRD-0245</t>
        </is>
      </c>
      <c r="B249" s="8" t="inlineStr">
        <is>
          <t>NordicCraft Standing Desk Model-683</t>
        </is>
      </c>
      <c r="C249" s="8" t="inlineStr">
        <is>
          <t>Furniture</t>
        </is>
      </c>
      <c r="D249" s="8" t="inlineStr">
        <is>
          <t>Standing Desks</t>
        </is>
      </c>
      <c r="E249" s="8" t="inlineStr">
        <is>
          <t>NordicCraft</t>
        </is>
      </c>
      <c r="F249" s="9" t="n">
        <v>137.21</v>
      </c>
      <c r="G249" s="9" t="n">
        <v>202.5</v>
      </c>
      <c r="H249" s="9">
        <f>G249-F249</f>
        <v/>
      </c>
      <c r="I249" s="11">
        <f>IFERROR(H249/G249, 0)</f>
        <v/>
      </c>
      <c r="J249" s="8">
        <f>IF(G249&gt;=400, "High-End", IF(G249&gt;=100, "Mid-Tier", "Economy"))</f>
        <v/>
      </c>
      <c r="K249" s="8" t="n">
        <v>75</v>
      </c>
    </row>
    <row r="250">
      <c r="A250" s="8" t="inlineStr">
        <is>
          <t>PRD-0246</t>
        </is>
      </c>
      <c r="B250" s="8" t="inlineStr">
        <is>
          <t>ZenithLogix Printers &amp; Networking Model-571</t>
        </is>
      </c>
      <c r="C250" s="8" t="inlineStr">
        <is>
          <t>Technology</t>
        </is>
      </c>
      <c r="D250" s="8" t="inlineStr">
        <is>
          <t>Printers &amp; Networking</t>
        </is>
      </c>
      <c r="E250" s="8" t="inlineStr">
        <is>
          <t>ZenithLogix</t>
        </is>
      </c>
      <c r="F250" s="9" t="n">
        <v>919.36</v>
      </c>
      <c r="G250" s="9" t="n">
        <v>1238.92</v>
      </c>
      <c r="H250" s="9">
        <f>G250-F250</f>
        <v/>
      </c>
      <c r="I250" s="11">
        <f>IFERROR(H250/G250, 0)</f>
        <v/>
      </c>
      <c r="J250" s="8">
        <f>IF(G250&gt;=400, "High-End", IF(G250&gt;=100, "Mid-Tier", "Economy"))</f>
        <v/>
      </c>
      <c r="K250" s="8" t="n">
        <v>75</v>
      </c>
    </row>
    <row r="251">
      <c r="A251" s="8" t="inlineStr">
        <is>
          <t>PRD-0247</t>
        </is>
      </c>
      <c r="B251" s="8" t="inlineStr">
        <is>
          <t>SteelForm Bookcases &amp; Storage Model-160</t>
        </is>
      </c>
      <c r="C251" s="8" t="inlineStr">
        <is>
          <t>Furniture</t>
        </is>
      </c>
      <c r="D251" s="8" t="inlineStr">
        <is>
          <t>Bookcases &amp; Storage</t>
        </is>
      </c>
      <c r="E251" s="8" t="inlineStr">
        <is>
          <t>SteelForm</t>
        </is>
      </c>
      <c r="F251" s="9" t="n">
        <v>599.72</v>
      </c>
      <c r="G251" s="9" t="n">
        <v>878.4</v>
      </c>
      <c r="H251" s="9">
        <f>G251-F251</f>
        <v/>
      </c>
      <c r="I251" s="11">
        <f>IFERROR(H251/G251, 0)</f>
        <v/>
      </c>
      <c r="J251" s="8">
        <f>IF(G251&gt;=400, "High-End", IF(G251&gt;=100, "Mid-Tier", "Economy"))</f>
        <v/>
      </c>
      <c r="K251" s="8" t="n">
        <v>150</v>
      </c>
    </row>
    <row r="252">
      <c r="A252" s="8" t="inlineStr">
        <is>
          <t>PRD-0248</t>
        </is>
      </c>
      <c r="B252" s="8" t="inlineStr">
        <is>
          <t>ApexTech Laptops &amp; Desktop Model-169</t>
        </is>
      </c>
      <c r="C252" s="8" t="inlineStr">
        <is>
          <t>Technology</t>
        </is>
      </c>
      <c r="D252" s="8" t="inlineStr">
        <is>
          <t>Laptops &amp; Desktops</t>
        </is>
      </c>
      <c r="E252" s="8" t="inlineStr">
        <is>
          <t>ApexTech</t>
        </is>
      </c>
      <c r="F252" s="9" t="n">
        <v>412.34</v>
      </c>
      <c r="G252" s="9" t="n">
        <v>603.58</v>
      </c>
      <c r="H252" s="9">
        <f>G252-F252</f>
        <v/>
      </c>
      <c r="I252" s="11">
        <f>IFERROR(H252/G252, 0)</f>
        <v/>
      </c>
      <c r="J252" s="8">
        <f>IF(G252&gt;=400, "High-End", IF(G252&gt;=100, "Mid-Tier", "Economy"))</f>
        <v/>
      </c>
      <c r="K252" s="8" t="n">
        <v>35</v>
      </c>
    </row>
    <row r="253">
      <c r="A253" s="8" t="inlineStr">
        <is>
          <t>PRD-0249</t>
        </is>
      </c>
      <c r="B253" s="8" t="inlineStr">
        <is>
          <t>SafeKeep Paper &amp; Stationery Model-106</t>
        </is>
      </c>
      <c r="C253" s="8" t="inlineStr">
        <is>
          <t>Office Supplies</t>
        </is>
      </c>
      <c r="D253" s="8" t="inlineStr">
        <is>
          <t>Paper &amp; Stationery</t>
        </is>
      </c>
      <c r="E253" s="8" t="inlineStr">
        <is>
          <t>SafeKeep</t>
        </is>
      </c>
      <c r="F253" s="9" t="n">
        <v>41.47</v>
      </c>
      <c r="G253" s="9" t="n">
        <v>69.31999999999999</v>
      </c>
      <c r="H253" s="9">
        <f>G253-F253</f>
        <v/>
      </c>
      <c r="I253" s="11">
        <f>IFERROR(H253/G253, 0)</f>
        <v/>
      </c>
      <c r="J253" s="8">
        <f>IF(G253&gt;=400, "High-End", IF(G253&gt;=100, "Mid-Tier", "Economy"))</f>
        <v/>
      </c>
      <c r="K253" s="8" t="n">
        <v>20</v>
      </c>
    </row>
    <row r="254">
      <c r="A254" s="8" t="inlineStr">
        <is>
          <t>PRD-0250</t>
        </is>
      </c>
      <c r="B254" s="8" t="inlineStr">
        <is>
          <t>NordicCraft Conference Table Model-540</t>
        </is>
      </c>
      <c r="C254" s="8" t="inlineStr">
        <is>
          <t>Furniture</t>
        </is>
      </c>
      <c r="D254" s="8" t="inlineStr">
        <is>
          <t>Conference Tables</t>
        </is>
      </c>
      <c r="E254" s="8" t="inlineStr">
        <is>
          <t>NordicCraft</t>
        </is>
      </c>
      <c r="F254" s="9" t="n">
        <v>55.37</v>
      </c>
      <c r="G254" s="9" t="n">
        <v>91.75</v>
      </c>
      <c r="H254" s="9">
        <f>G254-F254</f>
        <v/>
      </c>
      <c r="I254" s="11">
        <f>IFERROR(H254/G254, 0)</f>
        <v/>
      </c>
      <c r="J254" s="8">
        <f>IF(G254&gt;=400, "High-End", IF(G254&gt;=100, "Mid-Tier", "Economy"))</f>
        <v/>
      </c>
      <c r="K254" s="8" t="n">
        <v>150</v>
      </c>
    </row>
    <row r="255">
      <c r="A255" s="8" t="inlineStr">
        <is>
          <t>PRD-0251</t>
        </is>
      </c>
      <c r="B255" s="8" t="inlineStr">
        <is>
          <t>Novacore Audio &amp; Headphone Model-373</t>
        </is>
      </c>
      <c r="C255" s="8" t="inlineStr">
        <is>
          <t>Technology</t>
        </is>
      </c>
      <c r="D255" s="8" t="inlineStr">
        <is>
          <t>Audio &amp; Headphones</t>
        </is>
      </c>
      <c r="E255" s="8" t="inlineStr">
        <is>
          <t>Novacore</t>
        </is>
      </c>
      <c r="F255" s="9" t="n">
        <v>210.62</v>
      </c>
      <c r="G255" s="9" t="n">
        <v>314.05</v>
      </c>
      <c r="H255" s="9">
        <f>G255-F255</f>
        <v/>
      </c>
      <c r="I255" s="11">
        <f>IFERROR(H255/G255, 0)</f>
        <v/>
      </c>
      <c r="J255" s="8">
        <f>IF(G255&gt;=400, "High-End", IF(G255&gt;=100, "Mid-Tier", "Economy"))</f>
        <v/>
      </c>
      <c r="K255" s="8" t="n">
        <v>50</v>
      </c>
    </row>
    <row r="256">
      <c r="A256" s="8" t="inlineStr">
        <is>
          <t>PRD-0252</t>
        </is>
      </c>
      <c r="B256" s="8" t="inlineStr">
        <is>
          <t>Hyperion Monitors &amp; Display Model-769</t>
        </is>
      </c>
      <c r="C256" s="8" t="inlineStr">
        <is>
          <t>Technology</t>
        </is>
      </c>
      <c r="D256" s="8" t="inlineStr">
        <is>
          <t>Monitors &amp; Displays</t>
        </is>
      </c>
      <c r="E256" s="8" t="inlineStr">
        <is>
          <t>Hyperion</t>
        </is>
      </c>
      <c r="F256" s="9" t="n">
        <v>241.66</v>
      </c>
      <c r="G256" s="9" t="n">
        <v>332.85</v>
      </c>
      <c r="H256" s="9">
        <f>G256-F256</f>
        <v/>
      </c>
      <c r="I256" s="11">
        <f>IFERROR(H256/G256, 0)</f>
        <v/>
      </c>
      <c r="J256" s="8">
        <f>IF(G256&gt;=400, "High-End", IF(G256&gt;=100, "Mid-Tier", "Economy"))</f>
        <v/>
      </c>
      <c r="K256" s="8" t="n">
        <v>20</v>
      </c>
    </row>
    <row r="257">
      <c r="A257" s="8" t="inlineStr">
        <is>
          <t>PRD-0253</t>
        </is>
      </c>
      <c r="B257" s="8" t="inlineStr">
        <is>
          <t>Kinetix Standing Desk Model-275</t>
        </is>
      </c>
      <c r="C257" s="8" t="inlineStr">
        <is>
          <t>Furniture</t>
        </is>
      </c>
      <c r="D257" s="8" t="inlineStr">
        <is>
          <t>Standing Desks</t>
        </is>
      </c>
      <c r="E257" s="8" t="inlineStr">
        <is>
          <t>Kinetix</t>
        </is>
      </c>
      <c r="F257" s="9" t="n">
        <v>332.98</v>
      </c>
      <c r="G257" s="9" t="n">
        <v>514.9400000000001</v>
      </c>
      <c r="H257" s="9">
        <f>G257-F257</f>
        <v/>
      </c>
      <c r="I257" s="11">
        <f>IFERROR(H257/G257, 0)</f>
        <v/>
      </c>
      <c r="J257" s="8">
        <f>IF(G257&gt;=400, "High-End", IF(G257&gt;=100, "Mid-Tier", "Economy"))</f>
        <v/>
      </c>
      <c r="K257" s="8" t="n">
        <v>150</v>
      </c>
    </row>
    <row r="258">
      <c r="A258" s="8" t="inlineStr">
        <is>
          <t>PRD-0254</t>
        </is>
      </c>
      <c r="B258" s="8" t="inlineStr">
        <is>
          <t>UrbanShield Corporate Apparel Model-316</t>
        </is>
      </c>
      <c r="C258" s="8" t="inlineStr">
        <is>
          <t>Apparel &amp; Gear</t>
        </is>
      </c>
      <c r="D258" s="8" t="inlineStr">
        <is>
          <t>Corporate Apparel</t>
        </is>
      </c>
      <c r="E258" s="8" t="inlineStr">
        <is>
          <t>UrbanShield</t>
        </is>
      </c>
      <c r="F258" s="9" t="n">
        <v>126.85</v>
      </c>
      <c r="G258" s="9" t="n">
        <v>219.63</v>
      </c>
      <c r="H258" s="9">
        <f>G258-F258</f>
        <v/>
      </c>
      <c r="I258" s="11">
        <f>IFERROR(H258/G258, 0)</f>
        <v/>
      </c>
      <c r="J258" s="8">
        <f>IF(G258&gt;=400, "High-End", IF(G258&gt;=100, "Mid-Tier", "Economy"))</f>
        <v/>
      </c>
      <c r="K258" s="8" t="n">
        <v>35</v>
      </c>
    </row>
    <row r="259">
      <c r="A259" s="8" t="inlineStr">
        <is>
          <t>PRD-0255</t>
        </is>
      </c>
      <c r="B259" s="8" t="inlineStr">
        <is>
          <t>UrbanShield Backpacks &amp; Laptop Bag Model-677</t>
        </is>
      </c>
      <c r="C259" s="8" t="inlineStr">
        <is>
          <t>Apparel &amp; Gear</t>
        </is>
      </c>
      <c r="D259" s="8" t="inlineStr">
        <is>
          <t>Backpacks &amp; Laptop Bags</t>
        </is>
      </c>
      <c r="E259" s="8" t="inlineStr">
        <is>
          <t>UrbanShield</t>
        </is>
      </c>
      <c r="F259" s="9" t="n">
        <v>100.55</v>
      </c>
      <c r="G259" s="9" t="n">
        <v>151.28</v>
      </c>
      <c r="H259" s="9">
        <f>G259-F259</f>
        <v/>
      </c>
      <c r="I259" s="11">
        <f>IFERROR(H259/G259, 0)</f>
        <v/>
      </c>
      <c r="J259" s="8">
        <f>IF(G259&gt;=400, "High-End", IF(G259&gt;=100, "Mid-Tier", "Economy"))</f>
        <v/>
      </c>
      <c r="K259" s="8" t="n">
        <v>100</v>
      </c>
    </row>
    <row r="260">
      <c r="A260" s="8" t="inlineStr">
        <is>
          <t>PRD-0256</t>
        </is>
      </c>
      <c r="B260" s="8" t="inlineStr">
        <is>
          <t>AeroSonic Monitors &amp; Display Model-178</t>
        </is>
      </c>
      <c r="C260" s="8" t="inlineStr">
        <is>
          <t>Technology</t>
        </is>
      </c>
      <c r="D260" s="8" t="inlineStr">
        <is>
          <t>Monitors &amp; Displays</t>
        </is>
      </c>
      <c r="E260" s="8" t="inlineStr">
        <is>
          <t>AeroSonic</t>
        </is>
      </c>
      <c r="F260" s="9" t="n">
        <v>166.94</v>
      </c>
      <c r="G260" s="9" t="n">
        <v>235.18</v>
      </c>
      <c r="H260" s="9">
        <f>G260-F260</f>
        <v/>
      </c>
      <c r="I260" s="11">
        <f>IFERROR(H260/G260, 0)</f>
        <v/>
      </c>
      <c r="J260" s="8">
        <f>IF(G260&gt;=400, "High-End", IF(G260&gt;=100, "Mid-Tier", "Economy"))</f>
        <v/>
      </c>
      <c r="K260" s="8" t="n">
        <v>75</v>
      </c>
    </row>
    <row r="261">
      <c r="A261" s="8" t="inlineStr">
        <is>
          <t>PRD-0257</t>
        </is>
      </c>
      <c r="B261" s="8" t="inlineStr">
        <is>
          <t>SafeKeep Pens, Inks &amp; Marker Model-909</t>
        </is>
      </c>
      <c r="C261" s="8" t="inlineStr">
        <is>
          <t>Office Supplies</t>
        </is>
      </c>
      <c r="D261" s="8" t="inlineStr">
        <is>
          <t>Pens, Inks &amp; Markers</t>
        </is>
      </c>
      <c r="E261" s="8" t="inlineStr">
        <is>
          <t>SafeKeep</t>
        </is>
      </c>
      <c r="F261" s="9" t="n">
        <v>17.94</v>
      </c>
      <c r="G261" s="9" t="n">
        <v>31.28</v>
      </c>
      <c r="H261" s="9">
        <f>G261-F261</f>
        <v/>
      </c>
      <c r="I261" s="11">
        <f>IFERROR(H261/G261, 0)</f>
        <v/>
      </c>
      <c r="J261" s="8">
        <f>IF(G261&gt;=400, "High-End", IF(G261&gt;=100, "Mid-Tier", "Economy"))</f>
        <v/>
      </c>
      <c r="K261" s="8" t="n">
        <v>35</v>
      </c>
    </row>
    <row r="262">
      <c r="A262" s="8" t="inlineStr">
        <is>
          <t>PRD-0258</t>
        </is>
      </c>
      <c r="B262" s="8" t="inlineStr">
        <is>
          <t>ApexTech Laptops &amp; Desktop Model-719</t>
        </is>
      </c>
      <c r="C262" s="8" t="inlineStr">
        <is>
          <t>Technology</t>
        </is>
      </c>
      <c r="D262" s="8" t="inlineStr">
        <is>
          <t>Laptops &amp; Desktops</t>
        </is>
      </c>
      <c r="E262" s="8" t="inlineStr">
        <is>
          <t>ApexTech</t>
        </is>
      </c>
      <c r="F262" s="9" t="n">
        <v>434.94</v>
      </c>
      <c r="G262" s="9" t="n">
        <v>636.27</v>
      </c>
      <c r="H262" s="9">
        <f>G262-F262</f>
        <v/>
      </c>
      <c r="I262" s="11">
        <f>IFERROR(H262/G262, 0)</f>
        <v/>
      </c>
      <c r="J262" s="8">
        <f>IF(G262&gt;=400, "High-End", IF(G262&gt;=100, "Mid-Tier", "Economy"))</f>
        <v/>
      </c>
      <c r="K262" s="8" t="n">
        <v>50</v>
      </c>
    </row>
    <row r="263">
      <c r="A263" s="8" t="inlineStr">
        <is>
          <t>PRD-0259</t>
        </is>
      </c>
      <c r="B263" s="8" t="inlineStr">
        <is>
          <t>Hyperion Laptops &amp; Desktop Model-333</t>
        </is>
      </c>
      <c r="C263" s="8" t="inlineStr">
        <is>
          <t>Technology</t>
        </is>
      </c>
      <c r="D263" s="8" t="inlineStr">
        <is>
          <t>Laptops &amp; Desktops</t>
        </is>
      </c>
      <c r="E263" s="8" t="inlineStr">
        <is>
          <t>Hyperion</t>
        </is>
      </c>
      <c r="F263" s="9" t="n">
        <v>285.09</v>
      </c>
      <c r="G263" s="9" t="n">
        <v>427.15</v>
      </c>
      <c r="H263" s="9">
        <f>G263-F263</f>
        <v/>
      </c>
      <c r="I263" s="11">
        <f>IFERROR(H263/G263, 0)</f>
        <v/>
      </c>
      <c r="J263" s="8">
        <f>IF(G263&gt;=400, "High-End", IF(G263&gt;=100, "Mid-Tier", "Economy"))</f>
        <v/>
      </c>
      <c r="K263" s="8" t="n">
        <v>75</v>
      </c>
    </row>
    <row r="264">
      <c r="A264" s="8" t="inlineStr">
        <is>
          <t>PRD-0260</t>
        </is>
      </c>
      <c r="B264" s="8" t="inlineStr">
        <is>
          <t>EcoPaper Pens, Inks &amp; Marker Model-830</t>
        </is>
      </c>
      <c r="C264" s="8" t="inlineStr">
        <is>
          <t>Office Supplies</t>
        </is>
      </c>
      <c r="D264" s="8" t="inlineStr">
        <is>
          <t>Pens, Inks &amp; Markers</t>
        </is>
      </c>
      <c r="E264" s="8" t="inlineStr">
        <is>
          <t>EcoPaper</t>
        </is>
      </c>
      <c r="F264" s="9" t="n">
        <v>7.97</v>
      </c>
      <c r="G264" s="9" t="n">
        <v>13.65</v>
      </c>
      <c r="H264" s="9">
        <f>G264-F264</f>
        <v/>
      </c>
      <c r="I264" s="11">
        <f>IFERROR(H264/G264, 0)</f>
        <v/>
      </c>
      <c r="J264" s="8">
        <f>IF(G264&gt;=400, "High-End", IF(G264&gt;=100, "Mid-Tier", "Economy"))</f>
        <v/>
      </c>
      <c r="K264" s="8" t="n">
        <v>35</v>
      </c>
    </row>
    <row r="265">
      <c r="A265" s="8" t="inlineStr">
        <is>
          <t>PRD-0261</t>
        </is>
      </c>
      <c r="B265" s="8" t="inlineStr">
        <is>
          <t>Hyperion Audio &amp; Headphone Model-105</t>
        </is>
      </c>
      <c r="C265" s="8" t="inlineStr">
        <is>
          <t>Technology</t>
        </is>
      </c>
      <c r="D265" s="8" t="inlineStr">
        <is>
          <t>Audio &amp; Headphones</t>
        </is>
      </c>
      <c r="E265" s="8" t="inlineStr">
        <is>
          <t>Hyperion</t>
        </is>
      </c>
      <c r="F265" s="9" t="n">
        <v>391.5</v>
      </c>
      <c r="G265" s="9" t="n">
        <v>568.83</v>
      </c>
      <c r="H265" s="9">
        <f>G265-F265</f>
        <v/>
      </c>
      <c r="I265" s="11">
        <f>IFERROR(H265/G265, 0)</f>
        <v/>
      </c>
      <c r="J265" s="8">
        <f>IF(G265&gt;=400, "High-End", IF(G265&gt;=100, "Mid-Tier", "Economy"))</f>
        <v/>
      </c>
      <c r="K265" s="8" t="n">
        <v>20</v>
      </c>
    </row>
    <row r="266">
      <c r="A266" s="8" t="inlineStr">
        <is>
          <t>PRD-0262</t>
        </is>
      </c>
      <c r="B266" s="8" t="inlineStr">
        <is>
          <t>Novacore Smartphones &amp; Accessorie Model-517</t>
        </is>
      </c>
      <c r="C266" s="8" t="inlineStr">
        <is>
          <t>Technology</t>
        </is>
      </c>
      <c r="D266" s="8" t="inlineStr">
        <is>
          <t>Smartphones &amp; Accessories</t>
        </is>
      </c>
      <c r="E266" s="8" t="inlineStr">
        <is>
          <t>Novacore</t>
        </is>
      </c>
      <c r="F266" s="9" t="n">
        <v>429.35</v>
      </c>
      <c r="G266" s="9" t="n">
        <v>621.74</v>
      </c>
      <c r="H266" s="9">
        <f>G266-F266</f>
        <v/>
      </c>
      <c r="I266" s="11">
        <f>IFERROR(H266/G266, 0)</f>
        <v/>
      </c>
      <c r="J266" s="8">
        <f>IF(G266&gt;=400, "High-End", IF(G266&gt;=100, "Mid-Tier", "Economy"))</f>
        <v/>
      </c>
      <c r="K266" s="8" t="n">
        <v>100</v>
      </c>
    </row>
    <row r="267">
      <c r="A267" s="8" t="inlineStr">
        <is>
          <t>PRD-0263</t>
        </is>
      </c>
      <c r="B267" s="8" t="inlineStr">
        <is>
          <t>AccuBinder Desk Accessorie Model-497</t>
        </is>
      </c>
      <c r="C267" s="8" t="inlineStr">
        <is>
          <t>Office Supplies</t>
        </is>
      </c>
      <c r="D267" s="8" t="inlineStr">
        <is>
          <t>Desk Accessories</t>
        </is>
      </c>
      <c r="E267" s="8" t="inlineStr">
        <is>
          <t>AccuBinder</t>
        </is>
      </c>
      <c r="F267" s="9" t="n">
        <v>39.48</v>
      </c>
      <c r="G267" s="9" t="n">
        <v>59.33</v>
      </c>
      <c r="H267" s="9">
        <f>G267-F267</f>
        <v/>
      </c>
      <c r="I267" s="11">
        <f>IFERROR(H267/G267, 0)</f>
        <v/>
      </c>
      <c r="J267" s="8">
        <f>IF(G267&gt;=400, "High-End", IF(G267&gt;=100, "Mid-Tier", "Economy"))</f>
        <v/>
      </c>
      <c r="K267" s="8" t="n">
        <v>75</v>
      </c>
    </row>
    <row r="268">
      <c r="A268" s="8" t="inlineStr">
        <is>
          <t>PRD-0264</t>
        </is>
      </c>
      <c r="B268" s="8" t="inlineStr">
        <is>
          <t>AeroSonic Monitors &amp; Display Model-242</t>
        </is>
      </c>
      <c r="C268" s="8" t="inlineStr">
        <is>
          <t>Technology</t>
        </is>
      </c>
      <c r="D268" s="8" t="inlineStr">
        <is>
          <t>Monitors &amp; Displays</t>
        </is>
      </c>
      <c r="E268" s="8" t="inlineStr">
        <is>
          <t>AeroSonic</t>
        </is>
      </c>
      <c r="F268" s="9" t="n">
        <v>511.81</v>
      </c>
      <c r="G268" s="9" t="n">
        <v>705.08</v>
      </c>
      <c r="H268" s="9">
        <f>G268-F268</f>
        <v/>
      </c>
      <c r="I268" s="11">
        <f>IFERROR(H268/G268, 0)</f>
        <v/>
      </c>
      <c r="J268" s="8">
        <f>IF(G268&gt;=400, "High-End", IF(G268&gt;=100, "Mid-Tier", "Economy"))</f>
        <v/>
      </c>
      <c r="K268" s="8" t="n">
        <v>35</v>
      </c>
    </row>
    <row r="269">
      <c r="A269" s="8" t="inlineStr">
        <is>
          <t>PRD-0265</t>
        </is>
      </c>
      <c r="B269" s="8" t="inlineStr">
        <is>
          <t>ZenithLogix Printers &amp; Networking Model-357</t>
        </is>
      </c>
      <c r="C269" s="8" t="inlineStr">
        <is>
          <t>Technology</t>
        </is>
      </c>
      <c r="D269" s="8" t="inlineStr">
        <is>
          <t>Printers &amp; Networking</t>
        </is>
      </c>
      <c r="E269" s="8" t="inlineStr">
        <is>
          <t>ZenithLogix</t>
        </is>
      </c>
      <c r="F269" s="9" t="n">
        <v>309.27</v>
      </c>
      <c r="G269" s="9" t="n">
        <v>426.8</v>
      </c>
      <c r="H269" s="9">
        <f>G269-F269</f>
        <v/>
      </c>
      <c r="I269" s="11">
        <f>IFERROR(H269/G269, 0)</f>
        <v/>
      </c>
      <c r="J269" s="8">
        <f>IF(G269&gt;=400, "High-End", IF(G269&gt;=100, "Mid-Tier", "Economy"))</f>
        <v/>
      </c>
      <c r="K269" s="8" t="n">
        <v>50</v>
      </c>
    </row>
    <row r="270">
      <c r="A270" s="8" t="inlineStr">
        <is>
          <t>PRD-0266</t>
        </is>
      </c>
      <c r="B270" s="8" t="inlineStr">
        <is>
          <t>ErgoComfort Bookcases &amp; Storage Model-440</t>
        </is>
      </c>
      <c r="C270" s="8" t="inlineStr">
        <is>
          <t>Furniture</t>
        </is>
      </c>
      <c r="D270" s="8" t="inlineStr">
        <is>
          <t>Bookcases &amp; Storage</t>
        </is>
      </c>
      <c r="E270" s="8" t="inlineStr">
        <is>
          <t>ErgoComfort</t>
        </is>
      </c>
      <c r="F270" s="9" t="n">
        <v>126.97</v>
      </c>
      <c r="G270" s="9" t="n">
        <v>170.34</v>
      </c>
      <c r="H270" s="9">
        <f>G270-F270</f>
        <v/>
      </c>
      <c r="I270" s="11">
        <f>IFERROR(H270/G270, 0)</f>
        <v/>
      </c>
      <c r="J270" s="8">
        <f>IF(G270&gt;=400, "High-End", IF(G270&gt;=100, "Mid-Tier", "Economy"))</f>
        <v/>
      </c>
      <c r="K270" s="8" t="n">
        <v>75</v>
      </c>
    </row>
    <row r="271">
      <c r="A271" s="8" t="inlineStr">
        <is>
          <t>PRD-0267</t>
        </is>
      </c>
      <c r="B271" s="8" t="inlineStr">
        <is>
          <t>Kinetix Standing Desk Model-305</t>
        </is>
      </c>
      <c r="C271" s="8" t="inlineStr">
        <is>
          <t>Furniture</t>
        </is>
      </c>
      <c r="D271" s="8" t="inlineStr">
        <is>
          <t>Standing Desks</t>
        </is>
      </c>
      <c r="E271" s="8" t="inlineStr">
        <is>
          <t>Kinetix</t>
        </is>
      </c>
      <c r="F271" s="9" t="n">
        <v>127.36</v>
      </c>
      <c r="G271" s="9" t="n">
        <v>187.7</v>
      </c>
      <c r="H271" s="9">
        <f>G271-F271</f>
        <v/>
      </c>
      <c r="I271" s="11">
        <f>IFERROR(H271/G271, 0)</f>
        <v/>
      </c>
      <c r="J271" s="8">
        <f>IF(G271&gt;=400, "High-End", IF(G271&gt;=100, "Mid-Tier", "Economy"))</f>
        <v/>
      </c>
      <c r="K271" s="8" t="n">
        <v>150</v>
      </c>
    </row>
    <row r="272">
      <c r="A272" s="8" t="inlineStr">
        <is>
          <t>PRD-0268</t>
        </is>
      </c>
      <c r="B272" s="8" t="inlineStr">
        <is>
          <t>EcoPaper Storage &amp; Organization Model-485</t>
        </is>
      </c>
      <c r="C272" s="8" t="inlineStr">
        <is>
          <t>Office Supplies</t>
        </is>
      </c>
      <c r="D272" s="8" t="inlineStr">
        <is>
          <t>Storage &amp; Organization</t>
        </is>
      </c>
      <c r="E272" s="8" t="inlineStr">
        <is>
          <t>EcoPaper</t>
        </is>
      </c>
      <c r="F272" s="9" t="n">
        <v>43.69</v>
      </c>
      <c r="G272" s="9" t="n">
        <v>69.90000000000001</v>
      </c>
      <c r="H272" s="9">
        <f>G272-F272</f>
        <v/>
      </c>
      <c r="I272" s="11">
        <f>IFERROR(H272/G272, 0)</f>
        <v/>
      </c>
      <c r="J272" s="8">
        <f>IF(G272&gt;=400, "High-End", IF(G272&gt;=100, "Mid-Tier", "Economy"))</f>
        <v/>
      </c>
      <c r="K272" s="8" t="n">
        <v>50</v>
      </c>
    </row>
    <row r="273">
      <c r="A273" s="8" t="inlineStr">
        <is>
          <t>PRD-0269</t>
        </is>
      </c>
      <c r="B273" s="8" t="inlineStr">
        <is>
          <t>AeroSonic Monitors &amp; Display Model-127</t>
        </is>
      </c>
      <c r="C273" s="8" t="inlineStr">
        <is>
          <t>Technology</t>
        </is>
      </c>
      <c r="D273" s="8" t="inlineStr">
        <is>
          <t>Monitors &amp; Displays</t>
        </is>
      </c>
      <c r="E273" s="8" t="inlineStr">
        <is>
          <t>AeroSonic</t>
        </is>
      </c>
      <c r="F273" s="9" t="n">
        <v>947.5</v>
      </c>
      <c r="G273" s="9" t="n">
        <v>1195.16</v>
      </c>
      <c r="H273" s="9">
        <f>G273-F273</f>
        <v/>
      </c>
      <c r="I273" s="11">
        <f>IFERROR(H273/G273, 0)</f>
        <v/>
      </c>
      <c r="J273" s="8">
        <f>IF(G273&gt;=400, "High-End", IF(G273&gt;=100, "Mid-Tier", "Economy"))</f>
        <v/>
      </c>
      <c r="K273" s="8" t="n">
        <v>100</v>
      </c>
    </row>
    <row r="274">
      <c r="A274" s="8" t="inlineStr">
        <is>
          <t>PRD-0270</t>
        </is>
      </c>
      <c r="B274" s="8" t="inlineStr">
        <is>
          <t>Hyperion Printers &amp; Networking Model-789</t>
        </is>
      </c>
      <c r="C274" s="8" t="inlineStr">
        <is>
          <t>Technology</t>
        </is>
      </c>
      <c r="D274" s="8" t="inlineStr">
        <is>
          <t>Printers &amp; Networking</t>
        </is>
      </c>
      <c r="E274" s="8" t="inlineStr">
        <is>
          <t>Hyperion</t>
        </is>
      </c>
      <c r="F274" s="9" t="n">
        <v>98.28</v>
      </c>
      <c r="G274" s="9" t="n">
        <v>137.1</v>
      </c>
      <c r="H274" s="9">
        <f>G274-F274</f>
        <v/>
      </c>
      <c r="I274" s="11">
        <f>IFERROR(H274/G274, 0)</f>
        <v/>
      </c>
      <c r="J274" s="8">
        <f>IF(G274&gt;=400, "High-End", IF(G274&gt;=100, "Mid-Tier", "Economy"))</f>
        <v/>
      </c>
      <c r="K274" s="8" t="n">
        <v>75</v>
      </c>
    </row>
    <row r="275">
      <c r="A275" s="8" t="inlineStr">
        <is>
          <t>PRD-0271</t>
        </is>
      </c>
      <c r="B275" s="8" t="inlineStr">
        <is>
          <t>EcoPaper Storage &amp; Organization Model-590</t>
        </is>
      </c>
      <c r="C275" s="8" t="inlineStr">
        <is>
          <t>Office Supplies</t>
        </is>
      </c>
      <c r="D275" s="8" t="inlineStr">
        <is>
          <t>Storage &amp; Organization</t>
        </is>
      </c>
      <c r="E275" s="8" t="inlineStr">
        <is>
          <t>EcoPaper</t>
        </is>
      </c>
      <c r="F275" s="9" t="n">
        <v>36.46</v>
      </c>
      <c r="G275" s="9" t="n">
        <v>52.39</v>
      </c>
      <c r="H275" s="9">
        <f>G275-F275</f>
        <v/>
      </c>
      <c r="I275" s="11">
        <f>IFERROR(H275/G275, 0)</f>
        <v/>
      </c>
      <c r="J275" s="8">
        <f>IF(G275&gt;=400, "High-End", IF(G275&gt;=100, "Mid-Tier", "Economy"))</f>
        <v/>
      </c>
      <c r="K275" s="8" t="n">
        <v>100</v>
      </c>
    </row>
    <row r="276">
      <c r="A276" s="8" t="inlineStr">
        <is>
          <t>PRD-0272</t>
        </is>
      </c>
      <c r="B276" s="8" t="inlineStr">
        <is>
          <t>Kinetix Standing Desk Model-931</t>
        </is>
      </c>
      <c r="C276" s="8" t="inlineStr">
        <is>
          <t>Furniture</t>
        </is>
      </c>
      <c r="D276" s="8" t="inlineStr">
        <is>
          <t>Standing Desks</t>
        </is>
      </c>
      <c r="E276" s="8" t="inlineStr">
        <is>
          <t>Kinetix</t>
        </is>
      </c>
      <c r="F276" s="9" t="n">
        <v>67.23999999999999</v>
      </c>
      <c r="G276" s="9" t="n">
        <v>109.11</v>
      </c>
      <c r="H276" s="9">
        <f>G276-F276</f>
        <v/>
      </c>
      <c r="I276" s="11">
        <f>IFERROR(H276/G276, 0)</f>
        <v/>
      </c>
      <c r="J276" s="8">
        <f>IF(G276&gt;=400, "High-End", IF(G276&gt;=100, "Mid-Tier", "Economy"))</f>
        <v/>
      </c>
      <c r="K276" s="8" t="n">
        <v>150</v>
      </c>
    </row>
    <row r="277">
      <c r="A277" s="8" t="inlineStr">
        <is>
          <t>PRD-0273</t>
        </is>
      </c>
      <c r="B277" s="8" t="inlineStr">
        <is>
          <t>AccuBinder Pens, Inks &amp; Marker Model-760</t>
        </is>
      </c>
      <c r="C277" s="8" t="inlineStr">
        <is>
          <t>Office Supplies</t>
        </is>
      </c>
      <c r="D277" s="8" t="inlineStr">
        <is>
          <t>Pens, Inks &amp; Markers</t>
        </is>
      </c>
      <c r="E277" s="8" t="inlineStr">
        <is>
          <t>AccuBinder</t>
        </is>
      </c>
      <c r="F277" s="9" t="n">
        <v>11.24</v>
      </c>
      <c r="G277" s="9" t="n">
        <v>19.23</v>
      </c>
      <c r="H277" s="9">
        <f>G277-F277</f>
        <v/>
      </c>
      <c r="I277" s="11">
        <f>IFERROR(H277/G277, 0)</f>
        <v/>
      </c>
      <c r="J277" s="8">
        <f>IF(G277&gt;=400, "High-End", IF(G277&gt;=100, "Mid-Tier", "Economy"))</f>
        <v/>
      </c>
      <c r="K277" s="8" t="n">
        <v>100</v>
      </c>
    </row>
    <row r="278">
      <c r="A278" s="8" t="inlineStr">
        <is>
          <t>PRD-0274</t>
        </is>
      </c>
      <c r="B278" s="8" t="inlineStr">
        <is>
          <t>ErgoComfort Standing Desk Model-864</t>
        </is>
      </c>
      <c r="C278" s="8" t="inlineStr">
        <is>
          <t>Furniture</t>
        </is>
      </c>
      <c r="D278" s="8" t="inlineStr">
        <is>
          <t>Standing Desks</t>
        </is>
      </c>
      <c r="E278" s="8" t="inlineStr">
        <is>
          <t>ErgoComfort</t>
        </is>
      </c>
      <c r="F278" s="9" t="n">
        <v>51.38</v>
      </c>
      <c r="G278" s="9" t="n">
        <v>74.98999999999999</v>
      </c>
      <c r="H278" s="9">
        <f>G278-F278</f>
        <v/>
      </c>
      <c r="I278" s="11">
        <f>IFERROR(H278/G278, 0)</f>
        <v/>
      </c>
      <c r="J278" s="8">
        <f>IF(G278&gt;=400, "High-End", IF(G278&gt;=100, "Mid-Tier", "Economy"))</f>
        <v/>
      </c>
      <c r="K278" s="8" t="n">
        <v>100</v>
      </c>
    </row>
    <row r="279">
      <c r="A279" s="8" t="inlineStr">
        <is>
          <t>PRD-0275</t>
        </is>
      </c>
      <c r="B279" s="8" t="inlineStr">
        <is>
          <t>ModuDesk Standing Desk Model-254</t>
        </is>
      </c>
      <c r="C279" s="8" t="inlineStr">
        <is>
          <t>Furniture</t>
        </is>
      </c>
      <c r="D279" s="8" t="inlineStr">
        <is>
          <t>Standing Desks</t>
        </is>
      </c>
      <c r="E279" s="8" t="inlineStr">
        <is>
          <t>ModuDesk</t>
        </is>
      </c>
      <c r="F279" s="9" t="n">
        <v>512.27</v>
      </c>
      <c r="G279" s="9" t="n">
        <v>786.53</v>
      </c>
      <c r="H279" s="9">
        <f>G279-F279</f>
        <v/>
      </c>
      <c r="I279" s="11">
        <f>IFERROR(H279/G279, 0)</f>
        <v/>
      </c>
      <c r="J279" s="8">
        <f>IF(G279&gt;=400, "High-End", IF(G279&gt;=100, "Mid-Tier", "Economy"))</f>
        <v/>
      </c>
      <c r="K279" s="8" t="n">
        <v>100</v>
      </c>
    </row>
    <row r="280">
      <c r="A280" s="8" t="inlineStr">
        <is>
          <t>PRD-0276</t>
        </is>
      </c>
      <c r="B280" s="8" t="inlineStr">
        <is>
          <t>ApexTech Smartphones &amp; Accessorie Model-419</t>
        </is>
      </c>
      <c r="C280" s="8" t="inlineStr">
        <is>
          <t>Technology</t>
        </is>
      </c>
      <c r="D280" s="8" t="inlineStr">
        <is>
          <t>Smartphones &amp; Accessories</t>
        </is>
      </c>
      <c r="E280" s="8" t="inlineStr">
        <is>
          <t>ApexTech</t>
        </is>
      </c>
      <c r="F280" s="9" t="n">
        <v>795.66</v>
      </c>
      <c r="G280" s="9" t="n">
        <v>1183.89</v>
      </c>
      <c r="H280" s="9">
        <f>G280-F280</f>
        <v/>
      </c>
      <c r="I280" s="11">
        <f>IFERROR(H280/G280, 0)</f>
        <v/>
      </c>
      <c r="J280" s="8">
        <f>IF(G280&gt;=400, "High-End", IF(G280&gt;=100, "Mid-Tier", "Economy"))</f>
        <v/>
      </c>
      <c r="K280" s="8" t="n">
        <v>50</v>
      </c>
    </row>
    <row r="281">
      <c r="A281" s="8" t="inlineStr">
        <is>
          <t>PRD-0277</t>
        </is>
      </c>
      <c r="B281" s="8" t="inlineStr">
        <is>
          <t>ZenithLogix Smartphones &amp; Accessorie Model-407</t>
        </is>
      </c>
      <c r="C281" s="8" t="inlineStr">
        <is>
          <t>Technology</t>
        </is>
      </c>
      <c r="D281" s="8" t="inlineStr">
        <is>
          <t>Smartphones &amp; Accessories</t>
        </is>
      </c>
      <c r="E281" s="8" t="inlineStr">
        <is>
          <t>ZenithLogix</t>
        </is>
      </c>
      <c r="F281" s="9" t="n">
        <v>695.62</v>
      </c>
      <c r="G281" s="9" t="n">
        <v>990.61</v>
      </c>
      <c r="H281" s="9">
        <f>G281-F281</f>
        <v/>
      </c>
      <c r="I281" s="11">
        <f>IFERROR(H281/G281, 0)</f>
        <v/>
      </c>
      <c r="J281" s="8">
        <f>IF(G281&gt;=400, "High-End", IF(G281&gt;=100, "Mid-Tier", "Economy"))</f>
        <v/>
      </c>
      <c r="K281" s="8" t="n">
        <v>20</v>
      </c>
    </row>
    <row r="282">
      <c r="A282" s="8" t="inlineStr">
        <is>
          <t>PRD-0278</t>
        </is>
      </c>
      <c r="B282" s="8" t="inlineStr">
        <is>
          <t>Hyperion Smartphones &amp; Accessorie Model-349</t>
        </is>
      </c>
      <c r="C282" s="8" t="inlineStr">
        <is>
          <t>Technology</t>
        </is>
      </c>
      <c r="D282" s="8" t="inlineStr">
        <is>
          <t>Smartphones &amp; Accessories</t>
        </is>
      </c>
      <c r="E282" s="8" t="inlineStr">
        <is>
          <t>Hyperion</t>
        </is>
      </c>
      <c r="F282" s="9" t="n">
        <v>767.05</v>
      </c>
      <c r="G282" s="9" t="n">
        <v>1176.56</v>
      </c>
      <c r="H282" s="9">
        <f>G282-F282</f>
        <v/>
      </c>
      <c r="I282" s="11">
        <f>IFERROR(H282/G282, 0)</f>
        <v/>
      </c>
      <c r="J282" s="8">
        <f>IF(G282&gt;=400, "High-End", IF(G282&gt;=100, "Mid-Tier", "Economy"))</f>
        <v/>
      </c>
      <c r="K282" s="8" t="n">
        <v>150</v>
      </c>
    </row>
    <row r="283">
      <c r="A283" s="8" t="inlineStr">
        <is>
          <t>PRD-0279</t>
        </is>
      </c>
      <c r="B283" s="8" t="inlineStr">
        <is>
          <t>SteelForm Bookcases &amp; Storage Model-755</t>
        </is>
      </c>
      <c r="C283" s="8" t="inlineStr">
        <is>
          <t>Furniture</t>
        </is>
      </c>
      <c r="D283" s="8" t="inlineStr">
        <is>
          <t>Bookcases &amp; Storage</t>
        </is>
      </c>
      <c r="E283" s="8" t="inlineStr">
        <is>
          <t>SteelForm</t>
        </is>
      </c>
      <c r="F283" s="9" t="n">
        <v>527.64</v>
      </c>
      <c r="G283" s="9" t="n">
        <v>783.46</v>
      </c>
      <c r="H283" s="9">
        <f>G283-F283</f>
        <v/>
      </c>
      <c r="I283" s="11">
        <f>IFERROR(H283/G283, 0)</f>
        <v/>
      </c>
      <c r="J283" s="8">
        <f>IF(G283&gt;=400, "High-End", IF(G283&gt;=100, "Mid-Tier", "Economy"))</f>
        <v/>
      </c>
      <c r="K283" s="8" t="n">
        <v>35</v>
      </c>
    </row>
    <row r="284">
      <c r="A284" s="8" t="inlineStr">
        <is>
          <t>PRD-0280</t>
        </is>
      </c>
      <c r="B284" s="8" t="inlineStr">
        <is>
          <t>Kinetix Bookcases &amp; Storage Model-310</t>
        </is>
      </c>
      <c r="C284" s="8" t="inlineStr">
        <is>
          <t>Furniture</t>
        </is>
      </c>
      <c r="D284" s="8" t="inlineStr">
        <is>
          <t>Bookcases &amp; Storage</t>
        </is>
      </c>
      <c r="E284" s="8" t="inlineStr">
        <is>
          <t>Kinetix</t>
        </is>
      </c>
      <c r="F284" s="9" t="n">
        <v>304.88</v>
      </c>
      <c r="G284" s="9" t="n">
        <v>408.85</v>
      </c>
      <c r="H284" s="9">
        <f>G284-F284</f>
        <v/>
      </c>
      <c r="I284" s="11">
        <f>IFERROR(H284/G284, 0)</f>
        <v/>
      </c>
      <c r="J284" s="8">
        <f>IF(G284&gt;=400, "High-End", IF(G284&gt;=100, "Mid-Tier", "Economy"))</f>
        <v/>
      </c>
      <c r="K284" s="8" t="n">
        <v>35</v>
      </c>
    </row>
    <row r="285">
      <c r="A285" s="8" t="inlineStr">
        <is>
          <t>PRD-0281</t>
        </is>
      </c>
      <c r="B285" s="8" t="inlineStr">
        <is>
          <t>SafeKeep Desk Accessorie Model-216</t>
        </is>
      </c>
      <c r="C285" s="8" t="inlineStr">
        <is>
          <t>Office Supplies</t>
        </is>
      </c>
      <c r="D285" s="8" t="inlineStr">
        <is>
          <t>Desk Accessories</t>
        </is>
      </c>
      <c r="E285" s="8" t="inlineStr">
        <is>
          <t>SafeKeep</t>
        </is>
      </c>
      <c r="F285" s="9" t="n">
        <v>12.07</v>
      </c>
      <c r="G285" s="9" t="n">
        <v>19.01</v>
      </c>
      <c r="H285" s="9">
        <f>G285-F285</f>
        <v/>
      </c>
      <c r="I285" s="11">
        <f>IFERROR(H285/G285, 0)</f>
        <v/>
      </c>
      <c r="J285" s="8">
        <f>IF(G285&gt;=400, "High-End", IF(G285&gt;=100, "Mid-Tier", "Economy"))</f>
        <v/>
      </c>
      <c r="K285" s="8" t="n">
        <v>75</v>
      </c>
    </row>
    <row r="286">
      <c r="A286" s="8" t="inlineStr">
        <is>
          <t>PRD-0282</t>
        </is>
      </c>
      <c r="B286" s="8" t="inlineStr">
        <is>
          <t>EcoPaper Paper &amp; Stationery Model-460</t>
        </is>
      </c>
      <c r="C286" s="8" t="inlineStr">
        <is>
          <t>Office Supplies</t>
        </is>
      </c>
      <c r="D286" s="8" t="inlineStr">
        <is>
          <t>Paper &amp; Stationery</t>
        </is>
      </c>
      <c r="E286" s="8" t="inlineStr">
        <is>
          <t>EcoPaper</t>
        </is>
      </c>
      <c r="F286" s="9" t="n">
        <v>29.26</v>
      </c>
      <c r="G286" s="9" t="n">
        <v>48.43</v>
      </c>
      <c r="H286" s="9">
        <f>G286-F286</f>
        <v/>
      </c>
      <c r="I286" s="11">
        <f>IFERROR(H286/G286, 0)</f>
        <v/>
      </c>
      <c r="J286" s="8">
        <f>IF(G286&gt;=400, "High-End", IF(G286&gt;=100, "Mid-Tier", "Economy"))</f>
        <v/>
      </c>
      <c r="K286" s="8" t="n">
        <v>50</v>
      </c>
    </row>
    <row r="287">
      <c r="A287" s="8" t="inlineStr">
        <is>
          <t>PRD-0283</t>
        </is>
      </c>
      <c r="B287" s="8" t="inlineStr">
        <is>
          <t>AeroSonic Printers &amp; Networking Model-220</t>
        </is>
      </c>
      <c r="C287" s="8" t="inlineStr">
        <is>
          <t>Technology</t>
        </is>
      </c>
      <c r="D287" s="8" t="inlineStr">
        <is>
          <t>Printers &amp; Networking</t>
        </is>
      </c>
      <c r="E287" s="8" t="inlineStr">
        <is>
          <t>AeroSonic</t>
        </is>
      </c>
      <c r="F287" s="9" t="n">
        <v>575</v>
      </c>
      <c r="G287" s="9" t="n">
        <v>778.89</v>
      </c>
      <c r="H287" s="9">
        <f>G287-F287</f>
        <v/>
      </c>
      <c r="I287" s="11">
        <f>IFERROR(H287/G287, 0)</f>
        <v/>
      </c>
      <c r="J287" s="8">
        <f>IF(G287&gt;=400, "High-End", IF(G287&gt;=100, "Mid-Tier", "Economy"))</f>
        <v/>
      </c>
      <c r="K287" s="8" t="n">
        <v>50</v>
      </c>
    </row>
    <row r="288">
      <c r="A288" s="8" t="inlineStr">
        <is>
          <t>PRD-0284</t>
        </is>
      </c>
      <c r="B288" s="8" t="inlineStr">
        <is>
          <t>ModuDesk Standing Desk Model-290</t>
        </is>
      </c>
      <c r="C288" s="8" t="inlineStr">
        <is>
          <t>Furniture</t>
        </is>
      </c>
      <c r="D288" s="8" t="inlineStr">
        <is>
          <t>Standing Desks</t>
        </is>
      </c>
      <c r="E288" s="8" t="inlineStr">
        <is>
          <t>ModuDesk</t>
        </is>
      </c>
      <c r="F288" s="9" t="n">
        <v>405.84</v>
      </c>
      <c r="G288" s="9" t="n">
        <v>621.83</v>
      </c>
      <c r="H288" s="9">
        <f>G288-F288</f>
        <v/>
      </c>
      <c r="I288" s="11">
        <f>IFERROR(H288/G288, 0)</f>
        <v/>
      </c>
      <c r="J288" s="8">
        <f>IF(G288&gt;=400, "High-End", IF(G288&gt;=100, "Mid-Tier", "Economy"))</f>
        <v/>
      </c>
      <c r="K288" s="8" t="n">
        <v>75</v>
      </c>
    </row>
    <row r="289">
      <c r="A289" s="8" t="inlineStr">
        <is>
          <t>PRD-0285</t>
        </is>
      </c>
      <c r="B289" s="8" t="inlineStr">
        <is>
          <t>AeroSonic Audio &amp; Headphone Model-422</t>
        </is>
      </c>
      <c r="C289" s="8" t="inlineStr">
        <is>
          <t>Technology</t>
        </is>
      </c>
      <c r="D289" s="8" t="inlineStr">
        <is>
          <t>Audio &amp; Headphones</t>
        </is>
      </c>
      <c r="E289" s="8" t="inlineStr">
        <is>
          <t>AeroSonic</t>
        </is>
      </c>
      <c r="F289" s="9" t="n">
        <v>187.68</v>
      </c>
      <c r="G289" s="9" t="n">
        <v>269.59</v>
      </c>
      <c r="H289" s="9">
        <f>G289-F289</f>
        <v/>
      </c>
      <c r="I289" s="11">
        <f>IFERROR(H289/G289, 0)</f>
        <v/>
      </c>
      <c r="J289" s="8">
        <f>IF(G289&gt;=400, "High-End", IF(G289&gt;=100, "Mid-Tier", "Economy"))</f>
        <v/>
      </c>
      <c r="K289" s="8" t="n">
        <v>35</v>
      </c>
    </row>
    <row r="290">
      <c r="A290" s="8" t="inlineStr">
        <is>
          <t>PRD-0286</t>
        </is>
      </c>
      <c r="B290" s="8" t="inlineStr">
        <is>
          <t>SteelForm Bookcases &amp; Storage Model-617</t>
        </is>
      </c>
      <c r="C290" s="8" t="inlineStr">
        <is>
          <t>Furniture</t>
        </is>
      </c>
      <c r="D290" s="8" t="inlineStr">
        <is>
          <t>Bookcases &amp; Storage</t>
        </is>
      </c>
      <c r="E290" s="8" t="inlineStr">
        <is>
          <t>SteelForm</t>
        </is>
      </c>
      <c r="F290" s="9" t="n">
        <v>163.05</v>
      </c>
      <c r="G290" s="9" t="n">
        <v>232.89</v>
      </c>
      <c r="H290" s="9">
        <f>G290-F290</f>
        <v/>
      </c>
      <c r="I290" s="11">
        <f>IFERROR(H290/G290, 0)</f>
        <v/>
      </c>
      <c r="J290" s="8">
        <f>IF(G290&gt;=400, "High-End", IF(G290&gt;=100, "Mid-Tier", "Economy"))</f>
        <v/>
      </c>
      <c r="K290" s="8" t="n">
        <v>100</v>
      </c>
    </row>
    <row r="291">
      <c r="A291" s="8" t="inlineStr">
        <is>
          <t>PRD-0287</t>
        </is>
      </c>
      <c r="B291" s="8" t="inlineStr">
        <is>
          <t>ModuDesk Bookcases &amp; Storage Model-399</t>
        </is>
      </c>
      <c r="C291" s="8" t="inlineStr">
        <is>
          <t>Furniture</t>
        </is>
      </c>
      <c r="D291" s="8" t="inlineStr">
        <is>
          <t>Bookcases &amp; Storage</t>
        </is>
      </c>
      <c r="E291" s="8" t="inlineStr">
        <is>
          <t>ModuDesk</t>
        </is>
      </c>
      <c r="F291" s="9" t="n">
        <v>146.19</v>
      </c>
      <c r="G291" s="9" t="n">
        <v>214.91</v>
      </c>
      <c r="H291" s="9">
        <f>G291-F291</f>
        <v/>
      </c>
      <c r="I291" s="11">
        <f>IFERROR(H291/G291, 0)</f>
        <v/>
      </c>
      <c r="J291" s="8">
        <f>IF(G291&gt;=400, "High-End", IF(G291&gt;=100, "Mid-Tier", "Economy"))</f>
        <v/>
      </c>
      <c r="K291" s="8" t="n">
        <v>35</v>
      </c>
    </row>
    <row r="292">
      <c r="A292" s="8" t="inlineStr">
        <is>
          <t>PRD-0288</t>
        </is>
      </c>
      <c r="B292" s="8" t="inlineStr">
        <is>
          <t>EcoPaper Paper &amp; Stationery Model-374</t>
        </is>
      </c>
      <c r="C292" s="8" t="inlineStr">
        <is>
          <t>Office Supplies</t>
        </is>
      </c>
      <c r="D292" s="8" t="inlineStr">
        <is>
          <t>Paper &amp; Stationery</t>
        </is>
      </c>
      <c r="E292" s="8" t="inlineStr">
        <is>
          <t>EcoPaper</t>
        </is>
      </c>
      <c r="F292" s="9" t="n">
        <v>26.76</v>
      </c>
      <c r="G292" s="9" t="n">
        <v>41.37</v>
      </c>
      <c r="H292" s="9">
        <f>G292-F292</f>
        <v/>
      </c>
      <c r="I292" s="11">
        <f>IFERROR(H292/G292, 0)</f>
        <v/>
      </c>
      <c r="J292" s="8">
        <f>IF(G292&gt;=400, "High-End", IF(G292&gt;=100, "Mid-Tier", "Economy"))</f>
        <v/>
      </c>
      <c r="K292" s="8" t="n">
        <v>20</v>
      </c>
    </row>
    <row r="293">
      <c r="A293" s="8" t="inlineStr">
        <is>
          <t>PRD-0289</t>
        </is>
      </c>
      <c r="B293" s="8" t="inlineStr">
        <is>
          <t>Hyperion Laptops &amp; Desktop Model-204</t>
        </is>
      </c>
      <c r="C293" s="8" t="inlineStr">
        <is>
          <t>Technology</t>
        </is>
      </c>
      <c r="D293" s="8" t="inlineStr">
        <is>
          <t>Laptops &amp; Desktops</t>
        </is>
      </c>
      <c r="E293" s="8" t="inlineStr">
        <is>
          <t>Hyperion</t>
        </is>
      </c>
      <c r="F293" s="9" t="n">
        <v>438.85</v>
      </c>
      <c r="G293" s="9" t="n">
        <v>579.4</v>
      </c>
      <c r="H293" s="9">
        <f>G293-F293</f>
        <v/>
      </c>
      <c r="I293" s="11">
        <f>IFERROR(H293/G293, 0)</f>
        <v/>
      </c>
      <c r="J293" s="8">
        <f>IF(G293&gt;=400, "High-End", IF(G293&gt;=100, "Mid-Tier", "Economy"))</f>
        <v/>
      </c>
      <c r="K293" s="8" t="n">
        <v>75</v>
      </c>
    </row>
    <row r="294">
      <c r="A294" s="8" t="inlineStr">
        <is>
          <t>PRD-0290</t>
        </is>
      </c>
      <c r="B294" s="8" t="inlineStr">
        <is>
          <t>ZenithLogix Laptops &amp; Desktop Model-549</t>
        </is>
      </c>
      <c r="C294" s="8" t="inlineStr">
        <is>
          <t>Technology</t>
        </is>
      </c>
      <c r="D294" s="8" t="inlineStr">
        <is>
          <t>Laptops &amp; Desktops</t>
        </is>
      </c>
      <c r="E294" s="8" t="inlineStr">
        <is>
          <t>ZenithLogix</t>
        </is>
      </c>
      <c r="F294" s="9" t="n">
        <v>275.48</v>
      </c>
      <c r="G294" s="9" t="n">
        <v>404.49</v>
      </c>
      <c r="H294" s="9">
        <f>G294-F294</f>
        <v/>
      </c>
      <c r="I294" s="11">
        <f>IFERROR(H294/G294, 0)</f>
        <v/>
      </c>
      <c r="J294" s="8">
        <f>IF(G294&gt;=400, "High-End", IF(G294&gt;=100, "Mid-Tier", "Economy"))</f>
        <v/>
      </c>
      <c r="K294" s="8" t="n">
        <v>20</v>
      </c>
    </row>
    <row r="295">
      <c r="A295" s="8" t="inlineStr">
        <is>
          <t>PRD-0291</t>
        </is>
      </c>
      <c r="B295" s="8" t="inlineStr">
        <is>
          <t>SafeKeep Storage &amp; Organization Model-747</t>
        </is>
      </c>
      <c r="C295" s="8" t="inlineStr">
        <is>
          <t>Office Supplies</t>
        </is>
      </c>
      <c r="D295" s="8" t="inlineStr">
        <is>
          <t>Storage &amp; Organization</t>
        </is>
      </c>
      <c r="E295" s="8" t="inlineStr">
        <is>
          <t>SafeKeep</t>
        </is>
      </c>
      <c r="F295" s="9" t="n">
        <v>32.41</v>
      </c>
      <c r="G295" s="9" t="n">
        <v>52.44</v>
      </c>
      <c r="H295" s="9">
        <f>G295-F295</f>
        <v/>
      </c>
      <c r="I295" s="11">
        <f>IFERROR(H295/G295, 0)</f>
        <v/>
      </c>
      <c r="J295" s="8">
        <f>IF(G295&gt;=400, "High-End", IF(G295&gt;=100, "Mid-Tier", "Economy"))</f>
        <v/>
      </c>
      <c r="K295" s="8" t="n">
        <v>100</v>
      </c>
    </row>
    <row r="296">
      <c r="A296" s="8" t="inlineStr">
        <is>
          <t>PRD-0292</t>
        </is>
      </c>
      <c r="B296" s="8" t="inlineStr">
        <is>
          <t>OptimaPrint Desk Accessorie Model-651</t>
        </is>
      </c>
      <c r="C296" s="8" t="inlineStr">
        <is>
          <t>Office Supplies</t>
        </is>
      </c>
      <c r="D296" s="8" t="inlineStr">
        <is>
          <t>Desk Accessories</t>
        </is>
      </c>
      <c r="E296" s="8" t="inlineStr">
        <is>
          <t>OptimaPrint</t>
        </is>
      </c>
      <c r="F296" s="9" t="n">
        <v>27.59</v>
      </c>
      <c r="G296" s="9" t="n">
        <v>44.76</v>
      </c>
      <c r="H296" s="9">
        <f>G296-F296</f>
        <v/>
      </c>
      <c r="I296" s="11">
        <f>IFERROR(H296/G296, 0)</f>
        <v/>
      </c>
      <c r="J296" s="8">
        <f>IF(G296&gt;=400, "High-End", IF(G296&gt;=100, "Mid-Tier", "Economy"))</f>
        <v/>
      </c>
      <c r="K296" s="8" t="n">
        <v>100</v>
      </c>
    </row>
    <row r="297">
      <c r="A297" s="8" t="inlineStr">
        <is>
          <t>PRD-0293</t>
        </is>
      </c>
      <c r="B297" s="8" t="inlineStr">
        <is>
          <t>ApexGear Corporate Apparel Model-238</t>
        </is>
      </c>
      <c r="C297" s="8" t="inlineStr">
        <is>
          <t>Apparel &amp; Gear</t>
        </is>
      </c>
      <c r="D297" s="8" t="inlineStr">
        <is>
          <t>Corporate Apparel</t>
        </is>
      </c>
      <c r="E297" s="8" t="inlineStr">
        <is>
          <t>ApexGear</t>
        </is>
      </c>
      <c r="F297" s="9" t="n">
        <v>138.19</v>
      </c>
      <c r="G297" s="9" t="n">
        <v>231.64</v>
      </c>
      <c r="H297" s="9">
        <f>G297-F297</f>
        <v/>
      </c>
      <c r="I297" s="11">
        <f>IFERROR(H297/G297, 0)</f>
        <v/>
      </c>
      <c r="J297" s="8">
        <f>IF(G297&gt;=400, "High-End", IF(G297&gt;=100, "Mid-Tier", "Economy"))</f>
        <v/>
      </c>
      <c r="K297" s="8" t="n">
        <v>20</v>
      </c>
    </row>
    <row r="298">
      <c r="A298" s="8" t="inlineStr">
        <is>
          <t>PRD-0294</t>
        </is>
      </c>
      <c r="B298" s="8" t="inlineStr">
        <is>
          <t>VanguardPro Corporate Apparel Model-828</t>
        </is>
      </c>
      <c r="C298" s="8" t="inlineStr">
        <is>
          <t>Apparel &amp; Gear</t>
        </is>
      </c>
      <c r="D298" s="8" t="inlineStr">
        <is>
          <t>Corporate Apparel</t>
        </is>
      </c>
      <c r="E298" s="8" t="inlineStr">
        <is>
          <t>VanguardPro</t>
        </is>
      </c>
      <c r="F298" s="9" t="n">
        <v>102.68</v>
      </c>
      <c r="G298" s="9" t="n">
        <v>159.21</v>
      </c>
      <c r="H298" s="9">
        <f>G298-F298</f>
        <v/>
      </c>
      <c r="I298" s="11">
        <f>IFERROR(H298/G298, 0)</f>
        <v/>
      </c>
      <c r="J298" s="8">
        <f>IF(G298&gt;=400, "High-End", IF(G298&gt;=100, "Mid-Tier", "Economy"))</f>
        <v/>
      </c>
      <c r="K298" s="8" t="n">
        <v>35</v>
      </c>
    </row>
    <row r="299">
      <c r="A299" s="8" t="inlineStr">
        <is>
          <t>PRD-0295</t>
        </is>
      </c>
      <c r="B299" s="8" t="inlineStr">
        <is>
          <t>AeroSonic Audio &amp; Headphone Model-562</t>
        </is>
      </c>
      <c r="C299" s="8" t="inlineStr">
        <is>
          <t>Technology</t>
        </is>
      </c>
      <c r="D299" s="8" t="inlineStr">
        <is>
          <t>Audio &amp; Headphones</t>
        </is>
      </c>
      <c r="E299" s="8" t="inlineStr">
        <is>
          <t>AeroSonic</t>
        </is>
      </c>
      <c r="F299" s="9" t="n">
        <v>613.65</v>
      </c>
      <c r="G299" s="9" t="n">
        <v>929.3099999999999</v>
      </c>
      <c r="H299" s="9">
        <f>G299-F299</f>
        <v/>
      </c>
      <c r="I299" s="11">
        <f>IFERROR(H299/G299, 0)</f>
        <v/>
      </c>
      <c r="J299" s="8">
        <f>IF(G299&gt;=400, "High-End", IF(G299&gt;=100, "Mid-Tier", "Economy"))</f>
        <v/>
      </c>
      <c r="K299" s="8" t="n">
        <v>75</v>
      </c>
    </row>
    <row r="300">
      <c r="A300" s="8" t="inlineStr">
        <is>
          <t>PRD-0296</t>
        </is>
      </c>
      <c r="B300" s="8" t="inlineStr">
        <is>
          <t>AccuBinder Storage &amp; Organization Model-599</t>
        </is>
      </c>
      <c r="C300" s="8" t="inlineStr">
        <is>
          <t>Office Supplies</t>
        </is>
      </c>
      <c r="D300" s="8" t="inlineStr">
        <is>
          <t>Storage &amp; Organization</t>
        </is>
      </c>
      <c r="E300" s="8" t="inlineStr">
        <is>
          <t>AccuBinder</t>
        </is>
      </c>
      <c r="F300" s="9" t="n">
        <v>32.64</v>
      </c>
      <c r="G300" s="9" t="n">
        <v>52.93</v>
      </c>
      <c r="H300" s="9">
        <f>G300-F300</f>
        <v/>
      </c>
      <c r="I300" s="11">
        <f>IFERROR(H300/G300, 0)</f>
        <v/>
      </c>
      <c r="J300" s="8">
        <f>IF(G300&gt;=400, "High-End", IF(G300&gt;=100, "Mid-Tier", "Economy"))</f>
        <v/>
      </c>
      <c r="K300" s="8" t="n">
        <v>75</v>
      </c>
    </row>
    <row r="301">
      <c r="A301" s="8" t="inlineStr">
        <is>
          <t>PRD-0297</t>
        </is>
      </c>
      <c r="B301" s="8" t="inlineStr">
        <is>
          <t>EcoPaper Storage &amp; Organization Model-914</t>
        </is>
      </c>
      <c r="C301" s="8" t="inlineStr">
        <is>
          <t>Office Supplies</t>
        </is>
      </c>
      <c r="D301" s="8" t="inlineStr">
        <is>
          <t>Storage &amp; Organization</t>
        </is>
      </c>
      <c r="E301" s="8" t="inlineStr">
        <is>
          <t>EcoPaper</t>
        </is>
      </c>
      <c r="F301" s="9" t="n">
        <v>30.21</v>
      </c>
      <c r="G301" s="9" t="n">
        <v>47.74</v>
      </c>
      <c r="H301" s="9">
        <f>G301-F301</f>
        <v/>
      </c>
      <c r="I301" s="11">
        <f>IFERROR(H301/G301, 0)</f>
        <v/>
      </c>
      <c r="J301" s="8">
        <f>IF(G301&gt;=400, "High-End", IF(G301&gt;=100, "Mid-Tier", "Economy"))</f>
        <v/>
      </c>
      <c r="K301" s="8" t="n">
        <v>20</v>
      </c>
    </row>
    <row r="302">
      <c r="A302" s="8" t="inlineStr">
        <is>
          <t>PRD-0298</t>
        </is>
      </c>
      <c r="B302" s="8" t="inlineStr">
        <is>
          <t>QuantumByte Printers &amp; Networking Model-233</t>
        </is>
      </c>
      <c r="C302" s="8" t="inlineStr">
        <is>
          <t>Technology</t>
        </is>
      </c>
      <c r="D302" s="8" t="inlineStr">
        <is>
          <t>Printers &amp; Networking</t>
        </is>
      </c>
      <c r="E302" s="8" t="inlineStr">
        <is>
          <t>QuantumByte</t>
        </is>
      </c>
      <c r="F302" s="9" t="n">
        <v>792.9299999999999</v>
      </c>
      <c r="G302" s="9" t="n">
        <v>1013.11</v>
      </c>
      <c r="H302" s="9">
        <f>G302-F302</f>
        <v/>
      </c>
      <c r="I302" s="11">
        <f>IFERROR(H302/G302, 0)</f>
        <v/>
      </c>
      <c r="J302" s="8">
        <f>IF(G302&gt;=400, "High-End", IF(G302&gt;=100, "Mid-Tier", "Economy"))</f>
        <v/>
      </c>
      <c r="K302" s="8" t="n">
        <v>100</v>
      </c>
    </row>
    <row r="303">
      <c r="A303" s="8" t="inlineStr">
        <is>
          <t>PRD-0299</t>
        </is>
      </c>
      <c r="B303" s="8" t="inlineStr">
        <is>
          <t>ApexTech Laptops &amp; Desktop Model-116</t>
        </is>
      </c>
      <c r="C303" s="8" t="inlineStr">
        <is>
          <t>Technology</t>
        </is>
      </c>
      <c r="D303" s="8" t="inlineStr">
        <is>
          <t>Laptops &amp; Desktops</t>
        </is>
      </c>
      <c r="E303" s="8" t="inlineStr">
        <is>
          <t>ApexTech</t>
        </is>
      </c>
      <c r="F303" s="9" t="n">
        <v>126.11</v>
      </c>
      <c r="G303" s="9" t="n">
        <v>182.9</v>
      </c>
      <c r="H303" s="9">
        <f>G303-F303</f>
        <v/>
      </c>
      <c r="I303" s="11">
        <f>IFERROR(H303/G303, 0)</f>
        <v/>
      </c>
      <c r="J303" s="8">
        <f>IF(G303&gt;=400, "High-End", IF(G303&gt;=100, "Mid-Tier", "Economy"))</f>
        <v/>
      </c>
      <c r="K303" s="8" t="n">
        <v>75</v>
      </c>
    </row>
    <row r="304">
      <c r="A304" s="8" t="inlineStr">
        <is>
          <t>PRD-0300</t>
        </is>
      </c>
      <c r="B304" s="8" t="inlineStr">
        <is>
          <t>SteelForm Standing Desk Model-409</t>
        </is>
      </c>
      <c r="C304" s="8" t="inlineStr">
        <is>
          <t>Furniture</t>
        </is>
      </c>
      <c r="D304" s="8" t="inlineStr">
        <is>
          <t>Standing Desks</t>
        </is>
      </c>
      <c r="E304" s="8" t="inlineStr">
        <is>
          <t>SteelForm</t>
        </is>
      </c>
      <c r="F304" s="9" t="n">
        <v>647.39</v>
      </c>
      <c r="G304" s="9" t="n">
        <v>1041.76</v>
      </c>
      <c r="H304" s="9">
        <f>G304-F304</f>
        <v/>
      </c>
      <c r="I304" s="11">
        <f>IFERROR(H304/G304, 0)</f>
        <v/>
      </c>
      <c r="J304" s="8">
        <f>IF(G304&gt;=400, "High-End", IF(G304&gt;=100, "Mid-Tier", "Economy"))</f>
        <v/>
      </c>
      <c r="K304" s="8" t="n">
        <v>150</v>
      </c>
    </row>
    <row r="305">
      <c r="A305" s="8" t="inlineStr">
        <is>
          <t>PRD-0301</t>
        </is>
      </c>
      <c r="B305" s="8" t="inlineStr">
        <is>
          <t>ApexTech Printers &amp; Networking Model-153</t>
        </is>
      </c>
      <c r="C305" s="8" t="inlineStr">
        <is>
          <t>Technology</t>
        </is>
      </c>
      <c r="D305" s="8" t="inlineStr">
        <is>
          <t>Printers &amp; Networking</t>
        </is>
      </c>
      <c r="E305" s="8" t="inlineStr">
        <is>
          <t>ApexTech</t>
        </is>
      </c>
      <c r="F305" s="9" t="n">
        <v>375.24</v>
      </c>
      <c r="G305" s="9" t="n">
        <v>528.29</v>
      </c>
      <c r="H305" s="9">
        <f>G305-F305</f>
        <v/>
      </c>
      <c r="I305" s="11">
        <f>IFERROR(H305/G305, 0)</f>
        <v/>
      </c>
      <c r="J305" s="8">
        <f>IF(G305&gt;=400, "High-End", IF(G305&gt;=100, "Mid-Tier", "Economy"))</f>
        <v/>
      </c>
      <c r="K305" s="8" t="n">
        <v>35</v>
      </c>
    </row>
    <row r="306">
      <c r="A306" s="8" t="inlineStr">
        <is>
          <t>PRD-0302</t>
        </is>
      </c>
      <c r="B306" s="8" t="inlineStr">
        <is>
          <t>OptimaPrint Pens, Inks &amp; Marker Model-179</t>
        </is>
      </c>
      <c r="C306" s="8" t="inlineStr">
        <is>
          <t>Office Supplies</t>
        </is>
      </c>
      <c r="D306" s="8" t="inlineStr">
        <is>
          <t>Pens, Inks &amp; Markers</t>
        </is>
      </c>
      <c r="E306" s="8" t="inlineStr">
        <is>
          <t>OptimaPrint</t>
        </is>
      </c>
      <c r="F306" s="9" t="n">
        <v>33</v>
      </c>
      <c r="G306" s="9" t="n">
        <v>51.82</v>
      </c>
      <c r="H306" s="9">
        <f>G306-F306</f>
        <v/>
      </c>
      <c r="I306" s="11">
        <f>IFERROR(H306/G306, 0)</f>
        <v/>
      </c>
      <c r="J306" s="8">
        <f>IF(G306&gt;=400, "High-End", IF(G306&gt;=100, "Mid-Tier", "Economy"))</f>
        <v/>
      </c>
      <c r="K306" s="8" t="n">
        <v>75</v>
      </c>
    </row>
    <row r="307">
      <c r="A307" s="8" t="inlineStr">
        <is>
          <t>PRD-0303</t>
        </is>
      </c>
      <c r="B307" s="8" t="inlineStr">
        <is>
          <t>AccuBinder Storage &amp; Organization Model-810</t>
        </is>
      </c>
      <c r="C307" s="8" t="inlineStr">
        <is>
          <t>Office Supplies</t>
        </is>
      </c>
      <c r="D307" s="8" t="inlineStr">
        <is>
          <t>Storage &amp; Organization</t>
        </is>
      </c>
      <c r="E307" s="8" t="inlineStr">
        <is>
          <t>AccuBinder</t>
        </is>
      </c>
      <c r="F307" s="9" t="n">
        <v>37.59</v>
      </c>
      <c r="G307" s="9" t="n">
        <v>61.92</v>
      </c>
      <c r="H307" s="9">
        <f>G307-F307</f>
        <v/>
      </c>
      <c r="I307" s="11">
        <f>IFERROR(H307/G307, 0)</f>
        <v/>
      </c>
      <c r="J307" s="8">
        <f>IF(G307&gt;=400, "High-End", IF(G307&gt;=100, "Mid-Tier", "Economy"))</f>
        <v/>
      </c>
      <c r="K307" s="8" t="n">
        <v>75</v>
      </c>
    </row>
    <row r="308">
      <c r="A308" s="8" t="inlineStr">
        <is>
          <t>PRD-0304</t>
        </is>
      </c>
      <c r="B308" s="8" t="inlineStr">
        <is>
          <t>ApexTech Smartphones &amp; Accessorie Model-491</t>
        </is>
      </c>
      <c r="C308" s="8" t="inlineStr">
        <is>
          <t>Technology</t>
        </is>
      </c>
      <c r="D308" s="8" t="inlineStr">
        <is>
          <t>Smartphones &amp; Accessories</t>
        </is>
      </c>
      <c r="E308" s="8" t="inlineStr">
        <is>
          <t>ApexTech</t>
        </is>
      </c>
      <c r="F308" s="9" t="n">
        <v>321.72</v>
      </c>
      <c r="G308" s="9" t="n">
        <v>489.86</v>
      </c>
      <c r="H308" s="9">
        <f>G308-F308</f>
        <v/>
      </c>
      <c r="I308" s="11">
        <f>IFERROR(H308/G308, 0)</f>
        <v/>
      </c>
      <c r="J308" s="8">
        <f>IF(G308&gt;=400, "High-End", IF(G308&gt;=100, "Mid-Tier", "Economy"))</f>
        <v/>
      </c>
      <c r="K308" s="8" t="n">
        <v>35</v>
      </c>
    </row>
    <row r="309">
      <c r="A309" s="8" t="inlineStr">
        <is>
          <t>PRD-0305</t>
        </is>
      </c>
      <c r="B309" s="8" t="inlineStr">
        <is>
          <t>ApexTech Audio &amp; Headphone Model-268</t>
        </is>
      </c>
      <c r="C309" s="8" t="inlineStr">
        <is>
          <t>Technology</t>
        </is>
      </c>
      <c r="D309" s="8" t="inlineStr">
        <is>
          <t>Audio &amp; Headphones</t>
        </is>
      </c>
      <c r="E309" s="8" t="inlineStr">
        <is>
          <t>ApexTech</t>
        </is>
      </c>
      <c r="F309" s="9" t="n">
        <v>520.42</v>
      </c>
      <c r="G309" s="9" t="n">
        <v>713.99</v>
      </c>
      <c r="H309" s="9">
        <f>G309-F309</f>
        <v/>
      </c>
      <c r="I309" s="11">
        <f>IFERROR(H309/G309, 0)</f>
        <v/>
      </c>
      <c r="J309" s="8">
        <f>IF(G309&gt;=400, "High-End", IF(G309&gt;=100, "Mid-Tier", "Economy"))</f>
        <v/>
      </c>
      <c r="K309" s="8" t="n">
        <v>150</v>
      </c>
    </row>
    <row r="310">
      <c r="A310" s="8" t="inlineStr">
        <is>
          <t>PRD-0306</t>
        </is>
      </c>
      <c r="B310" s="8" t="inlineStr">
        <is>
          <t>Kinetix Standing Desk Model-202</t>
        </is>
      </c>
      <c r="C310" s="8" t="inlineStr">
        <is>
          <t>Furniture</t>
        </is>
      </c>
      <c r="D310" s="8" t="inlineStr">
        <is>
          <t>Standing Desks</t>
        </is>
      </c>
      <c r="E310" s="8" t="inlineStr">
        <is>
          <t>Kinetix</t>
        </is>
      </c>
      <c r="F310" s="9" t="n">
        <v>460.37</v>
      </c>
      <c r="G310" s="9" t="n">
        <v>735.58</v>
      </c>
      <c r="H310" s="9">
        <f>G310-F310</f>
        <v/>
      </c>
      <c r="I310" s="11">
        <f>IFERROR(H310/G310, 0)</f>
        <v/>
      </c>
      <c r="J310" s="8">
        <f>IF(G310&gt;=400, "High-End", IF(G310&gt;=100, "Mid-Tier", "Economy"))</f>
        <v/>
      </c>
      <c r="K310" s="8" t="n">
        <v>20</v>
      </c>
    </row>
    <row r="311">
      <c r="A311" s="8" t="inlineStr">
        <is>
          <t>PRD-0307</t>
        </is>
      </c>
      <c r="B311" s="8" t="inlineStr">
        <is>
          <t>NordicCraft Standing Desk Model-186</t>
        </is>
      </c>
      <c r="C311" s="8" t="inlineStr">
        <is>
          <t>Furniture</t>
        </is>
      </c>
      <c r="D311" s="8" t="inlineStr">
        <is>
          <t>Standing Desks</t>
        </is>
      </c>
      <c r="E311" s="8" t="inlineStr">
        <is>
          <t>NordicCraft</t>
        </is>
      </c>
      <c r="F311" s="9" t="n">
        <v>523.6</v>
      </c>
      <c r="G311" s="9" t="n">
        <v>762.88</v>
      </c>
      <c r="H311" s="9">
        <f>G311-F311</f>
        <v/>
      </c>
      <c r="I311" s="11">
        <f>IFERROR(H311/G311, 0)</f>
        <v/>
      </c>
      <c r="J311" s="8">
        <f>IF(G311&gt;=400, "High-End", IF(G311&gt;=100, "Mid-Tier", "Economy"))</f>
        <v/>
      </c>
      <c r="K311" s="8" t="n">
        <v>150</v>
      </c>
    </row>
    <row r="312">
      <c r="A312" s="8" t="inlineStr">
        <is>
          <t>PRD-0308</t>
        </is>
      </c>
      <c r="B312" s="8" t="inlineStr">
        <is>
          <t>OptimaPrint Storage &amp; Organization Model-310</t>
        </is>
      </c>
      <c r="C312" s="8" t="inlineStr">
        <is>
          <t>Office Supplies</t>
        </is>
      </c>
      <c r="D312" s="8" t="inlineStr">
        <is>
          <t>Storage &amp; Organization</t>
        </is>
      </c>
      <c r="E312" s="8" t="inlineStr">
        <is>
          <t>OptimaPrint</t>
        </is>
      </c>
      <c r="F312" s="9" t="n">
        <v>38.84</v>
      </c>
      <c r="G312" s="9" t="n">
        <v>61.03</v>
      </c>
      <c r="H312" s="9">
        <f>G312-F312</f>
        <v/>
      </c>
      <c r="I312" s="11">
        <f>IFERROR(H312/G312, 0)</f>
        <v/>
      </c>
      <c r="J312" s="8">
        <f>IF(G312&gt;=400, "High-End", IF(G312&gt;=100, "Mid-Tier", "Economy"))</f>
        <v/>
      </c>
      <c r="K312" s="8" t="n">
        <v>50</v>
      </c>
    </row>
    <row r="313">
      <c r="A313" s="8" t="inlineStr">
        <is>
          <t>PRD-0309</t>
        </is>
      </c>
      <c r="B313" s="8" t="inlineStr">
        <is>
          <t>Novacore Laptops &amp; Desktop Model-753</t>
        </is>
      </c>
      <c r="C313" s="8" t="inlineStr">
        <is>
          <t>Technology</t>
        </is>
      </c>
      <c r="D313" s="8" t="inlineStr">
        <is>
          <t>Laptops &amp; Desktops</t>
        </is>
      </c>
      <c r="E313" s="8" t="inlineStr">
        <is>
          <t>Novacore</t>
        </is>
      </c>
      <c r="F313" s="9" t="n">
        <v>487.82</v>
      </c>
      <c r="G313" s="9" t="n">
        <v>632.1799999999999</v>
      </c>
      <c r="H313" s="9">
        <f>G313-F313</f>
        <v/>
      </c>
      <c r="I313" s="11">
        <f>IFERROR(H313/G313, 0)</f>
        <v/>
      </c>
      <c r="J313" s="8">
        <f>IF(G313&gt;=400, "High-End", IF(G313&gt;=100, "Mid-Tier", "Economy"))</f>
        <v/>
      </c>
      <c r="K313" s="8" t="n">
        <v>75</v>
      </c>
    </row>
    <row r="314">
      <c r="A314" s="8" t="inlineStr">
        <is>
          <t>PRD-0310</t>
        </is>
      </c>
      <c r="B314" s="8" t="inlineStr">
        <is>
          <t>AeroWeave Backpacks &amp; Laptop Bag Model-530</t>
        </is>
      </c>
      <c r="C314" s="8" t="inlineStr">
        <is>
          <t>Apparel &amp; Gear</t>
        </is>
      </c>
      <c r="D314" s="8" t="inlineStr">
        <is>
          <t>Backpacks &amp; Laptop Bags</t>
        </is>
      </c>
      <c r="E314" s="8" t="inlineStr">
        <is>
          <t>AeroWeave</t>
        </is>
      </c>
      <c r="F314" s="9" t="n">
        <v>31.5</v>
      </c>
      <c r="G314" s="9" t="n">
        <v>51.6</v>
      </c>
      <c r="H314" s="9">
        <f>G314-F314</f>
        <v/>
      </c>
      <c r="I314" s="11">
        <f>IFERROR(H314/G314, 0)</f>
        <v/>
      </c>
      <c r="J314" s="8">
        <f>IF(G314&gt;=400, "High-End", IF(G314&gt;=100, "Mid-Tier", "Economy"))</f>
        <v/>
      </c>
      <c r="K314" s="8" t="n">
        <v>100</v>
      </c>
    </row>
    <row r="315">
      <c r="A315" s="8" t="inlineStr">
        <is>
          <t>PRD-0311</t>
        </is>
      </c>
      <c r="B315" s="8" t="inlineStr">
        <is>
          <t>OptimaPrint Desk Accessorie Model-320</t>
        </is>
      </c>
      <c r="C315" s="8" t="inlineStr">
        <is>
          <t>Office Supplies</t>
        </is>
      </c>
      <c r="D315" s="8" t="inlineStr">
        <is>
          <t>Desk Accessories</t>
        </is>
      </c>
      <c r="E315" s="8" t="inlineStr">
        <is>
          <t>OptimaPrint</t>
        </is>
      </c>
      <c r="F315" s="9" t="n">
        <v>5.18</v>
      </c>
      <c r="G315" s="9" t="n">
        <v>7.85</v>
      </c>
      <c r="H315" s="9">
        <f>G315-F315</f>
        <v/>
      </c>
      <c r="I315" s="11">
        <f>IFERROR(H315/G315, 0)</f>
        <v/>
      </c>
      <c r="J315" s="8">
        <f>IF(G315&gt;=400, "High-End", IF(G315&gt;=100, "Mid-Tier", "Economy"))</f>
        <v/>
      </c>
      <c r="K315" s="8" t="n">
        <v>50</v>
      </c>
    </row>
    <row r="316">
      <c r="A316" s="8" t="inlineStr">
        <is>
          <t>PRD-0312</t>
        </is>
      </c>
      <c r="B316" s="8" t="inlineStr">
        <is>
          <t>SafeKeep Pens, Inks &amp; Marker Model-184</t>
        </is>
      </c>
      <c r="C316" s="8" t="inlineStr">
        <is>
          <t>Office Supplies</t>
        </is>
      </c>
      <c r="D316" s="8" t="inlineStr">
        <is>
          <t>Pens, Inks &amp; Markers</t>
        </is>
      </c>
      <c r="E316" s="8" t="inlineStr">
        <is>
          <t>SafeKeep</t>
        </is>
      </c>
      <c r="F316" s="9" t="n">
        <v>35.57</v>
      </c>
      <c r="G316" s="9" t="n">
        <v>59.31</v>
      </c>
      <c r="H316" s="9">
        <f>G316-F316</f>
        <v/>
      </c>
      <c r="I316" s="11">
        <f>IFERROR(H316/G316, 0)</f>
        <v/>
      </c>
      <c r="J316" s="8">
        <f>IF(G316&gt;=400, "High-End", IF(G316&gt;=100, "Mid-Tier", "Economy"))</f>
        <v/>
      </c>
      <c r="K316" s="8" t="n">
        <v>75</v>
      </c>
    </row>
    <row r="317">
      <c r="A317" s="8" t="inlineStr">
        <is>
          <t>PRD-0313</t>
        </is>
      </c>
      <c r="B317" s="8" t="inlineStr">
        <is>
          <t>AeroSonic Smartphones &amp; Accessorie Model-649</t>
        </is>
      </c>
      <c r="C317" s="8" t="inlineStr">
        <is>
          <t>Technology</t>
        </is>
      </c>
      <c r="D317" s="8" t="inlineStr">
        <is>
          <t>Smartphones &amp; Accessories</t>
        </is>
      </c>
      <c r="E317" s="8" t="inlineStr">
        <is>
          <t>AeroSonic</t>
        </is>
      </c>
      <c r="F317" s="9" t="n">
        <v>877.65</v>
      </c>
      <c r="G317" s="9" t="n">
        <v>1355.17</v>
      </c>
      <c r="H317" s="9">
        <f>G317-F317</f>
        <v/>
      </c>
      <c r="I317" s="11">
        <f>IFERROR(H317/G317, 0)</f>
        <v/>
      </c>
      <c r="J317" s="8">
        <f>IF(G317&gt;=400, "High-End", IF(G317&gt;=100, "Mid-Tier", "Economy"))</f>
        <v/>
      </c>
      <c r="K317" s="8" t="n">
        <v>35</v>
      </c>
    </row>
    <row r="318">
      <c r="A318" s="8" t="inlineStr">
        <is>
          <t>PRD-0314</t>
        </is>
      </c>
      <c r="B318" s="8" t="inlineStr">
        <is>
          <t>OptimaPrint Pens, Inks &amp; Marker Model-159</t>
        </is>
      </c>
      <c r="C318" s="8" t="inlineStr">
        <is>
          <t>Office Supplies</t>
        </is>
      </c>
      <c r="D318" s="8" t="inlineStr">
        <is>
          <t>Pens, Inks &amp; Markers</t>
        </is>
      </c>
      <c r="E318" s="8" t="inlineStr">
        <is>
          <t>OptimaPrint</t>
        </is>
      </c>
      <c r="F318" s="9" t="n">
        <v>17.06</v>
      </c>
      <c r="G318" s="9" t="n">
        <v>28.5</v>
      </c>
      <c r="H318" s="9">
        <f>G318-F318</f>
        <v/>
      </c>
      <c r="I318" s="11">
        <f>IFERROR(H318/G318, 0)</f>
        <v/>
      </c>
      <c r="J318" s="8">
        <f>IF(G318&gt;=400, "High-End", IF(G318&gt;=100, "Mid-Tier", "Economy"))</f>
        <v/>
      </c>
      <c r="K318" s="8" t="n">
        <v>35</v>
      </c>
    </row>
    <row r="319">
      <c r="A319" s="8" t="inlineStr">
        <is>
          <t>PRD-0315</t>
        </is>
      </c>
      <c r="B319" s="8" t="inlineStr">
        <is>
          <t>QuantumByte Laptops &amp; Desktop Model-222</t>
        </is>
      </c>
      <c r="C319" s="8" t="inlineStr">
        <is>
          <t>Technology</t>
        </is>
      </c>
      <c r="D319" s="8" t="inlineStr">
        <is>
          <t>Laptops &amp; Desktops</t>
        </is>
      </c>
      <c r="E319" s="8" t="inlineStr">
        <is>
          <t>QuantumByte</t>
        </is>
      </c>
      <c r="F319" s="9" t="n">
        <v>644.46</v>
      </c>
      <c r="G319" s="9" t="n">
        <v>916</v>
      </c>
      <c r="H319" s="9">
        <f>G319-F319</f>
        <v/>
      </c>
      <c r="I319" s="11">
        <f>IFERROR(H319/G319, 0)</f>
        <v/>
      </c>
      <c r="J319" s="8">
        <f>IF(G319&gt;=400, "High-End", IF(G319&gt;=100, "Mid-Tier", "Economy"))</f>
        <v/>
      </c>
      <c r="K319" s="8" t="n">
        <v>35</v>
      </c>
    </row>
    <row r="320">
      <c r="A320" s="8" t="inlineStr">
        <is>
          <t>PRD-0316</t>
        </is>
      </c>
      <c r="B320" s="8" t="inlineStr">
        <is>
          <t>Kinetix Office Chair Model-270</t>
        </is>
      </c>
      <c r="C320" s="8" t="inlineStr">
        <is>
          <t>Furniture</t>
        </is>
      </c>
      <c r="D320" s="8" t="inlineStr">
        <is>
          <t>Office Chairs</t>
        </is>
      </c>
      <c r="E320" s="8" t="inlineStr">
        <is>
          <t>Kinetix</t>
        </is>
      </c>
      <c r="F320" s="9" t="n">
        <v>357.92</v>
      </c>
      <c r="G320" s="9" t="n">
        <v>575.96</v>
      </c>
      <c r="H320" s="9">
        <f>G320-F320</f>
        <v/>
      </c>
      <c r="I320" s="11">
        <f>IFERROR(H320/G320, 0)</f>
        <v/>
      </c>
      <c r="J320" s="8">
        <f>IF(G320&gt;=400, "High-End", IF(G320&gt;=100, "Mid-Tier", "Economy"))</f>
        <v/>
      </c>
      <c r="K320" s="8" t="n">
        <v>50</v>
      </c>
    </row>
    <row r="321">
      <c r="A321" s="8" t="inlineStr">
        <is>
          <t>PRD-0317</t>
        </is>
      </c>
      <c r="B321" s="8" t="inlineStr">
        <is>
          <t>ApexTech Smartphones &amp; Accessorie Model-165</t>
        </is>
      </c>
      <c r="C321" s="8" t="inlineStr">
        <is>
          <t>Technology</t>
        </is>
      </c>
      <c r="D321" s="8" t="inlineStr">
        <is>
          <t>Smartphones &amp; Accessories</t>
        </is>
      </c>
      <c r="E321" s="8" t="inlineStr">
        <is>
          <t>ApexTech</t>
        </is>
      </c>
      <c r="F321" s="9" t="n">
        <v>341.54</v>
      </c>
      <c r="G321" s="9" t="n">
        <v>484.56</v>
      </c>
      <c r="H321" s="9">
        <f>G321-F321</f>
        <v/>
      </c>
      <c r="I321" s="11">
        <f>IFERROR(H321/G321, 0)</f>
        <v/>
      </c>
      <c r="J321" s="8">
        <f>IF(G321&gt;=400, "High-End", IF(G321&gt;=100, "Mid-Tier", "Economy"))</f>
        <v/>
      </c>
      <c r="K321" s="8" t="n">
        <v>100</v>
      </c>
    </row>
    <row r="322">
      <c r="A322" s="8" t="inlineStr">
        <is>
          <t>PRD-0318</t>
        </is>
      </c>
      <c r="B322" s="8" t="inlineStr">
        <is>
          <t>NordicCraft Conference Table Model-476</t>
        </is>
      </c>
      <c r="C322" s="8" t="inlineStr">
        <is>
          <t>Furniture</t>
        </is>
      </c>
      <c r="D322" s="8" t="inlineStr">
        <is>
          <t>Conference Tables</t>
        </is>
      </c>
      <c r="E322" s="8" t="inlineStr">
        <is>
          <t>NordicCraft</t>
        </is>
      </c>
      <c r="F322" s="9" t="n">
        <v>78.54000000000001</v>
      </c>
      <c r="G322" s="9" t="n">
        <v>130.98</v>
      </c>
      <c r="H322" s="9">
        <f>G322-F322</f>
        <v/>
      </c>
      <c r="I322" s="11">
        <f>IFERROR(H322/G322, 0)</f>
        <v/>
      </c>
      <c r="J322" s="8">
        <f>IF(G322&gt;=400, "High-End", IF(G322&gt;=100, "Mid-Tier", "Economy"))</f>
        <v/>
      </c>
      <c r="K322" s="8" t="n">
        <v>35</v>
      </c>
    </row>
    <row r="323">
      <c r="A323" s="8" t="inlineStr">
        <is>
          <t>PRD-0319</t>
        </is>
      </c>
      <c r="B323" s="8" t="inlineStr">
        <is>
          <t>Novacore Smartphones &amp; Accessorie Model-350</t>
        </is>
      </c>
      <c r="C323" s="8" t="inlineStr">
        <is>
          <t>Technology</t>
        </is>
      </c>
      <c r="D323" s="8" t="inlineStr">
        <is>
          <t>Smartphones &amp; Accessories</t>
        </is>
      </c>
      <c r="E323" s="8" t="inlineStr">
        <is>
          <t>Novacore</t>
        </is>
      </c>
      <c r="F323" s="9" t="n">
        <v>712.8099999999999</v>
      </c>
      <c r="G323" s="9" t="n">
        <v>941.33</v>
      </c>
      <c r="H323" s="9">
        <f>G323-F323</f>
        <v/>
      </c>
      <c r="I323" s="11">
        <f>IFERROR(H323/G323, 0)</f>
        <v/>
      </c>
      <c r="J323" s="8">
        <f>IF(G323&gt;=400, "High-End", IF(G323&gt;=100, "Mid-Tier", "Economy"))</f>
        <v/>
      </c>
      <c r="K323" s="8" t="n">
        <v>20</v>
      </c>
    </row>
    <row r="324">
      <c r="A324" s="8" t="inlineStr">
        <is>
          <t>PRD-0320</t>
        </is>
      </c>
      <c r="B324" s="8" t="inlineStr">
        <is>
          <t>UrbanShield Corporate Apparel Model-771</t>
        </is>
      </c>
      <c r="C324" s="8" t="inlineStr">
        <is>
          <t>Apparel &amp; Gear</t>
        </is>
      </c>
      <c r="D324" s="8" t="inlineStr">
        <is>
          <t>Corporate Apparel</t>
        </is>
      </c>
      <c r="E324" s="8" t="inlineStr">
        <is>
          <t>UrbanShield</t>
        </is>
      </c>
      <c r="F324" s="9" t="n">
        <v>84.11</v>
      </c>
      <c r="G324" s="9" t="n">
        <v>145.53</v>
      </c>
      <c r="H324" s="9">
        <f>G324-F324</f>
        <v/>
      </c>
      <c r="I324" s="11">
        <f>IFERROR(H324/G324, 0)</f>
        <v/>
      </c>
      <c r="J324" s="8">
        <f>IF(G324&gt;=400, "High-End", IF(G324&gt;=100, "Mid-Tier", "Economy"))</f>
        <v/>
      </c>
      <c r="K324" s="8" t="n">
        <v>150</v>
      </c>
    </row>
    <row r="325">
      <c r="A325" s="8" t="inlineStr">
        <is>
          <t>PRD-0321</t>
        </is>
      </c>
      <c r="B325" s="8" t="inlineStr">
        <is>
          <t>ApexTech Printers &amp; Networking Model-153</t>
        </is>
      </c>
      <c r="C325" s="8" t="inlineStr">
        <is>
          <t>Technology</t>
        </is>
      </c>
      <c r="D325" s="8" t="inlineStr">
        <is>
          <t>Printers &amp; Networking</t>
        </is>
      </c>
      <c r="E325" s="8" t="inlineStr">
        <is>
          <t>ApexTech</t>
        </is>
      </c>
      <c r="F325" s="9" t="n">
        <v>557.96</v>
      </c>
      <c r="G325" s="9" t="n">
        <v>684.87</v>
      </c>
      <c r="H325" s="9">
        <f>G325-F325</f>
        <v/>
      </c>
      <c r="I325" s="11">
        <f>IFERROR(H325/G325, 0)</f>
        <v/>
      </c>
      <c r="J325" s="8">
        <f>IF(G325&gt;=400, "High-End", IF(G325&gt;=100, "Mid-Tier", "Economy"))</f>
        <v/>
      </c>
      <c r="K325" s="8" t="n">
        <v>150</v>
      </c>
    </row>
    <row r="326">
      <c r="A326" s="8" t="inlineStr">
        <is>
          <t>PRD-0322</t>
        </is>
      </c>
      <c r="B326" s="8" t="inlineStr">
        <is>
          <t>ZenithLogix Smartphones &amp; Accessorie Model-435</t>
        </is>
      </c>
      <c r="C326" s="8" t="inlineStr">
        <is>
          <t>Technology</t>
        </is>
      </c>
      <c r="D326" s="8" t="inlineStr">
        <is>
          <t>Smartphones &amp; Accessories</t>
        </is>
      </c>
      <c r="E326" s="8" t="inlineStr">
        <is>
          <t>ZenithLogix</t>
        </is>
      </c>
      <c r="F326" s="9" t="n">
        <v>827.42</v>
      </c>
      <c r="G326" s="9" t="n">
        <v>1239.4</v>
      </c>
      <c r="H326" s="9">
        <f>G326-F326</f>
        <v/>
      </c>
      <c r="I326" s="11">
        <f>IFERROR(H326/G326, 0)</f>
        <v/>
      </c>
      <c r="J326" s="8">
        <f>IF(G326&gt;=400, "High-End", IF(G326&gt;=100, "Mid-Tier", "Economy"))</f>
        <v/>
      </c>
      <c r="K326" s="8" t="n">
        <v>50</v>
      </c>
    </row>
    <row r="327">
      <c r="A327" s="8" t="inlineStr">
        <is>
          <t>PRD-0323</t>
        </is>
      </c>
      <c r="B327" s="8" t="inlineStr">
        <is>
          <t>AccuBinder Desk Accessorie Model-705</t>
        </is>
      </c>
      <c r="C327" s="8" t="inlineStr">
        <is>
          <t>Office Supplies</t>
        </is>
      </c>
      <c r="D327" s="8" t="inlineStr">
        <is>
          <t>Desk Accessories</t>
        </is>
      </c>
      <c r="E327" s="8" t="inlineStr">
        <is>
          <t>AccuBinder</t>
        </is>
      </c>
      <c r="F327" s="9" t="n">
        <v>34.45</v>
      </c>
      <c r="G327" s="9" t="n">
        <v>53.6</v>
      </c>
      <c r="H327" s="9">
        <f>G327-F327</f>
        <v/>
      </c>
      <c r="I327" s="11">
        <f>IFERROR(H327/G327, 0)</f>
        <v/>
      </c>
      <c r="J327" s="8">
        <f>IF(G327&gt;=400, "High-End", IF(G327&gt;=100, "Mid-Tier", "Economy"))</f>
        <v/>
      </c>
      <c r="K327" s="8" t="n">
        <v>50</v>
      </c>
    </row>
    <row r="328">
      <c r="A328" s="8" t="inlineStr">
        <is>
          <t>PRD-0324</t>
        </is>
      </c>
      <c r="B328" s="8" t="inlineStr">
        <is>
          <t>SteelForm Conference Table Model-338</t>
        </is>
      </c>
      <c r="C328" s="8" t="inlineStr">
        <is>
          <t>Furniture</t>
        </is>
      </c>
      <c r="D328" s="8" t="inlineStr">
        <is>
          <t>Conference Tables</t>
        </is>
      </c>
      <c r="E328" s="8" t="inlineStr">
        <is>
          <t>SteelForm</t>
        </is>
      </c>
      <c r="F328" s="9" t="n">
        <v>136.09</v>
      </c>
      <c r="G328" s="9" t="n">
        <v>229.24</v>
      </c>
      <c r="H328" s="9">
        <f>G328-F328</f>
        <v/>
      </c>
      <c r="I328" s="11">
        <f>IFERROR(H328/G328, 0)</f>
        <v/>
      </c>
      <c r="J328" s="8">
        <f>IF(G328&gt;=400, "High-End", IF(G328&gt;=100, "Mid-Tier", "Economy"))</f>
        <v/>
      </c>
      <c r="K328" s="8" t="n">
        <v>20</v>
      </c>
    </row>
    <row r="329">
      <c r="A329" s="8" t="inlineStr">
        <is>
          <t>PRD-0325</t>
        </is>
      </c>
      <c r="B329" s="8" t="inlineStr">
        <is>
          <t>ErgoComfort Office Chair Model-844</t>
        </is>
      </c>
      <c r="C329" s="8" t="inlineStr">
        <is>
          <t>Furniture</t>
        </is>
      </c>
      <c r="D329" s="8" t="inlineStr">
        <is>
          <t>Office Chairs</t>
        </is>
      </c>
      <c r="E329" s="8" t="inlineStr">
        <is>
          <t>ErgoComfort</t>
        </is>
      </c>
      <c r="F329" s="9" t="n">
        <v>504.15</v>
      </c>
      <c r="G329" s="9" t="n">
        <v>759.52</v>
      </c>
      <c r="H329" s="9">
        <f>G329-F329</f>
        <v/>
      </c>
      <c r="I329" s="11">
        <f>IFERROR(H329/G329, 0)</f>
        <v/>
      </c>
      <c r="J329" s="8">
        <f>IF(G329&gt;=400, "High-End", IF(G329&gt;=100, "Mid-Tier", "Economy"))</f>
        <v/>
      </c>
      <c r="K329" s="8" t="n">
        <v>150</v>
      </c>
    </row>
    <row r="330">
      <c r="A330" s="8" t="inlineStr">
        <is>
          <t>PRD-0326</t>
        </is>
      </c>
      <c r="B330" s="8" t="inlineStr">
        <is>
          <t>Novacore Laptops &amp; Desktop Model-965</t>
        </is>
      </c>
      <c r="C330" s="8" t="inlineStr">
        <is>
          <t>Technology</t>
        </is>
      </c>
      <c r="D330" s="8" t="inlineStr">
        <is>
          <t>Laptops &amp; Desktops</t>
        </is>
      </c>
      <c r="E330" s="8" t="inlineStr">
        <is>
          <t>Novacore</t>
        </is>
      </c>
      <c r="F330" s="9" t="n">
        <v>686.16</v>
      </c>
      <c r="G330" s="9" t="n">
        <v>886.1</v>
      </c>
      <c r="H330" s="9">
        <f>G330-F330</f>
        <v/>
      </c>
      <c r="I330" s="11">
        <f>IFERROR(H330/G330, 0)</f>
        <v/>
      </c>
      <c r="J330" s="8">
        <f>IF(G330&gt;=400, "High-End", IF(G330&gt;=100, "Mid-Tier", "Economy"))</f>
        <v/>
      </c>
      <c r="K330" s="8" t="n">
        <v>35</v>
      </c>
    </row>
    <row r="331">
      <c r="A331" s="8" t="inlineStr">
        <is>
          <t>PRD-0327</t>
        </is>
      </c>
      <c r="B331" s="8" t="inlineStr">
        <is>
          <t>AeroSonic Smartphones &amp; Accessorie Model-176</t>
        </is>
      </c>
      <c r="C331" s="8" t="inlineStr">
        <is>
          <t>Technology</t>
        </is>
      </c>
      <c r="D331" s="8" t="inlineStr">
        <is>
          <t>Smartphones &amp; Accessories</t>
        </is>
      </c>
      <c r="E331" s="8" t="inlineStr">
        <is>
          <t>AeroSonic</t>
        </is>
      </c>
      <c r="F331" s="9" t="n">
        <v>122.45</v>
      </c>
      <c r="G331" s="9" t="n">
        <v>165.39</v>
      </c>
      <c r="H331" s="9">
        <f>G331-F331</f>
        <v/>
      </c>
      <c r="I331" s="11">
        <f>IFERROR(H331/G331, 0)</f>
        <v/>
      </c>
      <c r="J331" s="8">
        <f>IF(G331&gt;=400, "High-End", IF(G331&gt;=100, "Mid-Tier", "Economy"))</f>
        <v/>
      </c>
      <c r="K331" s="8" t="n">
        <v>75</v>
      </c>
    </row>
    <row r="332">
      <c r="A332" s="8" t="inlineStr">
        <is>
          <t>PRD-0328</t>
        </is>
      </c>
      <c r="B332" s="8" t="inlineStr">
        <is>
          <t>QuantumByte Printers &amp; Networking Model-817</t>
        </is>
      </c>
      <c r="C332" s="8" t="inlineStr">
        <is>
          <t>Technology</t>
        </is>
      </c>
      <c r="D332" s="8" t="inlineStr">
        <is>
          <t>Printers &amp; Networking</t>
        </is>
      </c>
      <c r="E332" s="8" t="inlineStr">
        <is>
          <t>QuantumByte</t>
        </is>
      </c>
      <c r="F332" s="9" t="n">
        <v>813.59</v>
      </c>
      <c r="G332" s="9" t="n">
        <v>1149.59</v>
      </c>
      <c r="H332" s="9">
        <f>G332-F332</f>
        <v/>
      </c>
      <c r="I332" s="11">
        <f>IFERROR(H332/G332, 0)</f>
        <v/>
      </c>
      <c r="J332" s="8">
        <f>IF(G332&gt;=400, "High-End", IF(G332&gt;=100, "Mid-Tier", "Economy"))</f>
        <v/>
      </c>
      <c r="K332" s="8" t="n">
        <v>75</v>
      </c>
    </row>
    <row r="333">
      <c r="A333" s="8" t="inlineStr">
        <is>
          <t>PRD-0329</t>
        </is>
      </c>
      <c r="B333" s="8" t="inlineStr">
        <is>
          <t>Novacore Monitors &amp; Display Model-208</t>
        </is>
      </c>
      <c r="C333" s="8" t="inlineStr">
        <is>
          <t>Technology</t>
        </is>
      </c>
      <c r="D333" s="8" t="inlineStr">
        <is>
          <t>Monitors &amp; Displays</t>
        </is>
      </c>
      <c r="E333" s="8" t="inlineStr">
        <is>
          <t>Novacore</t>
        </is>
      </c>
      <c r="F333" s="9" t="n">
        <v>748.64</v>
      </c>
      <c r="G333" s="9" t="n">
        <v>1014.02</v>
      </c>
      <c r="H333" s="9">
        <f>G333-F333</f>
        <v/>
      </c>
      <c r="I333" s="11">
        <f>IFERROR(H333/G333, 0)</f>
        <v/>
      </c>
      <c r="J333" s="8">
        <f>IF(G333&gt;=400, "High-End", IF(G333&gt;=100, "Mid-Tier", "Economy"))</f>
        <v/>
      </c>
      <c r="K333" s="8" t="n">
        <v>35</v>
      </c>
    </row>
    <row r="334">
      <c r="A334" s="8" t="inlineStr">
        <is>
          <t>PRD-0330</t>
        </is>
      </c>
      <c r="B334" s="8" t="inlineStr">
        <is>
          <t>EverWrite Desk Accessorie Model-192</t>
        </is>
      </c>
      <c r="C334" s="8" t="inlineStr">
        <is>
          <t>Office Supplies</t>
        </is>
      </c>
      <c r="D334" s="8" t="inlineStr">
        <is>
          <t>Desk Accessories</t>
        </is>
      </c>
      <c r="E334" s="8" t="inlineStr">
        <is>
          <t>EverWrite</t>
        </is>
      </c>
      <c r="F334" s="9" t="n">
        <v>22.8</v>
      </c>
      <c r="G334" s="9" t="n">
        <v>36.63</v>
      </c>
      <c r="H334" s="9">
        <f>G334-F334</f>
        <v/>
      </c>
      <c r="I334" s="11">
        <f>IFERROR(H334/G334, 0)</f>
        <v/>
      </c>
      <c r="J334" s="8">
        <f>IF(G334&gt;=400, "High-End", IF(G334&gt;=100, "Mid-Tier", "Economy"))</f>
        <v/>
      </c>
      <c r="K334" s="8" t="n">
        <v>20</v>
      </c>
    </row>
    <row r="335">
      <c r="A335" s="8" t="inlineStr">
        <is>
          <t>PRD-0331</t>
        </is>
      </c>
      <c r="B335" s="8" t="inlineStr">
        <is>
          <t>Novacore Laptops &amp; Desktop Model-828</t>
        </is>
      </c>
      <c r="C335" s="8" t="inlineStr">
        <is>
          <t>Technology</t>
        </is>
      </c>
      <c r="D335" s="8" t="inlineStr">
        <is>
          <t>Laptops &amp; Desktops</t>
        </is>
      </c>
      <c r="E335" s="8" t="inlineStr">
        <is>
          <t>Novacore</t>
        </is>
      </c>
      <c r="F335" s="9" t="n">
        <v>799.87</v>
      </c>
      <c r="G335" s="9" t="n">
        <v>1076.14</v>
      </c>
      <c r="H335" s="9">
        <f>G335-F335</f>
        <v/>
      </c>
      <c r="I335" s="11">
        <f>IFERROR(H335/G335, 0)</f>
        <v/>
      </c>
      <c r="J335" s="8">
        <f>IF(G335&gt;=400, "High-End", IF(G335&gt;=100, "Mid-Tier", "Economy"))</f>
        <v/>
      </c>
      <c r="K335" s="8" t="n">
        <v>20</v>
      </c>
    </row>
    <row r="336">
      <c r="A336" s="8" t="inlineStr">
        <is>
          <t>PRD-0332</t>
        </is>
      </c>
      <c r="B336" s="8" t="inlineStr">
        <is>
          <t>Novacore Printers &amp; Networking Model-669</t>
        </is>
      </c>
      <c r="C336" s="8" t="inlineStr">
        <is>
          <t>Technology</t>
        </is>
      </c>
      <c r="D336" s="8" t="inlineStr">
        <is>
          <t>Printers &amp; Networking</t>
        </is>
      </c>
      <c r="E336" s="8" t="inlineStr">
        <is>
          <t>Novacore</t>
        </is>
      </c>
      <c r="F336" s="9" t="n">
        <v>63.44</v>
      </c>
      <c r="G336" s="9" t="n">
        <v>82.03</v>
      </c>
      <c r="H336" s="9">
        <f>G336-F336</f>
        <v/>
      </c>
      <c r="I336" s="11">
        <f>IFERROR(H336/G336, 0)</f>
        <v/>
      </c>
      <c r="J336" s="8">
        <f>IF(G336&gt;=400, "High-End", IF(G336&gt;=100, "Mid-Tier", "Economy"))</f>
        <v/>
      </c>
      <c r="K336" s="8" t="n">
        <v>75</v>
      </c>
    </row>
    <row r="337">
      <c r="A337" s="8" t="inlineStr">
        <is>
          <t>PRD-0333</t>
        </is>
      </c>
      <c r="B337" s="8" t="inlineStr">
        <is>
          <t>ApexTech Audio &amp; Headphone Model-233</t>
        </is>
      </c>
      <c r="C337" s="8" t="inlineStr">
        <is>
          <t>Technology</t>
        </is>
      </c>
      <c r="D337" s="8" t="inlineStr">
        <is>
          <t>Audio &amp; Headphones</t>
        </is>
      </c>
      <c r="E337" s="8" t="inlineStr">
        <is>
          <t>ApexTech</t>
        </is>
      </c>
      <c r="F337" s="9" t="n">
        <v>45.94</v>
      </c>
      <c r="G337" s="9" t="n">
        <v>71.70999999999999</v>
      </c>
      <c r="H337" s="9">
        <f>G337-F337</f>
        <v/>
      </c>
      <c r="I337" s="11">
        <f>IFERROR(H337/G337, 0)</f>
        <v/>
      </c>
      <c r="J337" s="8">
        <f>IF(G337&gt;=400, "High-End", IF(G337&gt;=100, "Mid-Tier", "Economy"))</f>
        <v/>
      </c>
      <c r="K337" s="8" t="n">
        <v>35</v>
      </c>
    </row>
    <row r="338">
      <c r="A338" s="8" t="inlineStr">
        <is>
          <t>PRD-0334</t>
        </is>
      </c>
      <c r="B338" s="8" t="inlineStr">
        <is>
          <t>AeroSonic Smartphones &amp; Accessorie Model-122</t>
        </is>
      </c>
      <c r="C338" s="8" t="inlineStr">
        <is>
          <t>Technology</t>
        </is>
      </c>
      <c r="D338" s="8" t="inlineStr">
        <is>
          <t>Smartphones &amp; Accessories</t>
        </is>
      </c>
      <c r="E338" s="8" t="inlineStr">
        <is>
          <t>AeroSonic</t>
        </is>
      </c>
      <c r="F338" s="9" t="n">
        <v>571.3</v>
      </c>
      <c r="G338" s="9" t="n">
        <v>874.67</v>
      </c>
      <c r="H338" s="9">
        <f>G338-F338</f>
        <v/>
      </c>
      <c r="I338" s="11">
        <f>IFERROR(H338/G338, 0)</f>
        <v/>
      </c>
      <c r="J338" s="8">
        <f>IF(G338&gt;=400, "High-End", IF(G338&gt;=100, "Mid-Tier", "Economy"))</f>
        <v/>
      </c>
      <c r="K338" s="8" t="n">
        <v>20</v>
      </c>
    </row>
    <row r="339">
      <c r="A339" s="8" t="inlineStr">
        <is>
          <t>PRD-0335</t>
        </is>
      </c>
      <c r="B339" s="8" t="inlineStr">
        <is>
          <t>QuantumByte Smartphones &amp; Accessorie Model-272</t>
        </is>
      </c>
      <c r="C339" s="8" t="inlineStr">
        <is>
          <t>Technology</t>
        </is>
      </c>
      <c r="D339" s="8" t="inlineStr">
        <is>
          <t>Smartphones &amp; Accessories</t>
        </is>
      </c>
      <c r="E339" s="8" t="inlineStr">
        <is>
          <t>QuantumByte</t>
        </is>
      </c>
      <c r="F339" s="9" t="n">
        <v>147.11</v>
      </c>
      <c r="G339" s="9" t="n">
        <v>226.07</v>
      </c>
      <c r="H339" s="9">
        <f>G339-F339</f>
        <v/>
      </c>
      <c r="I339" s="11">
        <f>IFERROR(H339/G339, 0)</f>
        <v/>
      </c>
      <c r="J339" s="8">
        <f>IF(G339&gt;=400, "High-End", IF(G339&gt;=100, "Mid-Tier", "Economy"))</f>
        <v/>
      </c>
      <c r="K339" s="8" t="n">
        <v>20</v>
      </c>
    </row>
    <row r="340">
      <c r="A340" s="8" t="inlineStr">
        <is>
          <t>PRD-0336</t>
        </is>
      </c>
      <c r="B340" s="8" t="inlineStr">
        <is>
          <t>ModuDesk Standing Desk Model-381</t>
        </is>
      </c>
      <c r="C340" s="8" t="inlineStr">
        <is>
          <t>Furniture</t>
        </is>
      </c>
      <c r="D340" s="8" t="inlineStr">
        <is>
          <t>Standing Desks</t>
        </is>
      </c>
      <c r="E340" s="8" t="inlineStr">
        <is>
          <t>ModuDesk</t>
        </is>
      </c>
      <c r="F340" s="9" t="n">
        <v>149.55</v>
      </c>
      <c r="G340" s="9" t="n">
        <v>216.76</v>
      </c>
      <c r="H340" s="9">
        <f>G340-F340</f>
        <v/>
      </c>
      <c r="I340" s="11">
        <f>IFERROR(H340/G340, 0)</f>
        <v/>
      </c>
      <c r="J340" s="8">
        <f>IF(G340&gt;=400, "High-End", IF(G340&gt;=100, "Mid-Tier", "Economy"))</f>
        <v/>
      </c>
      <c r="K340" s="8" t="n">
        <v>35</v>
      </c>
    </row>
    <row r="341">
      <c r="A341" s="8" t="inlineStr">
        <is>
          <t>PRD-0337</t>
        </is>
      </c>
      <c r="B341" s="8" t="inlineStr">
        <is>
          <t>Hyperion Monitors &amp; Display Model-590</t>
        </is>
      </c>
      <c r="C341" s="8" t="inlineStr">
        <is>
          <t>Technology</t>
        </is>
      </c>
      <c r="D341" s="8" t="inlineStr">
        <is>
          <t>Monitors &amp; Displays</t>
        </is>
      </c>
      <c r="E341" s="8" t="inlineStr">
        <is>
          <t>Hyperion</t>
        </is>
      </c>
      <c r="F341" s="9" t="n">
        <v>305.02</v>
      </c>
      <c r="G341" s="9" t="n">
        <v>401.03</v>
      </c>
      <c r="H341" s="9">
        <f>G341-F341</f>
        <v/>
      </c>
      <c r="I341" s="11">
        <f>IFERROR(H341/G341, 0)</f>
        <v/>
      </c>
      <c r="J341" s="8">
        <f>IF(G341&gt;=400, "High-End", IF(G341&gt;=100, "Mid-Tier", "Economy"))</f>
        <v/>
      </c>
      <c r="K341" s="8" t="n">
        <v>100</v>
      </c>
    </row>
    <row r="342">
      <c r="A342" s="8" t="inlineStr">
        <is>
          <t>PRD-0338</t>
        </is>
      </c>
      <c r="B342" s="8" t="inlineStr">
        <is>
          <t>ApexGear Backpacks &amp; Laptop Bag Model-913</t>
        </is>
      </c>
      <c r="C342" s="8" t="inlineStr">
        <is>
          <t>Apparel &amp; Gear</t>
        </is>
      </c>
      <c r="D342" s="8" t="inlineStr">
        <is>
          <t>Backpacks &amp; Laptop Bags</t>
        </is>
      </c>
      <c r="E342" s="8" t="inlineStr">
        <is>
          <t>ApexGear</t>
        </is>
      </c>
      <c r="F342" s="9" t="n">
        <v>46.14</v>
      </c>
      <c r="G342" s="9" t="n">
        <v>76.98999999999999</v>
      </c>
      <c r="H342" s="9">
        <f>G342-F342</f>
        <v/>
      </c>
      <c r="I342" s="11">
        <f>IFERROR(H342/G342, 0)</f>
        <v/>
      </c>
      <c r="J342" s="8">
        <f>IF(G342&gt;=400, "High-End", IF(G342&gt;=100, "Mid-Tier", "Economy"))</f>
        <v/>
      </c>
      <c r="K342" s="8" t="n">
        <v>100</v>
      </c>
    </row>
    <row r="343">
      <c r="A343" s="8" t="inlineStr">
        <is>
          <t>PRD-0339</t>
        </is>
      </c>
      <c r="B343" s="8" t="inlineStr">
        <is>
          <t>EcoPaper Desk Accessorie Model-497</t>
        </is>
      </c>
      <c r="C343" s="8" t="inlineStr">
        <is>
          <t>Office Supplies</t>
        </is>
      </c>
      <c r="D343" s="8" t="inlineStr">
        <is>
          <t>Desk Accessories</t>
        </is>
      </c>
      <c r="E343" s="8" t="inlineStr">
        <is>
          <t>EcoPaper</t>
        </is>
      </c>
      <c r="F343" s="9" t="n">
        <v>18.43</v>
      </c>
      <c r="G343" s="9" t="n">
        <v>30.04</v>
      </c>
      <c r="H343" s="9">
        <f>G343-F343</f>
        <v/>
      </c>
      <c r="I343" s="11">
        <f>IFERROR(H343/G343, 0)</f>
        <v/>
      </c>
      <c r="J343" s="8">
        <f>IF(G343&gt;=400, "High-End", IF(G343&gt;=100, "Mid-Tier", "Economy"))</f>
        <v/>
      </c>
      <c r="K343" s="8" t="n">
        <v>50</v>
      </c>
    </row>
    <row r="344">
      <c r="A344" s="8" t="inlineStr">
        <is>
          <t>PRD-0340</t>
        </is>
      </c>
      <c r="B344" s="8" t="inlineStr">
        <is>
          <t>AccuBinder Desk Accessorie Model-466</t>
        </is>
      </c>
      <c r="C344" s="8" t="inlineStr">
        <is>
          <t>Office Supplies</t>
        </is>
      </c>
      <c r="D344" s="8" t="inlineStr">
        <is>
          <t>Desk Accessories</t>
        </is>
      </c>
      <c r="E344" s="8" t="inlineStr">
        <is>
          <t>AccuBinder</t>
        </is>
      </c>
      <c r="F344" s="9" t="n">
        <v>6.87</v>
      </c>
      <c r="G344" s="9" t="n">
        <v>11.87</v>
      </c>
      <c r="H344" s="9">
        <f>G344-F344</f>
        <v/>
      </c>
      <c r="I344" s="11">
        <f>IFERROR(H344/G344, 0)</f>
        <v/>
      </c>
      <c r="J344" s="8">
        <f>IF(G344&gt;=400, "High-End", IF(G344&gt;=100, "Mid-Tier", "Economy"))</f>
        <v/>
      </c>
      <c r="K344" s="8" t="n">
        <v>100</v>
      </c>
    </row>
    <row r="345">
      <c r="A345" s="8" t="inlineStr">
        <is>
          <t>PRD-0341</t>
        </is>
      </c>
      <c r="B345" s="8" t="inlineStr">
        <is>
          <t>EverWrite Pens, Inks &amp; Marker Model-157</t>
        </is>
      </c>
      <c r="C345" s="8" t="inlineStr">
        <is>
          <t>Office Supplies</t>
        </is>
      </c>
      <c r="D345" s="8" t="inlineStr">
        <is>
          <t>Pens, Inks &amp; Markers</t>
        </is>
      </c>
      <c r="E345" s="8" t="inlineStr">
        <is>
          <t>EverWrite</t>
        </is>
      </c>
      <c r="F345" s="9" t="n">
        <v>15.29</v>
      </c>
      <c r="G345" s="9" t="n">
        <v>26.88</v>
      </c>
      <c r="H345" s="9">
        <f>G345-F345</f>
        <v/>
      </c>
      <c r="I345" s="11">
        <f>IFERROR(H345/G345, 0)</f>
        <v/>
      </c>
      <c r="J345" s="8">
        <f>IF(G345&gt;=400, "High-End", IF(G345&gt;=100, "Mid-Tier", "Economy"))</f>
        <v/>
      </c>
      <c r="K345" s="8" t="n">
        <v>150</v>
      </c>
    </row>
    <row r="346">
      <c r="A346" s="8" t="inlineStr">
        <is>
          <t>PRD-0342</t>
        </is>
      </c>
      <c r="B346" s="8" t="inlineStr">
        <is>
          <t>NordicCraft Standing Desk Model-280</t>
        </is>
      </c>
      <c r="C346" s="8" t="inlineStr">
        <is>
          <t>Furniture</t>
        </is>
      </c>
      <c r="D346" s="8" t="inlineStr">
        <is>
          <t>Standing Desks</t>
        </is>
      </c>
      <c r="E346" s="8" t="inlineStr">
        <is>
          <t>NordicCraft</t>
        </is>
      </c>
      <c r="F346" s="9" t="n">
        <v>610.8</v>
      </c>
      <c r="G346" s="9" t="n">
        <v>994.42</v>
      </c>
      <c r="H346" s="9">
        <f>G346-F346</f>
        <v/>
      </c>
      <c r="I346" s="11">
        <f>IFERROR(H346/G346, 0)</f>
        <v/>
      </c>
      <c r="J346" s="8">
        <f>IF(G346&gt;=400, "High-End", IF(G346&gt;=100, "Mid-Tier", "Economy"))</f>
        <v/>
      </c>
      <c r="K346" s="8" t="n">
        <v>35</v>
      </c>
    </row>
    <row r="347">
      <c r="A347" s="8" t="inlineStr">
        <is>
          <t>PRD-0343</t>
        </is>
      </c>
      <c r="B347" s="8" t="inlineStr">
        <is>
          <t>OptimaPrint Paper &amp; Stationery Model-677</t>
        </is>
      </c>
      <c r="C347" s="8" t="inlineStr">
        <is>
          <t>Office Supplies</t>
        </is>
      </c>
      <c r="D347" s="8" t="inlineStr">
        <is>
          <t>Paper &amp; Stationery</t>
        </is>
      </c>
      <c r="E347" s="8" t="inlineStr">
        <is>
          <t>OptimaPrint</t>
        </is>
      </c>
      <c r="F347" s="9" t="n">
        <v>32.99</v>
      </c>
      <c r="G347" s="9" t="n">
        <v>52.81</v>
      </c>
      <c r="H347" s="9">
        <f>G347-F347</f>
        <v/>
      </c>
      <c r="I347" s="11">
        <f>IFERROR(H347/G347, 0)</f>
        <v/>
      </c>
      <c r="J347" s="8">
        <f>IF(G347&gt;=400, "High-End", IF(G347&gt;=100, "Mid-Tier", "Economy"))</f>
        <v/>
      </c>
      <c r="K347" s="8" t="n">
        <v>100</v>
      </c>
    </row>
    <row r="348">
      <c r="A348" s="8" t="inlineStr">
        <is>
          <t>PRD-0344</t>
        </is>
      </c>
      <c r="B348" s="8" t="inlineStr">
        <is>
          <t>Kinetix Bookcases &amp; Storage Model-157</t>
        </is>
      </c>
      <c r="C348" s="8" t="inlineStr">
        <is>
          <t>Furniture</t>
        </is>
      </c>
      <c r="D348" s="8" t="inlineStr">
        <is>
          <t>Bookcases &amp; Storage</t>
        </is>
      </c>
      <c r="E348" s="8" t="inlineStr">
        <is>
          <t>Kinetix</t>
        </is>
      </c>
      <c r="F348" s="9" t="n">
        <v>231.98</v>
      </c>
      <c r="G348" s="9" t="n">
        <v>337.02</v>
      </c>
      <c r="H348" s="9">
        <f>G348-F348</f>
        <v/>
      </c>
      <c r="I348" s="11">
        <f>IFERROR(H348/G348, 0)</f>
        <v/>
      </c>
      <c r="J348" s="8">
        <f>IF(G348&gt;=400, "High-End", IF(G348&gt;=100, "Mid-Tier", "Economy"))</f>
        <v/>
      </c>
      <c r="K348" s="8" t="n">
        <v>20</v>
      </c>
    </row>
    <row r="349">
      <c r="A349" s="8" t="inlineStr">
        <is>
          <t>PRD-0345</t>
        </is>
      </c>
      <c r="B349" s="8" t="inlineStr">
        <is>
          <t>ApexGear Backpacks &amp; Laptop Bag Model-281</t>
        </is>
      </c>
      <c r="C349" s="8" t="inlineStr">
        <is>
          <t>Apparel &amp; Gear</t>
        </is>
      </c>
      <c r="D349" s="8" t="inlineStr">
        <is>
          <t>Backpacks &amp; Laptop Bags</t>
        </is>
      </c>
      <c r="E349" s="8" t="inlineStr">
        <is>
          <t>ApexGear</t>
        </is>
      </c>
      <c r="F349" s="9" t="n">
        <v>40.18</v>
      </c>
      <c r="G349" s="9" t="n">
        <v>59.07</v>
      </c>
      <c r="H349" s="9">
        <f>G349-F349</f>
        <v/>
      </c>
      <c r="I349" s="11">
        <f>IFERROR(H349/G349, 0)</f>
        <v/>
      </c>
      <c r="J349" s="8">
        <f>IF(G349&gt;=400, "High-End", IF(G349&gt;=100, "Mid-Tier", "Economy"))</f>
        <v/>
      </c>
      <c r="K349" s="8" t="n">
        <v>150</v>
      </c>
    </row>
    <row r="350">
      <c r="A350" s="8" t="inlineStr">
        <is>
          <t>PRD-0346</t>
        </is>
      </c>
      <c r="B350" s="8" t="inlineStr">
        <is>
          <t>EverWrite Paper &amp; Stationery Model-174</t>
        </is>
      </c>
      <c r="C350" s="8" t="inlineStr">
        <is>
          <t>Office Supplies</t>
        </is>
      </c>
      <c r="D350" s="8" t="inlineStr">
        <is>
          <t>Paper &amp; Stationery</t>
        </is>
      </c>
      <c r="E350" s="8" t="inlineStr">
        <is>
          <t>EverWrite</t>
        </is>
      </c>
      <c r="F350" s="9" t="n">
        <v>35.86</v>
      </c>
      <c r="G350" s="9" t="n">
        <v>61.49</v>
      </c>
      <c r="H350" s="9">
        <f>G350-F350</f>
        <v/>
      </c>
      <c r="I350" s="11">
        <f>IFERROR(H350/G350, 0)</f>
        <v/>
      </c>
      <c r="J350" s="8">
        <f>IF(G350&gt;=400, "High-End", IF(G350&gt;=100, "Mid-Tier", "Economy"))</f>
        <v/>
      </c>
      <c r="K350" s="8" t="n">
        <v>50</v>
      </c>
    </row>
    <row r="351">
      <c r="A351" s="8" t="inlineStr">
        <is>
          <t>PRD-0347</t>
        </is>
      </c>
      <c r="B351" s="8" t="inlineStr">
        <is>
          <t>QuantumByte Printers &amp; Networking Model-910</t>
        </is>
      </c>
      <c r="C351" s="8" t="inlineStr">
        <is>
          <t>Technology</t>
        </is>
      </c>
      <c r="D351" s="8" t="inlineStr">
        <is>
          <t>Printers &amp; Networking</t>
        </is>
      </c>
      <c r="E351" s="8" t="inlineStr">
        <is>
          <t>QuantumByte</t>
        </is>
      </c>
      <c r="F351" s="9" t="n">
        <v>159.85</v>
      </c>
      <c r="G351" s="9" t="n">
        <v>197.61</v>
      </c>
      <c r="H351" s="9">
        <f>G351-F351</f>
        <v/>
      </c>
      <c r="I351" s="11">
        <f>IFERROR(H351/G351, 0)</f>
        <v/>
      </c>
      <c r="J351" s="8">
        <f>IF(G351&gt;=400, "High-End", IF(G351&gt;=100, "Mid-Tier", "Economy"))</f>
        <v/>
      </c>
      <c r="K351" s="8" t="n">
        <v>75</v>
      </c>
    </row>
    <row r="352">
      <c r="A352" s="8" t="inlineStr">
        <is>
          <t>PRD-0348</t>
        </is>
      </c>
      <c r="B352" s="8" t="inlineStr">
        <is>
          <t>Kinetix Conference Table Model-934</t>
        </is>
      </c>
      <c r="C352" s="8" t="inlineStr">
        <is>
          <t>Furniture</t>
        </is>
      </c>
      <c r="D352" s="8" t="inlineStr">
        <is>
          <t>Conference Tables</t>
        </is>
      </c>
      <c r="E352" s="8" t="inlineStr">
        <is>
          <t>Kinetix</t>
        </is>
      </c>
      <c r="F352" s="9" t="n">
        <v>521.13</v>
      </c>
      <c r="G352" s="9" t="n">
        <v>792.8200000000001</v>
      </c>
      <c r="H352" s="9">
        <f>G352-F352</f>
        <v/>
      </c>
      <c r="I352" s="11">
        <f>IFERROR(H352/G352, 0)</f>
        <v/>
      </c>
      <c r="J352" s="8">
        <f>IF(G352&gt;=400, "High-End", IF(G352&gt;=100, "Mid-Tier", "Economy"))</f>
        <v/>
      </c>
      <c r="K352" s="8" t="n">
        <v>100</v>
      </c>
    </row>
    <row r="353">
      <c r="A353" s="8" t="inlineStr">
        <is>
          <t>PRD-0349</t>
        </is>
      </c>
      <c r="B353" s="8" t="inlineStr">
        <is>
          <t>OptimaPrint Storage &amp; Organization Model-971</t>
        </is>
      </c>
      <c r="C353" s="8" t="inlineStr">
        <is>
          <t>Office Supplies</t>
        </is>
      </c>
      <c r="D353" s="8" t="inlineStr">
        <is>
          <t>Storage &amp; Organization</t>
        </is>
      </c>
      <c r="E353" s="8" t="inlineStr">
        <is>
          <t>OptimaPrint</t>
        </is>
      </c>
      <c r="F353" s="9" t="n">
        <v>42.93</v>
      </c>
      <c r="G353" s="9" t="n">
        <v>70.33</v>
      </c>
      <c r="H353" s="9">
        <f>G353-F353</f>
        <v/>
      </c>
      <c r="I353" s="11">
        <f>IFERROR(H353/G353, 0)</f>
        <v/>
      </c>
      <c r="J353" s="8">
        <f>IF(G353&gt;=400, "High-End", IF(G353&gt;=100, "Mid-Tier", "Economy"))</f>
        <v/>
      </c>
      <c r="K353" s="8" t="n">
        <v>75</v>
      </c>
    </row>
    <row r="354">
      <c r="A354" s="8" t="inlineStr">
        <is>
          <t>PRD-0350</t>
        </is>
      </c>
      <c r="B354" s="8" t="inlineStr">
        <is>
          <t>ApexGear Backpacks &amp; Laptop Bag Model-244</t>
        </is>
      </c>
      <c r="C354" s="8" t="inlineStr">
        <is>
          <t>Apparel &amp; Gear</t>
        </is>
      </c>
      <c r="D354" s="8" t="inlineStr">
        <is>
          <t>Backpacks &amp; Laptop Bags</t>
        </is>
      </c>
      <c r="E354" s="8" t="inlineStr">
        <is>
          <t>ApexGear</t>
        </is>
      </c>
      <c r="F354" s="9" t="n">
        <v>42.61</v>
      </c>
      <c r="G354" s="9" t="n">
        <v>66.90000000000001</v>
      </c>
      <c r="H354" s="9">
        <f>G354-F354</f>
        <v/>
      </c>
      <c r="I354" s="11">
        <f>IFERROR(H354/G354, 0)</f>
        <v/>
      </c>
      <c r="J354" s="8">
        <f>IF(G354&gt;=400, "High-End", IF(G354&gt;=100, "Mid-Tier", "Economy"))</f>
        <v/>
      </c>
      <c r="K354" s="8" t="n">
        <v>75</v>
      </c>
    </row>
    <row r="355">
      <c r="A355" s="8" t="inlineStr">
        <is>
          <t>PRD-0351</t>
        </is>
      </c>
      <c r="B355" s="8" t="inlineStr">
        <is>
          <t>OptimaPrint Pens, Inks &amp; Marker Model-443</t>
        </is>
      </c>
      <c r="C355" s="8" t="inlineStr">
        <is>
          <t>Office Supplies</t>
        </is>
      </c>
      <c r="D355" s="8" t="inlineStr">
        <is>
          <t>Pens, Inks &amp; Markers</t>
        </is>
      </c>
      <c r="E355" s="8" t="inlineStr">
        <is>
          <t>OptimaPrint</t>
        </is>
      </c>
      <c r="F355" s="9" t="n">
        <v>37.78</v>
      </c>
      <c r="G355" s="9" t="n">
        <v>65.14</v>
      </c>
      <c r="H355" s="9">
        <f>G355-F355</f>
        <v/>
      </c>
      <c r="I355" s="11">
        <f>IFERROR(H355/G355, 0)</f>
        <v/>
      </c>
      <c r="J355" s="8">
        <f>IF(G355&gt;=400, "High-End", IF(G355&gt;=100, "Mid-Tier", "Economy"))</f>
        <v/>
      </c>
      <c r="K355" s="8" t="n">
        <v>150</v>
      </c>
    </row>
    <row r="356">
      <c r="A356" s="8" t="inlineStr">
        <is>
          <t>PRD-0352</t>
        </is>
      </c>
      <c r="B356" s="8" t="inlineStr">
        <is>
          <t>ApexTech Printers &amp; Networking Model-850</t>
        </is>
      </c>
      <c r="C356" s="8" t="inlineStr">
        <is>
          <t>Technology</t>
        </is>
      </c>
      <c r="D356" s="8" t="inlineStr">
        <is>
          <t>Printers &amp; Networking</t>
        </is>
      </c>
      <c r="E356" s="8" t="inlineStr">
        <is>
          <t>ApexTech</t>
        </is>
      </c>
      <c r="F356" s="9" t="n">
        <v>694.1799999999999</v>
      </c>
      <c r="G356" s="9" t="n">
        <v>840.7</v>
      </c>
      <c r="H356" s="9">
        <f>G356-F356</f>
        <v/>
      </c>
      <c r="I356" s="11">
        <f>IFERROR(H356/G356, 0)</f>
        <v/>
      </c>
      <c r="J356" s="8">
        <f>IF(G356&gt;=400, "High-End", IF(G356&gt;=100, "Mid-Tier", "Economy"))</f>
        <v/>
      </c>
      <c r="K356" s="8" t="n">
        <v>75</v>
      </c>
    </row>
    <row r="357">
      <c r="A357" s="8" t="inlineStr">
        <is>
          <t>PRD-0353</t>
        </is>
      </c>
      <c r="B357" s="8" t="inlineStr">
        <is>
          <t>Kinetix Office Chair Model-766</t>
        </is>
      </c>
      <c r="C357" s="8" t="inlineStr">
        <is>
          <t>Furniture</t>
        </is>
      </c>
      <c r="D357" s="8" t="inlineStr">
        <is>
          <t>Office Chairs</t>
        </is>
      </c>
      <c r="E357" s="8" t="inlineStr">
        <is>
          <t>Kinetix</t>
        </is>
      </c>
      <c r="F357" s="9" t="n">
        <v>272.09</v>
      </c>
      <c r="G357" s="9" t="n">
        <v>438.24</v>
      </c>
      <c r="H357" s="9">
        <f>G357-F357</f>
        <v/>
      </c>
      <c r="I357" s="11">
        <f>IFERROR(H357/G357, 0)</f>
        <v/>
      </c>
      <c r="J357" s="8">
        <f>IF(G357&gt;=400, "High-End", IF(G357&gt;=100, "Mid-Tier", "Economy"))</f>
        <v/>
      </c>
      <c r="K357" s="8" t="n">
        <v>100</v>
      </c>
    </row>
    <row r="358">
      <c r="A358" s="8" t="inlineStr">
        <is>
          <t>PRD-0354</t>
        </is>
      </c>
      <c r="B358" s="8" t="inlineStr">
        <is>
          <t>QuantumByte Laptops &amp; Desktop Model-175</t>
        </is>
      </c>
      <c r="C358" s="8" t="inlineStr">
        <is>
          <t>Technology</t>
        </is>
      </c>
      <c r="D358" s="8" t="inlineStr">
        <is>
          <t>Laptops &amp; Desktops</t>
        </is>
      </c>
      <c r="E358" s="8" t="inlineStr">
        <is>
          <t>QuantumByte</t>
        </is>
      </c>
      <c r="F358" s="9" t="n">
        <v>53.37</v>
      </c>
      <c r="G358" s="9" t="n">
        <v>70.98999999999999</v>
      </c>
      <c r="H358" s="9">
        <f>G358-F358</f>
        <v/>
      </c>
      <c r="I358" s="11">
        <f>IFERROR(H358/G358, 0)</f>
        <v/>
      </c>
      <c r="J358" s="8">
        <f>IF(G358&gt;=400, "High-End", IF(G358&gt;=100, "Mid-Tier", "Economy"))</f>
        <v/>
      </c>
      <c r="K358" s="8" t="n">
        <v>20</v>
      </c>
    </row>
    <row r="359">
      <c r="A359" s="8" t="inlineStr">
        <is>
          <t>PRD-0355</t>
        </is>
      </c>
      <c r="B359" s="8" t="inlineStr">
        <is>
          <t>UrbanShield Backpacks &amp; Laptop Bag Model-821</t>
        </is>
      </c>
      <c r="C359" s="8" t="inlineStr">
        <is>
          <t>Apparel &amp; Gear</t>
        </is>
      </c>
      <c r="D359" s="8" t="inlineStr">
        <is>
          <t>Backpacks &amp; Laptop Bags</t>
        </is>
      </c>
      <c r="E359" s="8" t="inlineStr">
        <is>
          <t>UrbanShield</t>
        </is>
      </c>
      <c r="F359" s="9" t="n">
        <v>57.24</v>
      </c>
      <c r="G359" s="9" t="n">
        <v>95.40000000000001</v>
      </c>
      <c r="H359" s="9">
        <f>G359-F359</f>
        <v/>
      </c>
      <c r="I359" s="11">
        <f>IFERROR(H359/G359, 0)</f>
        <v/>
      </c>
      <c r="J359" s="8">
        <f>IF(G359&gt;=400, "High-End", IF(G359&gt;=100, "Mid-Tier", "Economy"))</f>
        <v/>
      </c>
      <c r="K359" s="8" t="n">
        <v>75</v>
      </c>
    </row>
    <row r="360">
      <c r="A360" s="8" t="inlineStr">
        <is>
          <t>PRD-0356</t>
        </is>
      </c>
      <c r="B360" s="8" t="inlineStr">
        <is>
          <t>ApexTech Audio &amp; Headphone Model-519</t>
        </is>
      </c>
      <c r="C360" s="8" t="inlineStr">
        <is>
          <t>Technology</t>
        </is>
      </c>
      <c r="D360" s="8" t="inlineStr">
        <is>
          <t>Audio &amp; Headphones</t>
        </is>
      </c>
      <c r="E360" s="8" t="inlineStr">
        <is>
          <t>ApexTech</t>
        </is>
      </c>
      <c r="F360" s="9" t="n">
        <v>127.65</v>
      </c>
      <c r="G360" s="9" t="n">
        <v>180.92</v>
      </c>
      <c r="H360" s="9">
        <f>G360-F360</f>
        <v/>
      </c>
      <c r="I360" s="11">
        <f>IFERROR(H360/G360, 0)</f>
        <v/>
      </c>
      <c r="J360" s="8">
        <f>IF(G360&gt;=400, "High-End", IF(G360&gt;=100, "Mid-Tier", "Economy"))</f>
        <v/>
      </c>
      <c r="K360" s="8" t="n">
        <v>35</v>
      </c>
    </row>
    <row r="361">
      <c r="A361" s="8" t="inlineStr">
        <is>
          <t>PRD-0357</t>
        </is>
      </c>
      <c r="B361" s="8" t="inlineStr">
        <is>
          <t>QuantumByte Printers &amp; Networking Model-662</t>
        </is>
      </c>
      <c r="C361" s="8" t="inlineStr">
        <is>
          <t>Technology</t>
        </is>
      </c>
      <c r="D361" s="8" t="inlineStr">
        <is>
          <t>Printers &amp; Networking</t>
        </is>
      </c>
      <c r="E361" s="8" t="inlineStr">
        <is>
          <t>QuantumByte</t>
        </is>
      </c>
      <c r="F361" s="9" t="n">
        <v>252.36</v>
      </c>
      <c r="G361" s="9" t="n">
        <v>305.71</v>
      </c>
      <c r="H361" s="9">
        <f>G361-F361</f>
        <v/>
      </c>
      <c r="I361" s="11">
        <f>IFERROR(H361/G361, 0)</f>
        <v/>
      </c>
      <c r="J361" s="8">
        <f>IF(G361&gt;=400, "High-End", IF(G361&gt;=100, "Mid-Tier", "Economy"))</f>
        <v/>
      </c>
      <c r="K361" s="8" t="n">
        <v>100</v>
      </c>
    </row>
    <row r="362">
      <c r="A362" s="8" t="inlineStr">
        <is>
          <t>PRD-0358</t>
        </is>
      </c>
      <c r="B362" s="8" t="inlineStr">
        <is>
          <t>Hyperion Printers &amp; Networking Model-126</t>
        </is>
      </c>
      <c r="C362" s="8" t="inlineStr">
        <is>
          <t>Technology</t>
        </is>
      </c>
      <c r="D362" s="8" t="inlineStr">
        <is>
          <t>Printers &amp; Networking</t>
        </is>
      </c>
      <c r="E362" s="8" t="inlineStr">
        <is>
          <t>Hyperion</t>
        </is>
      </c>
      <c r="F362" s="9" t="n">
        <v>606.96</v>
      </c>
      <c r="G362" s="9" t="n">
        <v>795.41</v>
      </c>
      <c r="H362" s="9">
        <f>G362-F362</f>
        <v/>
      </c>
      <c r="I362" s="11">
        <f>IFERROR(H362/G362, 0)</f>
        <v/>
      </c>
      <c r="J362" s="8">
        <f>IF(G362&gt;=400, "High-End", IF(G362&gt;=100, "Mid-Tier", "Economy"))</f>
        <v/>
      </c>
      <c r="K362" s="8" t="n">
        <v>20</v>
      </c>
    </row>
    <row r="363">
      <c r="A363" s="8" t="inlineStr">
        <is>
          <t>PRD-0359</t>
        </is>
      </c>
      <c r="B363" s="8" t="inlineStr">
        <is>
          <t>QuantumByte Smartphones &amp; Accessorie Model-371</t>
        </is>
      </c>
      <c r="C363" s="8" t="inlineStr">
        <is>
          <t>Technology</t>
        </is>
      </c>
      <c r="D363" s="8" t="inlineStr">
        <is>
          <t>Smartphones &amp; Accessories</t>
        </is>
      </c>
      <c r="E363" s="8" t="inlineStr">
        <is>
          <t>QuantumByte</t>
        </is>
      </c>
      <c r="F363" s="9" t="n">
        <v>753.16</v>
      </c>
      <c r="G363" s="9" t="n">
        <v>1075.75</v>
      </c>
      <c r="H363" s="9">
        <f>G363-F363</f>
        <v/>
      </c>
      <c r="I363" s="11">
        <f>IFERROR(H363/G363, 0)</f>
        <v/>
      </c>
      <c r="J363" s="8">
        <f>IF(G363&gt;=400, "High-End", IF(G363&gt;=100, "Mid-Tier", "Economy"))</f>
        <v/>
      </c>
      <c r="K363" s="8" t="n">
        <v>150</v>
      </c>
    </row>
    <row r="364">
      <c r="A364" s="8" t="inlineStr">
        <is>
          <t>PRD-0360</t>
        </is>
      </c>
      <c r="B364" s="8" t="inlineStr">
        <is>
          <t>SteelForm Office Chair Model-369</t>
        </is>
      </c>
      <c r="C364" s="8" t="inlineStr">
        <is>
          <t>Furniture</t>
        </is>
      </c>
      <c r="D364" s="8" t="inlineStr">
        <is>
          <t>Office Chairs</t>
        </is>
      </c>
      <c r="E364" s="8" t="inlineStr">
        <is>
          <t>SteelForm</t>
        </is>
      </c>
      <c r="F364" s="9" t="n">
        <v>314.69</v>
      </c>
      <c r="G364" s="9" t="n">
        <v>465.92</v>
      </c>
      <c r="H364" s="9">
        <f>G364-F364</f>
        <v/>
      </c>
      <c r="I364" s="11">
        <f>IFERROR(H364/G364, 0)</f>
        <v/>
      </c>
      <c r="J364" s="8">
        <f>IF(G364&gt;=400, "High-End", IF(G364&gt;=100, "Mid-Tier", "Economy"))</f>
        <v/>
      </c>
      <c r="K364" s="8" t="n">
        <v>75</v>
      </c>
    </row>
    <row r="365">
      <c r="A365" s="8" t="inlineStr">
        <is>
          <t>PRD-0361</t>
        </is>
      </c>
      <c r="B365" s="8" t="inlineStr">
        <is>
          <t>OptimaPrint Pens, Inks &amp; Marker Model-523</t>
        </is>
      </c>
      <c r="C365" s="8" t="inlineStr">
        <is>
          <t>Office Supplies</t>
        </is>
      </c>
      <c r="D365" s="8" t="inlineStr">
        <is>
          <t>Pens, Inks &amp; Markers</t>
        </is>
      </c>
      <c r="E365" s="8" t="inlineStr">
        <is>
          <t>OptimaPrint</t>
        </is>
      </c>
      <c r="F365" s="9" t="n">
        <v>7.97</v>
      </c>
      <c r="G365" s="9" t="n">
        <v>13.14</v>
      </c>
      <c r="H365" s="9">
        <f>G365-F365</f>
        <v/>
      </c>
      <c r="I365" s="11">
        <f>IFERROR(H365/G365, 0)</f>
        <v/>
      </c>
      <c r="J365" s="8">
        <f>IF(G365&gt;=400, "High-End", IF(G365&gt;=100, "Mid-Tier", "Economy"))</f>
        <v/>
      </c>
      <c r="K365" s="8" t="n">
        <v>100</v>
      </c>
    </row>
    <row r="366">
      <c r="A366" s="8" t="inlineStr">
        <is>
          <t>PRD-0362</t>
        </is>
      </c>
      <c r="B366" s="8" t="inlineStr">
        <is>
          <t>ApexGear Corporate Apparel Model-686</t>
        </is>
      </c>
      <c r="C366" s="8" t="inlineStr">
        <is>
          <t>Apparel &amp; Gear</t>
        </is>
      </c>
      <c r="D366" s="8" t="inlineStr">
        <is>
          <t>Corporate Apparel</t>
        </is>
      </c>
      <c r="E366" s="8" t="inlineStr">
        <is>
          <t>ApexGear</t>
        </is>
      </c>
      <c r="F366" s="9" t="n">
        <v>67.33</v>
      </c>
      <c r="G366" s="9" t="n">
        <v>110.63</v>
      </c>
      <c r="H366" s="9">
        <f>G366-F366</f>
        <v/>
      </c>
      <c r="I366" s="11">
        <f>IFERROR(H366/G366, 0)</f>
        <v/>
      </c>
      <c r="J366" s="8">
        <f>IF(G366&gt;=400, "High-End", IF(G366&gt;=100, "Mid-Tier", "Economy"))</f>
        <v/>
      </c>
      <c r="K366" s="8" t="n">
        <v>75</v>
      </c>
    </row>
    <row r="367">
      <c r="A367" s="8" t="inlineStr">
        <is>
          <t>PRD-0363</t>
        </is>
      </c>
      <c r="B367" s="8" t="inlineStr">
        <is>
          <t>OptimaPrint Storage &amp; Organization Model-793</t>
        </is>
      </c>
      <c r="C367" s="8" t="inlineStr">
        <is>
          <t>Office Supplies</t>
        </is>
      </c>
      <c r="D367" s="8" t="inlineStr">
        <is>
          <t>Storage &amp; Organization</t>
        </is>
      </c>
      <c r="E367" s="8" t="inlineStr">
        <is>
          <t>OptimaPrint</t>
        </is>
      </c>
      <c r="F367" s="9" t="n">
        <v>24.84</v>
      </c>
      <c r="G367" s="9" t="n">
        <v>40.42</v>
      </c>
      <c r="H367" s="9">
        <f>G367-F367</f>
        <v/>
      </c>
      <c r="I367" s="11">
        <f>IFERROR(H367/G367, 0)</f>
        <v/>
      </c>
      <c r="J367" s="8">
        <f>IF(G367&gt;=400, "High-End", IF(G367&gt;=100, "Mid-Tier", "Economy"))</f>
        <v/>
      </c>
      <c r="K367" s="8" t="n">
        <v>100</v>
      </c>
    </row>
    <row r="368">
      <c r="A368" s="8" t="inlineStr">
        <is>
          <t>PRD-0364</t>
        </is>
      </c>
      <c r="B368" s="8" t="inlineStr">
        <is>
          <t>Novacore Audio &amp; Headphone Model-180</t>
        </is>
      </c>
      <c r="C368" s="8" t="inlineStr">
        <is>
          <t>Technology</t>
        </is>
      </c>
      <c r="D368" s="8" t="inlineStr">
        <is>
          <t>Audio &amp; Headphones</t>
        </is>
      </c>
      <c r="E368" s="8" t="inlineStr">
        <is>
          <t>Novacore</t>
        </is>
      </c>
      <c r="F368" s="9" t="n">
        <v>774.74</v>
      </c>
      <c r="G368" s="9" t="n">
        <v>1083.88</v>
      </c>
      <c r="H368" s="9">
        <f>G368-F368</f>
        <v/>
      </c>
      <c r="I368" s="11">
        <f>IFERROR(H368/G368, 0)</f>
        <v/>
      </c>
      <c r="J368" s="8">
        <f>IF(G368&gt;=400, "High-End", IF(G368&gt;=100, "Mid-Tier", "Economy"))</f>
        <v/>
      </c>
      <c r="K368" s="8" t="n">
        <v>75</v>
      </c>
    </row>
    <row r="369">
      <c r="A369" s="8" t="inlineStr">
        <is>
          <t>PRD-0365</t>
        </is>
      </c>
      <c r="B369" s="8" t="inlineStr">
        <is>
          <t>ApexGear Corporate Apparel Model-189</t>
        </is>
      </c>
      <c r="C369" s="8" t="inlineStr">
        <is>
          <t>Apparel &amp; Gear</t>
        </is>
      </c>
      <c r="D369" s="8" t="inlineStr">
        <is>
          <t>Corporate Apparel</t>
        </is>
      </c>
      <c r="E369" s="8" t="inlineStr">
        <is>
          <t>ApexGear</t>
        </is>
      </c>
      <c r="F369" s="9" t="n">
        <v>47.24</v>
      </c>
      <c r="G369" s="9" t="n">
        <v>81.7</v>
      </c>
      <c r="H369" s="9">
        <f>G369-F369</f>
        <v/>
      </c>
      <c r="I369" s="11">
        <f>IFERROR(H369/G369, 0)</f>
        <v/>
      </c>
      <c r="J369" s="8">
        <f>IF(G369&gt;=400, "High-End", IF(G369&gt;=100, "Mid-Tier", "Economy"))</f>
        <v/>
      </c>
      <c r="K369" s="8" t="n">
        <v>20</v>
      </c>
    </row>
    <row r="370">
      <c r="A370" s="8" t="inlineStr">
        <is>
          <t>PRD-0366</t>
        </is>
      </c>
      <c r="B370" s="8" t="inlineStr">
        <is>
          <t>ErgoComfort Bookcases &amp; Storage Model-900</t>
        </is>
      </c>
      <c r="C370" s="8" t="inlineStr">
        <is>
          <t>Furniture</t>
        </is>
      </c>
      <c r="D370" s="8" t="inlineStr">
        <is>
          <t>Bookcases &amp; Storage</t>
        </is>
      </c>
      <c r="E370" s="8" t="inlineStr">
        <is>
          <t>ErgoComfort</t>
        </is>
      </c>
      <c r="F370" s="9" t="n">
        <v>520.86</v>
      </c>
      <c r="G370" s="9" t="n">
        <v>772.59</v>
      </c>
      <c r="H370" s="9">
        <f>G370-F370</f>
        <v/>
      </c>
      <c r="I370" s="11">
        <f>IFERROR(H370/G370, 0)</f>
        <v/>
      </c>
      <c r="J370" s="8">
        <f>IF(G370&gt;=400, "High-End", IF(G370&gt;=100, "Mid-Tier", "Economy"))</f>
        <v/>
      </c>
      <c r="K370" s="8" t="n">
        <v>100</v>
      </c>
    </row>
    <row r="371">
      <c r="A371" s="8" t="inlineStr">
        <is>
          <t>PRD-0367</t>
        </is>
      </c>
      <c r="B371" s="8" t="inlineStr">
        <is>
          <t>OptimaPrint Desk Accessorie Model-904</t>
        </is>
      </c>
      <c r="C371" s="8" t="inlineStr">
        <is>
          <t>Office Supplies</t>
        </is>
      </c>
      <c r="D371" s="8" t="inlineStr">
        <is>
          <t>Desk Accessories</t>
        </is>
      </c>
      <c r="E371" s="8" t="inlineStr">
        <is>
          <t>OptimaPrint</t>
        </is>
      </c>
      <c r="F371" s="9" t="n">
        <v>41.96</v>
      </c>
      <c r="G371" s="9" t="n">
        <v>68.37</v>
      </c>
      <c r="H371" s="9">
        <f>G371-F371</f>
        <v/>
      </c>
      <c r="I371" s="11">
        <f>IFERROR(H371/G371, 0)</f>
        <v/>
      </c>
      <c r="J371" s="8">
        <f>IF(G371&gt;=400, "High-End", IF(G371&gt;=100, "Mid-Tier", "Economy"))</f>
        <v/>
      </c>
      <c r="K371" s="8" t="n">
        <v>20</v>
      </c>
    </row>
    <row r="372">
      <c r="A372" s="8" t="inlineStr">
        <is>
          <t>PRD-0368</t>
        </is>
      </c>
      <c r="B372" s="8" t="inlineStr">
        <is>
          <t>ModuDesk Standing Desk Model-382</t>
        </is>
      </c>
      <c r="C372" s="8" t="inlineStr">
        <is>
          <t>Furniture</t>
        </is>
      </c>
      <c r="D372" s="8" t="inlineStr">
        <is>
          <t>Standing Desks</t>
        </is>
      </c>
      <c r="E372" s="8" t="inlineStr">
        <is>
          <t>ModuDesk</t>
        </is>
      </c>
      <c r="F372" s="9" t="n">
        <v>391.07</v>
      </c>
      <c r="G372" s="9" t="n">
        <v>590.05</v>
      </c>
      <c r="H372" s="9">
        <f>G372-F372</f>
        <v/>
      </c>
      <c r="I372" s="11">
        <f>IFERROR(H372/G372, 0)</f>
        <v/>
      </c>
      <c r="J372" s="8">
        <f>IF(G372&gt;=400, "High-End", IF(G372&gt;=100, "Mid-Tier", "Economy"))</f>
        <v/>
      </c>
      <c r="K372" s="8" t="n">
        <v>35</v>
      </c>
    </row>
    <row r="373">
      <c r="A373" s="8" t="inlineStr">
        <is>
          <t>PRD-0369</t>
        </is>
      </c>
      <c r="B373" s="8" t="inlineStr">
        <is>
          <t>NordicCraft Standing Desk Model-375</t>
        </is>
      </c>
      <c r="C373" s="8" t="inlineStr">
        <is>
          <t>Furniture</t>
        </is>
      </c>
      <c r="D373" s="8" t="inlineStr">
        <is>
          <t>Standing Desks</t>
        </is>
      </c>
      <c r="E373" s="8" t="inlineStr">
        <is>
          <t>NordicCraft</t>
        </is>
      </c>
      <c r="F373" s="9" t="n">
        <v>462.76</v>
      </c>
      <c r="G373" s="9" t="n">
        <v>653.11</v>
      </c>
      <c r="H373" s="9">
        <f>G373-F373</f>
        <v/>
      </c>
      <c r="I373" s="11">
        <f>IFERROR(H373/G373, 0)</f>
        <v/>
      </c>
      <c r="J373" s="8">
        <f>IF(G373&gt;=400, "High-End", IF(G373&gt;=100, "Mid-Tier", "Economy"))</f>
        <v/>
      </c>
      <c r="K373" s="8" t="n">
        <v>75</v>
      </c>
    </row>
    <row r="374">
      <c r="A374" s="8" t="inlineStr">
        <is>
          <t>PRD-0370</t>
        </is>
      </c>
      <c r="B374" s="8" t="inlineStr">
        <is>
          <t>ZenithLogix Printers &amp; Networking Model-237</t>
        </is>
      </c>
      <c r="C374" s="8" t="inlineStr">
        <is>
          <t>Technology</t>
        </is>
      </c>
      <c r="D374" s="8" t="inlineStr">
        <is>
          <t>Printers &amp; Networking</t>
        </is>
      </c>
      <c r="E374" s="8" t="inlineStr">
        <is>
          <t>ZenithLogix</t>
        </is>
      </c>
      <c r="F374" s="9" t="n">
        <v>820.28</v>
      </c>
      <c r="G374" s="9" t="n">
        <v>1113.54</v>
      </c>
      <c r="H374" s="9">
        <f>G374-F374</f>
        <v/>
      </c>
      <c r="I374" s="11">
        <f>IFERROR(H374/G374, 0)</f>
        <v/>
      </c>
      <c r="J374" s="8">
        <f>IF(G374&gt;=400, "High-End", IF(G374&gt;=100, "Mid-Tier", "Economy"))</f>
        <v/>
      </c>
      <c r="K374" s="8" t="n">
        <v>35</v>
      </c>
    </row>
    <row r="375">
      <c r="A375" s="8" t="inlineStr">
        <is>
          <t>PRD-0371</t>
        </is>
      </c>
      <c r="B375" s="8" t="inlineStr">
        <is>
          <t>EcoPaper Storage &amp; Organization Model-316</t>
        </is>
      </c>
      <c r="C375" s="8" t="inlineStr">
        <is>
          <t>Office Supplies</t>
        </is>
      </c>
      <c r="D375" s="8" t="inlineStr">
        <is>
          <t>Storage &amp; Organization</t>
        </is>
      </c>
      <c r="E375" s="8" t="inlineStr">
        <is>
          <t>EcoPaper</t>
        </is>
      </c>
      <c r="F375" s="9" t="n">
        <v>29</v>
      </c>
      <c r="G375" s="9" t="n">
        <v>41.78</v>
      </c>
      <c r="H375" s="9">
        <f>G375-F375</f>
        <v/>
      </c>
      <c r="I375" s="11">
        <f>IFERROR(H375/G375, 0)</f>
        <v/>
      </c>
      <c r="J375" s="8">
        <f>IF(G375&gt;=400, "High-End", IF(G375&gt;=100, "Mid-Tier", "Economy"))</f>
        <v/>
      </c>
      <c r="K375" s="8" t="n">
        <v>75</v>
      </c>
    </row>
    <row r="376">
      <c r="A376" s="8" t="inlineStr">
        <is>
          <t>PRD-0372</t>
        </is>
      </c>
      <c r="B376" s="8" t="inlineStr">
        <is>
          <t>ErgoComfort Office Chair Model-826</t>
        </is>
      </c>
      <c r="C376" s="8" t="inlineStr">
        <is>
          <t>Furniture</t>
        </is>
      </c>
      <c r="D376" s="8" t="inlineStr">
        <is>
          <t>Office Chairs</t>
        </is>
      </c>
      <c r="E376" s="8" t="inlineStr">
        <is>
          <t>ErgoComfort</t>
        </is>
      </c>
      <c r="F376" s="9" t="n">
        <v>356.74</v>
      </c>
      <c r="G376" s="9" t="n">
        <v>519.61</v>
      </c>
      <c r="H376" s="9">
        <f>G376-F376</f>
        <v/>
      </c>
      <c r="I376" s="11">
        <f>IFERROR(H376/G376, 0)</f>
        <v/>
      </c>
      <c r="J376" s="8">
        <f>IF(G376&gt;=400, "High-End", IF(G376&gt;=100, "Mid-Tier", "Economy"))</f>
        <v/>
      </c>
      <c r="K376" s="8" t="n">
        <v>50</v>
      </c>
    </row>
    <row r="377">
      <c r="A377" s="8" t="inlineStr">
        <is>
          <t>PRD-0373</t>
        </is>
      </c>
      <c r="B377" s="8" t="inlineStr">
        <is>
          <t>Novacore Laptops &amp; Desktop Model-355</t>
        </is>
      </c>
      <c r="C377" s="8" t="inlineStr">
        <is>
          <t>Technology</t>
        </is>
      </c>
      <c r="D377" s="8" t="inlineStr">
        <is>
          <t>Laptops &amp; Desktops</t>
        </is>
      </c>
      <c r="E377" s="8" t="inlineStr">
        <is>
          <t>Novacore</t>
        </is>
      </c>
      <c r="F377" s="9" t="n">
        <v>211.38</v>
      </c>
      <c r="G377" s="9" t="n">
        <v>308.95</v>
      </c>
      <c r="H377" s="9">
        <f>G377-F377</f>
        <v/>
      </c>
      <c r="I377" s="11">
        <f>IFERROR(H377/G377, 0)</f>
        <v/>
      </c>
      <c r="J377" s="8">
        <f>IF(G377&gt;=400, "High-End", IF(G377&gt;=100, "Mid-Tier", "Economy"))</f>
        <v/>
      </c>
      <c r="K377" s="8" t="n">
        <v>20</v>
      </c>
    </row>
    <row r="378">
      <c r="A378" s="8" t="inlineStr">
        <is>
          <t>PRD-0374</t>
        </is>
      </c>
      <c r="B378" s="8" t="inlineStr">
        <is>
          <t>ModuDesk Office Chair Model-797</t>
        </is>
      </c>
      <c r="C378" s="8" t="inlineStr">
        <is>
          <t>Furniture</t>
        </is>
      </c>
      <c r="D378" s="8" t="inlineStr">
        <is>
          <t>Office Chairs</t>
        </is>
      </c>
      <c r="E378" s="8" t="inlineStr">
        <is>
          <t>ModuDesk</t>
        </is>
      </c>
      <c r="F378" s="9" t="n">
        <v>350.6</v>
      </c>
      <c r="G378" s="9" t="n">
        <v>549.09</v>
      </c>
      <c r="H378" s="9">
        <f>G378-F378</f>
        <v/>
      </c>
      <c r="I378" s="11">
        <f>IFERROR(H378/G378, 0)</f>
        <v/>
      </c>
      <c r="J378" s="8">
        <f>IF(G378&gt;=400, "High-End", IF(G378&gt;=100, "Mid-Tier", "Economy"))</f>
        <v/>
      </c>
      <c r="K378" s="8" t="n">
        <v>20</v>
      </c>
    </row>
    <row r="379">
      <c r="A379" s="8" t="inlineStr">
        <is>
          <t>PRD-0375</t>
        </is>
      </c>
      <c r="B379" s="8" t="inlineStr">
        <is>
          <t>TrekLine Corporate Apparel Model-957</t>
        </is>
      </c>
      <c r="C379" s="8" t="inlineStr">
        <is>
          <t>Apparel &amp; Gear</t>
        </is>
      </c>
      <c r="D379" s="8" t="inlineStr">
        <is>
          <t>Corporate Apparel</t>
        </is>
      </c>
      <c r="E379" s="8" t="inlineStr">
        <is>
          <t>TrekLine</t>
        </is>
      </c>
      <c r="F379" s="9" t="n">
        <v>88.36</v>
      </c>
      <c r="G379" s="9" t="n">
        <v>141.42</v>
      </c>
      <c r="H379" s="9">
        <f>G379-F379</f>
        <v/>
      </c>
      <c r="I379" s="11">
        <f>IFERROR(H379/G379, 0)</f>
        <v/>
      </c>
      <c r="J379" s="8">
        <f>IF(G379&gt;=400, "High-End", IF(G379&gt;=100, "Mid-Tier", "Economy"))</f>
        <v/>
      </c>
      <c r="K379" s="8" t="n">
        <v>35</v>
      </c>
    </row>
    <row r="380">
      <c r="A380" s="8" t="inlineStr">
        <is>
          <t>PRD-0376</t>
        </is>
      </c>
      <c r="B380" s="8" t="inlineStr">
        <is>
          <t>ErgoComfort Standing Desk Model-977</t>
        </is>
      </c>
      <c r="C380" s="8" t="inlineStr">
        <is>
          <t>Furniture</t>
        </is>
      </c>
      <c r="D380" s="8" t="inlineStr">
        <is>
          <t>Standing Desks</t>
        </is>
      </c>
      <c r="E380" s="8" t="inlineStr">
        <is>
          <t>ErgoComfort</t>
        </is>
      </c>
      <c r="F380" s="9" t="n">
        <v>143.56</v>
      </c>
      <c r="G380" s="9" t="n">
        <v>219.88</v>
      </c>
      <c r="H380" s="9">
        <f>G380-F380</f>
        <v/>
      </c>
      <c r="I380" s="11">
        <f>IFERROR(H380/G380, 0)</f>
        <v/>
      </c>
      <c r="J380" s="8">
        <f>IF(G380&gt;=400, "High-End", IF(G380&gt;=100, "Mid-Tier", "Economy"))</f>
        <v/>
      </c>
      <c r="K380" s="8" t="n">
        <v>35</v>
      </c>
    </row>
    <row r="381">
      <c r="A381" s="8" t="inlineStr">
        <is>
          <t>PRD-0377</t>
        </is>
      </c>
      <c r="B381" s="8" t="inlineStr">
        <is>
          <t>ErgoComfort Conference Table Model-109</t>
        </is>
      </c>
      <c r="C381" s="8" t="inlineStr">
        <is>
          <t>Furniture</t>
        </is>
      </c>
      <c r="D381" s="8" t="inlineStr">
        <is>
          <t>Conference Tables</t>
        </is>
      </c>
      <c r="E381" s="8" t="inlineStr">
        <is>
          <t>ErgoComfort</t>
        </is>
      </c>
      <c r="F381" s="9" t="n">
        <v>568.1</v>
      </c>
      <c r="G381" s="9" t="n">
        <v>961.48</v>
      </c>
      <c r="H381" s="9">
        <f>G381-F381</f>
        <v/>
      </c>
      <c r="I381" s="11">
        <f>IFERROR(H381/G381, 0)</f>
        <v/>
      </c>
      <c r="J381" s="8">
        <f>IF(G381&gt;=400, "High-End", IF(G381&gt;=100, "Mid-Tier", "Economy"))</f>
        <v/>
      </c>
      <c r="K381" s="8" t="n">
        <v>150</v>
      </c>
    </row>
    <row r="382">
      <c r="A382" s="8" t="inlineStr">
        <is>
          <t>PRD-0378</t>
        </is>
      </c>
      <c r="B382" s="8" t="inlineStr">
        <is>
          <t>QuantumByte Monitors &amp; Display Model-826</t>
        </is>
      </c>
      <c r="C382" s="8" t="inlineStr">
        <is>
          <t>Technology</t>
        </is>
      </c>
      <c r="D382" s="8" t="inlineStr">
        <is>
          <t>Monitors &amp; Displays</t>
        </is>
      </c>
      <c r="E382" s="8" t="inlineStr">
        <is>
          <t>QuantumByte</t>
        </is>
      </c>
      <c r="F382" s="9" t="n">
        <v>591.63</v>
      </c>
      <c r="G382" s="9" t="n">
        <v>850.11</v>
      </c>
      <c r="H382" s="9">
        <f>G382-F382</f>
        <v/>
      </c>
      <c r="I382" s="11">
        <f>IFERROR(H382/G382, 0)</f>
        <v/>
      </c>
      <c r="J382" s="8">
        <f>IF(G382&gt;=400, "High-End", IF(G382&gt;=100, "Mid-Tier", "Economy"))</f>
        <v/>
      </c>
      <c r="K382" s="8" t="n">
        <v>150</v>
      </c>
    </row>
    <row r="383">
      <c r="A383" s="8" t="inlineStr">
        <is>
          <t>PRD-0379</t>
        </is>
      </c>
      <c r="B383" s="8" t="inlineStr">
        <is>
          <t>Novacore Printers &amp; Networking Model-506</t>
        </is>
      </c>
      <c r="C383" s="8" t="inlineStr">
        <is>
          <t>Technology</t>
        </is>
      </c>
      <c r="D383" s="8" t="inlineStr">
        <is>
          <t>Printers &amp; Networking</t>
        </is>
      </c>
      <c r="E383" s="8" t="inlineStr">
        <is>
          <t>Novacore</t>
        </is>
      </c>
      <c r="F383" s="9" t="n">
        <v>462.03</v>
      </c>
      <c r="G383" s="9" t="n">
        <v>626.4</v>
      </c>
      <c r="H383" s="9">
        <f>G383-F383</f>
        <v/>
      </c>
      <c r="I383" s="11">
        <f>IFERROR(H383/G383, 0)</f>
        <v/>
      </c>
      <c r="J383" s="8">
        <f>IF(G383&gt;=400, "High-End", IF(G383&gt;=100, "Mid-Tier", "Economy"))</f>
        <v/>
      </c>
      <c r="K383" s="8" t="n">
        <v>100</v>
      </c>
    </row>
    <row r="384">
      <c r="A384" s="8" t="inlineStr">
        <is>
          <t>PRD-0380</t>
        </is>
      </c>
      <c r="B384" s="8" t="inlineStr">
        <is>
          <t>AeroWeave Corporate Apparel Model-405</t>
        </is>
      </c>
      <c r="C384" s="8" t="inlineStr">
        <is>
          <t>Apparel &amp; Gear</t>
        </is>
      </c>
      <c r="D384" s="8" t="inlineStr">
        <is>
          <t>Corporate Apparel</t>
        </is>
      </c>
      <c r="E384" s="8" t="inlineStr">
        <is>
          <t>AeroWeave</t>
        </is>
      </c>
      <c r="F384" s="9" t="n">
        <v>85.18000000000001</v>
      </c>
      <c r="G384" s="9" t="n">
        <v>141.11</v>
      </c>
      <c r="H384" s="9">
        <f>G384-F384</f>
        <v/>
      </c>
      <c r="I384" s="11">
        <f>IFERROR(H384/G384, 0)</f>
        <v/>
      </c>
      <c r="J384" s="8">
        <f>IF(G384&gt;=400, "High-End", IF(G384&gt;=100, "Mid-Tier", "Economy"))</f>
        <v/>
      </c>
      <c r="K384" s="8" t="n">
        <v>50</v>
      </c>
    </row>
    <row r="385">
      <c r="A385" s="8" t="inlineStr">
        <is>
          <t>PRD-0381</t>
        </is>
      </c>
      <c r="B385" s="8" t="inlineStr">
        <is>
          <t>NordicCraft Office Chair Model-405</t>
        </is>
      </c>
      <c r="C385" s="8" t="inlineStr">
        <is>
          <t>Furniture</t>
        </is>
      </c>
      <c r="D385" s="8" t="inlineStr">
        <is>
          <t>Office Chairs</t>
        </is>
      </c>
      <c r="E385" s="8" t="inlineStr">
        <is>
          <t>NordicCraft</t>
        </is>
      </c>
      <c r="F385" s="9" t="n">
        <v>202.99</v>
      </c>
      <c r="G385" s="9" t="n">
        <v>321.45</v>
      </c>
      <c r="H385" s="9">
        <f>G385-F385</f>
        <v/>
      </c>
      <c r="I385" s="11">
        <f>IFERROR(H385/G385, 0)</f>
        <v/>
      </c>
      <c r="J385" s="8">
        <f>IF(G385&gt;=400, "High-End", IF(G385&gt;=100, "Mid-Tier", "Economy"))</f>
        <v/>
      </c>
      <c r="K385" s="8" t="n">
        <v>150</v>
      </c>
    </row>
    <row r="386">
      <c r="A386" s="8" t="inlineStr">
        <is>
          <t>PRD-0382</t>
        </is>
      </c>
      <c r="B386" s="8" t="inlineStr">
        <is>
          <t>ApexGear Corporate Apparel Model-838</t>
        </is>
      </c>
      <c r="C386" s="8" t="inlineStr">
        <is>
          <t>Apparel &amp; Gear</t>
        </is>
      </c>
      <c r="D386" s="8" t="inlineStr">
        <is>
          <t>Corporate Apparel</t>
        </is>
      </c>
      <c r="E386" s="8" t="inlineStr">
        <is>
          <t>ApexGear</t>
        </is>
      </c>
      <c r="F386" s="9" t="n">
        <v>65.51000000000001</v>
      </c>
      <c r="G386" s="9" t="n">
        <v>104.39</v>
      </c>
      <c r="H386" s="9">
        <f>G386-F386</f>
        <v/>
      </c>
      <c r="I386" s="11">
        <f>IFERROR(H386/G386, 0)</f>
        <v/>
      </c>
      <c r="J386" s="8">
        <f>IF(G386&gt;=400, "High-End", IF(G386&gt;=100, "Mid-Tier", "Economy"))</f>
        <v/>
      </c>
      <c r="K386" s="8" t="n">
        <v>35</v>
      </c>
    </row>
    <row r="387">
      <c r="A387" s="8" t="inlineStr">
        <is>
          <t>PRD-0383</t>
        </is>
      </c>
      <c r="B387" s="8" t="inlineStr">
        <is>
          <t>ModuDesk Standing Desk Model-935</t>
        </is>
      </c>
      <c r="C387" s="8" t="inlineStr">
        <is>
          <t>Furniture</t>
        </is>
      </c>
      <c r="D387" s="8" t="inlineStr">
        <is>
          <t>Standing Desks</t>
        </is>
      </c>
      <c r="E387" s="8" t="inlineStr">
        <is>
          <t>ModuDesk</t>
        </is>
      </c>
      <c r="F387" s="9" t="n">
        <v>490.72</v>
      </c>
      <c r="G387" s="9" t="n">
        <v>752.8099999999999</v>
      </c>
      <c r="H387" s="9">
        <f>G387-F387</f>
        <v/>
      </c>
      <c r="I387" s="11">
        <f>IFERROR(H387/G387, 0)</f>
        <v/>
      </c>
      <c r="J387" s="8">
        <f>IF(G387&gt;=400, "High-End", IF(G387&gt;=100, "Mid-Tier", "Economy"))</f>
        <v/>
      </c>
      <c r="K387" s="8" t="n">
        <v>100</v>
      </c>
    </row>
    <row r="388">
      <c r="A388" s="8" t="inlineStr">
        <is>
          <t>PRD-0384</t>
        </is>
      </c>
      <c r="B388" s="8" t="inlineStr">
        <is>
          <t>EcoPaper Desk Accessorie Model-407</t>
        </is>
      </c>
      <c r="C388" s="8" t="inlineStr">
        <is>
          <t>Office Supplies</t>
        </is>
      </c>
      <c r="D388" s="8" t="inlineStr">
        <is>
          <t>Desk Accessories</t>
        </is>
      </c>
      <c r="E388" s="8" t="inlineStr">
        <is>
          <t>EcoPaper</t>
        </is>
      </c>
      <c r="F388" s="9" t="n">
        <v>41.21</v>
      </c>
      <c r="G388" s="9" t="n">
        <v>68.18000000000001</v>
      </c>
      <c r="H388" s="9">
        <f>G388-F388</f>
        <v/>
      </c>
      <c r="I388" s="11">
        <f>IFERROR(H388/G388, 0)</f>
        <v/>
      </c>
      <c r="J388" s="8">
        <f>IF(G388&gt;=400, "High-End", IF(G388&gt;=100, "Mid-Tier", "Economy"))</f>
        <v/>
      </c>
      <c r="K388" s="8" t="n">
        <v>100</v>
      </c>
    </row>
    <row r="389">
      <c r="A389" s="8" t="inlineStr">
        <is>
          <t>PRD-0385</t>
        </is>
      </c>
      <c r="B389" s="8" t="inlineStr">
        <is>
          <t>ZenithLogix Smartphones &amp; Accessorie Model-881</t>
        </is>
      </c>
      <c r="C389" s="8" t="inlineStr">
        <is>
          <t>Technology</t>
        </is>
      </c>
      <c r="D389" s="8" t="inlineStr">
        <is>
          <t>Smartphones &amp; Accessories</t>
        </is>
      </c>
      <c r="E389" s="8" t="inlineStr">
        <is>
          <t>ZenithLogix</t>
        </is>
      </c>
      <c r="F389" s="9" t="n">
        <v>152.07</v>
      </c>
      <c r="G389" s="9" t="n">
        <v>209.78</v>
      </c>
      <c r="H389" s="9">
        <f>G389-F389</f>
        <v/>
      </c>
      <c r="I389" s="11">
        <f>IFERROR(H389/G389, 0)</f>
        <v/>
      </c>
      <c r="J389" s="8">
        <f>IF(G389&gt;=400, "High-End", IF(G389&gt;=100, "Mid-Tier", "Economy"))</f>
        <v/>
      </c>
      <c r="K389" s="8" t="n">
        <v>100</v>
      </c>
    </row>
    <row r="390">
      <c r="A390" s="8" t="inlineStr">
        <is>
          <t>PRD-0386</t>
        </is>
      </c>
      <c r="B390" s="8" t="inlineStr">
        <is>
          <t>QuantumByte Monitors &amp; Display Model-907</t>
        </is>
      </c>
      <c r="C390" s="8" t="inlineStr">
        <is>
          <t>Technology</t>
        </is>
      </c>
      <c r="D390" s="8" t="inlineStr">
        <is>
          <t>Monitors &amp; Displays</t>
        </is>
      </c>
      <c r="E390" s="8" t="inlineStr">
        <is>
          <t>QuantumByte</t>
        </is>
      </c>
      <c r="F390" s="9" t="n">
        <v>239.35</v>
      </c>
      <c r="G390" s="9" t="n">
        <v>339.98</v>
      </c>
      <c r="H390" s="9">
        <f>G390-F390</f>
        <v/>
      </c>
      <c r="I390" s="11">
        <f>IFERROR(H390/G390, 0)</f>
        <v/>
      </c>
      <c r="J390" s="8">
        <f>IF(G390&gt;=400, "High-End", IF(G390&gt;=100, "Mid-Tier", "Economy"))</f>
        <v/>
      </c>
      <c r="K390" s="8" t="n">
        <v>75</v>
      </c>
    </row>
    <row r="391">
      <c r="A391" s="8" t="inlineStr">
        <is>
          <t>PRD-0387</t>
        </is>
      </c>
      <c r="B391" s="8" t="inlineStr">
        <is>
          <t>ZenithLogix Smartphones &amp; Accessorie Model-735</t>
        </is>
      </c>
      <c r="C391" s="8" t="inlineStr">
        <is>
          <t>Technology</t>
        </is>
      </c>
      <c r="D391" s="8" t="inlineStr">
        <is>
          <t>Smartphones &amp; Accessories</t>
        </is>
      </c>
      <c r="E391" s="8" t="inlineStr">
        <is>
          <t>ZenithLogix</t>
        </is>
      </c>
      <c r="F391" s="9" t="n">
        <v>84.11</v>
      </c>
      <c r="G391" s="9" t="n">
        <v>123.3</v>
      </c>
      <c r="H391" s="9">
        <f>G391-F391</f>
        <v/>
      </c>
      <c r="I391" s="11">
        <f>IFERROR(H391/G391, 0)</f>
        <v/>
      </c>
      <c r="J391" s="8">
        <f>IF(G391&gt;=400, "High-End", IF(G391&gt;=100, "Mid-Tier", "Economy"))</f>
        <v/>
      </c>
      <c r="K391" s="8" t="n">
        <v>100</v>
      </c>
    </row>
    <row r="392">
      <c r="A392" s="8" t="inlineStr">
        <is>
          <t>PRD-0388</t>
        </is>
      </c>
      <c r="B392" s="8" t="inlineStr">
        <is>
          <t>Kinetix Standing Desk Model-240</t>
        </is>
      </c>
      <c r="C392" s="8" t="inlineStr">
        <is>
          <t>Furniture</t>
        </is>
      </c>
      <c r="D392" s="8" t="inlineStr">
        <is>
          <t>Standing Desks</t>
        </is>
      </c>
      <c r="E392" s="8" t="inlineStr">
        <is>
          <t>Kinetix</t>
        </is>
      </c>
      <c r="F392" s="9" t="n">
        <v>225.51</v>
      </c>
      <c r="G392" s="9" t="n">
        <v>318.52</v>
      </c>
      <c r="H392" s="9">
        <f>G392-F392</f>
        <v/>
      </c>
      <c r="I392" s="11">
        <f>IFERROR(H392/G392, 0)</f>
        <v/>
      </c>
      <c r="J392" s="8">
        <f>IF(G392&gt;=400, "High-End", IF(G392&gt;=100, "Mid-Tier", "Economy"))</f>
        <v/>
      </c>
      <c r="K392" s="8" t="n">
        <v>35</v>
      </c>
    </row>
    <row r="393">
      <c r="A393" s="8" t="inlineStr">
        <is>
          <t>PRD-0389</t>
        </is>
      </c>
      <c r="B393" s="8" t="inlineStr">
        <is>
          <t>SteelForm Bookcases &amp; Storage Model-599</t>
        </is>
      </c>
      <c r="C393" s="8" t="inlineStr">
        <is>
          <t>Furniture</t>
        </is>
      </c>
      <c r="D393" s="8" t="inlineStr">
        <is>
          <t>Bookcases &amp; Storage</t>
        </is>
      </c>
      <c r="E393" s="8" t="inlineStr">
        <is>
          <t>SteelForm</t>
        </is>
      </c>
      <c r="F393" s="9" t="n">
        <v>236.41</v>
      </c>
      <c r="G393" s="9" t="n">
        <v>355.7</v>
      </c>
      <c r="H393" s="9">
        <f>G393-F393</f>
        <v/>
      </c>
      <c r="I393" s="11">
        <f>IFERROR(H393/G393, 0)</f>
        <v/>
      </c>
      <c r="J393" s="8">
        <f>IF(G393&gt;=400, "High-End", IF(G393&gt;=100, "Mid-Tier", "Economy"))</f>
        <v/>
      </c>
      <c r="K393" s="8" t="n">
        <v>20</v>
      </c>
    </row>
    <row r="394">
      <c r="A394" s="8" t="inlineStr">
        <is>
          <t>PRD-0390</t>
        </is>
      </c>
      <c r="B394" s="8" t="inlineStr">
        <is>
          <t>NordicCraft Bookcases &amp; Storage Model-882</t>
        </is>
      </c>
      <c r="C394" s="8" t="inlineStr">
        <is>
          <t>Furniture</t>
        </is>
      </c>
      <c r="D394" s="8" t="inlineStr">
        <is>
          <t>Bookcases &amp; Storage</t>
        </is>
      </c>
      <c r="E394" s="8" t="inlineStr">
        <is>
          <t>NordicCraft</t>
        </is>
      </c>
      <c r="F394" s="9" t="n">
        <v>171.68</v>
      </c>
      <c r="G394" s="9" t="n">
        <v>260.6</v>
      </c>
      <c r="H394" s="9">
        <f>G394-F394</f>
        <v/>
      </c>
      <c r="I394" s="11">
        <f>IFERROR(H394/G394, 0)</f>
        <v/>
      </c>
      <c r="J394" s="8">
        <f>IF(G394&gt;=400, "High-End", IF(G394&gt;=100, "Mid-Tier", "Economy"))</f>
        <v/>
      </c>
      <c r="K394" s="8" t="n">
        <v>100</v>
      </c>
    </row>
    <row r="395">
      <c r="A395" s="8" t="inlineStr">
        <is>
          <t>PRD-0391</t>
        </is>
      </c>
      <c r="B395" s="8" t="inlineStr">
        <is>
          <t>ModuDesk Standing Desk Model-104</t>
        </is>
      </c>
      <c r="C395" s="8" t="inlineStr">
        <is>
          <t>Furniture</t>
        </is>
      </c>
      <c r="D395" s="8" t="inlineStr">
        <is>
          <t>Standing Desks</t>
        </is>
      </c>
      <c r="E395" s="8" t="inlineStr">
        <is>
          <t>ModuDesk</t>
        </is>
      </c>
      <c r="F395" s="9" t="n">
        <v>289.05</v>
      </c>
      <c r="G395" s="9" t="n">
        <v>468.85</v>
      </c>
      <c r="H395" s="9">
        <f>G395-F395</f>
        <v/>
      </c>
      <c r="I395" s="11">
        <f>IFERROR(H395/G395, 0)</f>
        <v/>
      </c>
      <c r="J395" s="8">
        <f>IF(G395&gt;=400, "High-End", IF(G395&gt;=100, "Mid-Tier", "Economy"))</f>
        <v/>
      </c>
      <c r="K395" s="8" t="n">
        <v>75</v>
      </c>
    </row>
    <row r="396">
      <c r="A396" s="8" t="inlineStr">
        <is>
          <t>PRD-0392</t>
        </is>
      </c>
      <c r="B396" s="8" t="inlineStr">
        <is>
          <t>Kinetix Office Chair Model-851</t>
        </is>
      </c>
      <c r="C396" s="8" t="inlineStr">
        <is>
          <t>Furniture</t>
        </is>
      </c>
      <c r="D396" s="8" t="inlineStr">
        <is>
          <t>Office Chairs</t>
        </is>
      </c>
      <c r="E396" s="8" t="inlineStr">
        <is>
          <t>Kinetix</t>
        </is>
      </c>
      <c r="F396" s="9" t="n">
        <v>160.3</v>
      </c>
      <c r="G396" s="9" t="n">
        <v>252.58</v>
      </c>
      <c r="H396" s="9">
        <f>G396-F396</f>
        <v/>
      </c>
      <c r="I396" s="11">
        <f>IFERROR(H396/G396, 0)</f>
        <v/>
      </c>
      <c r="J396" s="8">
        <f>IF(G396&gt;=400, "High-End", IF(G396&gt;=100, "Mid-Tier", "Economy"))</f>
        <v/>
      </c>
      <c r="K396" s="8" t="n">
        <v>150</v>
      </c>
    </row>
    <row r="397">
      <c r="A397" s="8" t="inlineStr">
        <is>
          <t>PRD-0393</t>
        </is>
      </c>
      <c r="B397" s="8" t="inlineStr">
        <is>
          <t>Kinetix Standing Desk Model-405</t>
        </is>
      </c>
      <c r="C397" s="8" t="inlineStr">
        <is>
          <t>Furniture</t>
        </is>
      </c>
      <c r="D397" s="8" t="inlineStr">
        <is>
          <t>Standing Desks</t>
        </is>
      </c>
      <c r="E397" s="8" t="inlineStr">
        <is>
          <t>Kinetix</t>
        </is>
      </c>
      <c r="F397" s="9" t="n">
        <v>401.15</v>
      </c>
      <c r="G397" s="9" t="n">
        <v>577.02</v>
      </c>
      <c r="H397" s="9">
        <f>G397-F397</f>
        <v/>
      </c>
      <c r="I397" s="11">
        <f>IFERROR(H397/G397, 0)</f>
        <v/>
      </c>
      <c r="J397" s="8">
        <f>IF(G397&gt;=400, "High-End", IF(G397&gt;=100, "Mid-Tier", "Economy"))</f>
        <v/>
      </c>
      <c r="K397" s="8" t="n">
        <v>20</v>
      </c>
    </row>
    <row r="398">
      <c r="A398" s="8" t="inlineStr">
        <is>
          <t>PRD-0394</t>
        </is>
      </c>
      <c r="B398" s="8" t="inlineStr">
        <is>
          <t>SteelForm Standing Desk Model-868</t>
        </is>
      </c>
      <c r="C398" s="8" t="inlineStr">
        <is>
          <t>Furniture</t>
        </is>
      </c>
      <c r="D398" s="8" t="inlineStr">
        <is>
          <t>Standing Desks</t>
        </is>
      </c>
      <c r="E398" s="8" t="inlineStr">
        <is>
          <t>SteelForm</t>
        </is>
      </c>
      <c r="F398" s="9" t="n">
        <v>252.35</v>
      </c>
      <c r="G398" s="9" t="n">
        <v>405.61</v>
      </c>
      <c r="H398" s="9">
        <f>G398-F398</f>
        <v/>
      </c>
      <c r="I398" s="11">
        <f>IFERROR(H398/G398, 0)</f>
        <v/>
      </c>
      <c r="J398" s="8">
        <f>IF(G398&gt;=400, "High-End", IF(G398&gt;=100, "Mid-Tier", "Economy"))</f>
        <v/>
      </c>
      <c r="K398" s="8" t="n">
        <v>50</v>
      </c>
    </row>
    <row r="399">
      <c r="A399" s="8" t="inlineStr">
        <is>
          <t>PRD-0395</t>
        </is>
      </c>
      <c r="B399" s="8" t="inlineStr">
        <is>
          <t>Novacore Monitors &amp; Display Model-122</t>
        </is>
      </c>
      <c r="C399" s="8" t="inlineStr">
        <is>
          <t>Technology</t>
        </is>
      </c>
      <c r="D399" s="8" t="inlineStr">
        <is>
          <t>Monitors &amp; Displays</t>
        </is>
      </c>
      <c r="E399" s="8" t="inlineStr">
        <is>
          <t>Novacore</t>
        </is>
      </c>
      <c r="F399" s="9" t="n">
        <v>700.36</v>
      </c>
      <c r="G399" s="9" t="n">
        <v>875.5700000000001</v>
      </c>
      <c r="H399" s="9">
        <f>G399-F399</f>
        <v/>
      </c>
      <c r="I399" s="11">
        <f>IFERROR(H399/G399, 0)</f>
        <v/>
      </c>
      <c r="J399" s="8">
        <f>IF(G399&gt;=400, "High-End", IF(G399&gt;=100, "Mid-Tier", "Economy"))</f>
        <v/>
      </c>
      <c r="K399" s="8" t="n">
        <v>150</v>
      </c>
    </row>
    <row r="400">
      <c r="A400" s="8" t="inlineStr">
        <is>
          <t>PRD-0396</t>
        </is>
      </c>
      <c r="B400" s="8" t="inlineStr">
        <is>
          <t>ZenithLogix Laptops &amp; Desktop Model-738</t>
        </is>
      </c>
      <c r="C400" s="8" t="inlineStr">
        <is>
          <t>Technology</t>
        </is>
      </c>
      <c r="D400" s="8" t="inlineStr">
        <is>
          <t>Laptops &amp; Desktops</t>
        </is>
      </c>
      <c r="E400" s="8" t="inlineStr">
        <is>
          <t>ZenithLogix</t>
        </is>
      </c>
      <c r="F400" s="9" t="n">
        <v>837.04</v>
      </c>
      <c r="G400" s="9" t="n">
        <v>1112.29</v>
      </c>
      <c r="H400" s="9">
        <f>G400-F400</f>
        <v/>
      </c>
      <c r="I400" s="11">
        <f>IFERROR(H400/G400, 0)</f>
        <v/>
      </c>
      <c r="J400" s="8">
        <f>IF(G400&gt;=400, "High-End", IF(G400&gt;=100, "Mid-Tier", "Economy"))</f>
        <v/>
      </c>
      <c r="K400" s="8" t="n">
        <v>100</v>
      </c>
    </row>
    <row r="401">
      <c r="A401" s="8" t="inlineStr">
        <is>
          <t>PRD-0397</t>
        </is>
      </c>
      <c r="B401" s="8" t="inlineStr">
        <is>
          <t>ApexTech Laptops &amp; Desktop Model-226</t>
        </is>
      </c>
      <c r="C401" s="8" t="inlineStr">
        <is>
          <t>Technology</t>
        </is>
      </c>
      <c r="D401" s="8" t="inlineStr">
        <is>
          <t>Laptops &amp; Desktops</t>
        </is>
      </c>
      <c r="E401" s="8" t="inlineStr">
        <is>
          <t>ApexTech</t>
        </is>
      </c>
      <c r="F401" s="9" t="n">
        <v>666.12</v>
      </c>
      <c r="G401" s="9" t="n">
        <v>909.83</v>
      </c>
      <c r="H401" s="9">
        <f>G401-F401</f>
        <v/>
      </c>
      <c r="I401" s="11">
        <f>IFERROR(H401/G401, 0)</f>
        <v/>
      </c>
      <c r="J401" s="8">
        <f>IF(G401&gt;=400, "High-End", IF(G401&gt;=100, "Mid-Tier", "Economy"))</f>
        <v/>
      </c>
      <c r="K401" s="8" t="n">
        <v>75</v>
      </c>
    </row>
    <row r="402">
      <c r="A402" s="8" t="inlineStr">
        <is>
          <t>PRD-0398</t>
        </is>
      </c>
      <c r="B402" s="8" t="inlineStr">
        <is>
          <t>OptimaPrint Pens, Inks &amp; Marker Model-632</t>
        </is>
      </c>
      <c r="C402" s="8" t="inlineStr">
        <is>
          <t>Office Supplies</t>
        </is>
      </c>
      <c r="D402" s="8" t="inlineStr">
        <is>
          <t>Pens, Inks &amp; Markers</t>
        </is>
      </c>
      <c r="E402" s="8" t="inlineStr">
        <is>
          <t>OptimaPrint</t>
        </is>
      </c>
      <c r="F402" s="9" t="n">
        <v>16.7</v>
      </c>
      <c r="G402" s="9" t="n">
        <v>28.76</v>
      </c>
      <c r="H402" s="9">
        <f>G402-F402</f>
        <v/>
      </c>
      <c r="I402" s="11">
        <f>IFERROR(H402/G402, 0)</f>
        <v/>
      </c>
      <c r="J402" s="8">
        <f>IF(G402&gt;=400, "High-End", IF(G402&gt;=100, "Mid-Tier", "Economy"))</f>
        <v/>
      </c>
      <c r="K402" s="8" t="n">
        <v>150</v>
      </c>
    </row>
    <row r="403">
      <c r="A403" s="8" t="inlineStr">
        <is>
          <t>PRD-0399</t>
        </is>
      </c>
      <c r="B403" s="8" t="inlineStr">
        <is>
          <t>AeroSonic Smartphones &amp; Accessorie Model-903</t>
        </is>
      </c>
      <c r="C403" s="8" t="inlineStr">
        <is>
          <t>Technology</t>
        </is>
      </c>
      <c r="D403" s="8" t="inlineStr">
        <is>
          <t>Smartphones &amp; Accessories</t>
        </is>
      </c>
      <c r="E403" s="8" t="inlineStr">
        <is>
          <t>AeroSonic</t>
        </is>
      </c>
      <c r="F403" s="9" t="n">
        <v>692.67</v>
      </c>
      <c r="G403" s="9" t="n">
        <v>933.08</v>
      </c>
      <c r="H403" s="9">
        <f>G403-F403</f>
        <v/>
      </c>
      <c r="I403" s="11">
        <f>IFERROR(H403/G403, 0)</f>
        <v/>
      </c>
      <c r="J403" s="8">
        <f>IF(G403&gt;=400, "High-End", IF(G403&gt;=100, "Mid-Tier", "Economy"))</f>
        <v/>
      </c>
      <c r="K403" s="8" t="n">
        <v>20</v>
      </c>
    </row>
    <row r="404">
      <c r="A404" s="8" t="inlineStr">
        <is>
          <t>PRD-0400</t>
        </is>
      </c>
      <c r="B404" s="8" t="inlineStr">
        <is>
          <t>SteelForm Conference Table Model-140</t>
        </is>
      </c>
      <c r="C404" s="8" t="inlineStr">
        <is>
          <t>Furniture</t>
        </is>
      </c>
      <c r="D404" s="8" t="inlineStr">
        <is>
          <t>Conference Tables</t>
        </is>
      </c>
      <c r="E404" s="8" t="inlineStr">
        <is>
          <t>SteelForm</t>
        </is>
      </c>
      <c r="F404" s="9" t="n">
        <v>261.54</v>
      </c>
      <c r="G404" s="9" t="n">
        <v>409.11</v>
      </c>
      <c r="H404" s="9">
        <f>G404-F404</f>
        <v/>
      </c>
      <c r="I404" s="11">
        <f>IFERROR(H404/G404, 0)</f>
        <v/>
      </c>
      <c r="J404" s="8">
        <f>IF(G404&gt;=400, "High-End", IF(G404&gt;=100, "Mid-Tier", "Economy"))</f>
        <v/>
      </c>
      <c r="K404" s="8" t="n">
        <v>35</v>
      </c>
    </row>
    <row r="405">
      <c r="A405" s="8" t="inlineStr">
        <is>
          <t>PRD-0401</t>
        </is>
      </c>
      <c r="B405" s="8" t="inlineStr">
        <is>
          <t>ApexTech Monitors &amp; Display Model-955</t>
        </is>
      </c>
      <c r="C405" s="8" t="inlineStr">
        <is>
          <t>Technology</t>
        </is>
      </c>
      <c r="D405" s="8" t="inlineStr">
        <is>
          <t>Monitors &amp; Displays</t>
        </is>
      </c>
      <c r="E405" s="8" t="inlineStr">
        <is>
          <t>ApexTech</t>
        </is>
      </c>
      <c r="F405" s="9" t="n">
        <v>46.67</v>
      </c>
      <c r="G405" s="9" t="n">
        <v>57.89</v>
      </c>
      <c r="H405" s="9">
        <f>G405-F405</f>
        <v/>
      </c>
      <c r="I405" s="11">
        <f>IFERROR(H405/G405, 0)</f>
        <v/>
      </c>
      <c r="J405" s="8">
        <f>IF(G405&gt;=400, "High-End", IF(G405&gt;=100, "Mid-Tier", "Economy"))</f>
        <v/>
      </c>
      <c r="K405" s="8" t="n">
        <v>20</v>
      </c>
    </row>
    <row r="406">
      <c r="A406" s="8" t="inlineStr">
        <is>
          <t>PRD-0402</t>
        </is>
      </c>
      <c r="B406" s="8" t="inlineStr">
        <is>
          <t>Hyperion Smartphones &amp; Accessorie Model-336</t>
        </is>
      </c>
      <c r="C406" s="8" t="inlineStr">
        <is>
          <t>Technology</t>
        </is>
      </c>
      <c r="D406" s="8" t="inlineStr">
        <is>
          <t>Smartphones &amp; Accessories</t>
        </is>
      </c>
      <c r="E406" s="8" t="inlineStr">
        <is>
          <t>Hyperion</t>
        </is>
      </c>
      <c r="F406" s="9" t="n">
        <v>697.0700000000001</v>
      </c>
      <c r="G406" s="9" t="n">
        <v>1065.19</v>
      </c>
      <c r="H406" s="9">
        <f>G406-F406</f>
        <v/>
      </c>
      <c r="I406" s="11">
        <f>IFERROR(H406/G406, 0)</f>
        <v/>
      </c>
      <c r="J406" s="8">
        <f>IF(G406&gt;=400, "High-End", IF(G406&gt;=100, "Mid-Tier", "Economy"))</f>
        <v/>
      </c>
      <c r="K406" s="8" t="n">
        <v>150</v>
      </c>
    </row>
    <row r="407">
      <c r="A407" s="8" t="inlineStr">
        <is>
          <t>PRD-0403</t>
        </is>
      </c>
      <c r="B407" s="8" t="inlineStr">
        <is>
          <t>VanguardPro Corporate Apparel Model-920</t>
        </is>
      </c>
      <c r="C407" s="8" t="inlineStr">
        <is>
          <t>Apparel &amp; Gear</t>
        </is>
      </c>
      <c r="D407" s="8" t="inlineStr">
        <is>
          <t>Corporate Apparel</t>
        </is>
      </c>
      <c r="E407" s="8" t="inlineStr">
        <is>
          <t>VanguardPro</t>
        </is>
      </c>
      <c r="F407" s="9" t="n">
        <v>124.27</v>
      </c>
      <c r="G407" s="9" t="n">
        <v>213.25</v>
      </c>
      <c r="H407" s="9">
        <f>G407-F407</f>
        <v/>
      </c>
      <c r="I407" s="11">
        <f>IFERROR(H407/G407, 0)</f>
        <v/>
      </c>
      <c r="J407" s="8">
        <f>IF(G407&gt;=400, "High-End", IF(G407&gt;=100, "Mid-Tier", "Economy"))</f>
        <v/>
      </c>
      <c r="K407" s="8" t="n">
        <v>50</v>
      </c>
    </row>
    <row r="408">
      <c r="A408" s="8" t="inlineStr">
        <is>
          <t>PRD-0404</t>
        </is>
      </c>
      <c r="B408" s="8" t="inlineStr">
        <is>
          <t>UrbanShield Backpacks &amp; Laptop Bag Model-274</t>
        </is>
      </c>
      <c r="C408" s="8" t="inlineStr">
        <is>
          <t>Apparel &amp; Gear</t>
        </is>
      </c>
      <c r="D408" s="8" t="inlineStr">
        <is>
          <t>Backpacks &amp; Laptop Bags</t>
        </is>
      </c>
      <c r="E408" s="8" t="inlineStr">
        <is>
          <t>UrbanShield</t>
        </is>
      </c>
      <c r="F408" s="9" t="n">
        <v>16.21</v>
      </c>
      <c r="G408" s="9" t="n">
        <v>23.86</v>
      </c>
      <c r="H408" s="9">
        <f>G408-F408</f>
        <v/>
      </c>
      <c r="I408" s="11">
        <f>IFERROR(H408/G408, 0)</f>
        <v/>
      </c>
      <c r="J408" s="8">
        <f>IF(G408&gt;=400, "High-End", IF(G408&gt;=100, "Mid-Tier", "Economy"))</f>
        <v/>
      </c>
      <c r="K408" s="8" t="n">
        <v>150</v>
      </c>
    </row>
    <row r="409">
      <c r="A409" s="8" t="inlineStr">
        <is>
          <t>PRD-0405</t>
        </is>
      </c>
      <c r="B409" s="8" t="inlineStr">
        <is>
          <t>OptimaPrint Storage &amp; Organization Model-510</t>
        </is>
      </c>
      <c r="C409" s="8" t="inlineStr">
        <is>
          <t>Office Supplies</t>
        </is>
      </c>
      <c r="D409" s="8" t="inlineStr">
        <is>
          <t>Storage &amp; Organization</t>
        </is>
      </c>
      <c r="E409" s="8" t="inlineStr">
        <is>
          <t>OptimaPrint</t>
        </is>
      </c>
      <c r="F409" s="9" t="n">
        <v>19.59</v>
      </c>
      <c r="G409" s="9" t="n">
        <v>29.36</v>
      </c>
      <c r="H409" s="9">
        <f>G409-F409</f>
        <v/>
      </c>
      <c r="I409" s="11">
        <f>IFERROR(H409/G409, 0)</f>
        <v/>
      </c>
      <c r="J409" s="8">
        <f>IF(G409&gt;=400, "High-End", IF(G409&gt;=100, "Mid-Tier", "Economy"))</f>
        <v/>
      </c>
      <c r="K409" s="8" t="n">
        <v>20</v>
      </c>
    </row>
    <row r="410">
      <c r="A410" s="8" t="inlineStr">
        <is>
          <t>PRD-0406</t>
        </is>
      </c>
      <c r="B410" s="8" t="inlineStr">
        <is>
          <t>ModuDesk Bookcases &amp; Storage Model-235</t>
        </is>
      </c>
      <c r="C410" s="8" t="inlineStr">
        <is>
          <t>Furniture</t>
        </is>
      </c>
      <c r="D410" s="8" t="inlineStr">
        <is>
          <t>Bookcases &amp; Storage</t>
        </is>
      </c>
      <c r="E410" s="8" t="inlineStr">
        <is>
          <t>ModuDesk</t>
        </is>
      </c>
      <c r="F410" s="9" t="n">
        <v>437.55</v>
      </c>
      <c r="G410" s="9" t="n">
        <v>666.52</v>
      </c>
      <c r="H410" s="9">
        <f>G410-F410</f>
        <v/>
      </c>
      <c r="I410" s="11">
        <f>IFERROR(H410/G410, 0)</f>
        <v/>
      </c>
      <c r="J410" s="8">
        <f>IF(G410&gt;=400, "High-End", IF(G410&gt;=100, "Mid-Tier", "Economy"))</f>
        <v/>
      </c>
      <c r="K410" s="8" t="n">
        <v>20</v>
      </c>
    </row>
    <row r="411">
      <c r="A411" s="8" t="inlineStr">
        <is>
          <t>PRD-0407</t>
        </is>
      </c>
      <c r="B411" s="8" t="inlineStr">
        <is>
          <t>Kinetix Standing Desk Model-285</t>
        </is>
      </c>
      <c r="C411" s="8" t="inlineStr">
        <is>
          <t>Furniture</t>
        </is>
      </c>
      <c r="D411" s="8" t="inlineStr">
        <is>
          <t>Standing Desks</t>
        </is>
      </c>
      <c r="E411" s="8" t="inlineStr">
        <is>
          <t>Kinetix</t>
        </is>
      </c>
      <c r="F411" s="9" t="n">
        <v>337.02</v>
      </c>
      <c r="G411" s="9" t="n">
        <v>515.9299999999999</v>
      </c>
      <c r="H411" s="9">
        <f>G411-F411</f>
        <v/>
      </c>
      <c r="I411" s="11">
        <f>IFERROR(H411/G411, 0)</f>
        <v/>
      </c>
      <c r="J411" s="8">
        <f>IF(G411&gt;=400, "High-End", IF(G411&gt;=100, "Mid-Tier", "Economy"))</f>
        <v/>
      </c>
      <c r="K411" s="8" t="n">
        <v>75</v>
      </c>
    </row>
    <row r="412">
      <c r="A412" s="8" t="inlineStr">
        <is>
          <t>PRD-0408</t>
        </is>
      </c>
      <c r="B412" s="8" t="inlineStr">
        <is>
          <t>VanguardPro Backpacks &amp; Laptop Bag Model-551</t>
        </is>
      </c>
      <c r="C412" s="8" t="inlineStr">
        <is>
          <t>Apparel &amp; Gear</t>
        </is>
      </c>
      <c r="D412" s="8" t="inlineStr">
        <is>
          <t>Backpacks &amp; Laptop Bags</t>
        </is>
      </c>
      <c r="E412" s="8" t="inlineStr">
        <is>
          <t>VanguardPro</t>
        </is>
      </c>
      <c r="F412" s="9" t="n">
        <v>75.38</v>
      </c>
      <c r="G412" s="9" t="n">
        <v>117.01</v>
      </c>
      <c r="H412" s="9">
        <f>G412-F412</f>
        <v/>
      </c>
      <c r="I412" s="11">
        <f>IFERROR(H412/G412, 0)</f>
        <v/>
      </c>
      <c r="J412" s="8">
        <f>IF(G412&gt;=400, "High-End", IF(G412&gt;=100, "Mid-Tier", "Economy"))</f>
        <v/>
      </c>
      <c r="K412" s="8" t="n">
        <v>75</v>
      </c>
    </row>
    <row r="413">
      <c r="A413" s="8" t="inlineStr">
        <is>
          <t>PRD-0409</t>
        </is>
      </c>
      <c r="B413" s="8" t="inlineStr">
        <is>
          <t>SafeKeep Pens, Inks &amp; Marker Model-329</t>
        </is>
      </c>
      <c r="C413" s="8" t="inlineStr">
        <is>
          <t>Office Supplies</t>
        </is>
      </c>
      <c r="D413" s="8" t="inlineStr">
        <is>
          <t>Pens, Inks &amp; Markers</t>
        </is>
      </c>
      <c r="E413" s="8" t="inlineStr">
        <is>
          <t>SafeKeep</t>
        </is>
      </c>
      <c r="F413" s="9" t="n">
        <v>35.58</v>
      </c>
      <c r="G413" s="9" t="n">
        <v>60.58</v>
      </c>
      <c r="H413" s="9">
        <f>G413-F413</f>
        <v/>
      </c>
      <c r="I413" s="11">
        <f>IFERROR(H413/G413, 0)</f>
        <v/>
      </c>
      <c r="J413" s="8">
        <f>IF(G413&gt;=400, "High-End", IF(G413&gt;=100, "Mid-Tier", "Economy"))</f>
        <v/>
      </c>
      <c r="K413" s="8" t="n">
        <v>100</v>
      </c>
    </row>
    <row r="414">
      <c r="A414" s="8" t="inlineStr">
        <is>
          <t>PRD-0410</t>
        </is>
      </c>
      <c r="B414" s="8" t="inlineStr">
        <is>
          <t>SafeKeep Storage &amp; Organization Model-593</t>
        </is>
      </c>
      <c r="C414" s="8" t="inlineStr">
        <is>
          <t>Office Supplies</t>
        </is>
      </c>
      <c r="D414" s="8" t="inlineStr">
        <is>
          <t>Storage &amp; Organization</t>
        </is>
      </c>
      <c r="E414" s="8" t="inlineStr">
        <is>
          <t>SafeKeep</t>
        </is>
      </c>
      <c r="F414" s="9" t="n">
        <v>8.359999999999999</v>
      </c>
      <c r="G414" s="9" t="n">
        <v>13.14</v>
      </c>
      <c r="H414" s="9">
        <f>G414-F414</f>
        <v/>
      </c>
      <c r="I414" s="11">
        <f>IFERROR(H414/G414, 0)</f>
        <v/>
      </c>
      <c r="J414" s="8">
        <f>IF(G414&gt;=400, "High-End", IF(G414&gt;=100, "Mid-Tier", "Economy"))</f>
        <v/>
      </c>
      <c r="K414" s="8" t="n">
        <v>35</v>
      </c>
    </row>
    <row r="415">
      <c r="A415" s="8" t="inlineStr">
        <is>
          <t>PRD-0411</t>
        </is>
      </c>
      <c r="B415" s="8" t="inlineStr">
        <is>
          <t>Kinetix Conference Table Model-617</t>
        </is>
      </c>
      <c r="C415" s="8" t="inlineStr">
        <is>
          <t>Furniture</t>
        </is>
      </c>
      <c r="D415" s="8" t="inlineStr">
        <is>
          <t>Conference Tables</t>
        </is>
      </c>
      <c r="E415" s="8" t="inlineStr">
        <is>
          <t>Kinetix</t>
        </is>
      </c>
      <c r="F415" s="9" t="n">
        <v>78.01000000000001</v>
      </c>
      <c r="G415" s="9" t="n">
        <v>126.22</v>
      </c>
      <c r="H415" s="9">
        <f>G415-F415</f>
        <v/>
      </c>
      <c r="I415" s="11">
        <f>IFERROR(H415/G415, 0)</f>
        <v/>
      </c>
      <c r="J415" s="8">
        <f>IF(G415&gt;=400, "High-End", IF(G415&gt;=100, "Mid-Tier", "Economy"))</f>
        <v/>
      </c>
      <c r="K415" s="8" t="n">
        <v>35</v>
      </c>
    </row>
    <row r="416">
      <c r="A416" s="8" t="inlineStr">
        <is>
          <t>PRD-0412</t>
        </is>
      </c>
      <c r="B416" s="8" t="inlineStr">
        <is>
          <t>NordicCraft Bookcases &amp; Storage Model-619</t>
        </is>
      </c>
      <c r="C416" s="8" t="inlineStr">
        <is>
          <t>Furniture</t>
        </is>
      </c>
      <c r="D416" s="8" t="inlineStr">
        <is>
          <t>Bookcases &amp; Storage</t>
        </is>
      </c>
      <c r="E416" s="8" t="inlineStr">
        <is>
          <t>NordicCraft</t>
        </is>
      </c>
      <c r="F416" s="9" t="n">
        <v>190.74</v>
      </c>
      <c r="G416" s="9" t="n">
        <v>298.15</v>
      </c>
      <c r="H416" s="9">
        <f>G416-F416</f>
        <v/>
      </c>
      <c r="I416" s="11">
        <f>IFERROR(H416/G416, 0)</f>
        <v/>
      </c>
      <c r="J416" s="8">
        <f>IF(G416&gt;=400, "High-End", IF(G416&gt;=100, "Mid-Tier", "Economy"))</f>
        <v/>
      </c>
      <c r="K416" s="8" t="n">
        <v>20</v>
      </c>
    </row>
    <row r="417">
      <c r="A417" s="8" t="inlineStr">
        <is>
          <t>PRD-0413</t>
        </is>
      </c>
      <c r="B417" s="8" t="inlineStr">
        <is>
          <t>ModuDesk Bookcases &amp; Storage Model-557</t>
        </is>
      </c>
      <c r="C417" s="8" t="inlineStr">
        <is>
          <t>Furniture</t>
        </is>
      </c>
      <c r="D417" s="8" t="inlineStr">
        <is>
          <t>Bookcases &amp; Storage</t>
        </is>
      </c>
      <c r="E417" s="8" t="inlineStr">
        <is>
          <t>ModuDesk</t>
        </is>
      </c>
      <c r="F417" s="9" t="n">
        <v>529.76</v>
      </c>
      <c r="G417" s="9" t="n">
        <v>764.48</v>
      </c>
      <c r="H417" s="9">
        <f>G417-F417</f>
        <v/>
      </c>
      <c r="I417" s="11">
        <f>IFERROR(H417/G417, 0)</f>
        <v/>
      </c>
      <c r="J417" s="8">
        <f>IF(G417&gt;=400, "High-End", IF(G417&gt;=100, "Mid-Tier", "Economy"))</f>
        <v/>
      </c>
      <c r="K417" s="8" t="n">
        <v>75</v>
      </c>
    </row>
    <row r="418">
      <c r="A418" s="8" t="inlineStr">
        <is>
          <t>PRD-0414</t>
        </is>
      </c>
      <c r="B418" s="8" t="inlineStr">
        <is>
          <t>ModuDesk Standing Desk Model-910</t>
        </is>
      </c>
      <c r="C418" s="8" t="inlineStr">
        <is>
          <t>Furniture</t>
        </is>
      </c>
      <c r="D418" s="8" t="inlineStr">
        <is>
          <t>Standing Desks</t>
        </is>
      </c>
      <c r="E418" s="8" t="inlineStr">
        <is>
          <t>ModuDesk</t>
        </is>
      </c>
      <c r="F418" s="9" t="n">
        <v>66.68000000000001</v>
      </c>
      <c r="G418" s="9" t="n">
        <v>101.77</v>
      </c>
      <c r="H418" s="9">
        <f>G418-F418</f>
        <v/>
      </c>
      <c r="I418" s="11">
        <f>IFERROR(H418/G418, 0)</f>
        <v/>
      </c>
      <c r="J418" s="8">
        <f>IF(G418&gt;=400, "High-End", IF(G418&gt;=100, "Mid-Tier", "Economy"))</f>
        <v/>
      </c>
      <c r="K418" s="8" t="n">
        <v>20</v>
      </c>
    </row>
    <row r="419">
      <c r="A419" s="8" t="inlineStr">
        <is>
          <t>PRD-0415</t>
        </is>
      </c>
      <c r="B419" s="8" t="inlineStr">
        <is>
          <t>Hyperion Monitors &amp; Display Model-945</t>
        </is>
      </c>
      <c r="C419" s="8" t="inlineStr">
        <is>
          <t>Technology</t>
        </is>
      </c>
      <c r="D419" s="8" t="inlineStr">
        <is>
          <t>Monitors &amp; Displays</t>
        </is>
      </c>
      <c r="E419" s="8" t="inlineStr">
        <is>
          <t>Hyperion</t>
        </is>
      </c>
      <c r="F419" s="9" t="n">
        <v>649.4</v>
      </c>
      <c r="G419" s="9" t="n">
        <v>934.21</v>
      </c>
      <c r="H419" s="9">
        <f>G419-F419</f>
        <v/>
      </c>
      <c r="I419" s="11">
        <f>IFERROR(H419/G419, 0)</f>
        <v/>
      </c>
      <c r="J419" s="8">
        <f>IF(G419&gt;=400, "High-End", IF(G419&gt;=100, "Mid-Tier", "Economy"))</f>
        <v/>
      </c>
      <c r="K419" s="8" t="n">
        <v>50</v>
      </c>
    </row>
    <row r="420">
      <c r="A420" s="8" t="inlineStr">
        <is>
          <t>PRD-0416</t>
        </is>
      </c>
      <c r="B420" s="8" t="inlineStr">
        <is>
          <t>SafeKeep Paper &amp; Stationery Model-563</t>
        </is>
      </c>
      <c r="C420" s="8" t="inlineStr">
        <is>
          <t>Office Supplies</t>
        </is>
      </c>
      <c r="D420" s="8" t="inlineStr">
        <is>
          <t>Paper &amp; Stationery</t>
        </is>
      </c>
      <c r="E420" s="8" t="inlineStr">
        <is>
          <t>SafeKeep</t>
        </is>
      </c>
      <c r="F420" s="9" t="n">
        <v>23.66</v>
      </c>
      <c r="G420" s="9" t="n">
        <v>39.54</v>
      </c>
      <c r="H420" s="9">
        <f>G420-F420</f>
        <v/>
      </c>
      <c r="I420" s="11">
        <f>IFERROR(H420/G420, 0)</f>
        <v/>
      </c>
      <c r="J420" s="8">
        <f>IF(G420&gt;=400, "High-End", IF(G420&gt;=100, "Mid-Tier", "Economy"))</f>
        <v/>
      </c>
      <c r="K420" s="8" t="n">
        <v>150</v>
      </c>
    </row>
    <row r="421">
      <c r="A421" s="8" t="inlineStr">
        <is>
          <t>PRD-0417</t>
        </is>
      </c>
      <c r="B421" s="8" t="inlineStr">
        <is>
          <t>AeroWeave Corporate Apparel Model-146</t>
        </is>
      </c>
      <c r="C421" s="8" t="inlineStr">
        <is>
          <t>Apparel &amp; Gear</t>
        </is>
      </c>
      <c r="D421" s="8" t="inlineStr">
        <is>
          <t>Corporate Apparel</t>
        </is>
      </c>
      <c r="E421" s="8" t="inlineStr">
        <is>
          <t>AeroWeave</t>
        </is>
      </c>
      <c r="F421" s="9" t="n">
        <v>83.45999999999999</v>
      </c>
      <c r="G421" s="9" t="n">
        <v>134.04</v>
      </c>
      <c r="H421" s="9">
        <f>G421-F421</f>
        <v/>
      </c>
      <c r="I421" s="11">
        <f>IFERROR(H421/G421, 0)</f>
        <v/>
      </c>
      <c r="J421" s="8">
        <f>IF(G421&gt;=400, "High-End", IF(G421&gt;=100, "Mid-Tier", "Economy"))</f>
        <v/>
      </c>
      <c r="K421" s="8" t="n">
        <v>20</v>
      </c>
    </row>
    <row r="422">
      <c r="A422" s="8" t="inlineStr">
        <is>
          <t>PRD-0418</t>
        </is>
      </c>
      <c r="B422" s="8" t="inlineStr">
        <is>
          <t>ErgoComfort Standing Desk Model-972</t>
        </is>
      </c>
      <c r="C422" s="8" t="inlineStr">
        <is>
          <t>Furniture</t>
        </is>
      </c>
      <c r="D422" s="8" t="inlineStr">
        <is>
          <t>Standing Desks</t>
        </is>
      </c>
      <c r="E422" s="8" t="inlineStr">
        <is>
          <t>ErgoComfort</t>
        </is>
      </c>
      <c r="F422" s="9" t="n">
        <v>198.85</v>
      </c>
      <c r="G422" s="9" t="n">
        <v>287.35</v>
      </c>
      <c r="H422" s="9">
        <f>G422-F422</f>
        <v/>
      </c>
      <c r="I422" s="11">
        <f>IFERROR(H422/G422, 0)</f>
        <v/>
      </c>
      <c r="J422" s="8">
        <f>IF(G422&gt;=400, "High-End", IF(G422&gt;=100, "Mid-Tier", "Economy"))</f>
        <v/>
      </c>
      <c r="K422" s="8" t="n">
        <v>20</v>
      </c>
    </row>
    <row r="423">
      <c r="A423" s="8" t="inlineStr">
        <is>
          <t>PRD-0419</t>
        </is>
      </c>
      <c r="B423" s="8" t="inlineStr">
        <is>
          <t>ZenithLogix Smartphones &amp; Accessorie Model-702</t>
        </is>
      </c>
      <c r="C423" s="8" t="inlineStr">
        <is>
          <t>Technology</t>
        </is>
      </c>
      <c r="D423" s="8" t="inlineStr">
        <is>
          <t>Smartphones &amp; Accessories</t>
        </is>
      </c>
      <c r="E423" s="8" t="inlineStr">
        <is>
          <t>ZenithLogix</t>
        </is>
      </c>
      <c r="F423" s="9" t="n">
        <v>77.55</v>
      </c>
      <c r="G423" s="9" t="n">
        <v>113.66</v>
      </c>
      <c r="H423" s="9">
        <f>G423-F423</f>
        <v/>
      </c>
      <c r="I423" s="11">
        <f>IFERROR(H423/G423, 0)</f>
        <v/>
      </c>
      <c r="J423" s="8">
        <f>IF(G423&gt;=400, "High-End", IF(G423&gt;=100, "Mid-Tier", "Economy"))</f>
        <v/>
      </c>
      <c r="K423" s="8" t="n">
        <v>150</v>
      </c>
    </row>
    <row r="424">
      <c r="A424" s="8" t="inlineStr">
        <is>
          <t>PRD-0420</t>
        </is>
      </c>
      <c r="B424" s="8" t="inlineStr">
        <is>
          <t>SteelForm Conference Table Model-149</t>
        </is>
      </c>
      <c r="C424" s="8" t="inlineStr">
        <is>
          <t>Furniture</t>
        </is>
      </c>
      <c r="D424" s="8" t="inlineStr">
        <is>
          <t>Conference Tables</t>
        </is>
      </c>
      <c r="E424" s="8" t="inlineStr">
        <is>
          <t>SteelForm</t>
        </is>
      </c>
      <c r="F424" s="9" t="n">
        <v>628.13</v>
      </c>
      <c r="G424" s="9" t="n">
        <v>923.98</v>
      </c>
      <c r="H424" s="9">
        <f>G424-F424</f>
        <v/>
      </c>
      <c r="I424" s="11">
        <f>IFERROR(H424/G424, 0)</f>
        <v/>
      </c>
      <c r="J424" s="8">
        <f>IF(G424&gt;=400, "High-End", IF(G424&gt;=100, "Mid-Tier", "Economy"))</f>
        <v/>
      </c>
      <c r="K424" s="8" t="n">
        <v>150</v>
      </c>
    </row>
    <row r="425">
      <c r="A425" s="8" t="inlineStr">
        <is>
          <t>PRD-0421</t>
        </is>
      </c>
      <c r="B425" s="8" t="inlineStr">
        <is>
          <t>EverWrite Desk Accessorie Model-206</t>
        </is>
      </c>
      <c r="C425" s="8" t="inlineStr">
        <is>
          <t>Office Supplies</t>
        </is>
      </c>
      <c r="D425" s="8" t="inlineStr">
        <is>
          <t>Desk Accessories</t>
        </is>
      </c>
      <c r="E425" s="8" t="inlineStr">
        <is>
          <t>EverWrite</t>
        </is>
      </c>
      <c r="F425" s="9" t="n">
        <v>32.52</v>
      </c>
      <c r="G425" s="9" t="n">
        <v>50.08</v>
      </c>
      <c r="H425" s="9">
        <f>G425-F425</f>
        <v/>
      </c>
      <c r="I425" s="11">
        <f>IFERROR(H425/G425, 0)</f>
        <v/>
      </c>
      <c r="J425" s="8">
        <f>IF(G425&gt;=400, "High-End", IF(G425&gt;=100, "Mid-Tier", "Economy"))</f>
        <v/>
      </c>
      <c r="K425" s="8" t="n">
        <v>35</v>
      </c>
    </row>
    <row r="426">
      <c r="A426" s="8" t="inlineStr">
        <is>
          <t>PRD-0422</t>
        </is>
      </c>
      <c r="B426" s="8" t="inlineStr">
        <is>
          <t>ModuDesk Standing Desk Model-380</t>
        </is>
      </c>
      <c r="C426" s="8" t="inlineStr">
        <is>
          <t>Furniture</t>
        </is>
      </c>
      <c r="D426" s="8" t="inlineStr">
        <is>
          <t>Standing Desks</t>
        </is>
      </c>
      <c r="E426" s="8" t="inlineStr">
        <is>
          <t>ModuDesk</t>
        </is>
      </c>
      <c r="F426" s="9" t="n">
        <v>637.6</v>
      </c>
      <c r="G426" s="9" t="n">
        <v>1026.96</v>
      </c>
      <c r="H426" s="9">
        <f>G426-F426</f>
        <v/>
      </c>
      <c r="I426" s="11">
        <f>IFERROR(H426/G426, 0)</f>
        <v/>
      </c>
      <c r="J426" s="8">
        <f>IF(G426&gt;=400, "High-End", IF(G426&gt;=100, "Mid-Tier", "Economy"))</f>
        <v/>
      </c>
      <c r="K426" s="8" t="n">
        <v>35</v>
      </c>
    </row>
    <row r="427">
      <c r="A427" s="8" t="inlineStr">
        <is>
          <t>PRD-0423</t>
        </is>
      </c>
      <c r="B427" s="8" t="inlineStr">
        <is>
          <t>ZenithLogix Audio &amp; Headphone Model-406</t>
        </is>
      </c>
      <c r="C427" s="8" t="inlineStr">
        <is>
          <t>Technology</t>
        </is>
      </c>
      <c r="D427" s="8" t="inlineStr">
        <is>
          <t>Audio &amp; Headphones</t>
        </is>
      </c>
      <c r="E427" s="8" t="inlineStr">
        <is>
          <t>ZenithLogix</t>
        </is>
      </c>
      <c r="F427" s="9" t="n">
        <v>586.3099999999999</v>
      </c>
      <c r="G427" s="9" t="n">
        <v>922.78</v>
      </c>
      <c r="H427" s="9">
        <f>G427-F427</f>
        <v/>
      </c>
      <c r="I427" s="11">
        <f>IFERROR(H427/G427, 0)</f>
        <v/>
      </c>
      <c r="J427" s="8">
        <f>IF(G427&gt;=400, "High-End", IF(G427&gt;=100, "Mid-Tier", "Economy"))</f>
        <v/>
      </c>
      <c r="K427" s="8" t="n">
        <v>100</v>
      </c>
    </row>
    <row r="428">
      <c r="A428" s="8" t="inlineStr">
        <is>
          <t>PRD-0424</t>
        </is>
      </c>
      <c r="B428" s="8" t="inlineStr">
        <is>
          <t>SteelForm Conference Table Model-803</t>
        </is>
      </c>
      <c r="C428" s="8" t="inlineStr">
        <is>
          <t>Furniture</t>
        </is>
      </c>
      <c r="D428" s="8" t="inlineStr">
        <is>
          <t>Conference Tables</t>
        </is>
      </c>
      <c r="E428" s="8" t="inlineStr">
        <is>
          <t>SteelForm</t>
        </is>
      </c>
      <c r="F428" s="9" t="n">
        <v>166.54</v>
      </c>
      <c r="G428" s="9" t="n">
        <v>268.72</v>
      </c>
      <c r="H428" s="9">
        <f>G428-F428</f>
        <v/>
      </c>
      <c r="I428" s="11">
        <f>IFERROR(H428/G428, 0)</f>
        <v/>
      </c>
      <c r="J428" s="8">
        <f>IF(G428&gt;=400, "High-End", IF(G428&gt;=100, "Mid-Tier", "Economy"))</f>
        <v/>
      </c>
      <c r="K428" s="8" t="n">
        <v>50</v>
      </c>
    </row>
    <row r="429">
      <c r="A429" s="8" t="inlineStr">
        <is>
          <t>PRD-0425</t>
        </is>
      </c>
      <c r="B429" s="8" t="inlineStr">
        <is>
          <t>AeroSonic Audio &amp; Headphone Model-218</t>
        </is>
      </c>
      <c r="C429" s="8" t="inlineStr">
        <is>
          <t>Technology</t>
        </is>
      </c>
      <c r="D429" s="8" t="inlineStr">
        <is>
          <t>Audio &amp; Headphones</t>
        </is>
      </c>
      <c r="E429" s="8" t="inlineStr">
        <is>
          <t>AeroSonic</t>
        </is>
      </c>
      <c r="F429" s="9" t="n">
        <v>531.38</v>
      </c>
      <c r="G429" s="9" t="n">
        <v>805.83</v>
      </c>
      <c r="H429" s="9">
        <f>G429-F429</f>
        <v/>
      </c>
      <c r="I429" s="11">
        <f>IFERROR(H429/G429, 0)</f>
        <v/>
      </c>
      <c r="J429" s="8">
        <f>IF(G429&gt;=400, "High-End", IF(G429&gt;=100, "Mid-Tier", "Economy"))</f>
        <v/>
      </c>
      <c r="K429" s="8" t="n">
        <v>150</v>
      </c>
    </row>
    <row r="430">
      <c r="A430" s="8" t="inlineStr">
        <is>
          <t>PRD-0426</t>
        </is>
      </c>
      <c r="B430" s="8" t="inlineStr">
        <is>
          <t>EcoPaper Storage &amp; Organization Model-392</t>
        </is>
      </c>
      <c r="C430" s="8" t="inlineStr">
        <is>
          <t>Office Supplies</t>
        </is>
      </c>
      <c r="D430" s="8" t="inlineStr">
        <is>
          <t>Storage &amp; Organization</t>
        </is>
      </c>
      <c r="E430" s="8" t="inlineStr">
        <is>
          <t>EcoPaper</t>
        </is>
      </c>
      <c r="F430" s="9" t="n">
        <v>31.81</v>
      </c>
      <c r="G430" s="9" t="n">
        <v>51.71</v>
      </c>
      <c r="H430" s="9">
        <f>G430-F430</f>
        <v/>
      </c>
      <c r="I430" s="11">
        <f>IFERROR(H430/G430, 0)</f>
        <v/>
      </c>
      <c r="J430" s="8">
        <f>IF(G430&gt;=400, "High-End", IF(G430&gt;=100, "Mid-Tier", "Economy"))</f>
        <v/>
      </c>
      <c r="K430" s="8" t="n">
        <v>100</v>
      </c>
    </row>
    <row r="431">
      <c r="A431" s="8" t="inlineStr">
        <is>
          <t>PRD-0427</t>
        </is>
      </c>
      <c r="B431" s="8" t="inlineStr">
        <is>
          <t>SteelForm Standing Desk Model-868</t>
        </is>
      </c>
      <c r="C431" s="8" t="inlineStr">
        <is>
          <t>Furniture</t>
        </is>
      </c>
      <c r="D431" s="8" t="inlineStr">
        <is>
          <t>Standing Desks</t>
        </is>
      </c>
      <c r="E431" s="8" t="inlineStr">
        <is>
          <t>SteelForm</t>
        </is>
      </c>
      <c r="F431" s="9" t="n">
        <v>77.09999999999999</v>
      </c>
      <c r="G431" s="9" t="n">
        <v>108.94</v>
      </c>
      <c r="H431" s="9">
        <f>G431-F431</f>
        <v/>
      </c>
      <c r="I431" s="11">
        <f>IFERROR(H431/G431, 0)</f>
        <v/>
      </c>
      <c r="J431" s="8">
        <f>IF(G431&gt;=400, "High-End", IF(G431&gt;=100, "Mid-Tier", "Economy"))</f>
        <v/>
      </c>
      <c r="K431" s="8" t="n">
        <v>50</v>
      </c>
    </row>
    <row r="432">
      <c r="A432" s="8" t="inlineStr">
        <is>
          <t>PRD-0428</t>
        </is>
      </c>
      <c r="B432" s="8" t="inlineStr">
        <is>
          <t>Hyperion Laptops &amp; Desktop Model-133</t>
        </is>
      </c>
      <c r="C432" s="8" t="inlineStr">
        <is>
          <t>Technology</t>
        </is>
      </c>
      <c r="D432" s="8" t="inlineStr">
        <is>
          <t>Laptops &amp; Desktops</t>
        </is>
      </c>
      <c r="E432" s="8" t="inlineStr">
        <is>
          <t>Hyperion</t>
        </is>
      </c>
      <c r="F432" s="9" t="n">
        <v>752.6900000000001</v>
      </c>
      <c r="G432" s="9" t="n">
        <v>991.23</v>
      </c>
      <c r="H432" s="9">
        <f>G432-F432</f>
        <v/>
      </c>
      <c r="I432" s="11">
        <f>IFERROR(H432/G432, 0)</f>
        <v/>
      </c>
      <c r="J432" s="8">
        <f>IF(G432&gt;=400, "High-End", IF(G432&gt;=100, "Mid-Tier", "Economy"))</f>
        <v/>
      </c>
      <c r="K432" s="8" t="n">
        <v>100</v>
      </c>
    </row>
    <row r="433">
      <c r="A433" s="8" t="inlineStr">
        <is>
          <t>PRD-0429</t>
        </is>
      </c>
      <c r="B433" s="8" t="inlineStr">
        <is>
          <t>SteelForm Conference Table Model-623</t>
        </is>
      </c>
      <c r="C433" s="8" t="inlineStr">
        <is>
          <t>Furniture</t>
        </is>
      </c>
      <c r="D433" s="8" t="inlineStr">
        <is>
          <t>Conference Tables</t>
        </is>
      </c>
      <c r="E433" s="8" t="inlineStr">
        <is>
          <t>SteelForm</t>
        </is>
      </c>
      <c r="F433" s="9" t="n">
        <v>494.16</v>
      </c>
      <c r="G433" s="9" t="n">
        <v>790.21</v>
      </c>
      <c r="H433" s="9">
        <f>G433-F433</f>
        <v/>
      </c>
      <c r="I433" s="11">
        <f>IFERROR(H433/G433, 0)</f>
        <v/>
      </c>
      <c r="J433" s="8">
        <f>IF(G433&gt;=400, "High-End", IF(G433&gt;=100, "Mid-Tier", "Economy"))</f>
        <v/>
      </c>
      <c r="K433" s="8" t="n">
        <v>35</v>
      </c>
    </row>
    <row r="434">
      <c r="A434" s="8" t="inlineStr">
        <is>
          <t>PRD-0430</t>
        </is>
      </c>
      <c r="B434" s="8" t="inlineStr">
        <is>
          <t>TrekLine Backpacks &amp; Laptop Bag Model-420</t>
        </is>
      </c>
      <c r="C434" s="8" t="inlineStr">
        <is>
          <t>Apparel &amp; Gear</t>
        </is>
      </c>
      <c r="D434" s="8" t="inlineStr">
        <is>
          <t>Backpacks &amp; Laptop Bags</t>
        </is>
      </c>
      <c r="E434" s="8" t="inlineStr">
        <is>
          <t>TrekLine</t>
        </is>
      </c>
      <c r="F434" s="9" t="n">
        <v>63.44</v>
      </c>
      <c r="G434" s="9" t="n">
        <v>105.31</v>
      </c>
      <c r="H434" s="9">
        <f>G434-F434</f>
        <v/>
      </c>
      <c r="I434" s="11">
        <f>IFERROR(H434/G434, 0)</f>
        <v/>
      </c>
      <c r="J434" s="8">
        <f>IF(G434&gt;=400, "High-End", IF(G434&gt;=100, "Mid-Tier", "Economy"))</f>
        <v/>
      </c>
      <c r="K434" s="8" t="n">
        <v>150</v>
      </c>
    </row>
    <row r="435">
      <c r="A435" s="8" t="inlineStr">
        <is>
          <t>PRD-0431</t>
        </is>
      </c>
      <c r="B435" s="8" t="inlineStr">
        <is>
          <t>TrekLine Corporate Apparel Model-826</t>
        </is>
      </c>
      <c r="C435" s="8" t="inlineStr">
        <is>
          <t>Apparel &amp; Gear</t>
        </is>
      </c>
      <c r="D435" s="8" t="inlineStr">
        <is>
          <t>Corporate Apparel</t>
        </is>
      </c>
      <c r="E435" s="8" t="inlineStr">
        <is>
          <t>TrekLine</t>
        </is>
      </c>
      <c r="F435" s="9" t="n">
        <v>118.75</v>
      </c>
      <c r="G435" s="9" t="n">
        <v>205.39</v>
      </c>
      <c r="H435" s="9">
        <f>G435-F435</f>
        <v/>
      </c>
      <c r="I435" s="11">
        <f>IFERROR(H435/G435, 0)</f>
        <v/>
      </c>
      <c r="J435" s="8">
        <f>IF(G435&gt;=400, "High-End", IF(G435&gt;=100, "Mid-Tier", "Economy"))</f>
        <v/>
      </c>
      <c r="K435" s="8" t="n">
        <v>150</v>
      </c>
    </row>
    <row r="436">
      <c r="A436" s="8" t="inlineStr">
        <is>
          <t>PRD-0432</t>
        </is>
      </c>
      <c r="B436" s="8" t="inlineStr">
        <is>
          <t>EverWrite Desk Accessorie Model-176</t>
        </is>
      </c>
      <c r="C436" s="8" t="inlineStr">
        <is>
          <t>Office Supplies</t>
        </is>
      </c>
      <c r="D436" s="8" t="inlineStr">
        <is>
          <t>Desk Accessories</t>
        </is>
      </c>
      <c r="E436" s="8" t="inlineStr">
        <is>
          <t>EverWrite</t>
        </is>
      </c>
      <c r="F436" s="9" t="n">
        <v>16.41</v>
      </c>
      <c r="G436" s="9" t="n">
        <v>25.28</v>
      </c>
      <c r="H436" s="9">
        <f>G436-F436</f>
        <v/>
      </c>
      <c r="I436" s="11">
        <f>IFERROR(H436/G436, 0)</f>
        <v/>
      </c>
      <c r="J436" s="8">
        <f>IF(G436&gt;=400, "High-End", IF(G436&gt;=100, "Mid-Tier", "Economy"))</f>
        <v/>
      </c>
      <c r="K436" s="8" t="n">
        <v>150</v>
      </c>
    </row>
    <row r="437">
      <c r="A437" s="8" t="inlineStr">
        <is>
          <t>PRD-0433</t>
        </is>
      </c>
      <c r="B437" s="8" t="inlineStr">
        <is>
          <t>NordicCraft Standing Desk Model-966</t>
        </is>
      </c>
      <c r="C437" s="8" t="inlineStr">
        <is>
          <t>Furniture</t>
        </is>
      </c>
      <c r="D437" s="8" t="inlineStr">
        <is>
          <t>Standing Desks</t>
        </is>
      </c>
      <c r="E437" s="8" t="inlineStr">
        <is>
          <t>NordicCraft</t>
        </is>
      </c>
      <c r="F437" s="9" t="n">
        <v>381.74</v>
      </c>
      <c r="G437" s="9" t="n">
        <v>545.86</v>
      </c>
      <c r="H437" s="9">
        <f>G437-F437</f>
        <v/>
      </c>
      <c r="I437" s="11">
        <f>IFERROR(H437/G437, 0)</f>
        <v/>
      </c>
      <c r="J437" s="8">
        <f>IF(G437&gt;=400, "High-End", IF(G437&gt;=100, "Mid-Tier", "Economy"))</f>
        <v/>
      </c>
      <c r="K437" s="8" t="n">
        <v>100</v>
      </c>
    </row>
    <row r="438">
      <c r="A438" s="8" t="inlineStr">
        <is>
          <t>PRD-0434</t>
        </is>
      </c>
      <c r="B438" s="8" t="inlineStr">
        <is>
          <t>QuantumByte Audio &amp; Headphone Model-730</t>
        </is>
      </c>
      <c r="C438" s="8" t="inlineStr">
        <is>
          <t>Technology</t>
        </is>
      </c>
      <c r="D438" s="8" t="inlineStr">
        <is>
          <t>Audio &amp; Headphones</t>
        </is>
      </c>
      <c r="E438" s="8" t="inlineStr">
        <is>
          <t>QuantumByte</t>
        </is>
      </c>
      <c r="F438" s="9" t="n">
        <v>581.15</v>
      </c>
      <c r="G438" s="9" t="n">
        <v>899.59</v>
      </c>
      <c r="H438" s="9">
        <f>G438-F438</f>
        <v/>
      </c>
      <c r="I438" s="11">
        <f>IFERROR(H438/G438, 0)</f>
        <v/>
      </c>
      <c r="J438" s="8">
        <f>IF(G438&gt;=400, "High-End", IF(G438&gt;=100, "Mid-Tier", "Economy"))</f>
        <v/>
      </c>
      <c r="K438" s="8" t="n">
        <v>150</v>
      </c>
    </row>
    <row r="439">
      <c r="A439" s="8" t="inlineStr">
        <is>
          <t>PRD-0435</t>
        </is>
      </c>
      <c r="B439" s="8" t="inlineStr">
        <is>
          <t>Hyperion Smartphones &amp; Accessorie Model-633</t>
        </is>
      </c>
      <c r="C439" s="8" t="inlineStr">
        <is>
          <t>Technology</t>
        </is>
      </c>
      <c r="D439" s="8" t="inlineStr">
        <is>
          <t>Smartphones &amp; Accessories</t>
        </is>
      </c>
      <c r="E439" s="8" t="inlineStr">
        <is>
          <t>Hyperion</t>
        </is>
      </c>
      <c r="F439" s="9" t="n">
        <v>325.84</v>
      </c>
      <c r="G439" s="9" t="n">
        <v>446.59</v>
      </c>
      <c r="H439" s="9">
        <f>G439-F439</f>
        <v/>
      </c>
      <c r="I439" s="11">
        <f>IFERROR(H439/G439, 0)</f>
        <v/>
      </c>
      <c r="J439" s="8">
        <f>IF(G439&gt;=400, "High-End", IF(G439&gt;=100, "Mid-Tier", "Economy"))</f>
        <v/>
      </c>
      <c r="K439" s="8" t="n">
        <v>35</v>
      </c>
    </row>
    <row r="440">
      <c r="A440" s="8" t="inlineStr">
        <is>
          <t>PRD-0436</t>
        </is>
      </c>
      <c r="B440" s="8" t="inlineStr">
        <is>
          <t>QuantumByte Smartphones &amp; Accessorie Model-439</t>
        </is>
      </c>
      <c r="C440" s="8" t="inlineStr">
        <is>
          <t>Technology</t>
        </is>
      </c>
      <c r="D440" s="8" t="inlineStr">
        <is>
          <t>Smartphones &amp; Accessories</t>
        </is>
      </c>
      <c r="E440" s="8" t="inlineStr">
        <is>
          <t>QuantumByte</t>
        </is>
      </c>
      <c r="F440" s="9" t="n">
        <v>237.4</v>
      </c>
      <c r="G440" s="9" t="n">
        <v>325.02</v>
      </c>
      <c r="H440" s="9">
        <f>G440-F440</f>
        <v/>
      </c>
      <c r="I440" s="11">
        <f>IFERROR(H440/G440, 0)</f>
        <v/>
      </c>
      <c r="J440" s="8">
        <f>IF(G440&gt;=400, "High-End", IF(G440&gt;=100, "Mid-Tier", "Economy"))</f>
        <v/>
      </c>
      <c r="K440" s="8" t="n">
        <v>50</v>
      </c>
    </row>
    <row r="441">
      <c r="A441" s="8" t="inlineStr">
        <is>
          <t>PRD-0437</t>
        </is>
      </c>
      <c r="B441" s="8" t="inlineStr">
        <is>
          <t>ErgoComfort Conference Table Model-757</t>
        </is>
      </c>
      <c r="C441" s="8" t="inlineStr">
        <is>
          <t>Furniture</t>
        </is>
      </c>
      <c r="D441" s="8" t="inlineStr">
        <is>
          <t>Conference Tables</t>
        </is>
      </c>
      <c r="E441" s="8" t="inlineStr">
        <is>
          <t>ErgoComfort</t>
        </is>
      </c>
      <c r="F441" s="9" t="n">
        <v>114.41</v>
      </c>
      <c r="G441" s="9" t="n">
        <v>177.29</v>
      </c>
      <c r="H441" s="9">
        <f>G441-F441</f>
        <v/>
      </c>
      <c r="I441" s="11">
        <f>IFERROR(H441/G441, 0)</f>
        <v/>
      </c>
      <c r="J441" s="8">
        <f>IF(G441&gt;=400, "High-End", IF(G441&gt;=100, "Mid-Tier", "Economy"))</f>
        <v/>
      </c>
      <c r="K441" s="8" t="n">
        <v>35</v>
      </c>
    </row>
    <row r="442">
      <c r="A442" s="8" t="inlineStr">
        <is>
          <t>PRD-0438</t>
        </is>
      </c>
      <c r="B442" s="8" t="inlineStr">
        <is>
          <t>ModuDesk Office Chair Model-362</t>
        </is>
      </c>
      <c r="C442" s="8" t="inlineStr">
        <is>
          <t>Furniture</t>
        </is>
      </c>
      <c r="D442" s="8" t="inlineStr">
        <is>
          <t>Office Chairs</t>
        </is>
      </c>
      <c r="E442" s="8" t="inlineStr">
        <is>
          <t>ModuDesk</t>
        </is>
      </c>
      <c r="F442" s="9" t="n">
        <v>599.14</v>
      </c>
      <c r="G442" s="9" t="n">
        <v>981</v>
      </c>
      <c r="H442" s="9">
        <f>G442-F442</f>
        <v/>
      </c>
      <c r="I442" s="11">
        <f>IFERROR(H442/G442, 0)</f>
        <v/>
      </c>
      <c r="J442" s="8">
        <f>IF(G442&gt;=400, "High-End", IF(G442&gt;=100, "Mid-Tier", "Economy"))</f>
        <v/>
      </c>
      <c r="K442" s="8" t="n">
        <v>75</v>
      </c>
    </row>
    <row r="443">
      <c r="A443" s="8" t="inlineStr">
        <is>
          <t>PRD-0439</t>
        </is>
      </c>
      <c r="B443" s="8" t="inlineStr">
        <is>
          <t>Kinetix Office Chair Model-403</t>
        </is>
      </c>
      <c r="C443" s="8" t="inlineStr">
        <is>
          <t>Furniture</t>
        </is>
      </c>
      <c r="D443" s="8" t="inlineStr">
        <is>
          <t>Office Chairs</t>
        </is>
      </c>
      <c r="E443" s="8" t="inlineStr">
        <is>
          <t>Kinetix</t>
        </is>
      </c>
      <c r="F443" s="9" t="n">
        <v>530.7</v>
      </c>
      <c r="G443" s="9" t="n">
        <v>807.98</v>
      </c>
      <c r="H443" s="9">
        <f>G443-F443</f>
        <v/>
      </c>
      <c r="I443" s="11">
        <f>IFERROR(H443/G443, 0)</f>
        <v/>
      </c>
      <c r="J443" s="8">
        <f>IF(G443&gt;=400, "High-End", IF(G443&gt;=100, "Mid-Tier", "Economy"))</f>
        <v/>
      </c>
      <c r="K443" s="8" t="n">
        <v>20</v>
      </c>
    </row>
    <row r="444">
      <c r="A444" s="8" t="inlineStr">
        <is>
          <t>PRD-0440</t>
        </is>
      </c>
      <c r="B444" s="8" t="inlineStr">
        <is>
          <t>AeroSonic Audio &amp; Headphone Model-786</t>
        </is>
      </c>
      <c r="C444" s="8" t="inlineStr">
        <is>
          <t>Technology</t>
        </is>
      </c>
      <c r="D444" s="8" t="inlineStr">
        <is>
          <t>Audio &amp; Headphones</t>
        </is>
      </c>
      <c r="E444" s="8" t="inlineStr">
        <is>
          <t>AeroSonic</t>
        </is>
      </c>
      <c r="F444" s="9" t="n">
        <v>522.88</v>
      </c>
      <c r="G444" s="9" t="n">
        <v>791.74</v>
      </c>
      <c r="H444" s="9">
        <f>G444-F444</f>
        <v/>
      </c>
      <c r="I444" s="11">
        <f>IFERROR(H444/G444, 0)</f>
        <v/>
      </c>
      <c r="J444" s="8">
        <f>IF(G444&gt;=400, "High-End", IF(G444&gt;=100, "Mid-Tier", "Economy"))</f>
        <v/>
      </c>
      <c r="K444" s="8" t="n">
        <v>35</v>
      </c>
    </row>
    <row r="445">
      <c r="A445" s="8" t="inlineStr">
        <is>
          <t>PRD-0441</t>
        </is>
      </c>
      <c r="B445" s="8" t="inlineStr">
        <is>
          <t>AeroSonic Monitors &amp; Display Model-893</t>
        </is>
      </c>
      <c r="C445" s="8" t="inlineStr">
        <is>
          <t>Technology</t>
        </is>
      </c>
      <c r="D445" s="8" t="inlineStr">
        <is>
          <t>Monitors &amp; Displays</t>
        </is>
      </c>
      <c r="E445" s="8" t="inlineStr">
        <is>
          <t>AeroSonic</t>
        </is>
      </c>
      <c r="F445" s="9" t="n">
        <v>793.3099999999999</v>
      </c>
      <c r="G445" s="9" t="n">
        <v>1128.16</v>
      </c>
      <c r="H445" s="9">
        <f>G445-F445</f>
        <v/>
      </c>
      <c r="I445" s="11">
        <f>IFERROR(H445/G445, 0)</f>
        <v/>
      </c>
      <c r="J445" s="8">
        <f>IF(G445&gt;=400, "High-End", IF(G445&gt;=100, "Mid-Tier", "Economy"))</f>
        <v/>
      </c>
      <c r="K445" s="8" t="n">
        <v>150</v>
      </c>
    </row>
    <row r="446">
      <c r="A446" s="8" t="inlineStr">
        <is>
          <t>PRD-0442</t>
        </is>
      </c>
      <c r="B446" s="8" t="inlineStr">
        <is>
          <t>ZenithLogix Laptops &amp; Desktop Model-155</t>
        </is>
      </c>
      <c r="C446" s="8" t="inlineStr">
        <is>
          <t>Technology</t>
        </is>
      </c>
      <c r="D446" s="8" t="inlineStr">
        <is>
          <t>Laptops &amp; Desktops</t>
        </is>
      </c>
      <c r="E446" s="8" t="inlineStr">
        <is>
          <t>ZenithLogix</t>
        </is>
      </c>
      <c r="F446" s="9" t="n">
        <v>690.9299999999999</v>
      </c>
      <c r="G446" s="9" t="n">
        <v>883.5</v>
      </c>
      <c r="H446" s="9">
        <f>G446-F446</f>
        <v/>
      </c>
      <c r="I446" s="11">
        <f>IFERROR(H446/G446, 0)</f>
        <v/>
      </c>
      <c r="J446" s="8">
        <f>IF(G446&gt;=400, "High-End", IF(G446&gt;=100, "Mid-Tier", "Economy"))</f>
        <v/>
      </c>
      <c r="K446" s="8" t="n">
        <v>20</v>
      </c>
    </row>
    <row r="447">
      <c r="A447" s="8" t="inlineStr">
        <is>
          <t>PRD-0443</t>
        </is>
      </c>
      <c r="B447" s="8" t="inlineStr">
        <is>
          <t>AeroWeave Backpacks &amp; Laptop Bag Model-543</t>
        </is>
      </c>
      <c r="C447" s="8" t="inlineStr">
        <is>
          <t>Apparel &amp; Gear</t>
        </is>
      </c>
      <c r="D447" s="8" t="inlineStr">
        <is>
          <t>Backpacks &amp; Laptop Bags</t>
        </is>
      </c>
      <c r="E447" s="8" t="inlineStr">
        <is>
          <t>AeroWeave</t>
        </is>
      </c>
      <c r="F447" s="9" t="n">
        <v>65.95</v>
      </c>
      <c r="G447" s="9" t="n">
        <v>101.81</v>
      </c>
      <c r="H447" s="9">
        <f>G447-F447</f>
        <v/>
      </c>
      <c r="I447" s="11">
        <f>IFERROR(H447/G447, 0)</f>
        <v/>
      </c>
      <c r="J447" s="8">
        <f>IF(G447&gt;=400, "High-End", IF(G447&gt;=100, "Mid-Tier", "Economy"))</f>
        <v/>
      </c>
      <c r="K447" s="8" t="n">
        <v>75</v>
      </c>
    </row>
    <row r="448">
      <c r="A448" s="8" t="inlineStr">
        <is>
          <t>PRD-0444</t>
        </is>
      </c>
      <c r="B448" s="8" t="inlineStr">
        <is>
          <t>SafeKeep Storage &amp; Organization Model-817</t>
        </is>
      </c>
      <c r="C448" s="8" t="inlineStr">
        <is>
          <t>Office Supplies</t>
        </is>
      </c>
      <c r="D448" s="8" t="inlineStr">
        <is>
          <t>Storage &amp; Organization</t>
        </is>
      </c>
      <c r="E448" s="8" t="inlineStr">
        <is>
          <t>SafeKeep</t>
        </is>
      </c>
      <c r="F448" s="9" t="n">
        <v>7.06</v>
      </c>
      <c r="G448" s="9" t="n">
        <v>11.24</v>
      </c>
      <c r="H448" s="9">
        <f>G448-F448</f>
        <v/>
      </c>
      <c r="I448" s="11">
        <f>IFERROR(H448/G448, 0)</f>
        <v/>
      </c>
      <c r="J448" s="8">
        <f>IF(G448&gt;=400, "High-End", IF(G448&gt;=100, "Mid-Tier", "Economy"))</f>
        <v/>
      </c>
      <c r="K448" s="8" t="n">
        <v>20</v>
      </c>
    </row>
    <row r="449">
      <c r="A449" s="8" t="inlineStr">
        <is>
          <t>PRD-0445</t>
        </is>
      </c>
      <c r="B449" s="8" t="inlineStr">
        <is>
          <t>AccuBinder Pens, Inks &amp; Marker Model-490</t>
        </is>
      </c>
      <c r="C449" s="8" t="inlineStr">
        <is>
          <t>Office Supplies</t>
        </is>
      </c>
      <c r="D449" s="8" t="inlineStr">
        <is>
          <t>Pens, Inks &amp; Markers</t>
        </is>
      </c>
      <c r="E449" s="8" t="inlineStr">
        <is>
          <t>AccuBinder</t>
        </is>
      </c>
      <c r="F449" s="9" t="n">
        <v>29.07</v>
      </c>
      <c r="G449" s="9" t="n">
        <v>47.52</v>
      </c>
      <c r="H449" s="9">
        <f>G449-F449</f>
        <v/>
      </c>
      <c r="I449" s="11">
        <f>IFERROR(H449/G449, 0)</f>
        <v/>
      </c>
      <c r="J449" s="8">
        <f>IF(G449&gt;=400, "High-End", IF(G449&gt;=100, "Mid-Tier", "Economy"))</f>
        <v/>
      </c>
      <c r="K449" s="8" t="n">
        <v>75</v>
      </c>
    </row>
    <row r="450">
      <c r="A450" s="8" t="inlineStr">
        <is>
          <t>PRD-0446</t>
        </is>
      </c>
      <c r="B450" s="8" t="inlineStr">
        <is>
          <t>Hyperion Audio &amp; Headphone Model-402</t>
        </is>
      </c>
      <c r="C450" s="8" t="inlineStr">
        <is>
          <t>Technology</t>
        </is>
      </c>
      <c r="D450" s="8" t="inlineStr">
        <is>
          <t>Audio &amp; Headphones</t>
        </is>
      </c>
      <c r="E450" s="8" t="inlineStr">
        <is>
          <t>Hyperion</t>
        </is>
      </c>
      <c r="F450" s="9" t="n">
        <v>392.76</v>
      </c>
      <c r="G450" s="9" t="n">
        <v>610.12</v>
      </c>
      <c r="H450" s="9">
        <f>G450-F450</f>
        <v/>
      </c>
      <c r="I450" s="11">
        <f>IFERROR(H450/G450, 0)</f>
        <v/>
      </c>
      <c r="J450" s="8">
        <f>IF(G450&gt;=400, "High-End", IF(G450&gt;=100, "Mid-Tier", "Economy"))</f>
        <v/>
      </c>
      <c r="K450" s="8" t="n">
        <v>100</v>
      </c>
    </row>
    <row r="451">
      <c r="A451" s="8" t="inlineStr">
        <is>
          <t>PRD-0447</t>
        </is>
      </c>
      <c r="B451" s="8" t="inlineStr">
        <is>
          <t>AccuBinder Desk Accessorie Model-244</t>
        </is>
      </c>
      <c r="C451" s="8" t="inlineStr">
        <is>
          <t>Office Supplies</t>
        </is>
      </c>
      <c r="D451" s="8" t="inlineStr">
        <is>
          <t>Desk Accessories</t>
        </is>
      </c>
      <c r="E451" s="8" t="inlineStr">
        <is>
          <t>AccuBinder</t>
        </is>
      </c>
      <c r="F451" s="9" t="n">
        <v>43.27</v>
      </c>
      <c r="G451" s="9" t="n">
        <v>65.02</v>
      </c>
      <c r="H451" s="9">
        <f>G451-F451</f>
        <v/>
      </c>
      <c r="I451" s="11">
        <f>IFERROR(H451/G451, 0)</f>
        <v/>
      </c>
      <c r="J451" s="8">
        <f>IF(G451&gt;=400, "High-End", IF(G451&gt;=100, "Mid-Tier", "Economy"))</f>
        <v/>
      </c>
      <c r="K451" s="8" t="n">
        <v>100</v>
      </c>
    </row>
    <row r="452">
      <c r="A452" s="8" t="inlineStr">
        <is>
          <t>PRD-0448</t>
        </is>
      </c>
      <c r="B452" s="8" t="inlineStr">
        <is>
          <t>QuantumByte Smartphones &amp; Accessorie Model-452</t>
        </is>
      </c>
      <c r="C452" s="8" t="inlineStr">
        <is>
          <t>Technology</t>
        </is>
      </c>
      <c r="D452" s="8" t="inlineStr">
        <is>
          <t>Smartphones &amp; Accessories</t>
        </is>
      </c>
      <c r="E452" s="8" t="inlineStr">
        <is>
          <t>QuantumByte</t>
        </is>
      </c>
      <c r="F452" s="9" t="n">
        <v>227.2</v>
      </c>
      <c r="G452" s="9" t="n">
        <v>338.65</v>
      </c>
      <c r="H452" s="9">
        <f>G452-F452</f>
        <v/>
      </c>
      <c r="I452" s="11">
        <f>IFERROR(H452/G452, 0)</f>
        <v/>
      </c>
      <c r="J452" s="8">
        <f>IF(G452&gt;=400, "High-End", IF(G452&gt;=100, "Mid-Tier", "Economy"))</f>
        <v/>
      </c>
      <c r="K452" s="8" t="n">
        <v>150</v>
      </c>
    </row>
    <row r="453">
      <c r="A453" s="8" t="inlineStr">
        <is>
          <t>PRD-0449</t>
        </is>
      </c>
      <c r="B453" s="8" t="inlineStr">
        <is>
          <t>Novacore Audio &amp; Headphone Model-285</t>
        </is>
      </c>
      <c r="C453" s="8" t="inlineStr">
        <is>
          <t>Technology</t>
        </is>
      </c>
      <c r="D453" s="8" t="inlineStr">
        <is>
          <t>Audio &amp; Headphones</t>
        </is>
      </c>
      <c r="E453" s="8" t="inlineStr">
        <is>
          <t>Novacore</t>
        </is>
      </c>
      <c r="F453" s="9" t="n">
        <v>599.45</v>
      </c>
      <c r="G453" s="9" t="n">
        <v>856.09</v>
      </c>
      <c r="H453" s="9">
        <f>G453-F453</f>
        <v/>
      </c>
      <c r="I453" s="11">
        <f>IFERROR(H453/G453, 0)</f>
        <v/>
      </c>
      <c r="J453" s="8">
        <f>IF(G453&gt;=400, "High-End", IF(G453&gt;=100, "Mid-Tier", "Economy"))</f>
        <v/>
      </c>
      <c r="K453" s="8" t="n">
        <v>20</v>
      </c>
    </row>
    <row r="454">
      <c r="A454" s="8" t="inlineStr">
        <is>
          <t>PRD-0450</t>
        </is>
      </c>
      <c r="B454" s="8" t="inlineStr">
        <is>
          <t>ModuDesk Conference Table Model-168</t>
        </is>
      </c>
      <c r="C454" s="8" t="inlineStr">
        <is>
          <t>Furniture</t>
        </is>
      </c>
      <c r="D454" s="8" t="inlineStr">
        <is>
          <t>Conference Tables</t>
        </is>
      </c>
      <c r="E454" s="8" t="inlineStr">
        <is>
          <t>ModuDesk</t>
        </is>
      </c>
      <c r="F454" s="9" t="n">
        <v>435.03</v>
      </c>
      <c r="G454" s="9" t="n">
        <v>646.8099999999999</v>
      </c>
      <c r="H454" s="9">
        <f>G454-F454</f>
        <v/>
      </c>
      <c r="I454" s="11">
        <f>IFERROR(H454/G454, 0)</f>
        <v/>
      </c>
      <c r="J454" s="8">
        <f>IF(G454&gt;=400, "High-End", IF(G454&gt;=100, "Mid-Tier", "Economy"))</f>
        <v/>
      </c>
      <c r="K454" s="8" t="n">
        <v>150</v>
      </c>
    </row>
    <row r="455">
      <c r="A455" s="8" t="inlineStr">
        <is>
          <t>PRD-0451</t>
        </is>
      </c>
      <c r="B455" s="8" t="inlineStr">
        <is>
          <t>SteelForm Office Chair Model-734</t>
        </is>
      </c>
      <c r="C455" s="8" t="inlineStr">
        <is>
          <t>Furniture</t>
        </is>
      </c>
      <c r="D455" s="8" t="inlineStr">
        <is>
          <t>Office Chairs</t>
        </is>
      </c>
      <c r="E455" s="8" t="inlineStr">
        <is>
          <t>SteelForm</t>
        </is>
      </c>
      <c r="F455" s="9" t="n">
        <v>451.13</v>
      </c>
      <c r="G455" s="9" t="n">
        <v>664.9400000000001</v>
      </c>
      <c r="H455" s="9">
        <f>G455-F455</f>
        <v/>
      </c>
      <c r="I455" s="11">
        <f>IFERROR(H455/G455, 0)</f>
        <v/>
      </c>
      <c r="J455" s="8">
        <f>IF(G455&gt;=400, "High-End", IF(G455&gt;=100, "Mid-Tier", "Economy"))</f>
        <v/>
      </c>
      <c r="K455" s="8" t="n">
        <v>50</v>
      </c>
    </row>
    <row r="456">
      <c r="A456" s="8" t="inlineStr">
        <is>
          <t>PRD-0452</t>
        </is>
      </c>
      <c r="B456" s="8" t="inlineStr">
        <is>
          <t>AccuBinder Pens, Inks &amp; Marker Model-473</t>
        </is>
      </c>
      <c r="C456" s="8" t="inlineStr">
        <is>
          <t>Office Supplies</t>
        </is>
      </c>
      <c r="D456" s="8" t="inlineStr">
        <is>
          <t>Pens, Inks &amp; Markers</t>
        </is>
      </c>
      <c r="E456" s="8" t="inlineStr">
        <is>
          <t>AccuBinder</t>
        </is>
      </c>
      <c r="F456" s="9" t="n">
        <v>32.59</v>
      </c>
      <c r="G456" s="9" t="n">
        <v>52.31</v>
      </c>
      <c r="H456" s="9">
        <f>G456-F456</f>
        <v/>
      </c>
      <c r="I456" s="11">
        <f>IFERROR(H456/G456, 0)</f>
        <v/>
      </c>
      <c r="J456" s="8">
        <f>IF(G456&gt;=400, "High-End", IF(G456&gt;=100, "Mid-Tier", "Economy"))</f>
        <v/>
      </c>
      <c r="K456" s="8" t="n">
        <v>100</v>
      </c>
    </row>
    <row r="457">
      <c r="A457" s="8" t="inlineStr">
        <is>
          <t>PRD-0453</t>
        </is>
      </c>
      <c r="B457" s="8" t="inlineStr">
        <is>
          <t>EverWrite Desk Accessorie Model-960</t>
        </is>
      </c>
      <c r="C457" s="8" t="inlineStr">
        <is>
          <t>Office Supplies</t>
        </is>
      </c>
      <c r="D457" s="8" t="inlineStr">
        <is>
          <t>Desk Accessories</t>
        </is>
      </c>
      <c r="E457" s="8" t="inlineStr">
        <is>
          <t>EverWrite</t>
        </is>
      </c>
      <c r="F457" s="9" t="n">
        <v>33.34</v>
      </c>
      <c r="G457" s="9" t="n">
        <v>54.92</v>
      </c>
      <c r="H457" s="9">
        <f>G457-F457</f>
        <v/>
      </c>
      <c r="I457" s="11">
        <f>IFERROR(H457/G457, 0)</f>
        <v/>
      </c>
      <c r="J457" s="8">
        <f>IF(G457&gt;=400, "High-End", IF(G457&gt;=100, "Mid-Tier", "Economy"))</f>
        <v/>
      </c>
      <c r="K457" s="8" t="n">
        <v>50</v>
      </c>
    </row>
    <row r="458">
      <c r="A458" s="8" t="inlineStr">
        <is>
          <t>PRD-0454</t>
        </is>
      </c>
      <c r="B458" s="8" t="inlineStr">
        <is>
          <t>NordicCraft Bookcases &amp; Storage Model-279</t>
        </is>
      </c>
      <c r="C458" s="8" t="inlineStr">
        <is>
          <t>Furniture</t>
        </is>
      </c>
      <c r="D458" s="8" t="inlineStr">
        <is>
          <t>Bookcases &amp; Storage</t>
        </is>
      </c>
      <c r="E458" s="8" t="inlineStr">
        <is>
          <t>NordicCraft</t>
        </is>
      </c>
      <c r="F458" s="9" t="n">
        <v>513.73</v>
      </c>
      <c r="G458" s="9" t="n">
        <v>745.9400000000001</v>
      </c>
      <c r="H458" s="9">
        <f>G458-F458</f>
        <v/>
      </c>
      <c r="I458" s="11">
        <f>IFERROR(H458/G458, 0)</f>
        <v/>
      </c>
      <c r="J458" s="8">
        <f>IF(G458&gt;=400, "High-End", IF(G458&gt;=100, "Mid-Tier", "Economy"))</f>
        <v/>
      </c>
      <c r="K458" s="8" t="n">
        <v>20</v>
      </c>
    </row>
    <row r="459">
      <c r="A459" s="8" t="inlineStr">
        <is>
          <t>PRD-0455</t>
        </is>
      </c>
      <c r="B459" s="8" t="inlineStr">
        <is>
          <t>ApexGear Backpacks &amp; Laptop Bag Model-178</t>
        </is>
      </c>
      <c r="C459" s="8" t="inlineStr">
        <is>
          <t>Apparel &amp; Gear</t>
        </is>
      </c>
      <c r="D459" s="8" t="inlineStr">
        <is>
          <t>Backpacks &amp; Laptop Bags</t>
        </is>
      </c>
      <c r="E459" s="8" t="inlineStr">
        <is>
          <t>ApexGear</t>
        </is>
      </c>
      <c r="F459" s="9" t="n">
        <v>39.55</v>
      </c>
      <c r="G459" s="9" t="n">
        <v>63.62</v>
      </c>
      <c r="H459" s="9">
        <f>G459-F459</f>
        <v/>
      </c>
      <c r="I459" s="11">
        <f>IFERROR(H459/G459, 0)</f>
        <v/>
      </c>
      <c r="J459" s="8">
        <f>IF(G459&gt;=400, "High-End", IF(G459&gt;=100, "Mid-Tier", "Economy"))</f>
        <v/>
      </c>
      <c r="K459" s="8" t="n">
        <v>150</v>
      </c>
    </row>
    <row r="460">
      <c r="A460" s="8" t="inlineStr">
        <is>
          <t>PRD-0456</t>
        </is>
      </c>
      <c r="B460" s="8" t="inlineStr">
        <is>
          <t>ApexGear Corporate Apparel Model-137</t>
        </is>
      </c>
      <c r="C460" s="8" t="inlineStr">
        <is>
          <t>Apparel &amp; Gear</t>
        </is>
      </c>
      <c r="D460" s="8" t="inlineStr">
        <is>
          <t>Corporate Apparel</t>
        </is>
      </c>
      <c r="E460" s="8" t="inlineStr">
        <is>
          <t>ApexGear</t>
        </is>
      </c>
      <c r="F460" s="9" t="n">
        <v>87.36</v>
      </c>
      <c r="G460" s="9" t="n">
        <v>148.24</v>
      </c>
      <c r="H460" s="9">
        <f>G460-F460</f>
        <v/>
      </c>
      <c r="I460" s="11">
        <f>IFERROR(H460/G460, 0)</f>
        <v/>
      </c>
      <c r="J460" s="8">
        <f>IF(G460&gt;=400, "High-End", IF(G460&gt;=100, "Mid-Tier", "Economy"))</f>
        <v/>
      </c>
      <c r="K460" s="8" t="n">
        <v>35</v>
      </c>
    </row>
    <row r="461">
      <c r="A461" s="8" t="inlineStr">
        <is>
          <t>PRD-0457</t>
        </is>
      </c>
      <c r="B461" s="8" t="inlineStr">
        <is>
          <t>EverWrite Desk Accessorie Model-850</t>
        </is>
      </c>
      <c r="C461" s="8" t="inlineStr">
        <is>
          <t>Office Supplies</t>
        </is>
      </c>
      <c r="D461" s="8" t="inlineStr">
        <is>
          <t>Desk Accessories</t>
        </is>
      </c>
      <c r="E461" s="8" t="inlineStr">
        <is>
          <t>EverWrite</t>
        </is>
      </c>
      <c r="F461" s="9" t="n">
        <v>19.32</v>
      </c>
      <c r="G461" s="9" t="n">
        <v>29.97</v>
      </c>
      <c r="H461" s="9">
        <f>G461-F461</f>
        <v/>
      </c>
      <c r="I461" s="11">
        <f>IFERROR(H461/G461, 0)</f>
        <v/>
      </c>
      <c r="J461" s="8">
        <f>IF(G461&gt;=400, "High-End", IF(G461&gt;=100, "Mid-Tier", "Economy"))</f>
        <v/>
      </c>
      <c r="K461" s="8" t="n">
        <v>100</v>
      </c>
    </row>
    <row r="462">
      <c r="A462" s="8" t="inlineStr">
        <is>
          <t>PRD-0458</t>
        </is>
      </c>
      <c r="B462" s="8" t="inlineStr">
        <is>
          <t>Kinetix Office Chair Model-800</t>
        </is>
      </c>
      <c r="C462" s="8" t="inlineStr">
        <is>
          <t>Furniture</t>
        </is>
      </c>
      <c r="D462" s="8" t="inlineStr">
        <is>
          <t>Office Chairs</t>
        </is>
      </c>
      <c r="E462" s="8" t="inlineStr">
        <is>
          <t>Kinetix</t>
        </is>
      </c>
      <c r="F462" s="9" t="n">
        <v>51.41</v>
      </c>
      <c r="G462" s="9" t="n">
        <v>75.83</v>
      </c>
      <c r="H462" s="9">
        <f>G462-F462</f>
        <v/>
      </c>
      <c r="I462" s="11">
        <f>IFERROR(H462/G462, 0)</f>
        <v/>
      </c>
      <c r="J462" s="8">
        <f>IF(G462&gt;=400, "High-End", IF(G462&gt;=100, "Mid-Tier", "Economy"))</f>
        <v/>
      </c>
      <c r="K462" s="8" t="n">
        <v>100</v>
      </c>
    </row>
    <row r="463">
      <c r="A463" s="8" t="inlineStr">
        <is>
          <t>PRD-0459</t>
        </is>
      </c>
      <c r="B463" s="8" t="inlineStr">
        <is>
          <t>EverWrite Paper &amp; Stationery Model-141</t>
        </is>
      </c>
      <c r="C463" s="8" t="inlineStr">
        <is>
          <t>Office Supplies</t>
        </is>
      </c>
      <c r="D463" s="8" t="inlineStr">
        <is>
          <t>Paper &amp; Stationery</t>
        </is>
      </c>
      <c r="E463" s="8" t="inlineStr">
        <is>
          <t>EverWrite</t>
        </is>
      </c>
      <c r="F463" s="9" t="n">
        <v>34.3</v>
      </c>
      <c r="G463" s="9" t="n">
        <v>55.95</v>
      </c>
      <c r="H463" s="9">
        <f>G463-F463</f>
        <v/>
      </c>
      <c r="I463" s="11">
        <f>IFERROR(H463/G463, 0)</f>
        <v/>
      </c>
      <c r="J463" s="8">
        <f>IF(G463&gt;=400, "High-End", IF(G463&gt;=100, "Mid-Tier", "Economy"))</f>
        <v/>
      </c>
      <c r="K463" s="8" t="n">
        <v>50</v>
      </c>
    </row>
    <row r="464">
      <c r="A464" s="8" t="inlineStr">
        <is>
          <t>PRD-0460</t>
        </is>
      </c>
      <c r="B464" s="8" t="inlineStr">
        <is>
          <t>Hyperion Laptops &amp; Desktop Model-497</t>
        </is>
      </c>
      <c r="C464" s="8" t="inlineStr">
        <is>
          <t>Technology</t>
        </is>
      </c>
      <c r="D464" s="8" t="inlineStr">
        <is>
          <t>Laptops &amp; Desktops</t>
        </is>
      </c>
      <c r="E464" s="8" t="inlineStr">
        <is>
          <t>Hyperion</t>
        </is>
      </c>
      <c r="F464" s="9" t="n">
        <v>224.2</v>
      </c>
      <c r="G464" s="9" t="n">
        <v>331.54</v>
      </c>
      <c r="H464" s="9">
        <f>G464-F464</f>
        <v/>
      </c>
      <c r="I464" s="11">
        <f>IFERROR(H464/G464, 0)</f>
        <v/>
      </c>
      <c r="J464" s="8">
        <f>IF(G464&gt;=400, "High-End", IF(G464&gt;=100, "Mid-Tier", "Economy"))</f>
        <v/>
      </c>
      <c r="K464" s="8" t="n">
        <v>50</v>
      </c>
    </row>
    <row r="465">
      <c r="A465" s="8" t="inlineStr">
        <is>
          <t>PRD-0461</t>
        </is>
      </c>
      <c r="B465" s="8" t="inlineStr">
        <is>
          <t>ErgoComfort Office Chair Model-954</t>
        </is>
      </c>
      <c r="C465" s="8" t="inlineStr">
        <is>
          <t>Furniture</t>
        </is>
      </c>
      <c r="D465" s="8" t="inlineStr">
        <is>
          <t>Office Chairs</t>
        </is>
      </c>
      <c r="E465" s="8" t="inlineStr">
        <is>
          <t>ErgoComfort</t>
        </is>
      </c>
      <c r="F465" s="9" t="n">
        <v>470.76</v>
      </c>
      <c r="G465" s="9" t="n">
        <v>724.9299999999999</v>
      </c>
      <c r="H465" s="9">
        <f>G465-F465</f>
        <v/>
      </c>
      <c r="I465" s="11">
        <f>IFERROR(H465/G465, 0)</f>
        <v/>
      </c>
      <c r="J465" s="8">
        <f>IF(G465&gt;=400, "High-End", IF(G465&gt;=100, "Mid-Tier", "Economy"))</f>
        <v/>
      </c>
      <c r="K465" s="8" t="n">
        <v>50</v>
      </c>
    </row>
    <row r="466">
      <c r="A466" s="8" t="inlineStr">
        <is>
          <t>PRD-0462</t>
        </is>
      </c>
      <c r="B466" s="8" t="inlineStr">
        <is>
          <t>NordicCraft Standing Desk Model-629</t>
        </is>
      </c>
      <c r="C466" s="8" t="inlineStr">
        <is>
          <t>Furniture</t>
        </is>
      </c>
      <c r="D466" s="8" t="inlineStr">
        <is>
          <t>Standing Desks</t>
        </is>
      </c>
      <c r="E466" s="8" t="inlineStr">
        <is>
          <t>NordicCraft</t>
        </is>
      </c>
      <c r="F466" s="9" t="n">
        <v>400.55</v>
      </c>
      <c r="G466" s="9" t="n">
        <v>643.52</v>
      </c>
      <c r="H466" s="9">
        <f>G466-F466</f>
        <v/>
      </c>
      <c r="I466" s="11">
        <f>IFERROR(H466/G466, 0)</f>
        <v/>
      </c>
      <c r="J466" s="8">
        <f>IF(G466&gt;=400, "High-End", IF(G466&gt;=100, "Mid-Tier", "Economy"))</f>
        <v/>
      </c>
      <c r="K466" s="8" t="n">
        <v>20</v>
      </c>
    </row>
    <row r="467">
      <c r="A467" s="8" t="inlineStr">
        <is>
          <t>PRD-0463</t>
        </is>
      </c>
      <c r="B467" s="8" t="inlineStr">
        <is>
          <t>AeroWeave Corporate Apparel Model-106</t>
        </is>
      </c>
      <c r="C467" s="8" t="inlineStr">
        <is>
          <t>Apparel &amp; Gear</t>
        </is>
      </c>
      <c r="D467" s="8" t="inlineStr">
        <is>
          <t>Corporate Apparel</t>
        </is>
      </c>
      <c r="E467" s="8" t="inlineStr">
        <is>
          <t>AeroWeave</t>
        </is>
      </c>
      <c r="F467" s="9" t="n">
        <v>75.86</v>
      </c>
      <c r="G467" s="9" t="n">
        <v>123.72</v>
      </c>
      <c r="H467" s="9">
        <f>G467-F467</f>
        <v/>
      </c>
      <c r="I467" s="11">
        <f>IFERROR(H467/G467, 0)</f>
        <v/>
      </c>
      <c r="J467" s="8">
        <f>IF(G467&gt;=400, "High-End", IF(G467&gt;=100, "Mid-Tier", "Economy"))</f>
        <v/>
      </c>
      <c r="K467" s="8" t="n">
        <v>100</v>
      </c>
    </row>
    <row r="468">
      <c r="A468" s="8" t="inlineStr">
        <is>
          <t>PRD-0464</t>
        </is>
      </c>
      <c r="B468" s="8" t="inlineStr">
        <is>
          <t>AccuBinder Pens, Inks &amp; Marker Model-716</t>
        </is>
      </c>
      <c r="C468" s="8" t="inlineStr">
        <is>
          <t>Office Supplies</t>
        </is>
      </c>
      <c r="D468" s="8" t="inlineStr">
        <is>
          <t>Pens, Inks &amp; Markers</t>
        </is>
      </c>
      <c r="E468" s="8" t="inlineStr">
        <is>
          <t>AccuBinder</t>
        </is>
      </c>
      <c r="F468" s="9" t="n">
        <v>13.07</v>
      </c>
      <c r="G468" s="9" t="n">
        <v>21.08</v>
      </c>
      <c r="H468" s="9">
        <f>G468-F468</f>
        <v/>
      </c>
      <c r="I468" s="11">
        <f>IFERROR(H468/G468, 0)</f>
        <v/>
      </c>
      <c r="J468" s="8">
        <f>IF(G468&gt;=400, "High-End", IF(G468&gt;=100, "Mid-Tier", "Economy"))</f>
        <v/>
      </c>
      <c r="K468" s="8" t="n">
        <v>50</v>
      </c>
    </row>
    <row r="469">
      <c r="A469" s="8" t="inlineStr">
        <is>
          <t>PRD-0465</t>
        </is>
      </c>
      <c r="B469" s="8" t="inlineStr">
        <is>
          <t>OptimaPrint Storage &amp; Organization Model-704</t>
        </is>
      </c>
      <c r="C469" s="8" t="inlineStr">
        <is>
          <t>Office Supplies</t>
        </is>
      </c>
      <c r="D469" s="8" t="inlineStr">
        <is>
          <t>Storage &amp; Organization</t>
        </is>
      </c>
      <c r="E469" s="8" t="inlineStr">
        <is>
          <t>OptimaPrint</t>
        </is>
      </c>
      <c r="F469" s="9" t="n">
        <v>24</v>
      </c>
      <c r="G469" s="9" t="n">
        <v>36.72</v>
      </c>
      <c r="H469" s="9">
        <f>G469-F469</f>
        <v/>
      </c>
      <c r="I469" s="11">
        <f>IFERROR(H469/G469, 0)</f>
        <v/>
      </c>
      <c r="J469" s="8">
        <f>IF(G469&gt;=400, "High-End", IF(G469&gt;=100, "Mid-Tier", "Economy"))</f>
        <v/>
      </c>
      <c r="K469" s="8" t="n">
        <v>35</v>
      </c>
    </row>
    <row r="470">
      <c r="A470" s="8" t="inlineStr">
        <is>
          <t>PRD-0466</t>
        </is>
      </c>
      <c r="B470" s="8" t="inlineStr">
        <is>
          <t>SafeKeep Paper &amp; Stationery Model-686</t>
        </is>
      </c>
      <c r="C470" s="8" t="inlineStr">
        <is>
          <t>Office Supplies</t>
        </is>
      </c>
      <c r="D470" s="8" t="inlineStr">
        <is>
          <t>Paper &amp; Stationery</t>
        </is>
      </c>
      <c r="E470" s="8" t="inlineStr">
        <is>
          <t>SafeKeep</t>
        </is>
      </c>
      <c r="F470" s="9" t="n">
        <v>11.03</v>
      </c>
      <c r="G470" s="9" t="n">
        <v>18.36</v>
      </c>
      <c r="H470" s="9">
        <f>G470-F470</f>
        <v/>
      </c>
      <c r="I470" s="11">
        <f>IFERROR(H470/G470, 0)</f>
        <v/>
      </c>
      <c r="J470" s="8">
        <f>IF(G470&gt;=400, "High-End", IF(G470&gt;=100, "Mid-Tier", "Economy"))</f>
        <v/>
      </c>
      <c r="K470" s="8" t="n">
        <v>20</v>
      </c>
    </row>
    <row r="471">
      <c r="A471" s="8" t="inlineStr">
        <is>
          <t>PRD-0467</t>
        </is>
      </c>
      <c r="B471" s="8" t="inlineStr">
        <is>
          <t>Kinetix Standing Desk Model-845</t>
        </is>
      </c>
      <c r="C471" s="8" t="inlineStr">
        <is>
          <t>Furniture</t>
        </is>
      </c>
      <c r="D471" s="8" t="inlineStr">
        <is>
          <t>Standing Desks</t>
        </is>
      </c>
      <c r="E471" s="8" t="inlineStr">
        <is>
          <t>Kinetix</t>
        </is>
      </c>
      <c r="F471" s="9" t="n">
        <v>631.39</v>
      </c>
      <c r="G471" s="9" t="n">
        <v>976.54</v>
      </c>
      <c r="H471" s="9">
        <f>G471-F471</f>
        <v/>
      </c>
      <c r="I471" s="11">
        <f>IFERROR(H471/G471, 0)</f>
        <v/>
      </c>
      <c r="J471" s="8">
        <f>IF(G471&gt;=400, "High-End", IF(G471&gt;=100, "Mid-Tier", "Economy"))</f>
        <v/>
      </c>
      <c r="K471" s="8" t="n">
        <v>150</v>
      </c>
    </row>
    <row r="472">
      <c r="A472" s="8" t="inlineStr">
        <is>
          <t>PRD-0468</t>
        </is>
      </c>
      <c r="B472" s="8" t="inlineStr">
        <is>
          <t>ModuDesk Bookcases &amp; Storage Model-246</t>
        </is>
      </c>
      <c r="C472" s="8" t="inlineStr">
        <is>
          <t>Furniture</t>
        </is>
      </c>
      <c r="D472" s="8" t="inlineStr">
        <is>
          <t>Bookcases &amp; Storage</t>
        </is>
      </c>
      <c r="E472" s="8" t="inlineStr">
        <is>
          <t>ModuDesk</t>
        </is>
      </c>
      <c r="F472" s="9" t="n">
        <v>148.19</v>
      </c>
      <c r="G472" s="9" t="n">
        <v>226.88</v>
      </c>
      <c r="H472" s="9">
        <f>G472-F472</f>
        <v/>
      </c>
      <c r="I472" s="11">
        <f>IFERROR(H472/G472, 0)</f>
        <v/>
      </c>
      <c r="J472" s="8">
        <f>IF(G472&gt;=400, "High-End", IF(G472&gt;=100, "Mid-Tier", "Economy"))</f>
        <v/>
      </c>
      <c r="K472" s="8" t="n">
        <v>100</v>
      </c>
    </row>
    <row r="473">
      <c r="A473" s="8" t="inlineStr">
        <is>
          <t>PRD-0469</t>
        </is>
      </c>
      <c r="B473" s="8" t="inlineStr">
        <is>
          <t>Novacore Printers &amp; Networking Model-710</t>
        </is>
      </c>
      <c r="C473" s="8" t="inlineStr">
        <is>
          <t>Technology</t>
        </is>
      </c>
      <c r="D473" s="8" t="inlineStr">
        <is>
          <t>Printers &amp; Networking</t>
        </is>
      </c>
      <c r="E473" s="8" t="inlineStr">
        <is>
          <t>Novacore</t>
        </is>
      </c>
      <c r="F473" s="9" t="n">
        <v>697.63</v>
      </c>
      <c r="G473" s="9" t="n">
        <v>892.14</v>
      </c>
      <c r="H473" s="9">
        <f>G473-F473</f>
        <v/>
      </c>
      <c r="I473" s="11">
        <f>IFERROR(H473/G473, 0)</f>
        <v/>
      </c>
      <c r="J473" s="8">
        <f>IF(G473&gt;=400, "High-End", IF(G473&gt;=100, "Mid-Tier", "Economy"))</f>
        <v/>
      </c>
      <c r="K473" s="8" t="n">
        <v>75</v>
      </c>
    </row>
    <row r="474">
      <c r="A474" s="8" t="inlineStr">
        <is>
          <t>PRD-0470</t>
        </is>
      </c>
      <c r="B474" s="8" t="inlineStr">
        <is>
          <t>AeroSonic Monitors &amp; Display Model-946</t>
        </is>
      </c>
      <c r="C474" s="8" t="inlineStr">
        <is>
          <t>Technology</t>
        </is>
      </c>
      <c r="D474" s="8" t="inlineStr">
        <is>
          <t>Monitors &amp; Displays</t>
        </is>
      </c>
      <c r="E474" s="8" t="inlineStr">
        <is>
          <t>AeroSonic</t>
        </is>
      </c>
      <c r="F474" s="9" t="n">
        <v>821.53</v>
      </c>
      <c r="G474" s="9" t="n">
        <v>1097.57</v>
      </c>
      <c r="H474" s="9">
        <f>G474-F474</f>
        <v/>
      </c>
      <c r="I474" s="11">
        <f>IFERROR(H474/G474, 0)</f>
        <v/>
      </c>
      <c r="J474" s="8">
        <f>IF(G474&gt;=400, "High-End", IF(G474&gt;=100, "Mid-Tier", "Economy"))</f>
        <v/>
      </c>
      <c r="K474" s="8" t="n">
        <v>75</v>
      </c>
    </row>
    <row r="475">
      <c r="A475" s="8" t="inlineStr">
        <is>
          <t>PRD-0471</t>
        </is>
      </c>
      <c r="B475" s="8" t="inlineStr">
        <is>
          <t>AeroSonic Laptops &amp; Desktop Model-775</t>
        </is>
      </c>
      <c r="C475" s="8" t="inlineStr">
        <is>
          <t>Technology</t>
        </is>
      </c>
      <c r="D475" s="8" t="inlineStr">
        <is>
          <t>Laptops &amp; Desktops</t>
        </is>
      </c>
      <c r="E475" s="8" t="inlineStr">
        <is>
          <t>AeroSonic</t>
        </is>
      </c>
      <c r="F475" s="9" t="n">
        <v>495.55</v>
      </c>
      <c r="G475" s="9" t="n">
        <v>642.74</v>
      </c>
      <c r="H475" s="9">
        <f>G475-F475</f>
        <v/>
      </c>
      <c r="I475" s="11">
        <f>IFERROR(H475/G475, 0)</f>
        <v/>
      </c>
      <c r="J475" s="8">
        <f>IF(G475&gt;=400, "High-End", IF(G475&gt;=100, "Mid-Tier", "Economy"))</f>
        <v/>
      </c>
      <c r="K475" s="8" t="n">
        <v>75</v>
      </c>
    </row>
    <row r="476">
      <c r="A476" s="8" t="inlineStr">
        <is>
          <t>PRD-0472</t>
        </is>
      </c>
      <c r="B476" s="8" t="inlineStr">
        <is>
          <t>EcoPaper Desk Accessorie Model-814</t>
        </is>
      </c>
      <c r="C476" s="8" t="inlineStr">
        <is>
          <t>Office Supplies</t>
        </is>
      </c>
      <c r="D476" s="8" t="inlineStr">
        <is>
          <t>Desk Accessories</t>
        </is>
      </c>
      <c r="E476" s="8" t="inlineStr">
        <is>
          <t>EcoPaper</t>
        </is>
      </c>
      <c r="F476" s="9" t="n">
        <v>25.64</v>
      </c>
      <c r="G476" s="9" t="n">
        <v>40.64</v>
      </c>
      <c r="H476" s="9">
        <f>G476-F476</f>
        <v/>
      </c>
      <c r="I476" s="11">
        <f>IFERROR(H476/G476, 0)</f>
        <v/>
      </c>
      <c r="J476" s="8">
        <f>IF(G476&gt;=400, "High-End", IF(G476&gt;=100, "Mid-Tier", "Economy"))</f>
        <v/>
      </c>
      <c r="K476" s="8" t="n">
        <v>20</v>
      </c>
    </row>
    <row r="477">
      <c r="A477" s="8" t="inlineStr">
        <is>
          <t>PRD-0473</t>
        </is>
      </c>
      <c r="B477" s="8" t="inlineStr">
        <is>
          <t>NordicCraft Standing Desk Model-689</t>
        </is>
      </c>
      <c r="C477" s="8" t="inlineStr">
        <is>
          <t>Furniture</t>
        </is>
      </c>
      <c r="D477" s="8" t="inlineStr">
        <is>
          <t>Standing Desks</t>
        </is>
      </c>
      <c r="E477" s="8" t="inlineStr">
        <is>
          <t>NordicCraft</t>
        </is>
      </c>
      <c r="F477" s="9" t="n">
        <v>401.37</v>
      </c>
      <c r="G477" s="9" t="n">
        <v>630.36</v>
      </c>
      <c r="H477" s="9">
        <f>G477-F477</f>
        <v/>
      </c>
      <c r="I477" s="11">
        <f>IFERROR(H477/G477, 0)</f>
        <v/>
      </c>
      <c r="J477" s="8">
        <f>IF(G477&gt;=400, "High-End", IF(G477&gt;=100, "Mid-Tier", "Economy"))</f>
        <v/>
      </c>
      <c r="K477" s="8" t="n">
        <v>150</v>
      </c>
    </row>
    <row r="478">
      <c r="A478" s="8" t="inlineStr">
        <is>
          <t>PRD-0474</t>
        </is>
      </c>
      <c r="B478" s="8" t="inlineStr">
        <is>
          <t>UrbanShield Corporate Apparel Model-363</t>
        </is>
      </c>
      <c r="C478" s="8" t="inlineStr">
        <is>
          <t>Apparel &amp; Gear</t>
        </is>
      </c>
      <c r="D478" s="8" t="inlineStr">
        <is>
          <t>Corporate Apparel</t>
        </is>
      </c>
      <c r="E478" s="8" t="inlineStr">
        <is>
          <t>UrbanShield</t>
        </is>
      </c>
      <c r="F478" s="9" t="n">
        <v>50.41</v>
      </c>
      <c r="G478" s="9" t="n">
        <v>86.79000000000001</v>
      </c>
      <c r="H478" s="9">
        <f>G478-F478</f>
        <v/>
      </c>
      <c r="I478" s="11">
        <f>IFERROR(H478/G478, 0)</f>
        <v/>
      </c>
      <c r="J478" s="8">
        <f>IF(G478&gt;=400, "High-End", IF(G478&gt;=100, "Mid-Tier", "Economy"))</f>
        <v/>
      </c>
      <c r="K478" s="8" t="n">
        <v>75</v>
      </c>
    </row>
    <row r="479">
      <c r="A479" s="8" t="inlineStr">
        <is>
          <t>PRD-0475</t>
        </is>
      </c>
      <c r="B479" s="8" t="inlineStr">
        <is>
          <t>AeroSonic Smartphones &amp; Accessorie Model-923</t>
        </is>
      </c>
      <c r="C479" s="8" t="inlineStr">
        <is>
          <t>Technology</t>
        </is>
      </c>
      <c r="D479" s="8" t="inlineStr">
        <is>
          <t>Smartphones &amp; Accessories</t>
        </is>
      </c>
      <c r="E479" s="8" t="inlineStr">
        <is>
          <t>AeroSonic</t>
        </is>
      </c>
      <c r="F479" s="9" t="n">
        <v>41.58</v>
      </c>
      <c r="G479" s="9" t="n">
        <v>61.15</v>
      </c>
      <c r="H479" s="9">
        <f>G479-F479</f>
        <v/>
      </c>
      <c r="I479" s="11">
        <f>IFERROR(H479/G479, 0)</f>
        <v/>
      </c>
      <c r="J479" s="8">
        <f>IF(G479&gt;=400, "High-End", IF(G479&gt;=100, "Mid-Tier", "Economy"))</f>
        <v/>
      </c>
      <c r="K479" s="8" t="n">
        <v>150</v>
      </c>
    </row>
    <row r="480">
      <c r="A480" s="8" t="inlineStr">
        <is>
          <t>PRD-0476</t>
        </is>
      </c>
      <c r="B480" s="8" t="inlineStr">
        <is>
          <t>QuantumByte Printers &amp; Networking Model-726</t>
        </is>
      </c>
      <c r="C480" s="8" t="inlineStr">
        <is>
          <t>Technology</t>
        </is>
      </c>
      <c r="D480" s="8" t="inlineStr">
        <is>
          <t>Printers &amp; Networking</t>
        </is>
      </c>
      <c r="E480" s="8" t="inlineStr">
        <is>
          <t>QuantumByte</t>
        </is>
      </c>
      <c r="F480" s="9" t="n">
        <v>817.3</v>
      </c>
      <c r="G480" s="9" t="n">
        <v>1060.38</v>
      </c>
      <c r="H480" s="9">
        <f>G480-F480</f>
        <v/>
      </c>
      <c r="I480" s="11">
        <f>IFERROR(H480/G480, 0)</f>
        <v/>
      </c>
      <c r="J480" s="8">
        <f>IF(G480&gt;=400, "High-End", IF(G480&gt;=100, "Mid-Tier", "Economy"))</f>
        <v/>
      </c>
      <c r="K480" s="8" t="n">
        <v>50</v>
      </c>
    </row>
    <row r="481">
      <c r="A481" s="8" t="inlineStr">
        <is>
          <t>PRD-0477</t>
        </is>
      </c>
      <c r="B481" s="8" t="inlineStr">
        <is>
          <t>SafeKeep Desk Accessorie Model-595</t>
        </is>
      </c>
      <c r="C481" s="8" t="inlineStr">
        <is>
          <t>Office Supplies</t>
        </is>
      </c>
      <c r="D481" s="8" t="inlineStr">
        <is>
          <t>Desk Accessories</t>
        </is>
      </c>
      <c r="E481" s="8" t="inlineStr">
        <is>
          <t>SafeKeep</t>
        </is>
      </c>
      <c r="F481" s="9" t="n">
        <v>24.04</v>
      </c>
      <c r="G481" s="9" t="n">
        <v>38.11</v>
      </c>
      <c r="H481" s="9">
        <f>G481-F481</f>
        <v/>
      </c>
      <c r="I481" s="11">
        <f>IFERROR(H481/G481, 0)</f>
        <v/>
      </c>
      <c r="J481" s="8">
        <f>IF(G481&gt;=400, "High-End", IF(G481&gt;=100, "Mid-Tier", "Economy"))</f>
        <v/>
      </c>
      <c r="K481" s="8" t="n">
        <v>100</v>
      </c>
    </row>
    <row r="482">
      <c r="A482" s="8" t="inlineStr">
        <is>
          <t>PRD-0478</t>
        </is>
      </c>
      <c r="B482" s="8" t="inlineStr">
        <is>
          <t>EverWrite Storage &amp; Organization Model-335</t>
        </is>
      </c>
      <c r="C482" s="8" t="inlineStr">
        <is>
          <t>Office Supplies</t>
        </is>
      </c>
      <c r="D482" s="8" t="inlineStr">
        <is>
          <t>Storage &amp; Organization</t>
        </is>
      </c>
      <c r="E482" s="8" t="inlineStr">
        <is>
          <t>EverWrite</t>
        </is>
      </c>
      <c r="F482" s="9" t="n">
        <v>39.13</v>
      </c>
      <c r="G482" s="9" t="n">
        <v>61.5</v>
      </c>
      <c r="H482" s="9">
        <f>G482-F482</f>
        <v/>
      </c>
      <c r="I482" s="11">
        <f>IFERROR(H482/G482, 0)</f>
        <v/>
      </c>
      <c r="J482" s="8">
        <f>IF(G482&gt;=400, "High-End", IF(G482&gt;=100, "Mid-Tier", "Economy"))</f>
        <v/>
      </c>
      <c r="K482" s="8" t="n">
        <v>150</v>
      </c>
    </row>
    <row r="483">
      <c r="A483" s="8" t="inlineStr">
        <is>
          <t>PRD-0479</t>
        </is>
      </c>
      <c r="B483" s="8" t="inlineStr">
        <is>
          <t>NordicCraft Standing Desk Model-823</t>
        </is>
      </c>
      <c r="C483" s="8" t="inlineStr">
        <is>
          <t>Furniture</t>
        </is>
      </c>
      <c r="D483" s="8" t="inlineStr">
        <is>
          <t>Standing Desks</t>
        </is>
      </c>
      <c r="E483" s="8" t="inlineStr">
        <is>
          <t>NordicCraft</t>
        </is>
      </c>
      <c r="F483" s="9" t="n">
        <v>529.52</v>
      </c>
      <c r="G483" s="9" t="n">
        <v>816.11</v>
      </c>
      <c r="H483" s="9">
        <f>G483-F483</f>
        <v/>
      </c>
      <c r="I483" s="11">
        <f>IFERROR(H483/G483, 0)</f>
        <v/>
      </c>
      <c r="J483" s="8">
        <f>IF(G483&gt;=400, "High-End", IF(G483&gt;=100, "Mid-Tier", "Economy"))</f>
        <v/>
      </c>
      <c r="K483" s="8" t="n">
        <v>150</v>
      </c>
    </row>
    <row r="484">
      <c r="A484" s="8" t="inlineStr">
        <is>
          <t>PRD-0480</t>
        </is>
      </c>
      <c r="B484" s="8" t="inlineStr">
        <is>
          <t>VanguardPro Corporate Apparel Model-165</t>
        </is>
      </c>
      <c r="C484" s="8" t="inlineStr">
        <is>
          <t>Apparel &amp; Gear</t>
        </is>
      </c>
      <c r="D484" s="8" t="inlineStr">
        <is>
          <t>Corporate Apparel</t>
        </is>
      </c>
      <c r="E484" s="8" t="inlineStr">
        <is>
          <t>VanguardPro</t>
        </is>
      </c>
      <c r="F484" s="9" t="n">
        <v>73.95999999999999</v>
      </c>
      <c r="G484" s="9" t="n">
        <v>122.63</v>
      </c>
      <c r="H484" s="9">
        <f>G484-F484</f>
        <v/>
      </c>
      <c r="I484" s="11">
        <f>IFERROR(H484/G484, 0)</f>
        <v/>
      </c>
      <c r="J484" s="8">
        <f>IF(G484&gt;=400, "High-End", IF(G484&gt;=100, "Mid-Tier", "Economy"))</f>
        <v/>
      </c>
      <c r="K484" s="8" t="n">
        <v>20</v>
      </c>
    </row>
    <row r="485">
      <c r="A485" s="8" t="inlineStr">
        <is>
          <t>PRD-0481</t>
        </is>
      </c>
      <c r="B485" s="8" t="inlineStr">
        <is>
          <t>TrekLine Backpacks &amp; Laptop Bag Model-711</t>
        </is>
      </c>
      <c r="C485" s="8" t="inlineStr">
        <is>
          <t>Apparel &amp; Gear</t>
        </is>
      </c>
      <c r="D485" s="8" t="inlineStr">
        <is>
          <t>Backpacks &amp; Laptop Bags</t>
        </is>
      </c>
      <c r="E485" s="8" t="inlineStr">
        <is>
          <t>TrekLine</t>
        </is>
      </c>
      <c r="F485" s="9" t="n">
        <v>91.75</v>
      </c>
      <c r="G485" s="9" t="n">
        <v>143.11</v>
      </c>
      <c r="H485" s="9">
        <f>G485-F485</f>
        <v/>
      </c>
      <c r="I485" s="11">
        <f>IFERROR(H485/G485, 0)</f>
        <v/>
      </c>
      <c r="J485" s="8">
        <f>IF(G485&gt;=400, "High-End", IF(G485&gt;=100, "Mid-Tier", "Economy"))</f>
        <v/>
      </c>
      <c r="K485" s="8" t="n">
        <v>150</v>
      </c>
    </row>
    <row r="486">
      <c r="A486" s="8" t="inlineStr">
        <is>
          <t>PRD-0482</t>
        </is>
      </c>
      <c r="B486" s="8" t="inlineStr">
        <is>
          <t>Novacore Laptops &amp; Desktop Model-392</t>
        </is>
      </c>
      <c r="C486" s="8" t="inlineStr">
        <is>
          <t>Technology</t>
        </is>
      </c>
      <c r="D486" s="8" t="inlineStr">
        <is>
          <t>Laptops &amp; Desktops</t>
        </is>
      </c>
      <c r="E486" s="8" t="inlineStr">
        <is>
          <t>Novacore</t>
        </is>
      </c>
      <c r="F486" s="9" t="n">
        <v>813.27</v>
      </c>
      <c r="G486" s="9" t="n">
        <v>1206.95</v>
      </c>
      <c r="H486" s="9">
        <f>G486-F486</f>
        <v/>
      </c>
      <c r="I486" s="11">
        <f>IFERROR(H486/G486, 0)</f>
        <v/>
      </c>
      <c r="J486" s="8">
        <f>IF(G486&gt;=400, "High-End", IF(G486&gt;=100, "Mid-Tier", "Economy"))</f>
        <v/>
      </c>
      <c r="K486" s="8" t="n">
        <v>100</v>
      </c>
    </row>
    <row r="487">
      <c r="A487" s="8" t="inlineStr">
        <is>
          <t>PRD-0483</t>
        </is>
      </c>
      <c r="B487" s="8" t="inlineStr">
        <is>
          <t>EverWrite Paper &amp; Stationery Model-100</t>
        </is>
      </c>
      <c r="C487" s="8" t="inlineStr">
        <is>
          <t>Office Supplies</t>
        </is>
      </c>
      <c r="D487" s="8" t="inlineStr">
        <is>
          <t>Paper &amp; Stationery</t>
        </is>
      </c>
      <c r="E487" s="8" t="inlineStr">
        <is>
          <t>EverWrite</t>
        </is>
      </c>
      <c r="F487" s="9" t="n">
        <v>31.8</v>
      </c>
      <c r="G487" s="9" t="n">
        <v>50.97</v>
      </c>
      <c r="H487" s="9">
        <f>G487-F487</f>
        <v/>
      </c>
      <c r="I487" s="11">
        <f>IFERROR(H487/G487, 0)</f>
        <v/>
      </c>
      <c r="J487" s="8">
        <f>IF(G487&gt;=400, "High-End", IF(G487&gt;=100, "Mid-Tier", "Economy"))</f>
        <v/>
      </c>
      <c r="K487" s="8" t="n">
        <v>150</v>
      </c>
    </row>
    <row r="488">
      <c r="A488" s="8" t="inlineStr">
        <is>
          <t>PRD-0484</t>
        </is>
      </c>
      <c r="B488" s="8" t="inlineStr">
        <is>
          <t>EcoPaper Pens, Inks &amp; Marker Model-854</t>
        </is>
      </c>
      <c r="C488" s="8" t="inlineStr">
        <is>
          <t>Office Supplies</t>
        </is>
      </c>
      <c r="D488" s="8" t="inlineStr">
        <is>
          <t>Pens, Inks &amp; Markers</t>
        </is>
      </c>
      <c r="E488" s="8" t="inlineStr">
        <is>
          <t>EcoPaper</t>
        </is>
      </c>
      <c r="F488" s="9" t="n">
        <v>20.92</v>
      </c>
      <c r="G488" s="9" t="n">
        <v>33.81</v>
      </c>
      <c r="H488" s="9">
        <f>G488-F488</f>
        <v/>
      </c>
      <c r="I488" s="11">
        <f>IFERROR(H488/G488, 0)</f>
        <v/>
      </c>
      <c r="J488" s="8">
        <f>IF(G488&gt;=400, "High-End", IF(G488&gt;=100, "Mid-Tier", "Economy"))</f>
        <v/>
      </c>
      <c r="K488" s="8" t="n">
        <v>20</v>
      </c>
    </row>
    <row r="489">
      <c r="A489" s="8" t="inlineStr">
        <is>
          <t>PRD-0485</t>
        </is>
      </c>
      <c r="B489" s="8" t="inlineStr">
        <is>
          <t>Kinetix Conference Table Model-331</t>
        </is>
      </c>
      <c r="C489" s="8" t="inlineStr">
        <is>
          <t>Furniture</t>
        </is>
      </c>
      <c r="D489" s="8" t="inlineStr">
        <is>
          <t>Conference Tables</t>
        </is>
      </c>
      <c r="E489" s="8" t="inlineStr">
        <is>
          <t>Kinetix</t>
        </is>
      </c>
      <c r="F489" s="9" t="n">
        <v>255.6</v>
      </c>
      <c r="G489" s="9" t="n">
        <v>432.36</v>
      </c>
      <c r="H489" s="9">
        <f>G489-F489</f>
        <v/>
      </c>
      <c r="I489" s="11">
        <f>IFERROR(H489/G489, 0)</f>
        <v/>
      </c>
      <c r="J489" s="8">
        <f>IF(G489&gt;=400, "High-End", IF(G489&gt;=100, "Mid-Tier", "Economy"))</f>
        <v/>
      </c>
      <c r="K489" s="8" t="n">
        <v>50</v>
      </c>
    </row>
    <row r="490">
      <c r="A490" s="8" t="inlineStr">
        <is>
          <t>PRD-0486</t>
        </is>
      </c>
      <c r="B490" s="8" t="inlineStr">
        <is>
          <t>Novacore Printers &amp; Networking Model-615</t>
        </is>
      </c>
      <c r="C490" s="8" t="inlineStr">
        <is>
          <t>Technology</t>
        </is>
      </c>
      <c r="D490" s="8" t="inlineStr">
        <is>
          <t>Printers &amp; Networking</t>
        </is>
      </c>
      <c r="E490" s="8" t="inlineStr">
        <is>
          <t>Novacore</t>
        </is>
      </c>
      <c r="F490" s="9" t="n">
        <v>407.53</v>
      </c>
      <c r="G490" s="9" t="n">
        <v>499.02</v>
      </c>
      <c r="H490" s="9">
        <f>G490-F490</f>
        <v/>
      </c>
      <c r="I490" s="11">
        <f>IFERROR(H490/G490, 0)</f>
        <v/>
      </c>
      <c r="J490" s="8">
        <f>IF(G490&gt;=400, "High-End", IF(G490&gt;=100, "Mid-Tier", "Economy"))</f>
        <v/>
      </c>
      <c r="K490" s="8" t="n">
        <v>20</v>
      </c>
    </row>
    <row r="491">
      <c r="A491" s="8" t="inlineStr">
        <is>
          <t>PRD-0487</t>
        </is>
      </c>
      <c r="B491" s="8" t="inlineStr">
        <is>
          <t>ApexGear Backpacks &amp; Laptop Bag Model-553</t>
        </is>
      </c>
      <c r="C491" s="8" t="inlineStr">
        <is>
          <t>Apparel &amp; Gear</t>
        </is>
      </c>
      <c r="D491" s="8" t="inlineStr">
        <is>
          <t>Backpacks &amp; Laptop Bags</t>
        </is>
      </c>
      <c r="E491" s="8" t="inlineStr">
        <is>
          <t>ApexGear</t>
        </is>
      </c>
      <c r="F491" s="9" t="n">
        <v>116.64</v>
      </c>
      <c r="G491" s="9" t="n">
        <v>183.38</v>
      </c>
      <c r="H491" s="9">
        <f>G491-F491</f>
        <v/>
      </c>
      <c r="I491" s="11">
        <f>IFERROR(H491/G491, 0)</f>
        <v/>
      </c>
      <c r="J491" s="8">
        <f>IF(G491&gt;=400, "High-End", IF(G491&gt;=100, "Mid-Tier", "Economy"))</f>
        <v/>
      </c>
      <c r="K491" s="8" t="n">
        <v>150</v>
      </c>
    </row>
    <row r="492">
      <c r="A492" s="8" t="inlineStr">
        <is>
          <t>PRD-0488</t>
        </is>
      </c>
      <c r="B492" s="8" t="inlineStr">
        <is>
          <t>EcoPaper Desk Accessorie Model-593</t>
        </is>
      </c>
      <c r="C492" s="8" t="inlineStr">
        <is>
          <t>Office Supplies</t>
        </is>
      </c>
      <c r="D492" s="8" t="inlineStr">
        <is>
          <t>Desk Accessories</t>
        </is>
      </c>
      <c r="E492" s="8" t="inlineStr">
        <is>
          <t>EcoPaper</t>
        </is>
      </c>
      <c r="F492" s="9" t="n">
        <v>32.1</v>
      </c>
      <c r="G492" s="9" t="n">
        <v>54.77</v>
      </c>
      <c r="H492" s="9">
        <f>G492-F492</f>
        <v/>
      </c>
      <c r="I492" s="11">
        <f>IFERROR(H492/G492, 0)</f>
        <v/>
      </c>
      <c r="J492" s="8">
        <f>IF(G492&gt;=400, "High-End", IF(G492&gt;=100, "Mid-Tier", "Economy"))</f>
        <v/>
      </c>
      <c r="K492" s="8" t="n">
        <v>20</v>
      </c>
    </row>
    <row r="493">
      <c r="A493" s="8" t="inlineStr">
        <is>
          <t>PRD-0489</t>
        </is>
      </c>
      <c r="B493" s="8" t="inlineStr">
        <is>
          <t>EverWrite Pens, Inks &amp; Marker Model-628</t>
        </is>
      </c>
      <c r="C493" s="8" t="inlineStr">
        <is>
          <t>Office Supplies</t>
        </is>
      </c>
      <c r="D493" s="8" t="inlineStr">
        <is>
          <t>Pens, Inks &amp; Markers</t>
        </is>
      </c>
      <c r="E493" s="8" t="inlineStr">
        <is>
          <t>EverWrite</t>
        </is>
      </c>
      <c r="F493" s="9" t="n">
        <v>36.91</v>
      </c>
      <c r="G493" s="9" t="n">
        <v>61.45</v>
      </c>
      <c r="H493" s="9">
        <f>G493-F493</f>
        <v/>
      </c>
      <c r="I493" s="11">
        <f>IFERROR(H493/G493, 0)</f>
        <v/>
      </c>
      <c r="J493" s="8">
        <f>IF(G493&gt;=400, "High-End", IF(G493&gt;=100, "Mid-Tier", "Economy"))</f>
        <v/>
      </c>
      <c r="K493" s="8" t="n">
        <v>50</v>
      </c>
    </row>
    <row r="494">
      <c r="A494" s="8" t="inlineStr">
        <is>
          <t>PRD-0490</t>
        </is>
      </c>
      <c r="B494" s="8" t="inlineStr">
        <is>
          <t>NordicCraft Standing Desk Model-421</t>
        </is>
      </c>
      <c r="C494" s="8" t="inlineStr">
        <is>
          <t>Furniture</t>
        </is>
      </c>
      <c r="D494" s="8" t="inlineStr">
        <is>
          <t>Standing Desks</t>
        </is>
      </c>
      <c r="E494" s="8" t="inlineStr">
        <is>
          <t>NordicCraft</t>
        </is>
      </c>
      <c r="F494" s="9" t="n">
        <v>91</v>
      </c>
      <c r="G494" s="9" t="n">
        <v>146.89</v>
      </c>
      <c r="H494" s="9">
        <f>G494-F494</f>
        <v/>
      </c>
      <c r="I494" s="11">
        <f>IFERROR(H494/G494, 0)</f>
        <v/>
      </c>
      <c r="J494" s="8">
        <f>IF(G494&gt;=400, "High-End", IF(G494&gt;=100, "Mid-Tier", "Economy"))</f>
        <v/>
      </c>
      <c r="K494" s="8" t="n">
        <v>75</v>
      </c>
    </row>
    <row r="495">
      <c r="A495" s="8" t="inlineStr">
        <is>
          <t>PRD-0491</t>
        </is>
      </c>
      <c r="B495" s="8" t="inlineStr">
        <is>
          <t>EverWrite Pens, Inks &amp; Marker Model-347</t>
        </is>
      </c>
      <c r="C495" s="8" t="inlineStr">
        <is>
          <t>Office Supplies</t>
        </is>
      </c>
      <c r="D495" s="8" t="inlineStr">
        <is>
          <t>Pens, Inks &amp; Markers</t>
        </is>
      </c>
      <c r="E495" s="8" t="inlineStr">
        <is>
          <t>EverWrite</t>
        </is>
      </c>
      <c r="F495" s="9" t="n">
        <v>24.71</v>
      </c>
      <c r="G495" s="9" t="n">
        <v>39.93</v>
      </c>
      <c r="H495" s="9">
        <f>G495-F495</f>
        <v/>
      </c>
      <c r="I495" s="11">
        <f>IFERROR(H495/G495, 0)</f>
        <v/>
      </c>
      <c r="J495" s="8">
        <f>IF(G495&gt;=400, "High-End", IF(G495&gt;=100, "Mid-Tier", "Economy"))</f>
        <v/>
      </c>
      <c r="K495" s="8" t="n">
        <v>150</v>
      </c>
    </row>
    <row r="496">
      <c r="A496" s="8" t="inlineStr">
        <is>
          <t>PRD-0492</t>
        </is>
      </c>
      <c r="B496" s="8" t="inlineStr">
        <is>
          <t>AccuBinder Paper &amp; Stationery Model-792</t>
        </is>
      </c>
      <c r="C496" s="8" t="inlineStr">
        <is>
          <t>Office Supplies</t>
        </is>
      </c>
      <c r="D496" s="8" t="inlineStr">
        <is>
          <t>Paper &amp; Stationery</t>
        </is>
      </c>
      <c r="E496" s="8" t="inlineStr">
        <is>
          <t>AccuBinder</t>
        </is>
      </c>
      <c r="F496" s="9" t="n">
        <v>10.82</v>
      </c>
      <c r="G496" s="9" t="n">
        <v>16.71</v>
      </c>
      <c r="H496" s="9">
        <f>G496-F496</f>
        <v/>
      </c>
      <c r="I496" s="11">
        <f>IFERROR(H496/G496, 0)</f>
        <v/>
      </c>
      <c r="J496" s="8">
        <f>IF(G496&gt;=400, "High-End", IF(G496&gt;=100, "Mid-Tier", "Economy"))</f>
        <v/>
      </c>
      <c r="K496" s="8" t="n">
        <v>20</v>
      </c>
    </row>
    <row r="497">
      <c r="A497" s="8" t="inlineStr">
        <is>
          <t>PRD-0493</t>
        </is>
      </c>
      <c r="B497" s="8" t="inlineStr">
        <is>
          <t>ZenithLogix Laptops &amp; Desktop Model-989</t>
        </is>
      </c>
      <c r="C497" s="8" t="inlineStr">
        <is>
          <t>Technology</t>
        </is>
      </c>
      <c r="D497" s="8" t="inlineStr">
        <is>
          <t>Laptops &amp; Desktops</t>
        </is>
      </c>
      <c r="E497" s="8" t="inlineStr">
        <is>
          <t>ZenithLogix</t>
        </is>
      </c>
      <c r="F497" s="9" t="n">
        <v>374.64</v>
      </c>
      <c r="G497" s="9" t="n">
        <v>502.97</v>
      </c>
      <c r="H497" s="9">
        <f>G497-F497</f>
        <v/>
      </c>
      <c r="I497" s="11">
        <f>IFERROR(H497/G497, 0)</f>
        <v/>
      </c>
      <c r="J497" s="8">
        <f>IF(G497&gt;=400, "High-End", IF(G497&gt;=100, "Mid-Tier", "Economy"))</f>
        <v/>
      </c>
      <c r="K497" s="8" t="n">
        <v>100</v>
      </c>
    </row>
    <row r="498">
      <c r="A498" s="8" t="inlineStr">
        <is>
          <t>PRD-0494</t>
        </is>
      </c>
      <c r="B498" s="8" t="inlineStr">
        <is>
          <t>SteelForm Standing Desk Model-918</t>
        </is>
      </c>
      <c r="C498" s="8" t="inlineStr">
        <is>
          <t>Furniture</t>
        </is>
      </c>
      <c r="D498" s="8" t="inlineStr">
        <is>
          <t>Standing Desks</t>
        </is>
      </c>
      <c r="E498" s="8" t="inlineStr">
        <is>
          <t>SteelForm</t>
        </is>
      </c>
      <c r="F498" s="9" t="n">
        <v>498.85</v>
      </c>
      <c r="G498" s="9" t="n">
        <v>713.1</v>
      </c>
      <c r="H498" s="9">
        <f>G498-F498</f>
        <v/>
      </c>
      <c r="I498" s="11">
        <f>IFERROR(H498/G498, 0)</f>
        <v/>
      </c>
      <c r="J498" s="8">
        <f>IF(G498&gt;=400, "High-End", IF(G498&gt;=100, "Mid-Tier", "Economy"))</f>
        <v/>
      </c>
      <c r="K498" s="8" t="n">
        <v>100</v>
      </c>
    </row>
    <row r="499">
      <c r="A499" s="8" t="inlineStr">
        <is>
          <t>PRD-0495</t>
        </is>
      </c>
      <c r="B499" s="8" t="inlineStr">
        <is>
          <t>VanguardPro Corporate Apparel Model-571</t>
        </is>
      </c>
      <c r="C499" s="8" t="inlineStr">
        <is>
          <t>Apparel &amp; Gear</t>
        </is>
      </c>
      <c r="D499" s="8" t="inlineStr">
        <is>
          <t>Corporate Apparel</t>
        </is>
      </c>
      <c r="E499" s="8" t="inlineStr">
        <is>
          <t>VanguardPro</t>
        </is>
      </c>
      <c r="F499" s="9" t="n">
        <v>72.15000000000001</v>
      </c>
      <c r="G499" s="9" t="n">
        <v>111.67</v>
      </c>
      <c r="H499" s="9">
        <f>G499-F499</f>
        <v/>
      </c>
      <c r="I499" s="11">
        <f>IFERROR(H499/G499, 0)</f>
        <v/>
      </c>
      <c r="J499" s="8">
        <f>IF(G499&gt;=400, "High-End", IF(G499&gt;=100, "Mid-Tier", "Economy"))</f>
        <v/>
      </c>
      <c r="K499" s="8" t="n">
        <v>100</v>
      </c>
    </row>
    <row r="500">
      <c r="A500" s="8" t="inlineStr">
        <is>
          <t>PRD-0496</t>
        </is>
      </c>
      <c r="B500" s="8" t="inlineStr">
        <is>
          <t>QuantumByte Smartphones &amp; Accessorie Model-661</t>
        </is>
      </c>
      <c r="C500" s="8" t="inlineStr">
        <is>
          <t>Technology</t>
        </is>
      </c>
      <c r="D500" s="8" t="inlineStr">
        <is>
          <t>Smartphones &amp; Accessories</t>
        </is>
      </c>
      <c r="E500" s="8" t="inlineStr">
        <is>
          <t>QuantumByte</t>
        </is>
      </c>
      <c r="F500" s="9" t="n">
        <v>365.87</v>
      </c>
      <c r="G500" s="9" t="n">
        <v>555.47</v>
      </c>
      <c r="H500" s="9">
        <f>G500-F500</f>
        <v/>
      </c>
      <c r="I500" s="11">
        <f>IFERROR(H500/G500, 0)</f>
        <v/>
      </c>
      <c r="J500" s="8">
        <f>IF(G500&gt;=400, "High-End", IF(G500&gt;=100, "Mid-Tier", "Economy"))</f>
        <v/>
      </c>
      <c r="K500" s="8" t="n">
        <v>35</v>
      </c>
    </row>
    <row r="501">
      <c r="A501" s="8" t="inlineStr">
        <is>
          <t>PRD-0497</t>
        </is>
      </c>
      <c r="B501" s="8" t="inlineStr">
        <is>
          <t>ZenithLogix Audio &amp; Headphone Model-473</t>
        </is>
      </c>
      <c r="C501" s="8" t="inlineStr">
        <is>
          <t>Technology</t>
        </is>
      </c>
      <c r="D501" s="8" t="inlineStr">
        <is>
          <t>Audio &amp; Headphones</t>
        </is>
      </c>
      <c r="E501" s="8" t="inlineStr">
        <is>
          <t>ZenithLogix</t>
        </is>
      </c>
      <c r="F501" s="9" t="n">
        <v>422.91</v>
      </c>
      <c r="G501" s="9" t="n">
        <v>620.15</v>
      </c>
      <c r="H501" s="9">
        <f>G501-F501</f>
        <v/>
      </c>
      <c r="I501" s="11">
        <f>IFERROR(H501/G501, 0)</f>
        <v/>
      </c>
      <c r="J501" s="8">
        <f>IF(G501&gt;=400, "High-End", IF(G501&gt;=100, "Mid-Tier", "Economy"))</f>
        <v/>
      </c>
      <c r="K501" s="8" t="n">
        <v>50</v>
      </c>
    </row>
    <row r="502">
      <c r="A502" s="8" t="inlineStr">
        <is>
          <t>PRD-0498</t>
        </is>
      </c>
      <c r="B502" s="8" t="inlineStr">
        <is>
          <t>EverWrite Paper &amp; Stationery Model-668</t>
        </is>
      </c>
      <c r="C502" s="8" t="inlineStr">
        <is>
          <t>Office Supplies</t>
        </is>
      </c>
      <c r="D502" s="8" t="inlineStr">
        <is>
          <t>Paper &amp; Stationery</t>
        </is>
      </c>
      <c r="E502" s="8" t="inlineStr">
        <is>
          <t>EverWrite</t>
        </is>
      </c>
      <c r="F502" s="9" t="n">
        <v>37.47</v>
      </c>
      <c r="G502" s="9" t="n">
        <v>63.17</v>
      </c>
      <c r="H502" s="9">
        <f>G502-F502</f>
        <v/>
      </c>
      <c r="I502" s="11">
        <f>IFERROR(H502/G502, 0)</f>
        <v/>
      </c>
      <c r="J502" s="8">
        <f>IF(G502&gt;=400, "High-End", IF(G502&gt;=100, "Mid-Tier", "Economy"))</f>
        <v/>
      </c>
      <c r="K502" s="8" t="n">
        <v>35</v>
      </c>
    </row>
    <row r="503">
      <c r="A503" s="8" t="inlineStr">
        <is>
          <t>PRD-0499</t>
        </is>
      </c>
      <c r="B503" s="8" t="inlineStr">
        <is>
          <t>ZenithLogix Audio &amp; Headphone Model-237</t>
        </is>
      </c>
      <c r="C503" s="8" t="inlineStr">
        <is>
          <t>Technology</t>
        </is>
      </c>
      <c r="D503" s="8" t="inlineStr">
        <is>
          <t>Audio &amp; Headphones</t>
        </is>
      </c>
      <c r="E503" s="8" t="inlineStr">
        <is>
          <t>ZenithLogix</t>
        </is>
      </c>
      <c r="F503" s="9" t="n">
        <v>772.1900000000001</v>
      </c>
      <c r="G503" s="9" t="n">
        <v>1089.27</v>
      </c>
      <c r="H503" s="9">
        <f>G503-F503</f>
        <v/>
      </c>
      <c r="I503" s="11">
        <f>IFERROR(H503/G503, 0)</f>
        <v/>
      </c>
      <c r="J503" s="8">
        <f>IF(G503&gt;=400, "High-End", IF(G503&gt;=100, "Mid-Tier", "Economy"))</f>
        <v/>
      </c>
      <c r="K503" s="8" t="n">
        <v>75</v>
      </c>
    </row>
    <row r="504">
      <c r="A504" s="8" t="inlineStr">
        <is>
          <t>PRD-0500</t>
        </is>
      </c>
      <c r="B504" s="8" t="inlineStr">
        <is>
          <t>EcoPaper Desk Accessorie Model-148</t>
        </is>
      </c>
      <c r="C504" s="8" t="inlineStr">
        <is>
          <t>Office Supplies</t>
        </is>
      </c>
      <c r="D504" s="8" t="inlineStr">
        <is>
          <t>Desk Accessories</t>
        </is>
      </c>
      <c r="E504" s="8" t="inlineStr">
        <is>
          <t>EcoPaper</t>
        </is>
      </c>
      <c r="F504" s="9" t="n">
        <v>16.65</v>
      </c>
      <c r="G504" s="9" t="n">
        <v>27.13</v>
      </c>
      <c r="H504" s="9">
        <f>G504-F504</f>
        <v/>
      </c>
      <c r="I504" s="11">
        <f>IFERROR(H504/G504, 0)</f>
        <v/>
      </c>
      <c r="J504" s="8">
        <f>IF(G504&gt;=400, "High-End", IF(G504&gt;=100, "Mid-Tier", "Economy"))</f>
        <v/>
      </c>
      <c r="K504" s="8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04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14" customWidth="1" min="2" max="2"/>
    <col width="14" customWidth="1" min="3" max="3"/>
    <col width="15" customWidth="1" min="4" max="4"/>
    <col width="14" customWidth="1" min="5" max="5"/>
    <col width="12" customWidth="1" min="6" max="6"/>
    <col width="77" customWidth="1" min="7" max="7"/>
    <col width="71" customWidth="1" min="8" max="8"/>
    <col width="15" customWidth="1" min="9" max="9"/>
    <col width="17" customWidth="1" min="10" max="10"/>
    <col width="19" customWidth="1" min="11" max="11"/>
    <col width="13" customWidth="1" min="12" max="12"/>
    <col width="14" customWidth="1" min="13" max="13"/>
    <col width="14" customWidth="1" min="14" max="14"/>
    <col width="24" customWidth="1" min="15" max="15"/>
    <col width="14" customWidth="1" min="16" max="16"/>
    <col width="25" customWidth="1" min="17" max="17"/>
    <col width="21" customWidth="1" min="18" max="18"/>
    <col width="13" customWidth="1" min="19" max="19"/>
  </cols>
  <sheetData>
    <row r="1">
      <c r="A1" s="1" t="inlineStr">
        <is>
          <t>ANALYTICAL ORDERS BASE TABLE</t>
        </is>
      </c>
    </row>
    <row r="2">
      <c r="A2" s="2" t="inlineStr">
        <is>
          <t>Normalized transactional table with dynamic XLOOKUP, line revenue, cost, profit, and margin formulas.</t>
        </is>
      </c>
    </row>
    <row r="3"/>
    <row r="4" ht="26" customHeight="1">
      <c r="A4" s="3" t="inlineStr">
        <is>
          <t>Order_Detail_ID</t>
        </is>
      </c>
      <c r="B4" s="3" t="inlineStr">
        <is>
          <t>Order_ID</t>
        </is>
      </c>
      <c r="C4" s="3" t="inlineStr">
        <is>
          <t>Order_Date</t>
        </is>
      </c>
      <c r="D4" s="3" t="inlineStr">
        <is>
          <t>Customer_ID</t>
        </is>
      </c>
      <c r="E4" s="3" t="inlineStr">
        <is>
          <t>Product_ID</t>
        </is>
      </c>
      <c r="F4" s="3" t="inlineStr">
        <is>
          <t>Quantity</t>
        </is>
      </c>
      <c r="G4" s="3" t="inlineStr">
        <is>
          <t>Unit_Price</t>
        </is>
      </c>
      <c r="H4" s="3" t="inlineStr">
        <is>
          <t>Unit_Cost</t>
        </is>
      </c>
      <c r="I4" s="3" t="inlineStr">
        <is>
          <t>Gross_Sales</t>
        </is>
      </c>
      <c r="J4" s="3" t="inlineStr">
        <is>
          <t>Discount_Rate</t>
        </is>
      </c>
      <c r="K4" s="3" t="inlineStr">
        <is>
          <t>Discount_Amount</t>
        </is>
      </c>
      <c r="L4" s="3" t="inlineStr">
        <is>
          <t>Net_Sales</t>
        </is>
      </c>
      <c r="M4" s="3" t="inlineStr">
        <is>
          <t>Total_Cost</t>
        </is>
      </c>
      <c r="N4" s="3" t="inlineStr">
        <is>
          <t>Net_Profit</t>
        </is>
      </c>
      <c r="O4" s="3" t="inlineStr">
        <is>
          <t>Profit_Margin_Pct</t>
        </is>
      </c>
      <c r="P4" s="3" t="inlineStr">
        <is>
          <t>Order_Year</t>
        </is>
      </c>
      <c r="Q4" s="3" t="inlineStr">
        <is>
          <t>Order_Month</t>
        </is>
      </c>
      <c r="R4" s="3" t="inlineStr">
        <is>
          <t>Sales_Channel</t>
        </is>
      </c>
      <c r="S4" s="3" t="inlineStr">
        <is>
          <t>Region_ID</t>
        </is>
      </c>
    </row>
    <row r="5">
      <c r="A5" s="8" t="inlineStr">
        <is>
          <t>DTL-0000001</t>
        </is>
      </c>
      <c r="B5" s="8" t="inlineStr">
        <is>
          <t>ORD-000001</t>
        </is>
      </c>
      <c r="C5" s="10" t="inlineStr">
        <is>
          <t>2025-03-14</t>
        </is>
      </c>
      <c r="D5" s="8" t="inlineStr">
        <is>
          <t>CUST-03473</t>
        </is>
      </c>
      <c r="E5" s="8" t="inlineStr">
        <is>
          <t>PRD-0308</t>
        </is>
      </c>
      <c r="F5" s="8" t="n">
        <v>1</v>
      </c>
      <c r="G5" s="9">
        <f>IFERROR(XLOOKUP(E5, '04_Products'!$A:$A, '04_Products'!$G:$G), 61.03)</f>
        <v/>
      </c>
      <c r="H5" s="9">
        <f>IFERROR(XLOOKUP(E5, '04_Products'!$A:$A, '04_Products'!$F:$F), 0)</f>
        <v/>
      </c>
      <c r="I5" s="9">
        <f>F5*G5</f>
        <v/>
      </c>
      <c r="J5" s="11" t="n">
        <v>0.05</v>
      </c>
      <c r="K5" s="9">
        <f>I5*J5</f>
        <v/>
      </c>
      <c r="L5" s="9">
        <f>I5-K5</f>
        <v/>
      </c>
      <c r="M5" s="9">
        <f>F5*H5</f>
        <v/>
      </c>
      <c r="N5" s="9">
        <f>L5-M5</f>
        <v/>
      </c>
      <c r="O5" s="11">
        <f>IFERROR(N5/L5, 0)</f>
        <v/>
      </c>
      <c r="P5" s="8">
        <f>YEAR(C5)</f>
        <v/>
      </c>
      <c r="Q5" s="8">
        <f>TEXT(C5, "yyyy-mm")</f>
        <v/>
      </c>
      <c r="R5" s="8" t="inlineStr">
        <is>
          <t>Mobile App</t>
        </is>
      </c>
      <c r="S5" s="8" t="inlineStr">
        <is>
          <t>REG-LATAM</t>
        </is>
      </c>
    </row>
    <row r="6">
      <c r="A6" s="8" t="inlineStr">
        <is>
          <t>DTL-0000002</t>
        </is>
      </c>
      <c r="B6" s="8" t="inlineStr">
        <is>
          <t>ORD-000002</t>
        </is>
      </c>
      <c r="C6" s="10" t="inlineStr">
        <is>
          <t>2023-09-25</t>
        </is>
      </c>
      <c r="D6" s="8" t="inlineStr">
        <is>
          <t>CUST-03511</t>
        </is>
      </c>
      <c r="E6" s="8" t="inlineStr">
        <is>
          <t>PRD-0203</t>
        </is>
      </c>
      <c r="F6" s="8" t="n">
        <v>3</v>
      </c>
      <c r="G6" s="9">
        <f>IFERROR(XLOOKUP(E6, '04_Products'!$A:$A, '04_Products'!$G:$G), 991.36)</f>
        <v/>
      </c>
      <c r="H6" s="9">
        <f>IFERROR(XLOOKUP(E6, '04_Products'!$A:$A, '04_Products'!$F:$F), 0)</f>
        <v/>
      </c>
      <c r="I6" s="9">
        <f>F6*G6</f>
        <v/>
      </c>
      <c r="J6" s="11" t="n">
        <v>0.05</v>
      </c>
      <c r="K6" s="9">
        <f>I6*J6</f>
        <v/>
      </c>
      <c r="L6" s="9">
        <f>I6-K6</f>
        <v/>
      </c>
      <c r="M6" s="9">
        <f>F6*H6</f>
        <v/>
      </c>
      <c r="N6" s="9">
        <f>L6-M6</f>
        <v/>
      </c>
      <c r="O6" s="11">
        <f>IFERROR(N6/L6, 0)</f>
        <v/>
      </c>
      <c r="P6" s="8">
        <f>YEAR(C6)</f>
        <v/>
      </c>
      <c r="Q6" s="8">
        <f>TEXT(C6, "yyyy-mm")</f>
        <v/>
      </c>
      <c r="R6" s="8" t="inlineStr">
        <is>
          <t>Mobile App</t>
        </is>
      </c>
      <c r="S6" s="8" t="inlineStr">
        <is>
          <t>REG-APAC</t>
        </is>
      </c>
    </row>
    <row r="7">
      <c r="A7" s="8" t="inlineStr">
        <is>
          <t>DTL-0000003</t>
        </is>
      </c>
      <c r="B7" s="8" t="inlineStr">
        <is>
          <t>ORD-000003</t>
        </is>
      </c>
      <c r="C7" s="10" t="inlineStr">
        <is>
          <t>2025-08-03</t>
        </is>
      </c>
      <c r="D7" s="8" t="inlineStr">
        <is>
          <t>CUST-00043</t>
        </is>
      </c>
      <c r="E7" s="8" t="inlineStr">
        <is>
          <t>PRD-0360</t>
        </is>
      </c>
      <c r="F7" s="8" t="n">
        <v>2</v>
      </c>
      <c r="G7" s="9">
        <f>IFERROR(XLOOKUP(E7, '04_Products'!$A:$A, '04_Products'!$G:$G), 465.92)</f>
        <v/>
      </c>
      <c r="H7" s="9">
        <f>IFERROR(XLOOKUP(E7, '04_Products'!$A:$A, '04_Products'!$F:$F), 0)</f>
        <v/>
      </c>
      <c r="I7" s="9">
        <f>F7*G7</f>
        <v/>
      </c>
      <c r="J7" s="11" t="n">
        <v>0</v>
      </c>
      <c r="K7" s="9">
        <f>I7*J7</f>
        <v/>
      </c>
      <c r="L7" s="9">
        <f>I7-K7</f>
        <v/>
      </c>
      <c r="M7" s="9">
        <f>F7*H7</f>
        <v/>
      </c>
      <c r="N7" s="9">
        <f>L7-M7</f>
        <v/>
      </c>
      <c r="O7" s="11">
        <f>IFERROR(N7/L7, 0)</f>
        <v/>
      </c>
      <c r="P7" s="8">
        <f>YEAR(C7)</f>
        <v/>
      </c>
      <c r="Q7" s="8">
        <f>TEXT(C7, "yyyy-mm")</f>
        <v/>
      </c>
      <c r="R7" s="8" t="inlineStr">
        <is>
          <t>B2B Portal</t>
        </is>
      </c>
      <c r="S7" s="8" t="inlineStr">
        <is>
          <t>REG-NA</t>
        </is>
      </c>
    </row>
    <row r="8">
      <c r="A8" s="8" t="inlineStr">
        <is>
          <t>DTL-0000004</t>
        </is>
      </c>
      <c r="B8" s="8" t="inlineStr">
        <is>
          <t>ORD-000003</t>
        </is>
      </c>
      <c r="C8" s="10" t="inlineStr">
        <is>
          <t>2025-08-03</t>
        </is>
      </c>
      <c r="D8" s="8" t="inlineStr">
        <is>
          <t>CUST-00043</t>
        </is>
      </c>
      <c r="E8" s="8" t="inlineStr">
        <is>
          <t>PRD-0429</t>
        </is>
      </c>
      <c r="F8" s="8" t="n">
        <v>1</v>
      </c>
      <c r="G8" s="9">
        <f>IFERROR(XLOOKUP(E8, '04_Products'!$A:$A, '04_Products'!$G:$G), 790.21)</f>
        <v/>
      </c>
      <c r="H8" s="9">
        <f>IFERROR(XLOOKUP(E8, '04_Products'!$A:$A, '04_Products'!$F:$F), 0)</f>
        <v/>
      </c>
      <c r="I8" s="9">
        <f>F8*G8</f>
        <v/>
      </c>
      <c r="J8" s="11" t="n">
        <v>0.1</v>
      </c>
      <c r="K8" s="9">
        <f>I8*J8</f>
        <v/>
      </c>
      <c r="L8" s="9">
        <f>I8-K8</f>
        <v/>
      </c>
      <c r="M8" s="9">
        <f>F8*H8</f>
        <v/>
      </c>
      <c r="N8" s="9">
        <f>L8-M8</f>
        <v/>
      </c>
      <c r="O8" s="11">
        <f>IFERROR(N8/L8, 0)</f>
        <v/>
      </c>
      <c r="P8" s="8">
        <f>YEAR(C8)</f>
        <v/>
      </c>
      <c r="Q8" s="8">
        <f>TEXT(C8, "yyyy-mm")</f>
        <v/>
      </c>
      <c r="R8" s="8" t="inlineStr">
        <is>
          <t>B2B Portal</t>
        </is>
      </c>
      <c r="S8" s="8" t="inlineStr">
        <is>
          <t>REG-NA</t>
        </is>
      </c>
    </row>
    <row r="9">
      <c r="A9" s="8" t="inlineStr">
        <is>
          <t>DTL-0000005</t>
        </is>
      </c>
      <c r="B9" s="8" t="inlineStr">
        <is>
          <t>ORD-000003</t>
        </is>
      </c>
      <c r="C9" s="10" t="inlineStr">
        <is>
          <t>2025-08-03</t>
        </is>
      </c>
      <c r="D9" s="8" t="inlineStr">
        <is>
          <t>CUST-00043</t>
        </is>
      </c>
      <c r="E9" s="8" t="inlineStr">
        <is>
          <t>PRD-0166</t>
        </is>
      </c>
      <c r="F9" s="8" t="n">
        <v>2</v>
      </c>
      <c r="G9" s="9">
        <f>IFERROR(XLOOKUP(E9, '04_Products'!$A:$A, '04_Products'!$G:$G), 173.50)</f>
        <v/>
      </c>
      <c r="H9" s="9">
        <f>IFERROR(XLOOKUP(E9, '04_Products'!$A:$A, '04_Products'!$F:$F), 0)</f>
        <v/>
      </c>
      <c r="I9" s="9">
        <f>F9*G9</f>
        <v/>
      </c>
      <c r="J9" s="11" t="n">
        <v>0.1</v>
      </c>
      <c r="K9" s="9">
        <f>I9*J9</f>
        <v/>
      </c>
      <c r="L9" s="9">
        <f>I9-K9</f>
        <v/>
      </c>
      <c r="M9" s="9">
        <f>F9*H9</f>
        <v/>
      </c>
      <c r="N9" s="9">
        <f>L9-M9</f>
        <v/>
      </c>
      <c r="O9" s="11">
        <f>IFERROR(N9/L9, 0)</f>
        <v/>
      </c>
      <c r="P9" s="8">
        <f>YEAR(C9)</f>
        <v/>
      </c>
      <c r="Q9" s="8">
        <f>TEXT(C9, "yyyy-mm")</f>
        <v/>
      </c>
      <c r="R9" s="8" t="inlineStr">
        <is>
          <t>B2B Portal</t>
        </is>
      </c>
      <c r="S9" s="8" t="inlineStr">
        <is>
          <t>REG-NA</t>
        </is>
      </c>
    </row>
    <row r="10">
      <c r="A10" s="8" t="inlineStr">
        <is>
          <t>DTL-0000006</t>
        </is>
      </c>
      <c r="B10" s="8" t="inlineStr">
        <is>
          <t>ORD-000003</t>
        </is>
      </c>
      <c r="C10" s="10" t="inlineStr">
        <is>
          <t>2025-08-03</t>
        </is>
      </c>
      <c r="D10" s="8" t="inlineStr">
        <is>
          <t>CUST-00043</t>
        </is>
      </c>
      <c r="E10" s="8" t="inlineStr">
        <is>
          <t>PRD-0317</t>
        </is>
      </c>
      <c r="F10" s="8" t="n">
        <v>1</v>
      </c>
      <c r="G10" s="9">
        <f>IFERROR(XLOOKUP(E10, '04_Products'!$A:$A, '04_Products'!$G:$G), 484.56)</f>
        <v/>
      </c>
      <c r="H10" s="9">
        <f>IFERROR(XLOOKUP(E10, '04_Products'!$A:$A, '04_Products'!$F:$F), 0)</f>
        <v/>
      </c>
      <c r="I10" s="9">
        <f>F10*G10</f>
        <v/>
      </c>
      <c r="J10" s="11" t="n">
        <v>0</v>
      </c>
      <c r="K10" s="9">
        <f>I10*J10</f>
        <v/>
      </c>
      <c r="L10" s="9">
        <f>I10-K10</f>
        <v/>
      </c>
      <c r="M10" s="9">
        <f>F10*H10</f>
        <v/>
      </c>
      <c r="N10" s="9">
        <f>L10-M10</f>
        <v/>
      </c>
      <c r="O10" s="11">
        <f>IFERROR(N10/L10, 0)</f>
        <v/>
      </c>
      <c r="P10" s="8">
        <f>YEAR(C10)</f>
        <v/>
      </c>
      <c r="Q10" s="8">
        <f>TEXT(C10, "yyyy-mm")</f>
        <v/>
      </c>
      <c r="R10" s="8" t="inlineStr">
        <is>
          <t>B2B Portal</t>
        </is>
      </c>
      <c r="S10" s="8" t="inlineStr">
        <is>
          <t>REG-NA</t>
        </is>
      </c>
    </row>
    <row r="11">
      <c r="A11" s="8" t="inlineStr">
        <is>
          <t>DTL-0000007</t>
        </is>
      </c>
      <c r="B11" s="8" t="inlineStr">
        <is>
          <t>ORD-000003</t>
        </is>
      </c>
      <c r="C11" s="10" t="inlineStr">
        <is>
          <t>2025-08-03</t>
        </is>
      </c>
      <c r="D11" s="8" t="inlineStr">
        <is>
          <t>CUST-00043</t>
        </is>
      </c>
      <c r="E11" s="8" t="inlineStr">
        <is>
          <t>PRD-0249</t>
        </is>
      </c>
      <c r="F11" s="8" t="n">
        <v>1</v>
      </c>
      <c r="G11" s="9">
        <f>IFERROR(XLOOKUP(E11, '04_Products'!$A:$A, '04_Products'!$G:$G), 69.32)</f>
        <v/>
      </c>
      <c r="H11" s="9">
        <f>IFERROR(XLOOKUP(E11, '04_Products'!$A:$A, '04_Products'!$F:$F), 0)</f>
        <v/>
      </c>
      <c r="I11" s="9">
        <f>F11*G11</f>
        <v/>
      </c>
      <c r="J11" s="11" t="n">
        <v>0.1</v>
      </c>
      <c r="K11" s="9">
        <f>I11*J11</f>
        <v/>
      </c>
      <c r="L11" s="9">
        <f>I11-K11</f>
        <v/>
      </c>
      <c r="M11" s="9">
        <f>F11*H11</f>
        <v/>
      </c>
      <c r="N11" s="9">
        <f>L11-M11</f>
        <v/>
      </c>
      <c r="O11" s="11">
        <f>IFERROR(N11/L11, 0)</f>
        <v/>
      </c>
      <c r="P11" s="8">
        <f>YEAR(C11)</f>
        <v/>
      </c>
      <c r="Q11" s="8">
        <f>TEXT(C11, "yyyy-mm")</f>
        <v/>
      </c>
      <c r="R11" s="8" t="inlineStr">
        <is>
          <t>B2B Portal</t>
        </is>
      </c>
      <c r="S11" s="8" t="inlineStr">
        <is>
          <t>REG-NA</t>
        </is>
      </c>
    </row>
    <row r="12">
      <c r="A12" s="8" t="inlineStr">
        <is>
          <t>DTL-0000008</t>
        </is>
      </c>
      <c r="B12" s="8" t="inlineStr">
        <is>
          <t>ORD-000004</t>
        </is>
      </c>
      <c r="C12" s="10" t="inlineStr">
        <is>
          <t>2025-03-04</t>
        </is>
      </c>
      <c r="D12" s="8" t="inlineStr">
        <is>
          <t>CUST-03363</t>
        </is>
      </c>
      <c r="E12" s="8" t="inlineStr">
        <is>
          <t>PRD-0141</t>
        </is>
      </c>
      <c r="F12" s="8" t="n">
        <v>3</v>
      </c>
      <c r="G12" s="9">
        <f>IFERROR(XLOOKUP(E12, '04_Products'!$A:$A, '04_Products'!$G:$G), 53.70)</f>
        <v/>
      </c>
      <c r="H12" s="9">
        <f>IFERROR(XLOOKUP(E12, '04_Products'!$A:$A, '04_Products'!$F:$F), 0)</f>
        <v/>
      </c>
      <c r="I12" s="9">
        <f>F12*G12</f>
        <v/>
      </c>
      <c r="J12" s="11" t="n">
        <v>0</v>
      </c>
      <c r="K12" s="9">
        <f>I12*J12</f>
        <v/>
      </c>
      <c r="L12" s="9">
        <f>I12-K12</f>
        <v/>
      </c>
      <c r="M12" s="9">
        <f>F12*H12</f>
        <v/>
      </c>
      <c r="N12" s="9">
        <f>L12-M12</f>
        <v/>
      </c>
      <c r="O12" s="11">
        <f>IFERROR(N12/L12, 0)</f>
        <v/>
      </c>
      <c r="P12" s="8">
        <f>YEAR(C12)</f>
        <v/>
      </c>
      <c r="Q12" s="8">
        <f>TEXT(C12, "yyyy-mm")</f>
        <v/>
      </c>
      <c r="R12" s="8" t="inlineStr">
        <is>
          <t>Direct Web</t>
        </is>
      </c>
      <c r="S12" s="8" t="inlineStr">
        <is>
          <t>REG-APAC</t>
        </is>
      </c>
    </row>
    <row r="13">
      <c r="A13" s="8" t="inlineStr">
        <is>
          <t>DTL-0000009</t>
        </is>
      </c>
      <c r="B13" s="8" t="inlineStr">
        <is>
          <t>ORD-000004</t>
        </is>
      </c>
      <c r="C13" s="10" t="inlineStr">
        <is>
          <t>2025-03-04</t>
        </is>
      </c>
      <c r="D13" s="8" t="inlineStr">
        <is>
          <t>CUST-03363</t>
        </is>
      </c>
      <c r="E13" s="8" t="inlineStr">
        <is>
          <t>PRD-0388</t>
        </is>
      </c>
      <c r="F13" s="8" t="n">
        <v>1</v>
      </c>
      <c r="G13" s="9">
        <f>IFERROR(XLOOKUP(E13, '04_Products'!$A:$A, '04_Products'!$G:$G), 318.52)</f>
        <v/>
      </c>
      <c r="H13" s="9">
        <f>IFERROR(XLOOKUP(E13, '04_Products'!$A:$A, '04_Products'!$F:$F), 0)</f>
        <v/>
      </c>
      <c r="I13" s="9">
        <f>F13*G13</f>
        <v/>
      </c>
      <c r="J13" s="11" t="n">
        <v>0</v>
      </c>
      <c r="K13" s="9">
        <f>I13*J13</f>
        <v/>
      </c>
      <c r="L13" s="9">
        <f>I13-K13</f>
        <v/>
      </c>
      <c r="M13" s="9">
        <f>F13*H13</f>
        <v/>
      </c>
      <c r="N13" s="9">
        <f>L13-M13</f>
        <v/>
      </c>
      <c r="O13" s="11">
        <f>IFERROR(N13/L13, 0)</f>
        <v/>
      </c>
      <c r="P13" s="8">
        <f>YEAR(C13)</f>
        <v/>
      </c>
      <c r="Q13" s="8">
        <f>TEXT(C13, "yyyy-mm")</f>
        <v/>
      </c>
      <c r="R13" s="8" t="inlineStr">
        <is>
          <t>Direct Web</t>
        </is>
      </c>
      <c r="S13" s="8" t="inlineStr">
        <is>
          <t>REG-APAC</t>
        </is>
      </c>
    </row>
    <row r="14">
      <c r="A14" s="8" t="inlineStr">
        <is>
          <t>DTL-0000010</t>
        </is>
      </c>
      <c r="B14" s="8" t="inlineStr">
        <is>
          <t>ORD-000004</t>
        </is>
      </c>
      <c r="C14" s="10" t="inlineStr">
        <is>
          <t>2025-03-04</t>
        </is>
      </c>
      <c r="D14" s="8" t="inlineStr">
        <is>
          <t>CUST-03363</t>
        </is>
      </c>
      <c r="E14" s="8" t="inlineStr">
        <is>
          <t>PRD-0301</t>
        </is>
      </c>
      <c r="F14" s="8" t="n">
        <v>1</v>
      </c>
      <c r="G14" s="9">
        <f>IFERROR(XLOOKUP(E14, '04_Products'!$A:$A, '04_Products'!$G:$G), 528.29)</f>
        <v/>
      </c>
      <c r="H14" s="9">
        <f>IFERROR(XLOOKUP(E14, '04_Products'!$A:$A, '04_Products'!$F:$F), 0)</f>
        <v/>
      </c>
      <c r="I14" s="9">
        <f>F14*G14</f>
        <v/>
      </c>
      <c r="J14" s="11" t="n">
        <v>0.15</v>
      </c>
      <c r="K14" s="9">
        <f>I14*J14</f>
        <v/>
      </c>
      <c r="L14" s="9">
        <f>I14-K14</f>
        <v/>
      </c>
      <c r="M14" s="9">
        <f>F14*H14</f>
        <v/>
      </c>
      <c r="N14" s="9">
        <f>L14-M14</f>
        <v/>
      </c>
      <c r="O14" s="11">
        <f>IFERROR(N14/L14, 0)</f>
        <v/>
      </c>
      <c r="P14" s="8">
        <f>YEAR(C14)</f>
        <v/>
      </c>
      <c r="Q14" s="8">
        <f>TEXT(C14, "yyyy-mm")</f>
        <v/>
      </c>
      <c r="R14" s="8" t="inlineStr">
        <is>
          <t>Direct Web</t>
        </is>
      </c>
      <c r="S14" s="8" t="inlineStr">
        <is>
          <t>REG-APAC</t>
        </is>
      </c>
    </row>
    <row r="15">
      <c r="A15" s="8" t="inlineStr">
        <is>
          <t>DTL-0000011</t>
        </is>
      </c>
      <c r="B15" s="8" t="inlineStr">
        <is>
          <t>ORD-000004</t>
        </is>
      </c>
      <c r="C15" s="10" t="inlineStr">
        <is>
          <t>2025-03-04</t>
        </is>
      </c>
      <c r="D15" s="8" t="inlineStr">
        <is>
          <t>CUST-03363</t>
        </is>
      </c>
      <c r="E15" s="8" t="inlineStr">
        <is>
          <t>PRD-0399</t>
        </is>
      </c>
      <c r="F15" s="8" t="n">
        <v>2</v>
      </c>
      <c r="G15" s="9">
        <f>IFERROR(XLOOKUP(E15, '04_Products'!$A:$A, '04_Products'!$G:$G), 933.08)</f>
        <v/>
      </c>
      <c r="H15" s="9">
        <f>IFERROR(XLOOKUP(E15, '04_Products'!$A:$A, '04_Products'!$F:$F), 0)</f>
        <v/>
      </c>
      <c r="I15" s="9">
        <f>F15*G15</f>
        <v/>
      </c>
      <c r="J15" s="11" t="n">
        <v>0.05</v>
      </c>
      <c r="K15" s="9">
        <f>I15*J15</f>
        <v/>
      </c>
      <c r="L15" s="9">
        <f>I15-K15</f>
        <v/>
      </c>
      <c r="M15" s="9">
        <f>F15*H15</f>
        <v/>
      </c>
      <c r="N15" s="9">
        <f>L15-M15</f>
        <v/>
      </c>
      <c r="O15" s="11">
        <f>IFERROR(N15/L15, 0)</f>
        <v/>
      </c>
      <c r="P15" s="8">
        <f>YEAR(C15)</f>
        <v/>
      </c>
      <c r="Q15" s="8">
        <f>TEXT(C15, "yyyy-mm")</f>
        <v/>
      </c>
      <c r="R15" s="8" t="inlineStr">
        <is>
          <t>Direct Web</t>
        </is>
      </c>
      <c r="S15" s="8" t="inlineStr">
        <is>
          <t>REG-APAC</t>
        </is>
      </c>
    </row>
    <row r="16">
      <c r="A16" s="8" t="inlineStr">
        <is>
          <t>DTL-0000012</t>
        </is>
      </c>
      <c r="B16" s="8" t="inlineStr">
        <is>
          <t>ORD-000005</t>
        </is>
      </c>
      <c r="C16" s="10" t="inlineStr">
        <is>
          <t>2023-09-26</t>
        </is>
      </c>
      <c r="D16" s="8" t="inlineStr">
        <is>
          <t>CUST-01966</t>
        </is>
      </c>
      <c r="E16" s="8" t="inlineStr">
        <is>
          <t>PRD-0248</t>
        </is>
      </c>
      <c r="F16" s="8" t="n">
        <v>2</v>
      </c>
      <c r="G16" s="9">
        <f>IFERROR(XLOOKUP(E16, '04_Products'!$A:$A, '04_Products'!$G:$G), 603.58)</f>
        <v/>
      </c>
      <c r="H16" s="9">
        <f>IFERROR(XLOOKUP(E16, '04_Products'!$A:$A, '04_Products'!$F:$F), 0)</f>
        <v/>
      </c>
      <c r="I16" s="9">
        <f>F16*G16</f>
        <v/>
      </c>
      <c r="J16" s="11" t="n">
        <v>0.05</v>
      </c>
      <c r="K16" s="9">
        <f>I16*J16</f>
        <v/>
      </c>
      <c r="L16" s="9">
        <f>I16-K16</f>
        <v/>
      </c>
      <c r="M16" s="9">
        <f>F16*H16</f>
        <v/>
      </c>
      <c r="N16" s="9">
        <f>L16-M16</f>
        <v/>
      </c>
      <c r="O16" s="11">
        <f>IFERROR(N16/L16, 0)</f>
        <v/>
      </c>
      <c r="P16" s="8">
        <f>YEAR(C16)</f>
        <v/>
      </c>
      <c r="Q16" s="8">
        <f>TEXT(C16, "yyyy-mm")</f>
        <v/>
      </c>
      <c r="R16" s="8" t="inlineStr">
        <is>
          <t>Direct Web</t>
        </is>
      </c>
      <c r="S16" s="8" t="inlineStr">
        <is>
          <t>REG-NA</t>
        </is>
      </c>
    </row>
    <row r="17">
      <c r="A17" s="8" t="inlineStr">
        <is>
          <t>DTL-0000013</t>
        </is>
      </c>
      <c r="B17" s="8" t="inlineStr">
        <is>
          <t>ORD-000005</t>
        </is>
      </c>
      <c r="C17" s="10" t="inlineStr">
        <is>
          <t>2023-09-26</t>
        </is>
      </c>
      <c r="D17" s="8" t="inlineStr">
        <is>
          <t>CUST-01966</t>
        </is>
      </c>
      <c r="E17" s="8" t="inlineStr">
        <is>
          <t>PRD-0215</t>
        </is>
      </c>
      <c r="F17" s="8" t="n">
        <v>1</v>
      </c>
      <c r="G17" s="9">
        <f>IFERROR(XLOOKUP(E17, '04_Products'!$A:$A, '04_Products'!$G:$G), 1006.33)</f>
        <v/>
      </c>
      <c r="H17" s="9">
        <f>IFERROR(XLOOKUP(E17, '04_Products'!$A:$A, '04_Products'!$F:$F), 0)</f>
        <v/>
      </c>
      <c r="I17" s="9">
        <f>F17*G17</f>
        <v/>
      </c>
      <c r="J17" s="11" t="n">
        <v>0.2</v>
      </c>
      <c r="K17" s="9">
        <f>I17*J17</f>
        <v/>
      </c>
      <c r="L17" s="9">
        <f>I17-K17</f>
        <v/>
      </c>
      <c r="M17" s="9">
        <f>F17*H17</f>
        <v/>
      </c>
      <c r="N17" s="9">
        <f>L17-M17</f>
        <v/>
      </c>
      <c r="O17" s="11">
        <f>IFERROR(N17/L17, 0)</f>
        <v/>
      </c>
      <c r="P17" s="8">
        <f>YEAR(C17)</f>
        <v/>
      </c>
      <c r="Q17" s="8">
        <f>TEXT(C17, "yyyy-mm")</f>
        <v/>
      </c>
      <c r="R17" s="8" t="inlineStr">
        <is>
          <t>Direct Web</t>
        </is>
      </c>
      <c r="S17" s="8" t="inlineStr">
        <is>
          <t>REG-NA</t>
        </is>
      </c>
    </row>
    <row r="18">
      <c r="A18" s="8" t="inlineStr">
        <is>
          <t>DTL-0000014</t>
        </is>
      </c>
      <c r="B18" s="8" t="inlineStr">
        <is>
          <t>ORD-000006</t>
        </is>
      </c>
      <c r="C18" s="10" t="inlineStr">
        <is>
          <t>2023-01-19</t>
        </is>
      </c>
      <c r="D18" s="8" t="inlineStr">
        <is>
          <t>CUST-07581</t>
        </is>
      </c>
      <c r="E18" s="8" t="inlineStr">
        <is>
          <t>PRD-0019</t>
        </is>
      </c>
      <c r="F18" s="8" t="n">
        <v>1</v>
      </c>
      <c r="G18" s="9">
        <f>IFERROR(XLOOKUP(E18, '04_Products'!$A:$A, '04_Products'!$G:$G), 444.46)</f>
        <v/>
      </c>
      <c r="H18" s="9">
        <f>IFERROR(XLOOKUP(E18, '04_Products'!$A:$A, '04_Products'!$F:$F), 0)</f>
        <v/>
      </c>
      <c r="I18" s="9">
        <f>F18*G18</f>
        <v/>
      </c>
      <c r="J18" s="11" t="n">
        <v>0.15</v>
      </c>
      <c r="K18" s="9">
        <f>I18*J18</f>
        <v/>
      </c>
      <c r="L18" s="9">
        <f>I18-K18</f>
        <v/>
      </c>
      <c r="M18" s="9">
        <f>F18*H18</f>
        <v/>
      </c>
      <c r="N18" s="9">
        <f>L18-M18</f>
        <v/>
      </c>
      <c r="O18" s="11">
        <f>IFERROR(N18/L18, 0)</f>
        <v/>
      </c>
      <c r="P18" s="8">
        <f>YEAR(C18)</f>
        <v/>
      </c>
      <c r="Q18" s="8">
        <f>TEXT(C18, "yyyy-mm")</f>
        <v/>
      </c>
      <c r="R18" s="8" t="inlineStr">
        <is>
          <t>Direct Web</t>
        </is>
      </c>
      <c r="S18" s="8" t="inlineStr">
        <is>
          <t>REG-NA</t>
        </is>
      </c>
    </row>
    <row r="19">
      <c r="A19" s="8" t="inlineStr">
        <is>
          <t>DTL-0000015</t>
        </is>
      </c>
      <c r="B19" s="8" t="inlineStr">
        <is>
          <t>ORD-000006</t>
        </is>
      </c>
      <c r="C19" s="10" t="inlineStr">
        <is>
          <t>2023-01-19</t>
        </is>
      </c>
      <c r="D19" s="8" t="inlineStr">
        <is>
          <t>CUST-07581</t>
        </is>
      </c>
      <c r="E19" s="8" t="inlineStr">
        <is>
          <t>PRD-0359</t>
        </is>
      </c>
      <c r="F19" s="8" t="n">
        <v>1</v>
      </c>
      <c r="G19" s="9">
        <f>IFERROR(XLOOKUP(E19, '04_Products'!$A:$A, '04_Products'!$G:$G), 1075.75)</f>
        <v/>
      </c>
      <c r="H19" s="9">
        <f>IFERROR(XLOOKUP(E19, '04_Products'!$A:$A, '04_Products'!$F:$F), 0)</f>
        <v/>
      </c>
      <c r="I19" s="9">
        <f>F19*G19</f>
        <v/>
      </c>
      <c r="J19" s="11" t="n">
        <v>0</v>
      </c>
      <c r="K19" s="9">
        <f>I19*J19</f>
        <v/>
      </c>
      <c r="L19" s="9">
        <f>I19-K19</f>
        <v/>
      </c>
      <c r="M19" s="9">
        <f>F19*H19</f>
        <v/>
      </c>
      <c r="N19" s="9">
        <f>L19-M19</f>
        <v/>
      </c>
      <c r="O19" s="11">
        <f>IFERROR(N19/L19, 0)</f>
        <v/>
      </c>
      <c r="P19" s="8">
        <f>YEAR(C19)</f>
        <v/>
      </c>
      <c r="Q19" s="8">
        <f>TEXT(C19, "yyyy-mm")</f>
        <v/>
      </c>
      <c r="R19" s="8" t="inlineStr">
        <is>
          <t>Direct Web</t>
        </is>
      </c>
      <c r="S19" s="8" t="inlineStr">
        <is>
          <t>REG-NA</t>
        </is>
      </c>
    </row>
    <row r="20">
      <c r="A20" s="8" t="inlineStr">
        <is>
          <t>DTL-0000016</t>
        </is>
      </c>
      <c r="B20" s="8" t="inlineStr">
        <is>
          <t>ORD-000006</t>
        </is>
      </c>
      <c r="C20" s="10" t="inlineStr">
        <is>
          <t>2023-01-19</t>
        </is>
      </c>
      <c r="D20" s="8" t="inlineStr">
        <is>
          <t>CUST-07581</t>
        </is>
      </c>
      <c r="E20" s="8" t="inlineStr">
        <is>
          <t>PRD-0385</t>
        </is>
      </c>
      <c r="F20" s="8" t="n">
        <v>1</v>
      </c>
      <c r="G20" s="9">
        <f>IFERROR(XLOOKUP(E20, '04_Products'!$A:$A, '04_Products'!$G:$G), 209.78)</f>
        <v/>
      </c>
      <c r="H20" s="9">
        <f>IFERROR(XLOOKUP(E20, '04_Products'!$A:$A, '04_Products'!$F:$F), 0)</f>
        <v/>
      </c>
      <c r="I20" s="9">
        <f>F20*G20</f>
        <v/>
      </c>
      <c r="J20" s="11" t="n">
        <v>0</v>
      </c>
      <c r="K20" s="9">
        <f>I20*J20</f>
        <v/>
      </c>
      <c r="L20" s="9">
        <f>I20-K20</f>
        <v/>
      </c>
      <c r="M20" s="9">
        <f>F20*H20</f>
        <v/>
      </c>
      <c r="N20" s="9">
        <f>L20-M20</f>
        <v/>
      </c>
      <c r="O20" s="11">
        <f>IFERROR(N20/L20, 0)</f>
        <v/>
      </c>
      <c r="P20" s="8">
        <f>YEAR(C20)</f>
        <v/>
      </c>
      <c r="Q20" s="8">
        <f>TEXT(C20, "yyyy-mm")</f>
        <v/>
      </c>
      <c r="R20" s="8" t="inlineStr">
        <is>
          <t>Direct Web</t>
        </is>
      </c>
      <c r="S20" s="8" t="inlineStr">
        <is>
          <t>REG-NA</t>
        </is>
      </c>
    </row>
    <row r="21">
      <c r="A21" s="8" t="inlineStr">
        <is>
          <t>DTL-0000017</t>
        </is>
      </c>
      <c r="B21" s="8" t="inlineStr">
        <is>
          <t>ORD-000006</t>
        </is>
      </c>
      <c r="C21" s="10" t="inlineStr">
        <is>
          <t>2023-01-19</t>
        </is>
      </c>
      <c r="D21" s="8" t="inlineStr">
        <is>
          <t>CUST-07581</t>
        </is>
      </c>
      <c r="E21" s="8" t="inlineStr">
        <is>
          <t>PRD-0208</t>
        </is>
      </c>
      <c r="F21" s="8" t="n">
        <v>1</v>
      </c>
      <c r="G21" s="9">
        <f>IFERROR(XLOOKUP(E21, '04_Products'!$A:$A, '04_Products'!$G:$G), 47.15)</f>
        <v/>
      </c>
      <c r="H21" s="9">
        <f>IFERROR(XLOOKUP(E21, '04_Products'!$A:$A, '04_Products'!$F:$F), 0)</f>
        <v/>
      </c>
      <c r="I21" s="9">
        <f>F21*G21</f>
        <v/>
      </c>
      <c r="J21" s="11" t="n">
        <v>0</v>
      </c>
      <c r="K21" s="9">
        <f>I21*J21</f>
        <v/>
      </c>
      <c r="L21" s="9">
        <f>I21-K21</f>
        <v/>
      </c>
      <c r="M21" s="9">
        <f>F21*H21</f>
        <v/>
      </c>
      <c r="N21" s="9">
        <f>L21-M21</f>
        <v/>
      </c>
      <c r="O21" s="11">
        <f>IFERROR(N21/L21, 0)</f>
        <v/>
      </c>
      <c r="P21" s="8">
        <f>YEAR(C21)</f>
        <v/>
      </c>
      <c r="Q21" s="8">
        <f>TEXT(C21, "yyyy-mm")</f>
        <v/>
      </c>
      <c r="R21" s="8" t="inlineStr">
        <is>
          <t>Direct Web</t>
        </is>
      </c>
      <c r="S21" s="8" t="inlineStr">
        <is>
          <t>REG-NA</t>
        </is>
      </c>
    </row>
    <row r="22">
      <c r="A22" s="8" t="inlineStr">
        <is>
          <t>DTL-0000018</t>
        </is>
      </c>
      <c r="B22" s="8" t="inlineStr">
        <is>
          <t>ORD-000007</t>
        </is>
      </c>
      <c r="C22" s="10" t="inlineStr">
        <is>
          <t>2024-03-09</t>
        </is>
      </c>
      <c r="D22" s="8" t="inlineStr">
        <is>
          <t>CUST-00360</t>
        </is>
      </c>
      <c r="E22" s="8" t="inlineStr">
        <is>
          <t>PRD-0222</t>
        </is>
      </c>
      <c r="F22" s="8" t="n">
        <v>8</v>
      </c>
      <c r="G22" s="9">
        <f>IFERROR(XLOOKUP(E22, '04_Products'!$A:$A, '04_Products'!$G:$G), 748.03)</f>
        <v/>
      </c>
      <c r="H22" s="9">
        <f>IFERROR(XLOOKUP(E22, '04_Products'!$A:$A, '04_Products'!$F:$F), 0)</f>
        <v/>
      </c>
      <c r="I22" s="9">
        <f>F22*G22</f>
        <v/>
      </c>
      <c r="J22" s="11" t="n">
        <v>0</v>
      </c>
      <c r="K22" s="9">
        <f>I22*J22</f>
        <v/>
      </c>
      <c r="L22" s="9">
        <f>I22-K22</f>
        <v/>
      </c>
      <c r="M22" s="9">
        <f>F22*H22</f>
        <v/>
      </c>
      <c r="N22" s="9">
        <f>L22-M22</f>
        <v/>
      </c>
      <c r="O22" s="11">
        <f>IFERROR(N22/L22, 0)</f>
        <v/>
      </c>
      <c r="P22" s="8">
        <f>YEAR(C22)</f>
        <v/>
      </c>
      <c r="Q22" s="8">
        <f>TEXT(C22, "yyyy-mm")</f>
        <v/>
      </c>
      <c r="R22" s="8" t="inlineStr">
        <is>
          <t>Direct Web</t>
        </is>
      </c>
      <c r="S22" s="8" t="inlineStr">
        <is>
          <t>REG-APAC</t>
        </is>
      </c>
    </row>
    <row r="23">
      <c r="A23" s="8" t="inlineStr">
        <is>
          <t>DTL-0000019</t>
        </is>
      </c>
      <c r="B23" s="8" t="inlineStr">
        <is>
          <t>ORD-000008</t>
        </is>
      </c>
      <c r="C23" s="10" t="inlineStr">
        <is>
          <t>2025-11-23</t>
        </is>
      </c>
      <c r="D23" s="8" t="inlineStr">
        <is>
          <t>CUST-05897</t>
        </is>
      </c>
      <c r="E23" s="8" t="inlineStr">
        <is>
          <t>PRD-0141</t>
        </is>
      </c>
      <c r="F23" s="8" t="n">
        <v>1</v>
      </c>
      <c r="G23" s="9">
        <f>IFERROR(XLOOKUP(E23, '04_Products'!$A:$A, '04_Products'!$G:$G), 53.70)</f>
        <v/>
      </c>
      <c r="H23" s="9">
        <f>IFERROR(XLOOKUP(E23, '04_Products'!$A:$A, '04_Products'!$F:$F), 0)</f>
        <v/>
      </c>
      <c r="I23" s="9">
        <f>F23*G23</f>
        <v/>
      </c>
      <c r="J23" s="11" t="n">
        <v>0</v>
      </c>
      <c r="K23" s="9">
        <f>I23*J23</f>
        <v/>
      </c>
      <c r="L23" s="9">
        <f>I23-K23</f>
        <v/>
      </c>
      <c r="M23" s="9">
        <f>F23*H23</f>
        <v/>
      </c>
      <c r="N23" s="9">
        <f>L23-M23</f>
        <v/>
      </c>
      <c r="O23" s="11">
        <f>IFERROR(N23/L23, 0)</f>
        <v/>
      </c>
      <c r="P23" s="8">
        <f>YEAR(C23)</f>
        <v/>
      </c>
      <c r="Q23" s="8">
        <f>TEXT(C23, "yyyy-mm")</f>
        <v/>
      </c>
      <c r="R23" s="8" t="inlineStr">
        <is>
          <t>Direct Web</t>
        </is>
      </c>
      <c r="S23" s="8" t="inlineStr">
        <is>
          <t>REG-APAC</t>
        </is>
      </c>
    </row>
    <row r="24">
      <c r="A24" s="8" t="inlineStr">
        <is>
          <t>DTL-0000020</t>
        </is>
      </c>
      <c r="B24" s="8" t="inlineStr">
        <is>
          <t>ORD-000008</t>
        </is>
      </c>
      <c r="C24" s="10" t="inlineStr">
        <is>
          <t>2025-11-23</t>
        </is>
      </c>
      <c r="D24" s="8" t="inlineStr">
        <is>
          <t>CUST-05897</t>
        </is>
      </c>
      <c r="E24" s="8" t="inlineStr">
        <is>
          <t>PRD-0143</t>
        </is>
      </c>
      <c r="F24" s="8" t="n">
        <v>3</v>
      </c>
      <c r="G24" s="9">
        <f>IFERROR(XLOOKUP(E24, '04_Products'!$A:$A, '04_Products'!$G:$G), 359.58)</f>
        <v/>
      </c>
      <c r="H24" s="9">
        <f>IFERROR(XLOOKUP(E24, '04_Products'!$A:$A, '04_Products'!$F:$F), 0)</f>
        <v/>
      </c>
      <c r="I24" s="9">
        <f>F24*G24</f>
        <v/>
      </c>
      <c r="J24" s="11" t="n">
        <v>0</v>
      </c>
      <c r="K24" s="9">
        <f>I24*J24</f>
        <v/>
      </c>
      <c r="L24" s="9">
        <f>I24-K24</f>
        <v/>
      </c>
      <c r="M24" s="9">
        <f>F24*H24</f>
        <v/>
      </c>
      <c r="N24" s="9">
        <f>L24-M24</f>
        <v/>
      </c>
      <c r="O24" s="11">
        <f>IFERROR(N24/L24, 0)</f>
        <v/>
      </c>
      <c r="P24" s="8">
        <f>YEAR(C24)</f>
        <v/>
      </c>
      <c r="Q24" s="8">
        <f>TEXT(C24, "yyyy-mm")</f>
        <v/>
      </c>
      <c r="R24" s="8" t="inlineStr">
        <is>
          <t>Direct Web</t>
        </is>
      </c>
      <c r="S24" s="8" t="inlineStr">
        <is>
          <t>REG-APAC</t>
        </is>
      </c>
    </row>
    <row r="25">
      <c r="A25" s="8" t="inlineStr">
        <is>
          <t>DTL-0000021</t>
        </is>
      </c>
      <c r="B25" s="8" t="inlineStr">
        <is>
          <t>ORD-000008</t>
        </is>
      </c>
      <c r="C25" s="10" t="inlineStr">
        <is>
          <t>2025-11-23</t>
        </is>
      </c>
      <c r="D25" s="8" t="inlineStr">
        <is>
          <t>CUST-05897</t>
        </is>
      </c>
      <c r="E25" s="8" t="inlineStr">
        <is>
          <t>PRD-0281</t>
        </is>
      </c>
      <c r="F25" s="8" t="n">
        <v>1</v>
      </c>
      <c r="G25" s="9">
        <f>IFERROR(XLOOKUP(E25, '04_Products'!$A:$A, '04_Products'!$G:$G), 19.01)</f>
        <v/>
      </c>
      <c r="H25" s="9">
        <f>IFERROR(XLOOKUP(E25, '04_Products'!$A:$A, '04_Products'!$F:$F), 0)</f>
        <v/>
      </c>
      <c r="I25" s="9">
        <f>F25*G25</f>
        <v/>
      </c>
      <c r="J25" s="11" t="n">
        <v>0.15</v>
      </c>
      <c r="K25" s="9">
        <f>I25*J25</f>
        <v/>
      </c>
      <c r="L25" s="9">
        <f>I25-K25</f>
        <v/>
      </c>
      <c r="M25" s="9">
        <f>F25*H25</f>
        <v/>
      </c>
      <c r="N25" s="9">
        <f>L25-M25</f>
        <v/>
      </c>
      <c r="O25" s="11">
        <f>IFERROR(N25/L25, 0)</f>
        <v/>
      </c>
      <c r="P25" s="8">
        <f>YEAR(C25)</f>
        <v/>
      </c>
      <c r="Q25" s="8">
        <f>TEXT(C25, "yyyy-mm")</f>
        <v/>
      </c>
      <c r="R25" s="8" t="inlineStr">
        <is>
          <t>Direct Web</t>
        </is>
      </c>
      <c r="S25" s="8" t="inlineStr">
        <is>
          <t>REG-APAC</t>
        </is>
      </c>
    </row>
    <row r="26">
      <c r="A26" s="8" t="inlineStr">
        <is>
          <t>DTL-0000022</t>
        </is>
      </c>
      <c r="B26" s="8" t="inlineStr">
        <is>
          <t>ORD-000009</t>
        </is>
      </c>
      <c r="C26" s="10" t="inlineStr">
        <is>
          <t>2024-12-20</t>
        </is>
      </c>
      <c r="D26" s="8" t="inlineStr">
        <is>
          <t>CUST-05907</t>
        </is>
      </c>
      <c r="E26" s="8" t="inlineStr">
        <is>
          <t>PRD-0236</t>
        </is>
      </c>
      <c r="F26" s="8" t="n">
        <v>2</v>
      </c>
      <c r="G26" s="9">
        <f>IFERROR(XLOOKUP(E26, '04_Products'!$A:$A, '04_Products'!$G:$G), 128.74)</f>
        <v/>
      </c>
      <c r="H26" s="9">
        <f>IFERROR(XLOOKUP(E26, '04_Products'!$A:$A, '04_Products'!$F:$F), 0)</f>
        <v/>
      </c>
      <c r="I26" s="9">
        <f>F26*G26</f>
        <v/>
      </c>
      <c r="J26" s="11" t="n">
        <v>0</v>
      </c>
      <c r="K26" s="9">
        <f>I26*J26</f>
        <v/>
      </c>
      <c r="L26" s="9">
        <f>I26-K26</f>
        <v/>
      </c>
      <c r="M26" s="9">
        <f>F26*H26</f>
        <v/>
      </c>
      <c r="N26" s="9">
        <f>L26-M26</f>
        <v/>
      </c>
      <c r="O26" s="11">
        <f>IFERROR(N26/L26, 0)</f>
        <v/>
      </c>
      <c r="P26" s="8">
        <f>YEAR(C26)</f>
        <v/>
      </c>
      <c r="Q26" s="8">
        <f>TEXT(C26, "yyyy-mm")</f>
        <v/>
      </c>
      <c r="R26" s="8" t="inlineStr">
        <is>
          <t>Mobile App</t>
        </is>
      </c>
      <c r="S26" s="8" t="inlineStr">
        <is>
          <t>REG-EU</t>
        </is>
      </c>
    </row>
    <row r="27">
      <c r="A27" s="8" t="inlineStr">
        <is>
          <t>DTL-0000023</t>
        </is>
      </c>
      <c r="B27" s="8" t="inlineStr">
        <is>
          <t>ORD-000010</t>
        </is>
      </c>
      <c r="C27" s="10" t="inlineStr">
        <is>
          <t>2024-01-17</t>
        </is>
      </c>
      <c r="D27" s="8" t="inlineStr">
        <is>
          <t>CUST-00188</t>
        </is>
      </c>
      <c r="E27" s="8" t="inlineStr">
        <is>
          <t>PRD-0035</t>
        </is>
      </c>
      <c r="F27" s="8" t="n">
        <v>1</v>
      </c>
      <c r="G27" s="9">
        <f>IFERROR(XLOOKUP(E27, '04_Products'!$A:$A, '04_Products'!$G:$G), 584.68)</f>
        <v/>
      </c>
      <c r="H27" s="9">
        <f>IFERROR(XLOOKUP(E27, '04_Products'!$A:$A, '04_Products'!$F:$F), 0)</f>
        <v/>
      </c>
      <c r="I27" s="9">
        <f>F27*G27</f>
        <v/>
      </c>
      <c r="J27" s="11" t="n">
        <v>0.2</v>
      </c>
      <c r="K27" s="9">
        <f>I27*J27</f>
        <v/>
      </c>
      <c r="L27" s="9">
        <f>I27-K27</f>
        <v/>
      </c>
      <c r="M27" s="9">
        <f>F27*H27</f>
        <v/>
      </c>
      <c r="N27" s="9">
        <f>L27-M27</f>
        <v/>
      </c>
      <c r="O27" s="11">
        <f>IFERROR(N27/L27, 0)</f>
        <v/>
      </c>
      <c r="P27" s="8">
        <f>YEAR(C27)</f>
        <v/>
      </c>
      <c r="Q27" s="8">
        <f>TEXT(C27, "yyyy-mm")</f>
        <v/>
      </c>
      <c r="R27" s="8" t="inlineStr">
        <is>
          <t>Direct Web</t>
        </is>
      </c>
      <c r="S27" s="8" t="inlineStr">
        <is>
          <t>REG-LATAM</t>
        </is>
      </c>
    </row>
    <row r="28">
      <c r="A28" s="8" t="inlineStr">
        <is>
          <t>DTL-0000024</t>
        </is>
      </c>
      <c r="B28" s="8" t="inlineStr">
        <is>
          <t>ORD-000011</t>
        </is>
      </c>
      <c r="C28" s="10" t="inlineStr">
        <is>
          <t>2025-07-28</t>
        </is>
      </c>
      <c r="D28" s="8" t="inlineStr">
        <is>
          <t>CUST-00289</t>
        </is>
      </c>
      <c r="E28" s="8" t="inlineStr">
        <is>
          <t>PRD-0226</t>
        </is>
      </c>
      <c r="F28" s="8" t="n">
        <v>2</v>
      </c>
      <c r="G28" s="9">
        <f>IFERROR(XLOOKUP(E28, '04_Products'!$A:$A, '04_Products'!$G:$G), 849.36)</f>
        <v/>
      </c>
      <c r="H28" s="9">
        <f>IFERROR(XLOOKUP(E28, '04_Products'!$A:$A, '04_Products'!$F:$F), 0)</f>
        <v/>
      </c>
      <c r="I28" s="9">
        <f>F28*G28</f>
        <v/>
      </c>
      <c r="J28" s="11" t="n">
        <v>0.15</v>
      </c>
      <c r="K28" s="9">
        <f>I28*J28</f>
        <v/>
      </c>
      <c r="L28" s="9">
        <f>I28-K28</f>
        <v/>
      </c>
      <c r="M28" s="9">
        <f>F28*H28</f>
        <v/>
      </c>
      <c r="N28" s="9">
        <f>L28-M28</f>
        <v/>
      </c>
      <c r="O28" s="11">
        <f>IFERROR(N28/L28, 0)</f>
        <v/>
      </c>
      <c r="P28" s="8">
        <f>YEAR(C28)</f>
        <v/>
      </c>
      <c r="Q28" s="8">
        <f>TEXT(C28, "yyyy-mm")</f>
        <v/>
      </c>
      <c r="R28" s="8" t="inlineStr">
        <is>
          <t>Affiliate Partner</t>
        </is>
      </c>
      <c r="S28" s="8" t="inlineStr">
        <is>
          <t>REG-LATAM</t>
        </is>
      </c>
    </row>
    <row r="29">
      <c r="A29" s="8" t="inlineStr">
        <is>
          <t>DTL-0000025</t>
        </is>
      </c>
      <c r="B29" s="8" t="inlineStr">
        <is>
          <t>ORD-000011</t>
        </is>
      </c>
      <c r="C29" s="10" t="inlineStr">
        <is>
          <t>2025-07-28</t>
        </is>
      </c>
      <c r="D29" s="8" t="inlineStr">
        <is>
          <t>CUST-00289</t>
        </is>
      </c>
      <c r="E29" s="8" t="inlineStr">
        <is>
          <t>PRD-0256</t>
        </is>
      </c>
      <c r="F29" s="8" t="n">
        <v>1</v>
      </c>
      <c r="G29" s="9">
        <f>IFERROR(XLOOKUP(E29, '04_Products'!$A:$A, '04_Products'!$G:$G), 235.18)</f>
        <v/>
      </c>
      <c r="H29" s="9">
        <f>IFERROR(XLOOKUP(E29, '04_Products'!$A:$A, '04_Products'!$F:$F), 0)</f>
        <v/>
      </c>
      <c r="I29" s="9">
        <f>F29*G29</f>
        <v/>
      </c>
      <c r="J29" s="11" t="n">
        <v>0</v>
      </c>
      <c r="K29" s="9">
        <f>I29*J29</f>
        <v/>
      </c>
      <c r="L29" s="9">
        <f>I29-K29</f>
        <v/>
      </c>
      <c r="M29" s="9">
        <f>F29*H29</f>
        <v/>
      </c>
      <c r="N29" s="9">
        <f>L29-M29</f>
        <v/>
      </c>
      <c r="O29" s="11">
        <f>IFERROR(N29/L29, 0)</f>
        <v/>
      </c>
      <c r="P29" s="8">
        <f>YEAR(C29)</f>
        <v/>
      </c>
      <c r="Q29" s="8">
        <f>TEXT(C29, "yyyy-mm")</f>
        <v/>
      </c>
      <c r="R29" s="8" t="inlineStr">
        <is>
          <t>Affiliate Partner</t>
        </is>
      </c>
      <c r="S29" s="8" t="inlineStr">
        <is>
          <t>REG-LATAM</t>
        </is>
      </c>
    </row>
    <row r="30">
      <c r="A30" s="8" t="inlineStr">
        <is>
          <t>DTL-0000026</t>
        </is>
      </c>
      <c r="B30" s="8" t="inlineStr">
        <is>
          <t>ORD-000011</t>
        </is>
      </c>
      <c r="C30" s="10" t="inlineStr">
        <is>
          <t>2025-07-28</t>
        </is>
      </c>
      <c r="D30" s="8" t="inlineStr">
        <is>
          <t>CUST-00289</t>
        </is>
      </c>
      <c r="E30" s="8" t="inlineStr">
        <is>
          <t>PRD-0257</t>
        </is>
      </c>
      <c r="F30" s="8" t="n">
        <v>2</v>
      </c>
      <c r="G30" s="9">
        <f>IFERROR(XLOOKUP(E30, '04_Products'!$A:$A, '04_Products'!$G:$G), 31.28)</f>
        <v/>
      </c>
      <c r="H30" s="9">
        <f>IFERROR(XLOOKUP(E30, '04_Products'!$A:$A, '04_Products'!$F:$F), 0)</f>
        <v/>
      </c>
      <c r="I30" s="9">
        <f>F30*G30</f>
        <v/>
      </c>
      <c r="J30" s="11" t="n">
        <v>0.05</v>
      </c>
      <c r="K30" s="9">
        <f>I30*J30</f>
        <v/>
      </c>
      <c r="L30" s="9">
        <f>I30-K30</f>
        <v/>
      </c>
      <c r="M30" s="9">
        <f>F30*H30</f>
        <v/>
      </c>
      <c r="N30" s="9">
        <f>L30-M30</f>
        <v/>
      </c>
      <c r="O30" s="11">
        <f>IFERROR(N30/L30, 0)</f>
        <v/>
      </c>
      <c r="P30" s="8">
        <f>YEAR(C30)</f>
        <v/>
      </c>
      <c r="Q30" s="8">
        <f>TEXT(C30, "yyyy-mm")</f>
        <v/>
      </c>
      <c r="R30" s="8" t="inlineStr">
        <is>
          <t>Affiliate Partner</t>
        </is>
      </c>
      <c r="S30" s="8" t="inlineStr">
        <is>
          <t>REG-LATAM</t>
        </is>
      </c>
    </row>
    <row r="31">
      <c r="A31" s="8" t="inlineStr">
        <is>
          <t>DTL-0000027</t>
        </is>
      </c>
      <c r="B31" s="8" t="inlineStr">
        <is>
          <t>ORD-000012</t>
        </is>
      </c>
      <c r="C31" s="10" t="inlineStr">
        <is>
          <t>2025-05-31</t>
        </is>
      </c>
      <c r="D31" s="8" t="inlineStr">
        <is>
          <t>CUST-06135</t>
        </is>
      </c>
      <c r="E31" s="8" t="inlineStr">
        <is>
          <t>PRD-0225</t>
        </is>
      </c>
      <c r="F31" s="8" t="n">
        <v>1</v>
      </c>
      <c r="G31" s="9">
        <f>IFERROR(XLOOKUP(E31, '04_Products'!$A:$A, '04_Products'!$G:$G), 266.58)</f>
        <v/>
      </c>
      <c r="H31" s="9">
        <f>IFERROR(XLOOKUP(E31, '04_Products'!$A:$A, '04_Products'!$F:$F), 0)</f>
        <v/>
      </c>
      <c r="I31" s="9">
        <f>F31*G31</f>
        <v/>
      </c>
      <c r="J31" s="11" t="n">
        <v>0.3</v>
      </c>
      <c r="K31" s="9">
        <f>I31*J31</f>
        <v/>
      </c>
      <c r="L31" s="9">
        <f>I31-K31</f>
        <v/>
      </c>
      <c r="M31" s="9">
        <f>F31*H31</f>
        <v/>
      </c>
      <c r="N31" s="9">
        <f>L31-M31</f>
        <v/>
      </c>
      <c r="O31" s="11">
        <f>IFERROR(N31/L31, 0)</f>
        <v/>
      </c>
      <c r="P31" s="8">
        <f>YEAR(C31)</f>
        <v/>
      </c>
      <c r="Q31" s="8">
        <f>TEXT(C31, "yyyy-mm")</f>
        <v/>
      </c>
      <c r="R31" s="8" t="inlineStr">
        <is>
          <t>Affiliate Partner</t>
        </is>
      </c>
      <c r="S31" s="8" t="inlineStr">
        <is>
          <t>REG-EU</t>
        </is>
      </c>
    </row>
    <row r="32">
      <c r="A32" s="8" t="inlineStr">
        <is>
          <t>DTL-0000028</t>
        </is>
      </c>
      <c r="B32" s="8" t="inlineStr">
        <is>
          <t>ORD-000013</t>
        </is>
      </c>
      <c r="C32" s="10" t="inlineStr">
        <is>
          <t>2023-08-10</t>
        </is>
      </c>
      <c r="D32" s="8" t="inlineStr">
        <is>
          <t>CUST-03549</t>
        </is>
      </c>
      <c r="E32" s="8" t="inlineStr">
        <is>
          <t>PRD-0210</t>
        </is>
      </c>
      <c r="F32" s="8" t="n">
        <v>1</v>
      </c>
      <c r="G32" s="9">
        <f>IFERROR(XLOOKUP(E32, '04_Products'!$A:$A, '04_Products'!$G:$G), 920.55)</f>
        <v/>
      </c>
      <c r="H32" s="9">
        <f>IFERROR(XLOOKUP(E32, '04_Products'!$A:$A, '04_Products'!$F:$F), 0)</f>
        <v/>
      </c>
      <c r="I32" s="9">
        <f>F32*G32</f>
        <v/>
      </c>
      <c r="J32" s="11" t="n">
        <v>0.1</v>
      </c>
      <c r="K32" s="9">
        <f>I32*J32</f>
        <v/>
      </c>
      <c r="L32" s="9">
        <f>I32-K32</f>
        <v/>
      </c>
      <c r="M32" s="9">
        <f>F32*H32</f>
        <v/>
      </c>
      <c r="N32" s="9">
        <f>L32-M32</f>
        <v/>
      </c>
      <c r="O32" s="11">
        <f>IFERROR(N32/L32, 0)</f>
        <v/>
      </c>
      <c r="P32" s="8">
        <f>YEAR(C32)</f>
        <v/>
      </c>
      <c r="Q32" s="8">
        <f>TEXT(C32, "yyyy-mm")</f>
        <v/>
      </c>
      <c r="R32" s="8" t="inlineStr">
        <is>
          <t>Direct Web</t>
        </is>
      </c>
      <c r="S32" s="8" t="inlineStr">
        <is>
          <t>REG-APAC</t>
        </is>
      </c>
    </row>
    <row r="33">
      <c r="A33" s="8" t="inlineStr">
        <is>
          <t>DTL-0000029</t>
        </is>
      </c>
      <c r="B33" s="8" t="inlineStr">
        <is>
          <t>ORD-000013</t>
        </is>
      </c>
      <c r="C33" s="10" t="inlineStr">
        <is>
          <t>2023-08-10</t>
        </is>
      </c>
      <c r="D33" s="8" t="inlineStr">
        <is>
          <t>CUST-03549</t>
        </is>
      </c>
      <c r="E33" s="8" t="inlineStr">
        <is>
          <t>PRD-0374</t>
        </is>
      </c>
      <c r="F33" s="8" t="n">
        <v>3</v>
      </c>
      <c r="G33" s="9">
        <f>IFERROR(XLOOKUP(E33, '04_Products'!$A:$A, '04_Products'!$G:$G), 549.09)</f>
        <v/>
      </c>
      <c r="H33" s="9">
        <f>IFERROR(XLOOKUP(E33, '04_Products'!$A:$A, '04_Products'!$F:$F), 0)</f>
        <v/>
      </c>
      <c r="I33" s="9">
        <f>F33*G33</f>
        <v/>
      </c>
      <c r="J33" s="11" t="n">
        <v>0</v>
      </c>
      <c r="K33" s="9">
        <f>I33*J33</f>
        <v/>
      </c>
      <c r="L33" s="9">
        <f>I33-K33</f>
        <v/>
      </c>
      <c r="M33" s="9">
        <f>F33*H33</f>
        <v/>
      </c>
      <c r="N33" s="9">
        <f>L33-M33</f>
        <v/>
      </c>
      <c r="O33" s="11">
        <f>IFERROR(N33/L33, 0)</f>
        <v/>
      </c>
      <c r="P33" s="8">
        <f>YEAR(C33)</f>
        <v/>
      </c>
      <c r="Q33" s="8">
        <f>TEXT(C33, "yyyy-mm")</f>
        <v/>
      </c>
      <c r="R33" s="8" t="inlineStr">
        <is>
          <t>Direct Web</t>
        </is>
      </c>
      <c r="S33" s="8" t="inlineStr">
        <is>
          <t>REG-APAC</t>
        </is>
      </c>
    </row>
    <row r="34">
      <c r="A34" s="8" t="inlineStr">
        <is>
          <t>DTL-0000030</t>
        </is>
      </c>
      <c r="B34" s="8" t="inlineStr">
        <is>
          <t>ORD-000013</t>
        </is>
      </c>
      <c r="C34" s="10" t="inlineStr">
        <is>
          <t>2023-08-10</t>
        </is>
      </c>
      <c r="D34" s="8" t="inlineStr">
        <is>
          <t>CUST-03549</t>
        </is>
      </c>
      <c r="E34" s="8" t="inlineStr">
        <is>
          <t>PRD-0361</t>
        </is>
      </c>
      <c r="F34" s="8" t="n">
        <v>1</v>
      </c>
      <c r="G34" s="9">
        <f>IFERROR(XLOOKUP(E34, '04_Products'!$A:$A, '04_Products'!$G:$G), 13.14)</f>
        <v/>
      </c>
      <c r="H34" s="9">
        <f>IFERROR(XLOOKUP(E34, '04_Products'!$A:$A, '04_Products'!$F:$F), 0)</f>
        <v/>
      </c>
      <c r="I34" s="9">
        <f>F34*G34</f>
        <v/>
      </c>
      <c r="J34" s="11" t="n">
        <v>0</v>
      </c>
      <c r="K34" s="9">
        <f>I34*J34</f>
        <v/>
      </c>
      <c r="L34" s="9">
        <f>I34-K34</f>
        <v/>
      </c>
      <c r="M34" s="9">
        <f>F34*H34</f>
        <v/>
      </c>
      <c r="N34" s="9">
        <f>L34-M34</f>
        <v/>
      </c>
      <c r="O34" s="11">
        <f>IFERROR(N34/L34, 0)</f>
        <v/>
      </c>
      <c r="P34" s="8">
        <f>YEAR(C34)</f>
        <v/>
      </c>
      <c r="Q34" s="8">
        <f>TEXT(C34, "yyyy-mm")</f>
        <v/>
      </c>
      <c r="R34" s="8" t="inlineStr">
        <is>
          <t>Direct Web</t>
        </is>
      </c>
      <c r="S34" s="8" t="inlineStr">
        <is>
          <t>REG-APAC</t>
        </is>
      </c>
    </row>
    <row r="35">
      <c r="A35" s="8" t="inlineStr">
        <is>
          <t>DTL-0000031</t>
        </is>
      </c>
      <c r="B35" s="8" t="inlineStr">
        <is>
          <t>ORD-000013</t>
        </is>
      </c>
      <c r="C35" s="10" t="inlineStr">
        <is>
          <t>2023-08-10</t>
        </is>
      </c>
      <c r="D35" s="8" t="inlineStr">
        <is>
          <t>CUST-03549</t>
        </is>
      </c>
      <c r="E35" s="8" t="inlineStr">
        <is>
          <t>PRD-0415</t>
        </is>
      </c>
      <c r="F35" s="8" t="n">
        <v>1</v>
      </c>
      <c r="G35" s="9">
        <f>IFERROR(XLOOKUP(E35, '04_Products'!$A:$A, '04_Products'!$G:$G), 934.21)</f>
        <v/>
      </c>
      <c r="H35" s="9">
        <f>IFERROR(XLOOKUP(E35, '04_Products'!$A:$A, '04_Products'!$F:$F), 0)</f>
        <v/>
      </c>
      <c r="I35" s="9">
        <f>F35*G35</f>
        <v/>
      </c>
      <c r="J35" s="11" t="n">
        <v>0</v>
      </c>
      <c r="K35" s="9">
        <f>I35*J35</f>
        <v/>
      </c>
      <c r="L35" s="9">
        <f>I35-K35</f>
        <v/>
      </c>
      <c r="M35" s="9">
        <f>F35*H35</f>
        <v/>
      </c>
      <c r="N35" s="9">
        <f>L35-M35</f>
        <v/>
      </c>
      <c r="O35" s="11">
        <f>IFERROR(N35/L35, 0)</f>
        <v/>
      </c>
      <c r="P35" s="8">
        <f>YEAR(C35)</f>
        <v/>
      </c>
      <c r="Q35" s="8">
        <f>TEXT(C35, "yyyy-mm")</f>
        <v/>
      </c>
      <c r="R35" s="8" t="inlineStr">
        <is>
          <t>Direct Web</t>
        </is>
      </c>
      <c r="S35" s="8" t="inlineStr">
        <is>
          <t>REG-APAC</t>
        </is>
      </c>
    </row>
    <row r="36">
      <c r="A36" s="8" t="inlineStr">
        <is>
          <t>DTL-0000033</t>
        </is>
      </c>
      <c r="B36" s="8" t="inlineStr">
        <is>
          <t>ORD-000015</t>
        </is>
      </c>
      <c r="C36" s="10" t="inlineStr">
        <is>
          <t>2024-09-16</t>
        </is>
      </c>
      <c r="D36" s="8" t="inlineStr">
        <is>
          <t>CUST-05715</t>
        </is>
      </c>
      <c r="E36" s="8" t="inlineStr">
        <is>
          <t>PRD-0108</t>
        </is>
      </c>
      <c r="F36" s="8" t="n">
        <v>1</v>
      </c>
      <c r="G36" s="9">
        <f>IFERROR(XLOOKUP(E36, '04_Products'!$A:$A, '04_Products'!$G:$G), 217.90)</f>
        <v/>
      </c>
      <c r="H36" s="9">
        <f>IFERROR(XLOOKUP(E36, '04_Products'!$A:$A, '04_Products'!$F:$F), 0)</f>
        <v/>
      </c>
      <c r="I36" s="9">
        <f>F36*G36</f>
        <v/>
      </c>
      <c r="J36" s="11" t="n">
        <v>0.1</v>
      </c>
      <c r="K36" s="9">
        <f>I36*J36</f>
        <v/>
      </c>
      <c r="L36" s="9">
        <f>I36-K36</f>
        <v/>
      </c>
      <c r="M36" s="9">
        <f>F36*H36</f>
        <v/>
      </c>
      <c r="N36" s="9">
        <f>L36-M36</f>
        <v/>
      </c>
      <c r="O36" s="11">
        <f>IFERROR(N36/L36, 0)</f>
        <v/>
      </c>
      <c r="P36" s="8">
        <f>YEAR(C36)</f>
        <v/>
      </c>
      <c r="Q36" s="8">
        <f>TEXT(C36, "yyyy-mm")</f>
        <v/>
      </c>
      <c r="R36" s="8" t="inlineStr">
        <is>
          <t>Direct Web</t>
        </is>
      </c>
      <c r="S36" s="8" t="inlineStr">
        <is>
          <t>REG-NA</t>
        </is>
      </c>
    </row>
    <row r="37">
      <c r="A37" s="8" t="inlineStr">
        <is>
          <t>DTL-0000034</t>
        </is>
      </c>
      <c r="B37" s="8" t="inlineStr">
        <is>
          <t>ORD-000015</t>
        </is>
      </c>
      <c r="C37" s="10" t="inlineStr">
        <is>
          <t>2024-09-16</t>
        </is>
      </c>
      <c r="D37" s="8" t="inlineStr">
        <is>
          <t>CUST-05715</t>
        </is>
      </c>
      <c r="E37" s="8" t="inlineStr">
        <is>
          <t>PRD-0191</t>
        </is>
      </c>
      <c r="F37" s="8" t="n">
        <v>1</v>
      </c>
      <c r="G37" s="9">
        <f>IFERROR(XLOOKUP(E37, '04_Products'!$A:$A, '04_Products'!$G:$G), 45.09)</f>
        <v/>
      </c>
      <c r="H37" s="9">
        <f>IFERROR(XLOOKUP(E37, '04_Products'!$A:$A, '04_Products'!$F:$F), 0)</f>
        <v/>
      </c>
      <c r="I37" s="9">
        <f>F37*G37</f>
        <v/>
      </c>
      <c r="J37" s="11" t="n">
        <v>0</v>
      </c>
      <c r="K37" s="9">
        <f>I37*J37</f>
        <v/>
      </c>
      <c r="L37" s="9">
        <f>I37-K37</f>
        <v/>
      </c>
      <c r="M37" s="9">
        <f>F37*H37</f>
        <v/>
      </c>
      <c r="N37" s="9">
        <f>L37-M37</f>
        <v/>
      </c>
      <c r="O37" s="11">
        <f>IFERROR(N37/L37, 0)</f>
        <v/>
      </c>
      <c r="P37" s="8">
        <f>YEAR(C37)</f>
        <v/>
      </c>
      <c r="Q37" s="8">
        <f>TEXT(C37, "yyyy-mm")</f>
        <v/>
      </c>
      <c r="R37" s="8" t="inlineStr">
        <is>
          <t>Direct Web</t>
        </is>
      </c>
      <c r="S37" s="8" t="inlineStr">
        <is>
          <t>REG-NA</t>
        </is>
      </c>
    </row>
    <row r="38">
      <c r="A38" s="8" t="inlineStr">
        <is>
          <t>DTL-0000035</t>
        </is>
      </c>
      <c r="B38" s="8" t="inlineStr">
        <is>
          <t>ORD-000016</t>
        </is>
      </c>
      <c r="C38" s="10" t="inlineStr">
        <is>
          <t>2023-08-12</t>
        </is>
      </c>
      <c r="D38" s="8" t="inlineStr">
        <is>
          <t>CUST-03436</t>
        </is>
      </c>
      <c r="E38" s="8" t="inlineStr">
        <is>
          <t>PRD-0026</t>
        </is>
      </c>
      <c r="F38" s="8" t="n">
        <v>1</v>
      </c>
      <c r="G38" s="9">
        <f>IFERROR(XLOOKUP(E38, '04_Products'!$A:$A, '04_Products'!$G:$G), 469.49)</f>
        <v/>
      </c>
      <c r="H38" s="9">
        <f>IFERROR(XLOOKUP(E38, '04_Products'!$A:$A, '04_Products'!$F:$F), 0)</f>
        <v/>
      </c>
      <c r="I38" s="9">
        <f>F38*G38</f>
        <v/>
      </c>
      <c r="J38" s="11" t="n">
        <v>0</v>
      </c>
      <c r="K38" s="9">
        <f>I38*J38</f>
        <v/>
      </c>
      <c r="L38" s="9">
        <f>I38-K38</f>
        <v/>
      </c>
      <c r="M38" s="9">
        <f>F38*H38</f>
        <v/>
      </c>
      <c r="N38" s="9">
        <f>L38-M38</f>
        <v/>
      </c>
      <c r="O38" s="11">
        <f>IFERROR(N38/L38, 0)</f>
        <v/>
      </c>
      <c r="P38" s="8">
        <f>YEAR(C38)</f>
        <v/>
      </c>
      <c r="Q38" s="8">
        <f>TEXT(C38, "yyyy-mm")</f>
        <v/>
      </c>
      <c r="R38" s="8" t="inlineStr">
        <is>
          <t>Direct Web</t>
        </is>
      </c>
      <c r="S38" s="8" t="inlineStr">
        <is>
          <t>REG-EU</t>
        </is>
      </c>
    </row>
    <row r="39">
      <c r="A39" s="8" t="inlineStr">
        <is>
          <t>DTL-0000036</t>
        </is>
      </c>
      <c r="B39" s="8" t="inlineStr">
        <is>
          <t>ORD-000017</t>
        </is>
      </c>
      <c r="C39" s="10" t="inlineStr">
        <is>
          <t>2025-02-19</t>
        </is>
      </c>
      <c r="D39" s="8" t="inlineStr">
        <is>
          <t>CUST-05569</t>
        </is>
      </c>
      <c r="E39" s="8" t="inlineStr">
        <is>
          <t>PRD-0094</t>
        </is>
      </c>
      <c r="F39" s="8" t="n">
        <v>1</v>
      </c>
      <c r="G39" s="9">
        <f>IFERROR(XLOOKUP(E39, '04_Products'!$A:$A, '04_Products'!$G:$G), 282.30)</f>
        <v/>
      </c>
      <c r="H39" s="9">
        <f>IFERROR(XLOOKUP(E39, '04_Products'!$A:$A, '04_Products'!$F:$F), 0)</f>
        <v/>
      </c>
      <c r="I39" s="9">
        <f>F39*G39</f>
        <v/>
      </c>
      <c r="J39" s="11" t="n">
        <v>0.1</v>
      </c>
      <c r="K39" s="9">
        <f>I39*J39</f>
        <v/>
      </c>
      <c r="L39" s="9">
        <f>I39-K39</f>
        <v/>
      </c>
      <c r="M39" s="9">
        <f>F39*H39</f>
        <v/>
      </c>
      <c r="N39" s="9">
        <f>L39-M39</f>
        <v/>
      </c>
      <c r="O39" s="11">
        <f>IFERROR(N39/L39, 0)</f>
        <v/>
      </c>
      <c r="P39" s="8">
        <f>YEAR(C39)</f>
        <v/>
      </c>
      <c r="Q39" s="8">
        <f>TEXT(C39, "yyyy-mm")</f>
        <v/>
      </c>
      <c r="R39" s="8" t="inlineStr">
        <is>
          <t>Mobile App</t>
        </is>
      </c>
      <c r="S39" s="8" t="inlineStr">
        <is>
          <t>REG-NA</t>
        </is>
      </c>
    </row>
    <row r="40">
      <c r="A40" s="8" t="inlineStr">
        <is>
          <t>DTL-0000037</t>
        </is>
      </c>
      <c r="B40" s="8" t="inlineStr">
        <is>
          <t>ORD-000018</t>
        </is>
      </c>
      <c r="C40" s="10" t="inlineStr">
        <is>
          <t>2023-11-05</t>
        </is>
      </c>
      <c r="D40" s="8" t="inlineStr">
        <is>
          <t>CUST-01039</t>
        </is>
      </c>
      <c r="E40" s="8" t="inlineStr">
        <is>
          <t>PRD-0254</t>
        </is>
      </c>
      <c r="F40" s="8" t="n">
        <v>3</v>
      </c>
      <c r="G40" s="9">
        <f>IFERROR(XLOOKUP(E40, '04_Products'!$A:$A, '04_Products'!$G:$G), 219.63)</f>
        <v/>
      </c>
      <c r="H40" s="9">
        <f>IFERROR(XLOOKUP(E40, '04_Products'!$A:$A, '04_Products'!$F:$F), 0)</f>
        <v/>
      </c>
      <c r="I40" s="9">
        <f>F40*G40</f>
        <v/>
      </c>
      <c r="J40" s="11" t="n">
        <v>0</v>
      </c>
      <c r="K40" s="9">
        <f>I40*J40</f>
        <v/>
      </c>
      <c r="L40" s="9">
        <f>I40-K40</f>
        <v/>
      </c>
      <c r="M40" s="9">
        <f>F40*H40</f>
        <v/>
      </c>
      <c r="N40" s="9">
        <f>L40-M40</f>
        <v/>
      </c>
      <c r="O40" s="11">
        <f>IFERROR(N40/L40, 0)</f>
        <v/>
      </c>
      <c r="P40" s="8">
        <f>YEAR(C40)</f>
        <v/>
      </c>
      <c r="Q40" s="8">
        <f>TEXT(C40, "yyyy-mm")</f>
        <v/>
      </c>
      <c r="R40" s="8" t="inlineStr">
        <is>
          <t>Direct Web</t>
        </is>
      </c>
      <c r="S40" s="8" t="inlineStr">
        <is>
          <t>REG-NA</t>
        </is>
      </c>
    </row>
    <row r="41">
      <c r="A41" s="8" t="inlineStr">
        <is>
          <t>DTL-0000038</t>
        </is>
      </c>
      <c r="B41" s="8" t="inlineStr">
        <is>
          <t>ORD-000019</t>
        </is>
      </c>
      <c r="C41" s="10" t="inlineStr">
        <is>
          <t>2024-11-10</t>
        </is>
      </c>
      <c r="D41" s="8" t="inlineStr">
        <is>
          <t>CUST-01504</t>
        </is>
      </c>
      <c r="E41" s="8" t="inlineStr">
        <is>
          <t>PRD-0417</t>
        </is>
      </c>
      <c r="F41" s="8" t="n">
        <v>1</v>
      </c>
      <c r="G41" s="9">
        <f>IFERROR(XLOOKUP(E41, '04_Products'!$A:$A, '04_Products'!$G:$G), 134.04)</f>
        <v/>
      </c>
      <c r="H41" s="9">
        <f>IFERROR(XLOOKUP(E41, '04_Products'!$A:$A, '04_Products'!$F:$F), 0)</f>
        <v/>
      </c>
      <c r="I41" s="9">
        <f>F41*G41</f>
        <v/>
      </c>
      <c r="J41" s="11" t="n">
        <v>0.3</v>
      </c>
      <c r="K41" s="9">
        <f>I41*J41</f>
        <v/>
      </c>
      <c r="L41" s="9">
        <f>I41-K41</f>
        <v/>
      </c>
      <c r="M41" s="9">
        <f>F41*H41</f>
        <v/>
      </c>
      <c r="N41" s="9">
        <f>L41-M41</f>
        <v/>
      </c>
      <c r="O41" s="11">
        <f>IFERROR(N41/L41, 0)</f>
        <v/>
      </c>
      <c r="P41" s="8">
        <f>YEAR(C41)</f>
        <v/>
      </c>
      <c r="Q41" s="8">
        <f>TEXT(C41, "yyyy-mm")</f>
        <v/>
      </c>
      <c r="R41" s="8" t="inlineStr">
        <is>
          <t>Direct Web</t>
        </is>
      </c>
      <c r="S41" s="8" t="inlineStr">
        <is>
          <t>REG-NA</t>
        </is>
      </c>
    </row>
    <row r="42">
      <c r="A42" s="8" t="inlineStr">
        <is>
          <t>DTL-0000039</t>
        </is>
      </c>
      <c r="B42" s="8" t="inlineStr">
        <is>
          <t>ORD-000019</t>
        </is>
      </c>
      <c r="C42" s="10" t="inlineStr">
        <is>
          <t>2024-11-10</t>
        </is>
      </c>
      <c r="D42" s="8" t="inlineStr">
        <is>
          <t>CUST-01504</t>
        </is>
      </c>
      <c r="E42" s="8" t="inlineStr">
        <is>
          <t>PRD-0163</t>
        </is>
      </c>
      <c r="F42" s="8" t="n">
        <v>3</v>
      </c>
      <c r="G42" s="9">
        <f>IFERROR(XLOOKUP(E42, '04_Products'!$A:$A, '04_Products'!$G:$G), 101.40)</f>
        <v/>
      </c>
      <c r="H42" s="9">
        <f>IFERROR(XLOOKUP(E42, '04_Products'!$A:$A, '04_Products'!$F:$F), 0)</f>
        <v/>
      </c>
      <c r="I42" s="9">
        <f>F42*G42</f>
        <v/>
      </c>
      <c r="J42" s="11" t="n">
        <v>0</v>
      </c>
      <c r="K42" s="9">
        <f>I42*J42</f>
        <v/>
      </c>
      <c r="L42" s="9">
        <f>I42-K42</f>
        <v/>
      </c>
      <c r="M42" s="9">
        <f>F42*H42</f>
        <v/>
      </c>
      <c r="N42" s="9">
        <f>L42-M42</f>
        <v/>
      </c>
      <c r="O42" s="11">
        <f>IFERROR(N42/L42, 0)</f>
        <v/>
      </c>
      <c r="P42" s="8">
        <f>YEAR(C42)</f>
        <v/>
      </c>
      <c r="Q42" s="8">
        <f>TEXT(C42, "yyyy-mm")</f>
        <v/>
      </c>
      <c r="R42" s="8" t="inlineStr">
        <is>
          <t>Direct Web</t>
        </is>
      </c>
      <c r="S42" s="8" t="inlineStr">
        <is>
          <t>REG-NA</t>
        </is>
      </c>
    </row>
    <row r="43">
      <c r="A43" s="8" t="inlineStr">
        <is>
          <t>DTL-0000040</t>
        </is>
      </c>
      <c r="B43" s="8" t="inlineStr">
        <is>
          <t>ORD-000019</t>
        </is>
      </c>
      <c r="C43" s="10" t="inlineStr">
        <is>
          <t>2024-11-10</t>
        </is>
      </c>
      <c r="D43" s="8" t="inlineStr">
        <is>
          <t>CUST-01504</t>
        </is>
      </c>
      <c r="E43" s="8" t="inlineStr">
        <is>
          <t>PRD-0154</t>
        </is>
      </c>
      <c r="F43" s="8" t="n">
        <v>3</v>
      </c>
      <c r="G43" s="9">
        <f>IFERROR(XLOOKUP(E43, '04_Products'!$A:$A, '04_Products'!$G:$G), 168.94)</f>
        <v/>
      </c>
      <c r="H43" s="9">
        <f>IFERROR(XLOOKUP(E43, '04_Products'!$A:$A, '04_Products'!$F:$F), 0)</f>
        <v/>
      </c>
      <c r="I43" s="9">
        <f>F43*G43</f>
        <v/>
      </c>
      <c r="J43" s="11" t="n">
        <v>0</v>
      </c>
      <c r="K43" s="9">
        <f>I43*J43</f>
        <v/>
      </c>
      <c r="L43" s="9">
        <f>I43-K43</f>
        <v/>
      </c>
      <c r="M43" s="9">
        <f>F43*H43</f>
        <v/>
      </c>
      <c r="N43" s="9">
        <f>L43-M43</f>
        <v/>
      </c>
      <c r="O43" s="11">
        <f>IFERROR(N43/L43, 0)</f>
        <v/>
      </c>
      <c r="P43" s="8">
        <f>YEAR(C43)</f>
        <v/>
      </c>
      <c r="Q43" s="8">
        <f>TEXT(C43, "yyyy-mm")</f>
        <v/>
      </c>
      <c r="R43" s="8" t="inlineStr">
        <is>
          <t>Direct Web</t>
        </is>
      </c>
      <c r="S43" s="8" t="inlineStr">
        <is>
          <t>REG-NA</t>
        </is>
      </c>
    </row>
    <row r="44">
      <c r="A44" s="8" t="inlineStr">
        <is>
          <t>DTL-0000041</t>
        </is>
      </c>
      <c r="B44" s="8" t="inlineStr">
        <is>
          <t>ORD-000020</t>
        </is>
      </c>
      <c r="C44" s="10" t="inlineStr">
        <is>
          <t>2024-03-18</t>
        </is>
      </c>
      <c r="D44" s="8" t="inlineStr">
        <is>
          <t>CUST-07544</t>
        </is>
      </c>
      <c r="E44" s="8" t="inlineStr">
        <is>
          <t>PRD-0184</t>
        </is>
      </c>
      <c r="F44" s="8" t="n">
        <v>1</v>
      </c>
      <c r="G44" s="9">
        <f>IFERROR(XLOOKUP(E44, '04_Products'!$A:$A, '04_Products'!$G:$G), 79.57)</f>
        <v/>
      </c>
      <c r="H44" s="9">
        <f>IFERROR(XLOOKUP(E44, '04_Products'!$A:$A, '04_Products'!$F:$F), 0)</f>
        <v/>
      </c>
      <c r="I44" s="9">
        <f>F44*G44</f>
        <v/>
      </c>
      <c r="J44" s="11" t="n">
        <v>0.3</v>
      </c>
      <c r="K44" s="9">
        <f>I44*J44</f>
        <v/>
      </c>
      <c r="L44" s="9">
        <f>I44-K44</f>
        <v/>
      </c>
      <c r="M44" s="9">
        <f>F44*H44</f>
        <v/>
      </c>
      <c r="N44" s="9">
        <f>L44-M44</f>
        <v/>
      </c>
      <c r="O44" s="11">
        <f>IFERROR(N44/L44, 0)</f>
        <v/>
      </c>
      <c r="P44" s="8">
        <f>YEAR(C44)</f>
        <v/>
      </c>
      <c r="Q44" s="8">
        <f>TEXT(C44, "yyyy-mm")</f>
        <v/>
      </c>
      <c r="R44" s="8" t="inlineStr">
        <is>
          <t>Mobile App</t>
        </is>
      </c>
      <c r="S44" s="8" t="inlineStr">
        <is>
          <t>REG-EU</t>
        </is>
      </c>
    </row>
    <row r="45">
      <c r="A45" s="8" t="inlineStr">
        <is>
          <t>DTL-0000042</t>
        </is>
      </c>
      <c r="B45" s="8" t="inlineStr">
        <is>
          <t>ORD-000021</t>
        </is>
      </c>
      <c r="C45" s="10" t="inlineStr">
        <is>
          <t>2024-10-17</t>
        </is>
      </c>
      <c r="D45" s="8" t="inlineStr">
        <is>
          <t>CUST-00428</t>
        </is>
      </c>
      <c r="E45" s="8" t="inlineStr">
        <is>
          <t>PRD-0336</t>
        </is>
      </c>
      <c r="F45" s="8" t="n">
        <v>3</v>
      </c>
      <c r="G45" s="9">
        <f>IFERROR(XLOOKUP(E45, '04_Products'!$A:$A, '04_Products'!$G:$G), 216.76)</f>
        <v/>
      </c>
      <c r="H45" s="9">
        <f>IFERROR(XLOOKUP(E45, '04_Products'!$A:$A, '04_Products'!$F:$F), 0)</f>
        <v/>
      </c>
      <c r="I45" s="9">
        <f>F45*G45</f>
        <v/>
      </c>
      <c r="J45" s="11" t="n">
        <v>0.1</v>
      </c>
      <c r="K45" s="9">
        <f>I45*J45</f>
        <v/>
      </c>
      <c r="L45" s="9">
        <f>I45-K45</f>
        <v/>
      </c>
      <c r="M45" s="9">
        <f>F45*H45</f>
        <v/>
      </c>
      <c r="N45" s="9">
        <f>L45-M45</f>
        <v/>
      </c>
      <c r="O45" s="11">
        <f>IFERROR(N45/L45, 0)</f>
        <v/>
      </c>
      <c r="P45" s="8">
        <f>YEAR(C45)</f>
        <v/>
      </c>
      <c r="Q45" s="8">
        <f>TEXT(C45, "yyyy-mm")</f>
        <v/>
      </c>
      <c r="R45" s="8" t="inlineStr">
        <is>
          <t>B2B Portal</t>
        </is>
      </c>
      <c r="S45" s="8" t="inlineStr">
        <is>
          <t>REG-APAC</t>
        </is>
      </c>
    </row>
    <row r="46">
      <c r="A46" s="8" t="inlineStr">
        <is>
          <t>DTL-0000043</t>
        </is>
      </c>
      <c r="B46" s="8" t="inlineStr">
        <is>
          <t>ORD-000022</t>
        </is>
      </c>
      <c r="C46" s="10" t="inlineStr">
        <is>
          <t>2025-03-29</t>
        </is>
      </c>
      <c r="D46" s="8" t="inlineStr">
        <is>
          <t>CUST-05119</t>
        </is>
      </c>
      <c r="E46" s="8" t="inlineStr">
        <is>
          <t>PRD-0131</t>
        </is>
      </c>
      <c r="F46" s="8" t="n">
        <v>1</v>
      </c>
      <c r="G46" s="9">
        <f>IFERROR(XLOOKUP(E46, '04_Products'!$A:$A, '04_Products'!$G:$G), 66.07)</f>
        <v/>
      </c>
      <c r="H46" s="9">
        <f>IFERROR(XLOOKUP(E46, '04_Products'!$A:$A, '04_Products'!$F:$F), 0)</f>
        <v/>
      </c>
      <c r="I46" s="9">
        <f>F46*G46</f>
        <v/>
      </c>
      <c r="J46" s="11" t="n">
        <v>0.1</v>
      </c>
      <c r="K46" s="9">
        <f>I46*J46</f>
        <v/>
      </c>
      <c r="L46" s="9">
        <f>I46-K46</f>
        <v/>
      </c>
      <c r="M46" s="9">
        <f>F46*H46</f>
        <v/>
      </c>
      <c r="N46" s="9">
        <f>L46-M46</f>
        <v/>
      </c>
      <c r="O46" s="11">
        <f>IFERROR(N46/L46, 0)</f>
        <v/>
      </c>
      <c r="P46" s="8">
        <f>YEAR(C46)</f>
        <v/>
      </c>
      <c r="Q46" s="8">
        <f>TEXT(C46, "yyyy-mm")</f>
        <v/>
      </c>
      <c r="R46" s="8" t="inlineStr">
        <is>
          <t>Direct Web</t>
        </is>
      </c>
      <c r="S46" s="8" t="inlineStr">
        <is>
          <t>REG-APAC</t>
        </is>
      </c>
    </row>
    <row r="47">
      <c r="A47" s="8" t="inlineStr">
        <is>
          <t>DTL-0000044</t>
        </is>
      </c>
      <c r="B47" s="8" t="inlineStr">
        <is>
          <t>ORD-000023</t>
        </is>
      </c>
      <c r="C47" s="10" t="inlineStr">
        <is>
          <t>2025-02-12</t>
        </is>
      </c>
      <c r="D47" s="8" t="inlineStr">
        <is>
          <t>CUST-06053</t>
        </is>
      </c>
      <c r="E47" s="8" t="inlineStr">
        <is>
          <t>PRD-0342</t>
        </is>
      </c>
      <c r="F47" s="8" t="n">
        <v>1</v>
      </c>
      <c r="G47" s="9">
        <f>IFERROR(XLOOKUP(E47, '04_Products'!$A:$A, '04_Products'!$G:$G), 994.42)</f>
        <v/>
      </c>
      <c r="H47" s="9">
        <f>IFERROR(XLOOKUP(E47, '04_Products'!$A:$A, '04_Products'!$F:$F), 0)</f>
        <v/>
      </c>
      <c r="I47" s="9">
        <f>F47*G47</f>
        <v/>
      </c>
      <c r="J47" s="11" t="n">
        <v>0</v>
      </c>
      <c r="K47" s="9">
        <f>I47*J47</f>
        <v/>
      </c>
      <c r="L47" s="9">
        <f>I47-K47</f>
        <v/>
      </c>
      <c r="M47" s="9">
        <f>F47*H47</f>
        <v/>
      </c>
      <c r="N47" s="9">
        <f>L47-M47</f>
        <v/>
      </c>
      <c r="O47" s="11">
        <f>IFERROR(N47/L47, 0)</f>
        <v/>
      </c>
      <c r="P47" s="8">
        <f>YEAR(C47)</f>
        <v/>
      </c>
      <c r="Q47" s="8">
        <f>TEXT(C47, "yyyy-mm")</f>
        <v/>
      </c>
      <c r="R47" s="8" t="inlineStr">
        <is>
          <t>Mobile App</t>
        </is>
      </c>
      <c r="S47" s="8" t="inlineStr">
        <is>
          <t>REG-NA</t>
        </is>
      </c>
    </row>
    <row r="48">
      <c r="A48" s="8" t="inlineStr">
        <is>
          <t>DTL-0000045</t>
        </is>
      </c>
      <c r="B48" s="8" t="inlineStr">
        <is>
          <t>ORD-000024</t>
        </is>
      </c>
      <c r="C48" s="10" t="inlineStr">
        <is>
          <t>2023-11-14</t>
        </is>
      </c>
      <c r="D48" s="8" t="inlineStr">
        <is>
          <t>CUST-06698</t>
        </is>
      </c>
      <c r="E48" s="8" t="inlineStr">
        <is>
          <t>PRD-0321</t>
        </is>
      </c>
      <c r="F48" s="8" t="n">
        <v>2</v>
      </c>
      <c r="G48" s="9">
        <f>IFERROR(XLOOKUP(E48, '04_Products'!$A:$A, '04_Products'!$G:$G), 684.87)</f>
        <v/>
      </c>
      <c r="H48" s="9">
        <f>IFERROR(XLOOKUP(E48, '04_Products'!$A:$A, '04_Products'!$F:$F), 0)</f>
        <v/>
      </c>
      <c r="I48" s="9">
        <f>F48*G48</f>
        <v/>
      </c>
      <c r="J48" s="11" t="n">
        <v>0.1</v>
      </c>
      <c r="K48" s="9">
        <f>I48*J48</f>
        <v/>
      </c>
      <c r="L48" s="9">
        <f>I48-K48</f>
        <v/>
      </c>
      <c r="M48" s="9">
        <f>F48*H48</f>
        <v/>
      </c>
      <c r="N48" s="9">
        <f>L48-M48</f>
        <v/>
      </c>
      <c r="O48" s="11">
        <f>IFERROR(N48/L48, 0)</f>
        <v/>
      </c>
      <c r="P48" s="8">
        <f>YEAR(C48)</f>
        <v/>
      </c>
      <c r="Q48" s="8">
        <f>TEXT(C48, "yyyy-mm")</f>
        <v/>
      </c>
      <c r="R48" s="8" t="inlineStr">
        <is>
          <t>Affiliate Partner</t>
        </is>
      </c>
      <c r="S48" s="8" t="inlineStr">
        <is>
          <t>REG-EU</t>
        </is>
      </c>
    </row>
    <row r="49">
      <c r="A49" s="8" t="inlineStr">
        <is>
          <t>DTL-0000046</t>
        </is>
      </c>
      <c r="B49" s="8" t="inlineStr">
        <is>
          <t>ORD-000024</t>
        </is>
      </c>
      <c r="C49" s="10" t="inlineStr">
        <is>
          <t>2023-11-14</t>
        </is>
      </c>
      <c r="D49" s="8" t="inlineStr">
        <is>
          <t>CUST-06698</t>
        </is>
      </c>
      <c r="E49" s="8" t="inlineStr">
        <is>
          <t>PRD-0259</t>
        </is>
      </c>
      <c r="F49" s="8" t="n">
        <v>4</v>
      </c>
      <c r="G49" s="9">
        <f>IFERROR(XLOOKUP(E49, '04_Products'!$A:$A, '04_Products'!$G:$G), 427.15)</f>
        <v/>
      </c>
      <c r="H49" s="9">
        <f>IFERROR(XLOOKUP(E49, '04_Products'!$A:$A, '04_Products'!$F:$F), 0)</f>
        <v/>
      </c>
      <c r="I49" s="9">
        <f>F49*G49</f>
        <v/>
      </c>
      <c r="J49" s="11" t="n">
        <v>0</v>
      </c>
      <c r="K49" s="9">
        <f>I49*J49</f>
        <v/>
      </c>
      <c r="L49" s="9">
        <f>I49-K49</f>
        <v/>
      </c>
      <c r="M49" s="9">
        <f>F49*H49</f>
        <v/>
      </c>
      <c r="N49" s="9">
        <f>L49-M49</f>
        <v/>
      </c>
      <c r="O49" s="11">
        <f>IFERROR(N49/L49, 0)</f>
        <v/>
      </c>
      <c r="P49" s="8">
        <f>YEAR(C49)</f>
        <v/>
      </c>
      <c r="Q49" s="8">
        <f>TEXT(C49, "yyyy-mm")</f>
        <v/>
      </c>
      <c r="R49" s="8" t="inlineStr">
        <is>
          <t>Affiliate Partner</t>
        </is>
      </c>
      <c r="S49" s="8" t="inlineStr">
        <is>
          <t>REG-EU</t>
        </is>
      </c>
    </row>
    <row r="50">
      <c r="A50" s="8" t="inlineStr">
        <is>
          <t>DTL-0000047</t>
        </is>
      </c>
      <c r="B50" s="8" t="inlineStr">
        <is>
          <t>ORD-000024</t>
        </is>
      </c>
      <c r="C50" s="10" t="inlineStr">
        <is>
          <t>2023-11-14</t>
        </is>
      </c>
      <c r="D50" s="8" t="inlineStr">
        <is>
          <t>CUST-06698</t>
        </is>
      </c>
      <c r="E50" s="8" t="inlineStr">
        <is>
          <t>PRD-0268</t>
        </is>
      </c>
      <c r="F50" s="8" t="n">
        <v>2</v>
      </c>
      <c r="G50" s="9">
        <f>IFERROR(XLOOKUP(E50, '04_Products'!$A:$A, '04_Products'!$G:$G), 69.90)</f>
        <v/>
      </c>
      <c r="H50" s="9">
        <f>IFERROR(XLOOKUP(E50, '04_Products'!$A:$A, '04_Products'!$F:$F), 0)</f>
        <v/>
      </c>
      <c r="I50" s="9">
        <f>F50*G50</f>
        <v/>
      </c>
      <c r="J50" s="11" t="n">
        <v>0</v>
      </c>
      <c r="K50" s="9">
        <f>I50*J50</f>
        <v/>
      </c>
      <c r="L50" s="9">
        <f>I50-K50</f>
        <v/>
      </c>
      <c r="M50" s="9">
        <f>F50*H50</f>
        <v/>
      </c>
      <c r="N50" s="9">
        <f>L50-M50</f>
        <v/>
      </c>
      <c r="O50" s="11">
        <f>IFERROR(N50/L50, 0)</f>
        <v/>
      </c>
      <c r="P50" s="8">
        <f>YEAR(C50)</f>
        <v/>
      </c>
      <c r="Q50" s="8">
        <f>TEXT(C50, "yyyy-mm")</f>
        <v/>
      </c>
      <c r="R50" s="8" t="inlineStr">
        <is>
          <t>Affiliate Partner</t>
        </is>
      </c>
      <c r="S50" s="8" t="inlineStr">
        <is>
          <t>REG-EU</t>
        </is>
      </c>
    </row>
    <row r="51">
      <c r="A51" s="8" t="inlineStr">
        <is>
          <t>DTL-0000048</t>
        </is>
      </c>
      <c r="B51" s="8" t="inlineStr">
        <is>
          <t>ORD-000025</t>
        </is>
      </c>
      <c r="C51" s="10" t="inlineStr">
        <is>
          <t>2025-10-22</t>
        </is>
      </c>
      <c r="D51" s="8" t="inlineStr">
        <is>
          <t>CUST-02242</t>
        </is>
      </c>
      <c r="E51" s="8" t="inlineStr">
        <is>
          <t>PRD-0079</t>
        </is>
      </c>
      <c r="F51" s="8" t="n">
        <v>3</v>
      </c>
      <c r="G51" s="9">
        <f>IFERROR(XLOOKUP(E51, '04_Products'!$A:$A, '04_Products'!$G:$G), 1234.41)</f>
        <v/>
      </c>
      <c r="H51" s="9">
        <f>IFERROR(XLOOKUP(E51, '04_Products'!$A:$A, '04_Products'!$F:$F), 0)</f>
        <v/>
      </c>
      <c r="I51" s="9">
        <f>F51*G51</f>
        <v/>
      </c>
      <c r="J51" s="11" t="n">
        <v>0.15</v>
      </c>
      <c r="K51" s="9">
        <f>I51*J51</f>
        <v/>
      </c>
      <c r="L51" s="9">
        <f>I51-K51</f>
        <v/>
      </c>
      <c r="M51" s="9">
        <f>F51*H51</f>
        <v/>
      </c>
      <c r="N51" s="9">
        <f>L51-M51</f>
        <v/>
      </c>
      <c r="O51" s="11">
        <f>IFERROR(N51/L51, 0)</f>
        <v/>
      </c>
      <c r="P51" s="8">
        <f>YEAR(C51)</f>
        <v/>
      </c>
      <c r="Q51" s="8">
        <f>TEXT(C51, "yyyy-mm")</f>
        <v/>
      </c>
      <c r="R51" s="8" t="inlineStr">
        <is>
          <t>Direct Web</t>
        </is>
      </c>
      <c r="S51" s="8" t="inlineStr">
        <is>
          <t>REG-NA</t>
        </is>
      </c>
    </row>
    <row r="52">
      <c r="A52" s="8" t="inlineStr">
        <is>
          <t>DTL-0000049</t>
        </is>
      </c>
      <c r="B52" s="8" t="inlineStr">
        <is>
          <t>ORD-000025</t>
        </is>
      </c>
      <c r="C52" s="10" t="inlineStr">
        <is>
          <t>2025-10-22</t>
        </is>
      </c>
      <c r="D52" s="8" t="inlineStr">
        <is>
          <t>CUST-02242</t>
        </is>
      </c>
      <c r="E52" s="8" t="inlineStr">
        <is>
          <t>PRD-0470</t>
        </is>
      </c>
      <c r="F52" s="8" t="n">
        <v>3</v>
      </c>
      <c r="G52" s="9">
        <f>IFERROR(XLOOKUP(E52, '04_Products'!$A:$A, '04_Products'!$G:$G), 1097.57)</f>
        <v/>
      </c>
      <c r="H52" s="9">
        <f>IFERROR(XLOOKUP(E52, '04_Products'!$A:$A, '04_Products'!$F:$F), 0)</f>
        <v/>
      </c>
      <c r="I52" s="9">
        <f>F52*G52</f>
        <v/>
      </c>
      <c r="J52" s="11" t="n">
        <v>0.1</v>
      </c>
      <c r="K52" s="9">
        <f>I52*J52</f>
        <v/>
      </c>
      <c r="L52" s="9">
        <f>I52-K52</f>
        <v/>
      </c>
      <c r="M52" s="9">
        <f>F52*H52</f>
        <v/>
      </c>
      <c r="N52" s="9">
        <f>L52-M52</f>
        <v/>
      </c>
      <c r="O52" s="11">
        <f>IFERROR(N52/L52, 0)</f>
        <v/>
      </c>
      <c r="P52" s="8">
        <f>YEAR(C52)</f>
        <v/>
      </c>
      <c r="Q52" s="8">
        <f>TEXT(C52, "yyyy-mm")</f>
        <v/>
      </c>
      <c r="R52" s="8" t="inlineStr">
        <is>
          <t>Direct Web</t>
        </is>
      </c>
      <c r="S52" s="8" t="inlineStr">
        <is>
          <t>REG-NA</t>
        </is>
      </c>
    </row>
    <row r="53">
      <c r="A53" s="8" t="inlineStr">
        <is>
          <t>DTL-0000050</t>
        </is>
      </c>
      <c r="B53" s="8" t="inlineStr">
        <is>
          <t>ORD-000026</t>
        </is>
      </c>
      <c r="C53" s="10" t="inlineStr">
        <is>
          <t>2024-12-30</t>
        </is>
      </c>
      <c r="D53" s="8" t="inlineStr">
        <is>
          <t>CUST-03439</t>
        </is>
      </c>
      <c r="E53" s="8" t="inlineStr">
        <is>
          <t>PRD-0257</t>
        </is>
      </c>
      <c r="F53" s="8" t="n">
        <v>2</v>
      </c>
      <c r="G53" s="9">
        <f>IFERROR(XLOOKUP(E53, '04_Products'!$A:$A, '04_Products'!$G:$G), 31.28)</f>
        <v/>
      </c>
      <c r="H53" s="9">
        <f>IFERROR(XLOOKUP(E53, '04_Products'!$A:$A, '04_Products'!$F:$F), 0)</f>
        <v/>
      </c>
      <c r="I53" s="9">
        <f>F53*G53</f>
        <v/>
      </c>
      <c r="J53" s="11" t="n">
        <v>0</v>
      </c>
      <c r="K53" s="9">
        <f>I53*J53</f>
        <v/>
      </c>
      <c r="L53" s="9">
        <f>I53-K53</f>
        <v/>
      </c>
      <c r="M53" s="9">
        <f>F53*H53</f>
        <v/>
      </c>
      <c r="N53" s="9">
        <f>L53-M53</f>
        <v/>
      </c>
      <c r="O53" s="11">
        <f>IFERROR(N53/L53, 0)</f>
        <v/>
      </c>
      <c r="P53" s="8">
        <f>YEAR(C53)</f>
        <v/>
      </c>
      <c r="Q53" s="8">
        <f>TEXT(C53, "yyyy-mm")</f>
        <v/>
      </c>
      <c r="R53" s="8" t="inlineStr">
        <is>
          <t>Direct Web</t>
        </is>
      </c>
      <c r="S53" s="8" t="inlineStr">
        <is>
          <t>REG-NA</t>
        </is>
      </c>
    </row>
    <row r="54">
      <c r="A54" s="8" t="inlineStr">
        <is>
          <t>DTL-0000051</t>
        </is>
      </c>
      <c r="B54" s="8" t="inlineStr">
        <is>
          <t>ORD-000027</t>
        </is>
      </c>
      <c r="C54" s="10" t="inlineStr">
        <is>
          <t>2024-08-17</t>
        </is>
      </c>
      <c r="D54" s="8" t="inlineStr">
        <is>
          <t>CUST-05208</t>
        </is>
      </c>
      <c r="E54" s="8" t="inlineStr">
        <is>
          <t>PRD-0314</t>
        </is>
      </c>
      <c r="F54" s="8" t="n">
        <v>2</v>
      </c>
      <c r="G54" s="9">
        <f>IFERROR(XLOOKUP(E54, '04_Products'!$A:$A, '04_Products'!$G:$G), 28.50)</f>
        <v/>
      </c>
      <c r="H54" s="9">
        <f>IFERROR(XLOOKUP(E54, '04_Products'!$A:$A, '04_Products'!$F:$F), 0)</f>
        <v/>
      </c>
      <c r="I54" s="9">
        <f>F54*G54</f>
        <v/>
      </c>
      <c r="J54" s="11" t="n">
        <v>0.3</v>
      </c>
      <c r="K54" s="9">
        <f>I54*J54</f>
        <v/>
      </c>
      <c r="L54" s="9">
        <f>I54-K54</f>
        <v/>
      </c>
      <c r="M54" s="9">
        <f>F54*H54</f>
        <v/>
      </c>
      <c r="N54" s="9">
        <f>L54-M54</f>
        <v/>
      </c>
      <c r="O54" s="11">
        <f>IFERROR(N54/L54, 0)</f>
        <v/>
      </c>
      <c r="P54" s="8">
        <f>YEAR(C54)</f>
        <v/>
      </c>
      <c r="Q54" s="8">
        <f>TEXT(C54, "yyyy-mm")</f>
        <v/>
      </c>
      <c r="R54" s="8" t="inlineStr">
        <is>
          <t>Direct Web</t>
        </is>
      </c>
      <c r="S54" s="8" t="inlineStr">
        <is>
          <t>REG-APAC</t>
        </is>
      </c>
    </row>
    <row r="55">
      <c r="A55" s="8" t="inlineStr">
        <is>
          <t>DTL-0000052</t>
        </is>
      </c>
      <c r="B55" s="8" t="inlineStr">
        <is>
          <t>ORD-000028</t>
        </is>
      </c>
      <c r="C55" s="10" t="inlineStr">
        <is>
          <t>2025-07-14</t>
        </is>
      </c>
      <c r="D55" s="8" t="inlineStr">
        <is>
          <t>CUST-02394</t>
        </is>
      </c>
      <c r="E55" s="8" t="inlineStr">
        <is>
          <t>PRD-0433</t>
        </is>
      </c>
      <c r="F55" s="8" t="n">
        <v>1</v>
      </c>
      <c r="G55" s="9">
        <f>IFERROR(XLOOKUP(E55, '04_Products'!$A:$A, '04_Products'!$G:$G), 545.86)</f>
        <v/>
      </c>
      <c r="H55" s="9">
        <f>IFERROR(XLOOKUP(E55, '04_Products'!$A:$A, '04_Products'!$F:$F), 0)</f>
        <v/>
      </c>
      <c r="I55" s="9">
        <f>F55*G55</f>
        <v/>
      </c>
      <c r="J55" s="11" t="n">
        <v>0.1</v>
      </c>
      <c r="K55" s="9">
        <f>I55*J55</f>
        <v/>
      </c>
      <c r="L55" s="9">
        <f>I55-K55</f>
        <v/>
      </c>
      <c r="M55" s="9">
        <f>F55*H55</f>
        <v/>
      </c>
      <c r="N55" s="9">
        <f>L55-M55</f>
        <v/>
      </c>
      <c r="O55" s="11">
        <f>IFERROR(N55/L55, 0)</f>
        <v/>
      </c>
      <c r="P55" s="8">
        <f>YEAR(C55)</f>
        <v/>
      </c>
      <c r="Q55" s="8">
        <f>TEXT(C55, "yyyy-mm")</f>
        <v/>
      </c>
      <c r="R55" s="8" t="inlineStr">
        <is>
          <t>Mobile App</t>
        </is>
      </c>
      <c r="S55" s="8" t="inlineStr">
        <is>
          <t>REG-APAC</t>
        </is>
      </c>
    </row>
    <row r="56">
      <c r="A56" s="8" t="inlineStr">
        <is>
          <t>DTL-0000053</t>
        </is>
      </c>
      <c r="B56" s="8" t="inlineStr">
        <is>
          <t>ORD-000028</t>
        </is>
      </c>
      <c r="C56" s="10" t="inlineStr">
        <is>
          <t>2025-07-14</t>
        </is>
      </c>
      <c r="D56" s="8" t="inlineStr">
        <is>
          <t>CUST-02394</t>
        </is>
      </c>
      <c r="E56" s="8" t="inlineStr">
        <is>
          <t>PRD-0132</t>
        </is>
      </c>
      <c r="F56" s="8" t="n">
        <v>1</v>
      </c>
      <c r="G56" s="9">
        <f>IFERROR(XLOOKUP(E56, '04_Products'!$A:$A, '04_Products'!$G:$G), 792.09)</f>
        <v/>
      </c>
      <c r="H56" s="9">
        <f>IFERROR(XLOOKUP(E56, '04_Products'!$A:$A, '04_Products'!$F:$F), 0)</f>
        <v/>
      </c>
      <c r="I56" s="9">
        <f>F56*G56</f>
        <v/>
      </c>
      <c r="J56" s="11" t="n">
        <v>0.25</v>
      </c>
      <c r="K56" s="9">
        <f>I56*J56</f>
        <v/>
      </c>
      <c r="L56" s="9">
        <f>I56-K56</f>
        <v/>
      </c>
      <c r="M56" s="9">
        <f>F56*H56</f>
        <v/>
      </c>
      <c r="N56" s="9">
        <f>L56-M56</f>
        <v/>
      </c>
      <c r="O56" s="11">
        <f>IFERROR(N56/L56, 0)</f>
        <v/>
      </c>
      <c r="P56" s="8">
        <f>YEAR(C56)</f>
        <v/>
      </c>
      <c r="Q56" s="8">
        <f>TEXT(C56, "yyyy-mm")</f>
        <v/>
      </c>
      <c r="R56" s="8" t="inlineStr">
        <is>
          <t>Mobile App</t>
        </is>
      </c>
      <c r="S56" s="8" t="inlineStr">
        <is>
          <t>REG-APAC</t>
        </is>
      </c>
    </row>
    <row r="57">
      <c r="A57" s="8" t="inlineStr">
        <is>
          <t>DTL-0000054</t>
        </is>
      </c>
      <c r="B57" s="8" t="inlineStr">
        <is>
          <t>ORD-000029</t>
        </is>
      </c>
      <c r="C57" s="10" t="inlineStr">
        <is>
          <t>2024-10-17</t>
        </is>
      </c>
      <c r="D57" s="8" t="inlineStr">
        <is>
          <t>CUST-07775</t>
        </is>
      </c>
      <c r="E57" s="8" t="inlineStr">
        <is>
          <t>PRD-0410</t>
        </is>
      </c>
      <c r="F57" s="8" t="n">
        <v>2</v>
      </c>
      <c r="G57" s="9">
        <f>IFERROR(XLOOKUP(E57, '04_Products'!$A:$A, '04_Products'!$G:$G), 13.14)</f>
        <v/>
      </c>
      <c r="H57" s="9">
        <f>IFERROR(XLOOKUP(E57, '04_Products'!$A:$A, '04_Products'!$F:$F), 0)</f>
        <v/>
      </c>
      <c r="I57" s="9">
        <f>F57*G57</f>
        <v/>
      </c>
      <c r="J57" s="11" t="n">
        <v>0</v>
      </c>
      <c r="K57" s="9">
        <f>I57*J57</f>
        <v/>
      </c>
      <c r="L57" s="9">
        <f>I57-K57</f>
        <v/>
      </c>
      <c r="M57" s="9">
        <f>F57*H57</f>
        <v/>
      </c>
      <c r="N57" s="9">
        <f>L57-M57</f>
        <v/>
      </c>
      <c r="O57" s="11">
        <f>IFERROR(N57/L57, 0)</f>
        <v/>
      </c>
      <c r="P57" s="8">
        <f>YEAR(C57)</f>
        <v/>
      </c>
      <c r="Q57" s="8">
        <f>TEXT(C57, "yyyy-mm")</f>
        <v/>
      </c>
      <c r="R57" s="8" t="inlineStr">
        <is>
          <t>Mobile App</t>
        </is>
      </c>
      <c r="S57" s="8" t="inlineStr">
        <is>
          <t>REG-LATAM</t>
        </is>
      </c>
    </row>
    <row r="58">
      <c r="A58" s="8" t="inlineStr">
        <is>
          <t>DTL-0000055</t>
        </is>
      </c>
      <c r="B58" s="8" t="inlineStr">
        <is>
          <t>ORD-000030</t>
        </is>
      </c>
      <c r="C58" s="10" t="inlineStr">
        <is>
          <t>2023-05-09</t>
        </is>
      </c>
      <c r="D58" s="8" t="inlineStr">
        <is>
          <t>CUST-00164</t>
        </is>
      </c>
      <c r="E58" s="8" t="inlineStr">
        <is>
          <t>PRD-0048</t>
        </is>
      </c>
      <c r="F58" s="8" t="n">
        <v>1</v>
      </c>
      <c r="G58" s="9">
        <f>IFERROR(XLOOKUP(E58, '04_Products'!$A:$A, '04_Products'!$G:$G), 39.00)</f>
        <v/>
      </c>
      <c r="H58" s="9">
        <f>IFERROR(XLOOKUP(E58, '04_Products'!$A:$A, '04_Products'!$F:$F), 0)</f>
        <v/>
      </c>
      <c r="I58" s="9">
        <f>F58*G58</f>
        <v/>
      </c>
      <c r="J58" s="11" t="n">
        <v>0</v>
      </c>
      <c r="K58" s="9">
        <f>I58*J58</f>
        <v/>
      </c>
      <c r="L58" s="9">
        <f>I58-K58</f>
        <v/>
      </c>
      <c r="M58" s="9">
        <f>F58*H58</f>
        <v/>
      </c>
      <c r="N58" s="9">
        <f>L58-M58</f>
        <v/>
      </c>
      <c r="O58" s="11">
        <f>IFERROR(N58/L58, 0)</f>
        <v/>
      </c>
      <c r="P58" s="8">
        <f>YEAR(C58)</f>
        <v/>
      </c>
      <c r="Q58" s="8">
        <f>TEXT(C58, "yyyy-mm")</f>
        <v/>
      </c>
      <c r="R58" s="8" t="inlineStr">
        <is>
          <t>Mobile App</t>
        </is>
      </c>
      <c r="S58" s="8" t="inlineStr">
        <is>
          <t>REG-NA</t>
        </is>
      </c>
    </row>
    <row r="59">
      <c r="A59" s="8" t="inlineStr">
        <is>
          <t>DTL-0000056</t>
        </is>
      </c>
      <c r="B59" s="8" t="inlineStr">
        <is>
          <t>ORD-000030</t>
        </is>
      </c>
      <c r="C59" s="10" t="inlineStr">
        <is>
          <t>2023-05-09</t>
        </is>
      </c>
      <c r="D59" s="8" t="inlineStr">
        <is>
          <t>CUST-00164</t>
        </is>
      </c>
      <c r="E59" s="8" t="inlineStr">
        <is>
          <t>PRD-0004</t>
        </is>
      </c>
      <c r="F59" s="8" t="n">
        <v>1</v>
      </c>
      <c r="G59" s="9">
        <f>IFERROR(XLOOKUP(E59, '04_Products'!$A:$A, '04_Products'!$G:$G), 13.71)</f>
        <v/>
      </c>
      <c r="H59" s="9">
        <f>IFERROR(XLOOKUP(E59, '04_Products'!$A:$A, '04_Products'!$F:$F), 0)</f>
        <v/>
      </c>
      <c r="I59" s="9">
        <f>F59*G59</f>
        <v/>
      </c>
      <c r="J59" s="11" t="n">
        <v>0.05</v>
      </c>
      <c r="K59" s="9">
        <f>I59*J59</f>
        <v/>
      </c>
      <c r="L59" s="9">
        <f>I59-K59</f>
        <v/>
      </c>
      <c r="M59" s="9">
        <f>F59*H59</f>
        <v/>
      </c>
      <c r="N59" s="9">
        <f>L59-M59</f>
        <v/>
      </c>
      <c r="O59" s="11">
        <f>IFERROR(N59/L59, 0)</f>
        <v/>
      </c>
      <c r="P59" s="8">
        <f>YEAR(C59)</f>
        <v/>
      </c>
      <c r="Q59" s="8">
        <f>TEXT(C59, "yyyy-mm")</f>
        <v/>
      </c>
      <c r="R59" s="8" t="inlineStr">
        <is>
          <t>Mobile App</t>
        </is>
      </c>
      <c r="S59" s="8" t="inlineStr">
        <is>
          <t>REG-NA</t>
        </is>
      </c>
    </row>
    <row r="60">
      <c r="A60" s="8" t="inlineStr">
        <is>
          <t>DTL-0000057</t>
        </is>
      </c>
      <c r="B60" s="8" t="inlineStr">
        <is>
          <t>ORD-000030</t>
        </is>
      </c>
      <c r="C60" s="10" t="inlineStr">
        <is>
          <t>2023-05-09</t>
        </is>
      </c>
      <c r="D60" s="8" t="inlineStr">
        <is>
          <t>CUST-00164</t>
        </is>
      </c>
      <c r="E60" s="8" t="inlineStr">
        <is>
          <t>PRD-0407</t>
        </is>
      </c>
      <c r="F60" s="8" t="n">
        <v>1</v>
      </c>
      <c r="G60" s="9">
        <f>IFERROR(XLOOKUP(E60, '04_Products'!$A:$A, '04_Products'!$G:$G), 515.93)</f>
        <v/>
      </c>
      <c r="H60" s="9">
        <f>IFERROR(XLOOKUP(E60, '04_Products'!$A:$A, '04_Products'!$F:$F), 0)</f>
        <v/>
      </c>
      <c r="I60" s="9">
        <f>F60*G60</f>
        <v/>
      </c>
      <c r="J60" s="11" t="n">
        <v>0.1</v>
      </c>
      <c r="K60" s="9">
        <f>I60*J60</f>
        <v/>
      </c>
      <c r="L60" s="9">
        <f>I60-K60</f>
        <v/>
      </c>
      <c r="M60" s="9">
        <f>F60*H60</f>
        <v/>
      </c>
      <c r="N60" s="9">
        <f>L60-M60</f>
        <v/>
      </c>
      <c r="O60" s="11">
        <f>IFERROR(N60/L60, 0)</f>
        <v/>
      </c>
      <c r="P60" s="8">
        <f>YEAR(C60)</f>
        <v/>
      </c>
      <c r="Q60" s="8">
        <f>TEXT(C60, "yyyy-mm")</f>
        <v/>
      </c>
      <c r="R60" s="8" t="inlineStr">
        <is>
          <t>Mobile App</t>
        </is>
      </c>
      <c r="S60" s="8" t="inlineStr">
        <is>
          <t>REG-NA</t>
        </is>
      </c>
    </row>
    <row r="61">
      <c r="A61" s="8" t="inlineStr">
        <is>
          <t>DTL-0000058</t>
        </is>
      </c>
      <c r="B61" s="8" t="inlineStr">
        <is>
          <t>ORD-000030</t>
        </is>
      </c>
      <c r="C61" s="10" t="inlineStr">
        <is>
          <t>2023-05-09</t>
        </is>
      </c>
      <c r="D61" s="8" t="inlineStr">
        <is>
          <t>CUST-00164</t>
        </is>
      </c>
      <c r="E61" s="8" t="inlineStr">
        <is>
          <t>PRD-0395</t>
        </is>
      </c>
      <c r="F61" s="8" t="n">
        <v>1</v>
      </c>
      <c r="G61" s="9">
        <f>IFERROR(XLOOKUP(E61, '04_Products'!$A:$A, '04_Products'!$G:$G), 875.57)</f>
        <v/>
      </c>
      <c r="H61" s="9">
        <f>IFERROR(XLOOKUP(E61, '04_Products'!$A:$A, '04_Products'!$F:$F), 0)</f>
        <v/>
      </c>
      <c r="I61" s="9">
        <f>F61*G61</f>
        <v/>
      </c>
      <c r="J61" s="11" t="n">
        <v>0</v>
      </c>
      <c r="K61" s="9">
        <f>I61*J61</f>
        <v/>
      </c>
      <c r="L61" s="9">
        <f>I61-K61</f>
        <v/>
      </c>
      <c r="M61" s="9">
        <f>F61*H61</f>
        <v/>
      </c>
      <c r="N61" s="9">
        <f>L61-M61</f>
        <v/>
      </c>
      <c r="O61" s="11">
        <f>IFERROR(N61/L61, 0)</f>
        <v/>
      </c>
      <c r="P61" s="8">
        <f>YEAR(C61)</f>
        <v/>
      </c>
      <c r="Q61" s="8">
        <f>TEXT(C61, "yyyy-mm")</f>
        <v/>
      </c>
      <c r="R61" s="8" t="inlineStr">
        <is>
          <t>Mobile App</t>
        </is>
      </c>
      <c r="S61" s="8" t="inlineStr">
        <is>
          <t>REG-NA</t>
        </is>
      </c>
    </row>
    <row r="62">
      <c r="A62" s="8" t="inlineStr">
        <is>
          <t>DTL-0000059</t>
        </is>
      </c>
      <c r="B62" s="8" t="inlineStr">
        <is>
          <t>ORD-000030</t>
        </is>
      </c>
      <c r="C62" s="10" t="inlineStr">
        <is>
          <t>2023-05-09</t>
        </is>
      </c>
      <c r="D62" s="8" t="inlineStr">
        <is>
          <t>CUST-00164</t>
        </is>
      </c>
      <c r="E62" s="8" t="inlineStr">
        <is>
          <t>PRD-0432</t>
        </is>
      </c>
      <c r="F62" s="8" t="n">
        <v>3</v>
      </c>
      <c r="G62" s="9">
        <f>IFERROR(XLOOKUP(E62, '04_Products'!$A:$A, '04_Products'!$G:$G), 25.28)</f>
        <v/>
      </c>
      <c r="H62" s="9">
        <f>IFERROR(XLOOKUP(E62, '04_Products'!$A:$A, '04_Products'!$F:$F), 0)</f>
        <v/>
      </c>
      <c r="I62" s="9">
        <f>F62*G62</f>
        <v/>
      </c>
      <c r="J62" s="11" t="n">
        <v>0.05</v>
      </c>
      <c r="K62" s="9">
        <f>I62*J62</f>
        <v/>
      </c>
      <c r="L62" s="9">
        <f>I62-K62</f>
        <v/>
      </c>
      <c r="M62" s="9">
        <f>F62*H62</f>
        <v/>
      </c>
      <c r="N62" s="9">
        <f>L62-M62</f>
        <v/>
      </c>
      <c r="O62" s="11">
        <f>IFERROR(N62/L62, 0)</f>
        <v/>
      </c>
      <c r="P62" s="8">
        <f>YEAR(C62)</f>
        <v/>
      </c>
      <c r="Q62" s="8">
        <f>TEXT(C62, "yyyy-mm")</f>
        <v/>
      </c>
      <c r="R62" s="8" t="inlineStr">
        <is>
          <t>Mobile App</t>
        </is>
      </c>
      <c r="S62" s="8" t="inlineStr">
        <is>
          <t>REG-NA</t>
        </is>
      </c>
    </row>
    <row r="63">
      <c r="A63" s="8" t="inlineStr">
        <is>
          <t>DTL-0000060</t>
        </is>
      </c>
      <c r="B63" s="8" t="inlineStr">
        <is>
          <t>ORD-000031</t>
        </is>
      </c>
      <c r="C63" s="10" t="inlineStr">
        <is>
          <t>2024-02-15</t>
        </is>
      </c>
      <c r="D63" s="8" t="inlineStr">
        <is>
          <t>CUST-04504</t>
        </is>
      </c>
      <c r="E63" s="8" t="inlineStr">
        <is>
          <t>PRD-0194</t>
        </is>
      </c>
      <c r="F63" s="8" t="n">
        <v>1</v>
      </c>
      <c r="G63" s="9">
        <f>IFERROR(XLOOKUP(E63, '04_Products'!$A:$A, '04_Products'!$G:$G), 603.69)</f>
        <v/>
      </c>
      <c r="H63" s="9">
        <f>IFERROR(XLOOKUP(E63, '04_Products'!$A:$A, '04_Products'!$F:$F), 0)</f>
        <v/>
      </c>
      <c r="I63" s="9">
        <f>F63*G63</f>
        <v/>
      </c>
      <c r="J63" s="11" t="n">
        <v>0</v>
      </c>
      <c r="K63" s="9">
        <f>I63*J63</f>
        <v/>
      </c>
      <c r="L63" s="9">
        <f>I63-K63</f>
        <v/>
      </c>
      <c r="M63" s="9">
        <f>F63*H63</f>
        <v/>
      </c>
      <c r="N63" s="9">
        <f>L63-M63</f>
        <v/>
      </c>
      <c r="O63" s="11">
        <f>IFERROR(N63/L63, 0)</f>
        <v/>
      </c>
      <c r="P63" s="8">
        <f>YEAR(C63)</f>
        <v/>
      </c>
      <c r="Q63" s="8">
        <f>TEXT(C63, "yyyy-mm")</f>
        <v/>
      </c>
      <c r="R63" s="8" t="inlineStr">
        <is>
          <t>B2B Portal</t>
        </is>
      </c>
      <c r="S63" s="8" t="inlineStr">
        <is>
          <t>REG-LATAM</t>
        </is>
      </c>
    </row>
    <row r="64">
      <c r="A64" s="8" t="inlineStr">
        <is>
          <t>DTL-0000061</t>
        </is>
      </c>
      <c r="B64" s="8" t="inlineStr">
        <is>
          <t>ORD-000032</t>
        </is>
      </c>
      <c r="C64" s="10" t="inlineStr">
        <is>
          <t>2025-09-03</t>
        </is>
      </c>
      <c r="D64" s="8" t="inlineStr">
        <is>
          <t>CUST-01521</t>
        </is>
      </c>
      <c r="E64" s="8" t="inlineStr">
        <is>
          <t>PRD-0023</t>
        </is>
      </c>
      <c r="F64" s="8" t="n">
        <v>1</v>
      </c>
      <c r="G64" s="9">
        <f>IFERROR(XLOOKUP(E64, '04_Products'!$A:$A, '04_Products'!$G:$G), 276.60)</f>
        <v/>
      </c>
      <c r="H64" s="9">
        <f>IFERROR(XLOOKUP(E64, '04_Products'!$A:$A, '04_Products'!$F:$F), 0)</f>
        <v/>
      </c>
      <c r="I64" s="9">
        <f>F64*G64</f>
        <v/>
      </c>
      <c r="J64" s="11" t="n">
        <v>0</v>
      </c>
      <c r="K64" s="9">
        <f>I64*J64</f>
        <v/>
      </c>
      <c r="L64" s="9">
        <f>I64-K64</f>
        <v/>
      </c>
      <c r="M64" s="9">
        <f>F64*H64</f>
        <v/>
      </c>
      <c r="N64" s="9">
        <f>L64-M64</f>
        <v/>
      </c>
      <c r="O64" s="11">
        <f>IFERROR(N64/L64, 0)</f>
        <v/>
      </c>
      <c r="P64" s="8">
        <f>YEAR(C64)</f>
        <v/>
      </c>
      <c r="Q64" s="8">
        <f>TEXT(C64, "yyyy-mm")</f>
        <v/>
      </c>
      <c r="R64" s="8" t="inlineStr">
        <is>
          <t>Direct Web</t>
        </is>
      </c>
      <c r="S64" s="8" t="inlineStr">
        <is>
          <t>REG-NA</t>
        </is>
      </c>
    </row>
    <row r="65">
      <c r="A65" s="8" t="inlineStr">
        <is>
          <t>DTL-0000062</t>
        </is>
      </c>
      <c r="B65" s="8" t="inlineStr">
        <is>
          <t>ORD-000032</t>
        </is>
      </c>
      <c r="C65" s="10" t="inlineStr">
        <is>
          <t>2025-09-03</t>
        </is>
      </c>
      <c r="D65" s="8" t="inlineStr">
        <is>
          <t>CUST-01521</t>
        </is>
      </c>
      <c r="E65" s="8" t="inlineStr">
        <is>
          <t>PRD-0021</t>
        </is>
      </c>
      <c r="F65" s="8" t="n">
        <v>2</v>
      </c>
      <c r="G65" s="9">
        <f>IFERROR(XLOOKUP(E65, '04_Products'!$A:$A, '04_Products'!$G:$G), 41.09)</f>
        <v/>
      </c>
      <c r="H65" s="9">
        <f>IFERROR(XLOOKUP(E65, '04_Products'!$A:$A, '04_Products'!$F:$F), 0)</f>
        <v/>
      </c>
      <c r="I65" s="9">
        <f>F65*G65</f>
        <v/>
      </c>
      <c r="J65" s="11" t="n">
        <v>0.1</v>
      </c>
      <c r="K65" s="9">
        <f>I65*J65</f>
        <v/>
      </c>
      <c r="L65" s="9">
        <f>I65-K65</f>
        <v/>
      </c>
      <c r="M65" s="9">
        <f>F65*H65</f>
        <v/>
      </c>
      <c r="N65" s="9">
        <f>L65-M65</f>
        <v/>
      </c>
      <c r="O65" s="11">
        <f>IFERROR(N65/L65, 0)</f>
        <v/>
      </c>
      <c r="P65" s="8">
        <f>YEAR(C65)</f>
        <v/>
      </c>
      <c r="Q65" s="8">
        <f>TEXT(C65, "yyyy-mm")</f>
        <v/>
      </c>
      <c r="R65" s="8" t="inlineStr">
        <is>
          <t>Direct Web</t>
        </is>
      </c>
      <c r="S65" s="8" t="inlineStr">
        <is>
          <t>REG-NA</t>
        </is>
      </c>
    </row>
    <row r="66">
      <c r="A66" s="8" t="inlineStr">
        <is>
          <t>DTL-0000063</t>
        </is>
      </c>
      <c r="B66" s="8" t="inlineStr">
        <is>
          <t>ORD-000033</t>
        </is>
      </c>
      <c r="C66" s="10" t="inlineStr">
        <is>
          <t>2025-03-19</t>
        </is>
      </c>
      <c r="D66" s="8" t="inlineStr">
        <is>
          <t>CUST-04177</t>
        </is>
      </c>
      <c r="E66" s="8" t="inlineStr">
        <is>
          <t>PRD-0421</t>
        </is>
      </c>
      <c r="F66" s="8" t="n">
        <v>1</v>
      </c>
      <c r="G66" s="9">
        <f>IFERROR(XLOOKUP(E66, '04_Products'!$A:$A, '04_Products'!$G:$G), 50.08)</f>
        <v/>
      </c>
      <c r="H66" s="9">
        <f>IFERROR(XLOOKUP(E66, '04_Products'!$A:$A, '04_Products'!$F:$F), 0)</f>
        <v/>
      </c>
      <c r="I66" s="9">
        <f>F66*G66</f>
        <v/>
      </c>
      <c r="J66" s="11" t="n">
        <v>0.05</v>
      </c>
      <c r="K66" s="9">
        <f>I66*J66</f>
        <v/>
      </c>
      <c r="L66" s="9">
        <f>I66-K66</f>
        <v/>
      </c>
      <c r="M66" s="9">
        <f>F66*H66</f>
        <v/>
      </c>
      <c r="N66" s="9">
        <f>L66-M66</f>
        <v/>
      </c>
      <c r="O66" s="11">
        <f>IFERROR(N66/L66, 0)</f>
        <v/>
      </c>
      <c r="P66" s="8">
        <f>YEAR(C66)</f>
        <v/>
      </c>
      <c r="Q66" s="8">
        <f>TEXT(C66, "yyyy-mm")</f>
        <v/>
      </c>
      <c r="R66" s="8" t="inlineStr">
        <is>
          <t>Mobile App</t>
        </is>
      </c>
      <c r="S66" s="8" t="inlineStr">
        <is>
          <t>REG-NA</t>
        </is>
      </c>
    </row>
    <row r="67">
      <c r="A67" s="8" t="inlineStr">
        <is>
          <t>DTL-0000064</t>
        </is>
      </c>
      <c r="B67" s="8" t="inlineStr">
        <is>
          <t>ORD-000033</t>
        </is>
      </c>
      <c r="C67" s="10" t="inlineStr">
        <is>
          <t>2025-03-19</t>
        </is>
      </c>
      <c r="D67" s="8" t="inlineStr">
        <is>
          <t>CUST-04177</t>
        </is>
      </c>
      <c r="E67" s="8" t="inlineStr">
        <is>
          <t>PRD-0311</t>
        </is>
      </c>
      <c r="F67" s="8" t="n">
        <v>1</v>
      </c>
      <c r="G67" s="9">
        <f>IFERROR(XLOOKUP(E67, '04_Products'!$A:$A, '04_Products'!$G:$G), 7.85)</f>
        <v/>
      </c>
      <c r="H67" s="9">
        <f>IFERROR(XLOOKUP(E67, '04_Products'!$A:$A, '04_Products'!$F:$F), 0)</f>
        <v/>
      </c>
      <c r="I67" s="9">
        <f>F67*G67</f>
        <v/>
      </c>
      <c r="J67" s="11" t="n">
        <v>0</v>
      </c>
      <c r="K67" s="9">
        <f>I67*J67</f>
        <v/>
      </c>
      <c r="L67" s="9">
        <f>I67-K67</f>
        <v/>
      </c>
      <c r="M67" s="9">
        <f>F67*H67</f>
        <v/>
      </c>
      <c r="N67" s="9">
        <f>L67-M67</f>
        <v/>
      </c>
      <c r="O67" s="11">
        <f>IFERROR(N67/L67, 0)</f>
        <v/>
      </c>
      <c r="P67" s="8">
        <f>YEAR(C67)</f>
        <v/>
      </c>
      <c r="Q67" s="8">
        <f>TEXT(C67, "yyyy-mm")</f>
        <v/>
      </c>
      <c r="R67" s="8" t="inlineStr">
        <is>
          <t>Mobile App</t>
        </is>
      </c>
      <c r="S67" s="8" t="inlineStr">
        <is>
          <t>REG-NA</t>
        </is>
      </c>
    </row>
    <row r="68">
      <c r="A68" s="8" t="inlineStr">
        <is>
          <t>DTL-0000065</t>
        </is>
      </c>
      <c r="B68" s="8" t="inlineStr">
        <is>
          <t>ORD-000033</t>
        </is>
      </c>
      <c r="C68" s="10" t="inlineStr">
        <is>
          <t>2025-03-19</t>
        </is>
      </c>
      <c r="D68" s="8" t="inlineStr">
        <is>
          <t>CUST-04177</t>
        </is>
      </c>
      <c r="E68" s="8" t="inlineStr">
        <is>
          <t>PRD-0402</t>
        </is>
      </c>
      <c r="F68" s="8" t="n">
        <v>1</v>
      </c>
      <c r="G68" s="9">
        <f>IFERROR(XLOOKUP(E68, '04_Products'!$A:$A, '04_Products'!$G:$G), 1065.19)</f>
        <v/>
      </c>
      <c r="H68" s="9">
        <f>IFERROR(XLOOKUP(E68, '04_Products'!$A:$A, '04_Products'!$F:$F), 0)</f>
        <v/>
      </c>
      <c r="I68" s="9">
        <f>F68*G68</f>
        <v/>
      </c>
      <c r="J68" s="11" t="n">
        <v>0.05</v>
      </c>
      <c r="K68" s="9">
        <f>I68*J68</f>
        <v/>
      </c>
      <c r="L68" s="9">
        <f>I68-K68</f>
        <v/>
      </c>
      <c r="M68" s="9">
        <f>F68*H68</f>
        <v/>
      </c>
      <c r="N68" s="9">
        <f>L68-M68</f>
        <v/>
      </c>
      <c r="O68" s="11">
        <f>IFERROR(N68/L68, 0)</f>
        <v/>
      </c>
      <c r="P68" s="8">
        <f>YEAR(C68)</f>
        <v/>
      </c>
      <c r="Q68" s="8">
        <f>TEXT(C68, "yyyy-mm")</f>
        <v/>
      </c>
      <c r="R68" s="8" t="inlineStr">
        <is>
          <t>Mobile App</t>
        </is>
      </c>
      <c r="S68" s="8" t="inlineStr">
        <is>
          <t>REG-NA</t>
        </is>
      </c>
    </row>
    <row r="69">
      <c r="A69" s="8" t="inlineStr">
        <is>
          <t>DTL-0000066</t>
        </is>
      </c>
      <c r="B69" s="8" t="inlineStr">
        <is>
          <t>ORD-000034</t>
        </is>
      </c>
      <c r="C69" s="10" t="inlineStr">
        <is>
          <t>2023-06-23</t>
        </is>
      </c>
      <c r="D69" s="8" t="inlineStr">
        <is>
          <t>CUST-01453</t>
        </is>
      </c>
      <c r="E69" s="8" t="inlineStr">
        <is>
          <t>PRD-0190</t>
        </is>
      </c>
      <c r="F69" s="8" t="n">
        <v>1</v>
      </c>
      <c r="G69" s="9">
        <f>IFERROR(XLOOKUP(E69, '04_Products'!$A:$A, '04_Products'!$G:$G), 33.02)</f>
        <v/>
      </c>
      <c r="H69" s="9">
        <f>IFERROR(XLOOKUP(E69, '04_Products'!$A:$A, '04_Products'!$F:$F), 0)</f>
        <v/>
      </c>
      <c r="I69" s="9">
        <f>F69*G69</f>
        <v/>
      </c>
      <c r="J69" s="11" t="n">
        <v>0.2</v>
      </c>
      <c r="K69" s="9">
        <f>I69*J69</f>
        <v/>
      </c>
      <c r="L69" s="9">
        <f>I69-K69</f>
        <v/>
      </c>
      <c r="M69" s="9">
        <f>F69*H69</f>
        <v/>
      </c>
      <c r="N69" s="9">
        <f>L69-M69</f>
        <v/>
      </c>
      <c r="O69" s="11">
        <f>IFERROR(N69/L69, 0)</f>
        <v/>
      </c>
      <c r="P69" s="8">
        <f>YEAR(C69)</f>
        <v/>
      </c>
      <c r="Q69" s="8">
        <f>TEXT(C69, "yyyy-mm")</f>
        <v/>
      </c>
      <c r="R69" s="8" t="inlineStr">
        <is>
          <t>Direct Web</t>
        </is>
      </c>
      <c r="S69" s="8" t="inlineStr">
        <is>
          <t>REG-NA</t>
        </is>
      </c>
    </row>
    <row r="70">
      <c r="A70" s="8" t="inlineStr">
        <is>
          <t>DTL-0000067</t>
        </is>
      </c>
      <c r="B70" s="8" t="inlineStr">
        <is>
          <t>ORD-000035</t>
        </is>
      </c>
      <c r="C70" s="10" t="inlineStr">
        <is>
          <t>2025-12-08</t>
        </is>
      </c>
      <c r="D70" s="8" t="inlineStr">
        <is>
          <t>CUST-00357</t>
        </is>
      </c>
      <c r="E70" s="8" t="inlineStr">
        <is>
          <t>PRD-0141</t>
        </is>
      </c>
      <c r="F70" s="8" t="n">
        <v>1</v>
      </c>
      <c r="G70" s="9">
        <f>IFERROR(XLOOKUP(E70, '04_Products'!$A:$A, '04_Products'!$G:$G), 53.70)</f>
        <v/>
      </c>
      <c r="H70" s="9">
        <f>IFERROR(XLOOKUP(E70, '04_Products'!$A:$A, '04_Products'!$F:$F), 0)</f>
        <v/>
      </c>
      <c r="I70" s="9">
        <f>F70*G70</f>
        <v/>
      </c>
      <c r="J70" s="11" t="n">
        <v>0</v>
      </c>
      <c r="K70" s="9">
        <f>I70*J70</f>
        <v/>
      </c>
      <c r="L70" s="9">
        <f>I70-K70</f>
        <v/>
      </c>
      <c r="M70" s="9">
        <f>F70*H70</f>
        <v/>
      </c>
      <c r="N70" s="9">
        <f>L70-M70</f>
        <v/>
      </c>
      <c r="O70" s="11">
        <f>IFERROR(N70/L70, 0)</f>
        <v/>
      </c>
      <c r="P70" s="8">
        <f>YEAR(C70)</f>
        <v/>
      </c>
      <c r="Q70" s="8">
        <f>TEXT(C70, "yyyy-mm")</f>
        <v/>
      </c>
      <c r="R70" s="8" t="inlineStr">
        <is>
          <t>Direct Web</t>
        </is>
      </c>
      <c r="S70" s="8" t="inlineStr">
        <is>
          <t>REG-NA</t>
        </is>
      </c>
    </row>
    <row r="71">
      <c r="A71" s="8" t="inlineStr">
        <is>
          <t>DTL-0000068</t>
        </is>
      </c>
      <c r="B71" s="8" t="inlineStr">
        <is>
          <t>ORD-000035</t>
        </is>
      </c>
      <c r="C71" s="10" t="inlineStr">
        <is>
          <t>2025-12-08</t>
        </is>
      </c>
      <c r="D71" s="8" t="inlineStr">
        <is>
          <t>CUST-00357</t>
        </is>
      </c>
      <c r="E71" s="8" t="inlineStr">
        <is>
          <t>PRD-0454</t>
        </is>
      </c>
      <c r="F71" s="8" t="n">
        <v>1</v>
      </c>
      <c r="G71" s="9">
        <f>IFERROR(XLOOKUP(E71, '04_Products'!$A:$A, '04_Products'!$G:$G), 745.94)</f>
        <v/>
      </c>
      <c r="H71" s="9">
        <f>IFERROR(XLOOKUP(E71, '04_Products'!$A:$A, '04_Products'!$F:$F), 0)</f>
        <v/>
      </c>
      <c r="I71" s="9">
        <f>F71*G71</f>
        <v/>
      </c>
      <c r="J71" s="11" t="n">
        <v>0.2</v>
      </c>
      <c r="K71" s="9">
        <f>I71*J71</f>
        <v/>
      </c>
      <c r="L71" s="9">
        <f>I71-K71</f>
        <v/>
      </c>
      <c r="M71" s="9">
        <f>F71*H71</f>
        <v/>
      </c>
      <c r="N71" s="9">
        <f>L71-M71</f>
        <v/>
      </c>
      <c r="O71" s="11">
        <f>IFERROR(N71/L71, 0)</f>
        <v/>
      </c>
      <c r="P71" s="8">
        <f>YEAR(C71)</f>
        <v/>
      </c>
      <c r="Q71" s="8">
        <f>TEXT(C71, "yyyy-mm")</f>
        <v/>
      </c>
      <c r="R71" s="8" t="inlineStr">
        <is>
          <t>Direct Web</t>
        </is>
      </c>
      <c r="S71" s="8" t="inlineStr">
        <is>
          <t>REG-NA</t>
        </is>
      </c>
    </row>
    <row r="72">
      <c r="A72" s="8" t="inlineStr">
        <is>
          <t>DTL-0000069</t>
        </is>
      </c>
      <c r="B72" s="8" t="inlineStr">
        <is>
          <t>ORD-000036</t>
        </is>
      </c>
      <c r="C72" s="10" t="inlineStr">
        <is>
          <t>2025-06-21</t>
        </is>
      </c>
      <c r="D72" s="8" t="inlineStr">
        <is>
          <t>CUST-06211</t>
        </is>
      </c>
      <c r="E72" s="8" t="inlineStr">
        <is>
          <t>PRD-0106</t>
        </is>
      </c>
      <c r="F72" s="8" t="n">
        <v>1</v>
      </c>
      <c r="G72" s="9">
        <f>IFERROR(XLOOKUP(E72, '04_Products'!$A:$A, '04_Products'!$G:$G), 49.14)</f>
        <v/>
      </c>
      <c r="H72" s="9">
        <f>IFERROR(XLOOKUP(E72, '04_Products'!$A:$A, '04_Products'!$F:$F), 0)</f>
        <v/>
      </c>
      <c r="I72" s="9">
        <f>F72*G72</f>
        <v/>
      </c>
      <c r="J72" s="11" t="n">
        <v>0.1</v>
      </c>
      <c r="K72" s="9">
        <f>I72*J72</f>
        <v/>
      </c>
      <c r="L72" s="9">
        <f>I72-K72</f>
        <v/>
      </c>
      <c r="M72" s="9">
        <f>F72*H72</f>
        <v/>
      </c>
      <c r="N72" s="9">
        <f>L72-M72</f>
        <v/>
      </c>
      <c r="O72" s="11">
        <f>IFERROR(N72/L72, 0)</f>
        <v/>
      </c>
      <c r="P72" s="8">
        <f>YEAR(C72)</f>
        <v/>
      </c>
      <c r="Q72" s="8">
        <f>TEXT(C72, "yyyy-mm")</f>
        <v/>
      </c>
      <c r="R72" s="8" t="inlineStr">
        <is>
          <t>Direct Web</t>
        </is>
      </c>
      <c r="S72" s="8" t="inlineStr">
        <is>
          <t>REG-NA</t>
        </is>
      </c>
    </row>
    <row r="73">
      <c r="A73" s="8" t="inlineStr">
        <is>
          <t>DTL-0000070</t>
        </is>
      </c>
      <c r="B73" s="8" t="inlineStr">
        <is>
          <t>ORD-000036</t>
        </is>
      </c>
      <c r="C73" s="10" t="inlineStr">
        <is>
          <t>2025-06-21</t>
        </is>
      </c>
      <c r="D73" s="8" t="inlineStr">
        <is>
          <t>CUST-06211</t>
        </is>
      </c>
      <c r="E73" s="8" t="inlineStr">
        <is>
          <t>PRD-0288</t>
        </is>
      </c>
      <c r="F73" s="8" t="n">
        <v>1</v>
      </c>
      <c r="G73" s="9">
        <f>IFERROR(XLOOKUP(E73, '04_Products'!$A:$A, '04_Products'!$G:$G), 41.37)</f>
        <v/>
      </c>
      <c r="H73" s="9">
        <f>IFERROR(XLOOKUP(E73, '04_Products'!$A:$A, '04_Products'!$F:$F), 0)</f>
        <v/>
      </c>
      <c r="I73" s="9">
        <f>F73*G73</f>
        <v/>
      </c>
      <c r="J73" s="11" t="n">
        <v>0</v>
      </c>
      <c r="K73" s="9">
        <f>I73*J73</f>
        <v/>
      </c>
      <c r="L73" s="9">
        <f>I73-K73</f>
        <v/>
      </c>
      <c r="M73" s="9">
        <f>F73*H73</f>
        <v/>
      </c>
      <c r="N73" s="9">
        <f>L73-M73</f>
        <v/>
      </c>
      <c r="O73" s="11">
        <f>IFERROR(N73/L73, 0)</f>
        <v/>
      </c>
      <c r="P73" s="8">
        <f>YEAR(C73)</f>
        <v/>
      </c>
      <c r="Q73" s="8">
        <f>TEXT(C73, "yyyy-mm")</f>
        <v/>
      </c>
      <c r="R73" s="8" t="inlineStr">
        <is>
          <t>Direct Web</t>
        </is>
      </c>
      <c r="S73" s="8" t="inlineStr">
        <is>
          <t>REG-NA</t>
        </is>
      </c>
    </row>
    <row r="74">
      <c r="A74" s="8" t="inlineStr">
        <is>
          <t>DTL-0000071</t>
        </is>
      </c>
      <c r="B74" s="8" t="inlineStr">
        <is>
          <t>ORD-000036</t>
        </is>
      </c>
      <c r="C74" s="10" t="inlineStr">
        <is>
          <t>2025-06-21</t>
        </is>
      </c>
      <c r="D74" s="8" t="inlineStr">
        <is>
          <t>CUST-06211</t>
        </is>
      </c>
      <c r="E74" s="8" t="inlineStr">
        <is>
          <t>PRD-0357</t>
        </is>
      </c>
      <c r="F74" s="8" t="n">
        <v>1</v>
      </c>
      <c r="G74" s="9">
        <f>IFERROR(XLOOKUP(E74, '04_Products'!$A:$A, '04_Products'!$G:$G), 305.71)</f>
        <v/>
      </c>
      <c r="H74" s="9">
        <f>IFERROR(XLOOKUP(E74, '04_Products'!$A:$A, '04_Products'!$F:$F), 0)</f>
        <v/>
      </c>
      <c r="I74" s="9">
        <f>F74*G74</f>
        <v/>
      </c>
      <c r="J74" s="11" t="n">
        <v>0</v>
      </c>
      <c r="K74" s="9">
        <f>I74*J74</f>
        <v/>
      </c>
      <c r="L74" s="9">
        <f>I74-K74</f>
        <v/>
      </c>
      <c r="M74" s="9">
        <f>F74*H74</f>
        <v/>
      </c>
      <c r="N74" s="9">
        <f>L74-M74</f>
        <v/>
      </c>
      <c r="O74" s="11">
        <f>IFERROR(N74/L74, 0)</f>
        <v/>
      </c>
      <c r="P74" s="8">
        <f>YEAR(C74)</f>
        <v/>
      </c>
      <c r="Q74" s="8">
        <f>TEXT(C74, "yyyy-mm")</f>
        <v/>
      </c>
      <c r="R74" s="8" t="inlineStr">
        <is>
          <t>Direct Web</t>
        </is>
      </c>
      <c r="S74" s="8" t="inlineStr">
        <is>
          <t>REG-NA</t>
        </is>
      </c>
    </row>
    <row r="75">
      <c r="A75" s="8" t="inlineStr">
        <is>
          <t>DTL-0000072</t>
        </is>
      </c>
      <c r="B75" s="8" t="inlineStr">
        <is>
          <t>ORD-000037</t>
        </is>
      </c>
      <c r="C75" s="10" t="inlineStr">
        <is>
          <t>2023-06-08</t>
        </is>
      </c>
      <c r="D75" s="8" t="inlineStr">
        <is>
          <t>CUST-07906</t>
        </is>
      </c>
      <c r="E75" s="8" t="inlineStr">
        <is>
          <t>PRD-0229</t>
        </is>
      </c>
      <c r="F75" s="8" t="n">
        <v>2</v>
      </c>
      <c r="G75" s="9">
        <f>IFERROR(XLOOKUP(E75, '04_Products'!$A:$A, '04_Products'!$G:$G), 31.96)</f>
        <v/>
      </c>
      <c r="H75" s="9">
        <f>IFERROR(XLOOKUP(E75, '04_Products'!$A:$A, '04_Products'!$F:$F), 0)</f>
        <v/>
      </c>
      <c r="I75" s="9">
        <f>F75*G75</f>
        <v/>
      </c>
      <c r="J75" s="11" t="n">
        <v>0.05</v>
      </c>
      <c r="K75" s="9">
        <f>I75*J75</f>
        <v/>
      </c>
      <c r="L75" s="9">
        <f>I75-K75</f>
        <v/>
      </c>
      <c r="M75" s="9">
        <f>F75*H75</f>
        <v/>
      </c>
      <c r="N75" s="9">
        <f>L75-M75</f>
        <v/>
      </c>
      <c r="O75" s="11">
        <f>IFERROR(N75/L75, 0)</f>
        <v/>
      </c>
      <c r="P75" s="8">
        <f>YEAR(C75)</f>
        <v/>
      </c>
      <c r="Q75" s="8">
        <f>TEXT(C75, "yyyy-mm")</f>
        <v/>
      </c>
      <c r="R75" s="8" t="inlineStr">
        <is>
          <t>Affiliate Partner</t>
        </is>
      </c>
      <c r="S75" s="8" t="inlineStr">
        <is>
          <t>REG-APAC</t>
        </is>
      </c>
    </row>
    <row r="76">
      <c r="A76" s="8" t="inlineStr">
        <is>
          <t>DTL-0000073</t>
        </is>
      </c>
      <c r="B76" s="8" t="inlineStr">
        <is>
          <t>ORD-000038</t>
        </is>
      </c>
      <c r="C76" s="10" t="inlineStr">
        <is>
          <t>2023-11-24</t>
        </is>
      </c>
      <c r="D76" s="8" t="inlineStr">
        <is>
          <t>CUST-04333</t>
        </is>
      </c>
      <c r="E76" s="8" t="inlineStr">
        <is>
          <t>PRD-0369</t>
        </is>
      </c>
      <c r="F76" s="8" t="n">
        <v>1</v>
      </c>
      <c r="G76" s="9">
        <f>IFERROR(XLOOKUP(E76, '04_Products'!$A:$A, '04_Products'!$G:$G), 653.11)</f>
        <v/>
      </c>
      <c r="H76" s="9">
        <f>IFERROR(XLOOKUP(E76, '04_Products'!$A:$A, '04_Products'!$F:$F), 0)</f>
        <v/>
      </c>
      <c r="I76" s="9">
        <f>F76*G76</f>
        <v/>
      </c>
      <c r="J76" s="11" t="n">
        <v>0</v>
      </c>
      <c r="K76" s="9">
        <f>I76*J76</f>
        <v/>
      </c>
      <c r="L76" s="9">
        <f>I76-K76</f>
        <v/>
      </c>
      <c r="M76" s="9">
        <f>F76*H76</f>
        <v/>
      </c>
      <c r="N76" s="9">
        <f>L76-M76</f>
        <v/>
      </c>
      <c r="O76" s="11">
        <f>IFERROR(N76/L76, 0)</f>
        <v/>
      </c>
      <c r="P76" s="8">
        <f>YEAR(C76)</f>
        <v/>
      </c>
      <c r="Q76" s="8">
        <f>TEXT(C76, "yyyy-mm")</f>
        <v/>
      </c>
      <c r="R76" s="8" t="inlineStr">
        <is>
          <t>B2B Portal</t>
        </is>
      </c>
      <c r="S76" s="8" t="inlineStr">
        <is>
          <t>REG-NA</t>
        </is>
      </c>
    </row>
    <row r="77">
      <c r="A77" s="8" t="inlineStr">
        <is>
          <t>DTL-0000074</t>
        </is>
      </c>
      <c r="B77" s="8" t="inlineStr">
        <is>
          <t>ORD-000038</t>
        </is>
      </c>
      <c r="C77" s="10" t="inlineStr">
        <is>
          <t>2023-11-24</t>
        </is>
      </c>
      <c r="D77" s="8" t="inlineStr">
        <is>
          <t>CUST-04333</t>
        </is>
      </c>
      <c r="E77" s="8" t="inlineStr">
        <is>
          <t>PRD-0207</t>
        </is>
      </c>
      <c r="F77" s="8" t="n">
        <v>1</v>
      </c>
      <c r="G77" s="9">
        <f>IFERROR(XLOOKUP(E77, '04_Products'!$A:$A, '04_Products'!$G:$G), 1025.22)</f>
        <v/>
      </c>
      <c r="H77" s="9">
        <f>IFERROR(XLOOKUP(E77, '04_Products'!$A:$A, '04_Products'!$F:$F), 0)</f>
        <v/>
      </c>
      <c r="I77" s="9">
        <f>F77*G77</f>
        <v/>
      </c>
      <c r="J77" s="11" t="n">
        <v>0</v>
      </c>
      <c r="K77" s="9">
        <f>I77*J77</f>
        <v/>
      </c>
      <c r="L77" s="9">
        <f>I77-K77</f>
        <v/>
      </c>
      <c r="M77" s="9">
        <f>F77*H77</f>
        <v/>
      </c>
      <c r="N77" s="9">
        <f>L77-M77</f>
        <v/>
      </c>
      <c r="O77" s="11">
        <f>IFERROR(N77/L77, 0)</f>
        <v/>
      </c>
      <c r="P77" s="8">
        <f>YEAR(C77)</f>
        <v/>
      </c>
      <c r="Q77" s="8">
        <f>TEXT(C77, "yyyy-mm")</f>
        <v/>
      </c>
      <c r="R77" s="8" t="inlineStr">
        <is>
          <t>B2B Portal</t>
        </is>
      </c>
      <c r="S77" s="8" t="inlineStr">
        <is>
          <t>REG-NA</t>
        </is>
      </c>
    </row>
    <row r="78">
      <c r="A78" s="8" t="inlineStr">
        <is>
          <t>DTL-0000075</t>
        </is>
      </c>
      <c r="B78" s="8" t="inlineStr">
        <is>
          <t>ORD-000039</t>
        </is>
      </c>
      <c r="C78" s="10" t="inlineStr">
        <is>
          <t>2024-09-09</t>
        </is>
      </c>
      <c r="D78" s="8" t="inlineStr">
        <is>
          <t>CUST-01549</t>
        </is>
      </c>
      <c r="E78" s="8" t="inlineStr">
        <is>
          <t>PRD-0111</t>
        </is>
      </c>
      <c r="F78" s="8" t="n">
        <v>1</v>
      </c>
      <c r="G78" s="9">
        <f>IFERROR(XLOOKUP(E78, '04_Products'!$A:$A, '04_Products'!$G:$G), 63.37)</f>
        <v/>
      </c>
      <c r="H78" s="9">
        <f>IFERROR(XLOOKUP(E78, '04_Products'!$A:$A, '04_Products'!$F:$F), 0)</f>
        <v/>
      </c>
      <c r="I78" s="9">
        <f>F78*G78</f>
        <v/>
      </c>
      <c r="J78" s="11" t="n">
        <v>0.1</v>
      </c>
      <c r="K78" s="9">
        <f>I78*J78</f>
        <v/>
      </c>
      <c r="L78" s="9">
        <f>I78-K78</f>
        <v/>
      </c>
      <c r="M78" s="9">
        <f>F78*H78</f>
        <v/>
      </c>
      <c r="N78" s="9">
        <f>L78-M78</f>
        <v/>
      </c>
      <c r="O78" s="11">
        <f>IFERROR(N78/L78, 0)</f>
        <v/>
      </c>
      <c r="P78" s="8">
        <f>YEAR(C78)</f>
        <v/>
      </c>
      <c r="Q78" s="8">
        <f>TEXT(C78, "yyyy-mm")</f>
        <v/>
      </c>
      <c r="R78" s="8" t="inlineStr">
        <is>
          <t>Direct Web</t>
        </is>
      </c>
      <c r="S78" s="8" t="inlineStr">
        <is>
          <t>REG-APAC</t>
        </is>
      </c>
    </row>
    <row r="79">
      <c r="A79" s="8" t="inlineStr">
        <is>
          <t>DTL-0000076</t>
        </is>
      </c>
      <c r="B79" s="8" t="inlineStr">
        <is>
          <t>ORD-000040</t>
        </is>
      </c>
      <c r="C79" s="10" t="inlineStr">
        <is>
          <t>2025-08-26</t>
        </is>
      </c>
      <c r="D79" s="8" t="inlineStr">
        <is>
          <t>CUST-04796</t>
        </is>
      </c>
      <c r="E79" s="8" t="inlineStr">
        <is>
          <t>PRD-0182</t>
        </is>
      </c>
      <c r="F79" s="8" t="n">
        <v>1</v>
      </c>
      <c r="G79" s="9">
        <f>IFERROR(XLOOKUP(E79, '04_Products'!$A:$A, '04_Products'!$G:$G), 1423.65)</f>
        <v/>
      </c>
      <c r="H79" s="9">
        <f>IFERROR(XLOOKUP(E79, '04_Products'!$A:$A, '04_Products'!$F:$F), 0)</f>
        <v/>
      </c>
      <c r="I79" s="9">
        <f>F79*G79</f>
        <v/>
      </c>
      <c r="J79" s="11" t="n">
        <v>0</v>
      </c>
      <c r="K79" s="9">
        <f>I79*J79</f>
        <v/>
      </c>
      <c r="L79" s="9">
        <f>I79-K79</f>
        <v/>
      </c>
      <c r="M79" s="9">
        <f>F79*H79</f>
        <v/>
      </c>
      <c r="N79" s="9">
        <f>L79-M79</f>
        <v/>
      </c>
      <c r="O79" s="11">
        <f>IFERROR(N79/L79, 0)</f>
        <v/>
      </c>
      <c r="P79" s="8">
        <f>YEAR(C79)</f>
        <v/>
      </c>
      <c r="Q79" s="8">
        <f>TEXT(C79, "yyyy-mm")</f>
        <v/>
      </c>
      <c r="R79" s="8" t="inlineStr">
        <is>
          <t>B2B Portal</t>
        </is>
      </c>
      <c r="S79" s="8" t="inlineStr">
        <is>
          <t>REG-APAC</t>
        </is>
      </c>
    </row>
    <row r="80">
      <c r="A80" s="8" t="inlineStr">
        <is>
          <t>DTL-0000077</t>
        </is>
      </c>
      <c r="B80" s="8" t="inlineStr">
        <is>
          <t>ORD-000041</t>
        </is>
      </c>
      <c r="C80" s="10" t="inlineStr">
        <is>
          <t>2025-09-13</t>
        </is>
      </c>
      <c r="D80" s="8" t="inlineStr">
        <is>
          <t>CUST-06011</t>
        </is>
      </c>
      <c r="E80" s="8" t="inlineStr">
        <is>
          <t>PRD-0318</t>
        </is>
      </c>
      <c r="F80" s="8" t="n">
        <v>2</v>
      </c>
      <c r="G80" s="9">
        <f>IFERROR(XLOOKUP(E80, '04_Products'!$A:$A, '04_Products'!$G:$G), 130.98)</f>
        <v/>
      </c>
      <c r="H80" s="9">
        <f>IFERROR(XLOOKUP(E80, '04_Products'!$A:$A, '04_Products'!$F:$F), 0)</f>
        <v/>
      </c>
      <c r="I80" s="9">
        <f>F80*G80</f>
        <v/>
      </c>
      <c r="J80" s="11" t="n">
        <v>0.05</v>
      </c>
      <c r="K80" s="9">
        <f>I80*J80</f>
        <v/>
      </c>
      <c r="L80" s="9">
        <f>I80-K80</f>
        <v/>
      </c>
      <c r="M80" s="9">
        <f>F80*H80</f>
        <v/>
      </c>
      <c r="N80" s="9">
        <f>L80-M80</f>
        <v/>
      </c>
      <c r="O80" s="11">
        <f>IFERROR(N80/L80, 0)</f>
        <v/>
      </c>
      <c r="P80" s="8">
        <f>YEAR(C80)</f>
        <v/>
      </c>
      <c r="Q80" s="8">
        <f>TEXT(C80, "yyyy-mm")</f>
        <v/>
      </c>
      <c r="R80" s="8" t="inlineStr">
        <is>
          <t>Mobile App</t>
        </is>
      </c>
      <c r="S80" s="8" t="inlineStr">
        <is>
          <t>REG-EU</t>
        </is>
      </c>
    </row>
    <row r="81">
      <c r="A81" s="8" t="inlineStr">
        <is>
          <t>DTL-0000078</t>
        </is>
      </c>
      <c r="B81" s="8" t="inlineStr">
        <is>
          <t>ORD-000042</t>
        </is>
      </c>
      <c r="C81" s="10" t="inlineStr">
        <is>
          <t>2023-03-01</t>
        </is>
      </c>
      <c r="D81" s="8" t="inlineStr">
        <is>
          <t>CUST-07356</t>
        </is>
      </c>
      <c r="E81" s="8" t="inlineStr">
        <is>
          <t>PRD-0434</t>
        </is>
      </c>
      <c r="F81" s="8" t="n">
        <v>1</v>
      </c>
      <c r="G81" s="9">
        <f>IFERROR(XLOOKUP(E81, '04_Products'!$A:$A, '04_Products'!$G:$G), 899.59)</f>
        <v/>
      </c>
      <c r="H81" s="9">
        <f>IFERROR(XLOOKUP(E81, '04_Products'!$A:$A, '04_Products'!$F:$F), 0)</f>
        <v/>
      </c>
      <c r="I81" s="9">
        <f>F81*G81</f>
        <v/>
      </c>
      <c r="J81" s="11" t="n">
        <v>0.15</v>
      </c>
      <c r="K81" s="9">
        <f>I81*J81</f>
        <v/>
      </c>
      <c r="L81" s="9">
        <f>I81-K81</f>
        <v/>
      </c>
      <c r="M81" s="9">
        <f>F81*H81</f>
        <v/>
      </c>
      <c r="N81" s="9">
        <f>L81-M81</f>
        <v/>
      </c>
      <c r="O81" s="11">
        <f>IFERROR(N81/L81, 0)</f>
        <v/>
      </c>
      <c r="P81" s="8">
        <f>YEAR(C81)</f>
        <v/>
      </c>
      <c r="Q81" s="8">
        <f>TEXT(C81, "yyyy-mm")</f>
        <v/>
      </c>
      <c r="R81" s="8" t="inlineStr">
        <is>
          <t>Mobile App</t>
        </is>
      </c>
      <c r="S81" s="8" t="inlineStr">
        <is>
          <t>REG-EU</t>
        </is>
      </c>
    </row>
    <row r="82">
      <c r="A82" s="8" t="inlineStr">
        <is>
          <t>DTL-0000079</t>
        </is>
      </c>
      <c r="B82" s="8" t="inlineStr">
        <is>
          <t>ORD-000042</t>
        </is>
      </c>
      <c r="C82" s="10" t="inlineStr">
        <is>
          <t>2023-03-01</t>
        </is>
      </c>
      <c r="D82" s="8" t="inlineStr">
        <is>
          <t>CUST-07356</t>
        </is>
      </c>
      <c r="E82" s="8" t="inlineStr">
        <is>
          <t>PRD-0264</t>
        </is>
      </c>
      <c r="F82" s="8" t="n">
        <v>1</v>
      </c>
      <c r="G82" s="9">
        <f>IFERROR(XLOOKUP(E82, '04_Products'!$A:$A, '04_Products'!$G:$G), 705.08)</f>
        <v/>
      </c>
      <c r="H82" s="9">
        <f>IFERROR(XLOOKUP(E82, '04_Products'!$A:$A, '04_Products'!$F:$F), 0)</f>
        <v/>
      </c>
      <c r="I82" s="9">
        <f>F82*G82</f>
        <v/>
      </c>
      <c r="J82" s="11" t="n">
        <v>0.1</v>
      </c>
      <c r="K82" s="9">
        <f>I82*J82</f>
        <v/>
      </c>
      <c r="L82" s="9">
        <f>I82-K82</f>
        <v/>
      </c>
      <c r="M82" s="9">
        <f>F82*H82</f>
        <v/>
      </c>
      <c r="N82" s="9">
        <f>L82-M82</f>
        <v/>
      </c>
      <c r="O82" s="11">
        <f>IFERROR(N82/L82, 0)</f>
        <v/>
      </c>
      <c r="P82" s="8">
        <f>YEAR(C82)</f>
        <v/>
      </c>
      <c r="Q82" s="8">
        <f>TEXT(C82, "yyyy-mm")</f>
        <v/>
      </c>
      <c r="R82" s="8" t="inlineStr">
        <is>
          <t>Mobile App</t>
        </is>
      </c>
      <c r="S82" s="8" t="inlineStr">
        <is>
          <t>REG-EU</t>
        </is>
      </c>
    </row>
    <row r="83">
      <c r="A83" s="8" t="inlineStr">
        <is>
          <t>DTL-0000080</t>
        </is>
      </c>
      <c r="B83" s="8" t="inlineStr">
        <is>
          <t>ORD-000042</t>
        </is>
      </c>
      <c r="C83" s="10" t="inlineStr">
        <is>
          <t>2023-03-01</t>
        </is>
      </c>
      <c r="D83" s="8" t="inlineStr">
        <is>
          <t>CUST-07356</t>
        </is>
      </c>
      <c r="E83" s="8" t="inlineStr">
        <is>
          <t>PRD-0243</t>
        </is>
      </c>
      <c r="F83" s="8" t="n">
        <v>2</v>
      </c>
      <c r="G83" s="9">
        <f>IFERROR(XLOOKUP(E83, '04_Products'!$A:$A, '04_Products'!$G:$G), 510.81)</f>
        <v/>
      </c>
      <c r="H83" s="9">
        <f>IFERROR(XLOOKUP(E83, '04_Products'!$A:$A, '04_Products'!$F:$F), 0)</f>
        <v/>
      </c>
      <c r="I83" s="9">
        <f>F83*G83</f>
        <v/>
      </c>
      <c r="J83" s="11" t="n">
        <v>0.1</v>
      </c>
      <c r="K83" s="9">
        <f>I83*J83</f>
        <v/>
      </c>
      <c r="L83" s="9">
        <f>I83-K83</f>
        <v/>
      </c>
      <c r="M83" s="9">
        <f>F83*H83</f>
        <v/>
      </c>
      <c r="N83" s="9">
        <f>L83-M83</f>
        <v/>
      </c>
      <c r="O83" s="11">
        <f>IFERROR(N83/L83, 0)</f>
        <v/>
      </c>
      <c r="P83" s="8">
        <f>YEAR(C83)</f>
        <v/>
      </c>
      <c r="Q83" s="8">
        <f>TEXT(C83, "yyyy-mm")</f>
        <v/>
      </c>
      <c r="R83" s="8" t="inlineStr">
        <is>
          <t>Mobile App</t>
        </is>
      </c>
      <c r="S83" s="8" t="inlineStr">
        <is>
          <t>REG-EU</t>
        </is>
      </c>
    </row>
    <row r="84">
      <c r="A84" s="8" t="inlineStr">
        <is>
          <t>DTL-0000081</t>
        </is>
      </c>
      <c r="B84" s="8" t="inlineStr">
        <is>
          <t>ORD-000042</t>
        </is>
      </c>
      <c r="C84" s="10" t="inlineStr">
        <is>
          <t>2023-03-01</t>
        </is>
      </c>
      <c r="D84" s="8" t="inlineStr">
        <is>
          <t>CUST-07356</t>
        </is>
      </c>
      <c r="E84" s="8" t="inlineStr">
        <is>
          <t>PRD-0329</t>
        </is>
      </c>
      <c r="F84" s="8" t="n">
        <v>1</v>
      </c>
      <c r="G84" s="9">
        <f>IFERROR(XLOOKUP(E84, '04_Products'!$A:$A, '04_Products'!$G:$G), 1014.02)</f>
        <v/>
      </c>
      <c r="H84" s="9">
        <f>IFERROR(XLOOKUP(E84, '04_Products'!$A:$A, '04_Products'!$F:$F), 0)</f>
        <v/>
      </c>
      <c r="I84" s="9">
        <f>F84*G84</f>
        <v/>
      </c>
      <c r="J84" s="11" t="n">
        <v>0</v>
      </c>
      <c r="K84" s="9">
        <f>I84*J84</f>
        <v/>
      </c>
      <c r="L84" s="9">
        <f>I84-K84</f>
        <v/>
      </c>
      <c r="M84" s="9">
        <f>F84*H84</f>
        <v/>
      </c>
      <c r="N84" s="9">
        <f>L84-M84</f>
        <v/>
      </c>
      <c r="O84" s="11">
        <f>IFERROR(N84/L84, 0)</f>
        <v/>
      </c>
      <c r="P84" s="8">
        <f>YEAR(C84)</f>
        <v/>
      </c>
      <c r="Q84" s="8">
        <f>TEXT(C84, "yyyy-mm")</f>
        <v/>
      </c>
      <c r="R84" s="8" t="inlineStr">
        <is>
          <t>Mobile App</t>
        </is>
      </c>
      <c r="S84" s="8" t="inlineStr">
        <is>
          <t>REG-EU</t>
        </is>
      </c>
    </row>
    <row r="85">
      <c r="A85" s="8" t="inlineStr">
        <is>
          <t>DTL-0000082</t>
        </is>
      </c>
      <c r="B85" s="8" t="inlineStr">
        <is>
          <t>ORD-000043</t>
        </is>
      </c>
      <c r="C85" s="10" t="inlineStr">
        <is>
          <t>2024-01-11</t>
        </is>
      </c>
      <c r="D85" s="8" t="inlineStr">
        <is>
          <t>CUST-04116</t>
        </is>
      </c>
      <c r="E85" s="8" t="inlineStr">
        <is>
          <t>PRD-0256</t>
        </is>
      </c>
      <c r="F85" s="8" t="n">
        <v>2</v>
      </c>
      <c r="G85" s="9">
        <f>IFERROR(XLOOKUP(E85, '04_Products'!$A:$A, '04_Products'!$G:$G), 235.18)</f>
        <v/>
      </c>
      <c r="H85" s="9">
        <f>IFERROR(XLOOKUP(E85, '04_Products'!$A:$A, '04_Products'!$F:$F), 0)</f>
        <v/>
      </c>
      <c r="I85" s="9">
        <f>F85*G85</f>
        <v/>
      </c>
      <c r="J85" s="11" t="n">
        <v>0</v>
      </c>
      <c r="K85" s="9">
        <f>I85*J85</f>
        <v/>
      </c>
      <c r="L85" s="9">
        <f>I85-K85</f>
        <v/>
      </c>
      <c r="M85" s="9">
        <f>F85*H85</f>
        <v/>
      </c>
      <c r="N85" s="9">
        <f>L85-M85</f>
        <v/>
      </c>
      <c r="O85" s="11">
        <f>IFERROR(N85/L85, 0)</f>
        <v/>
      </c>
      <c r="P85" s="8">
        <f>YEAR(C85)</f>
        <v/>
      </c>
      <c r="Q85" s="8">
        <f>TEXT(C85, "yyyy-mm")</f>
        <v/>
      </c>
      <c r="R85" s="8" t="inlineStr">
        <is>
          <t>Direct Web</t>
        </is>
      </c>
      <c r="S85" s="8" t="inlineStr">
        <is>
          <t>REG-APAC</t>
        </is>
      </c>
    </row>
    <row r="86">
      <c r="A86" s="8" t="inlineStr">
        <is>
          <t>DTL-0000083</t>
        </is>
      </c>
      <c r="B86" s="8" t="inlineStr">
        <is>
          <t>ORD-000043</t>
        </is>
      </c>
      <c r="C86" s="10" t="inlineStr">
        <is>
          <t>2024-01-11</t>
        </is>
      </c>
      <c r="D86" s="8" t="inlineStr">
        <is>
          <t>CUST-04116</t>
        </is>
      </c>
      <c r="E86" s="8" t="inlineStr">
        <is>
          <t>PRD-0332</t>
        </is>
      </c>
      <c r="F86" s="8" t="n">
        <v>1</v>
      </c>
      <c r="G86" s="9">
        <f>IFERROR(XLOOKUP(E86, '04_Products'!$A:$A, '04_Products'!$G:$G), 82.03)</f>
        <v/>
      </c>
      <c r="H86" s="9">
        <f>IFERROR(XLOOKUP(E86, '04_Products'!$A:$A, '04_Products'!$F:$F), 0)</f>
        <v/>
      </c>
      <c r="I86" s="9">
        <f>F86*G86</f>
        <v/>
      </c>
      <c r="J86" s="11" t="n">
        <v>0</v>
      </c>
      <c r="K86" s="9">
        <f>I86*J86</f>
        <v/>
      </c>
      <c r="L86" s="9">
        <f>I86-K86</f>
        <v/>
      </c>
      <c r="M86" s="9">
        <f>F86*H86</f>
        <v/>
      </c>
      <c r="N86" s="9">
        <f>L86-M86</f>
        <v/>
      </c>
      <c r="O86" s="11">
        <f>IFERROR(N86/L86, 0)</f>
        <v/>
      </c>
      <c r="P86" s="8">
        <f>YEAR(C86)</f>
        <v/>
      </c>
      <c r="Q86" s="8">
        <f>TEXT(C86, "yyyy-mm")</f>
        <v/>
      </c>
      <c r="R86" s="8" t="inlineStr">
        <is>
          <t>Direct Web</t>
        </is>
      </c>
      <c r="S86" s="8" t="inlineStr">
        <is>
          <t>REG-APAC</t>
        </is>
      </c>
    </row>
    <row r="87">
      <c r="A87" s="8" t="inlineStr">
        <is>
          <t>DTL-0000084</t>
        </is>
      </c>
      <c r="B87" s="8" t="inlineStr">
        <is>
          <t>ORD-000044</t>
        </is>
      </c>
      <c r="C87" s="10" t="inlineStr">
        <is>
          <t>2024-04-29</t>
        </is>
      </c>
      <c r="D87" s="8" t="inlineStr">
        <is>
          <t>CUST-01005</t>
        </is>
      </c>
      <c r="E87" s="8" t="inlineStr">
        <is>
          <t>PRD-0273</t>
        </is>
      </c>
      <c r="F87" s="8" t="n">
        <v>1</v>
      </c>
      <c r="G87" s="9">
        <f>IFERROR(XLOOKUP(E87, '04_Products'!$A:$A, '04_Products'!$G:$G), 19.23)</f>
        <v/>
      </c>
      <c r="H87" s="9">
        <f>IFERROR(XLOOKUP(E87, '04_Products'!$A:$A, '04_Products'!$F:$F), 0)</f>
        <v/>
      </c>
      <c r="I87" s="9">
        <f>F87*G87</f>
        <v/>
      </c>
      <c r="J87" s="11" t="n">
        <v>0.2</v>
      </c>
      <c r="K87" s="9">
        <f>I87*J87</f>
        <v/>
      </c>
      <c r="L87" s="9">
        <f>I87-K87</f>
        <v/>
      </c>
      <c r="M87" s="9">
        <f>F87*H87</f>
        <v/>
      </c>
      <c r="N87" s="9">
        <f>L87-M87</f>
        <v/>
      </c>
      <c r="O87" s="11">
        <f>IFERROR(N87/L87, 0)</f>
        <v/>
      </c>
      <c r="P87" s="8">
        <f>YEAR(C87)</f>
        <v/>
      </c>
      <c r="Q87" s="8">
        <f>TEXT(C87, "yyyy-mm")</f>
        <v/>
      </c>
      <c r="R87" s="8" t="inlineStr">
        <is>
          <t>Direct Web</t>
        </is>
      </c>
      <c r="S87" s="8" t="inlineStr">
        <is>
          <t>REG-NA</t>
        </is>
      </c>
    </row>
    <row r="88">
      <c r="A88" s="8" t="inlineStr">
        <is>
          <t>DTL-0000085</t>
        </is>
      </c>
      <c r="B88" s="8" t="inlineStr">
        <is>
          <t>ORD-000045</t>
        </is>
      </c>
      <c r="C88" s="10" t="inlineStr">
        <is>
          <t>2024-04-28</t>
        </is>
      </c>
      <c r="D88" s="8" t="inlineStr">
        <is>
          <t>CUST-02201</t>
        </is>
      </c>
      <c r="E88" s="8" t="inlineStr">
        <is>
          <t>PRD-0464</t>
        </is>
      </c>
      <c r="F88" s="8" t="n">
        <v>2</v>
      </c>
      <c r="G88" s="9">
        <f>IFERROR(XLOOKUP(E88, '04_Products'!$A:$A, '04_Products'!$G:$G), 21.08)</f>
        <v/>
      </c>
      <c r="H88" s="9">
        <f>IFERROR(XLOOKUP(E88, '04_Products'!$A:$A, '04_Products'!$F:$F), 0)</f>
        <v/>
      </c>
      <c r="I88" s="9">
        <f>F88*G88</f>
        <v/>
      </c>
      <c r="J88" s="11" t="n">
        <v>0.15</v>
      </c>
      <c r="K88" s="9">
        <f>I88*J88</f>
        <v/>
      </c>
      <c r="L88" s="9">
        <f>I88-K88</f>
        <v/>
      </c>
      <c r="M88" s="9">
        <f>F88*H88</f>
        <v/>
      </c>
      <c r="N88" s="9">
        <f>L88-M88</f>
        <v/>
      </c>
      <c r="O88" s="11">
        <f>IFERROR(N88/L88, 0)</f>
        <v/>
      </c>
      <c r="P88" s="8">
        <f>YEAR(C88)</f>
        <v/>
      </c>
      <c r="Q88" s="8">
        <f>TEXT(C88, "yyyy-mm")</f>
        <v/>
      </c>
      <c r="R88" s="8" t="inlineStr">
        <is>
          <t>Direct Web</t>
        </is>
      </c>
      <c r="S88" s="8" t="inlineStr">
        <is>
          <t>REG-NA</t>
        </is>
      </c>
    </row>
    <row r="89">
      <c r="A89" s="8" t="inlineStr">
        <is>
          <t>DTL-0000086</t>
        </is>
      </c>
      <c r="B89" s="8" t="inlineStr">
        <is>
          <t>ORD-000046</t>
        </is>
      </c>
      <c r="C89" s="10" t="inlineStr">
        <is>
          <t>2025-09-10</t>
        </is>
      </c>
      <c r="D89" s="8" t="inlineStr">
        <is>
          <t>CUST-07566</t>
        </is>
      </c>
      <c r="E89" s="8" t="inlineStr">
        <is>
          <t>PRD-0250</t>
        </is>
      </c>
      <c r="F89" s="8" t="n">
        <v>1</v>
      </c>
      <c r="G89" s="9">
        <f>IFERROR(XLOOKUP(E89, '04_Products'!$A:$A, '04_Products'!$G:$G), 91.75)</f>
        <v/>
      </c>
      <c r="H89" s="9">
        <f>IFERROR(XLOOKUP(E89, '04_Products'!$A:$A, '04_Products'!$F:$F), 0)</f>
        <v/>
      </c>
      <c r="I89" s="9">
        <f>F89*G89</f>
        <v/>
      </c>
      <c r="J89" s="11" t="n">
        <v>0.1</v>
      </c>
      <c r="K89" s="9">
        <f>I89*J89</f>
        <v/>
      </c>
      <c r="L89" s="9">
        <f>I89-K89</f>
        <v/>
      </c>
      <c r="M89" s="9">
        <f>F89*H89</f>
        <v/>
      </c>
      <c r="N89" s="9">
        <f>L89-M89</f>
        <v/>
      </c>
      <c r="O89" s="11">
        <f>IFERROR(N89/L89, 0)</f>
        <v/>
      </c>
      <c r="P89" s="8">
        <f>YEAR(C89)</f>
        <v/>
      </c>
      <c r="Q89" s="8">
        <f>TEXT(C89, "yyyy-mm")</f>
        <v/>
      </c>
      <c r="R89" s="8" t="inlineStr">
        <is>
          <t>Direct Web</t>
        </is>
      </c>
      <c r="S89" s="8" t="inlineStr">
        <is>
          <t>REG-NA</t>
        </is>
      </c>
    </row>
    <row r="90">
      <c r="A90" s="8" t="inlineStr">
        <is>
          <t>DTL-0000087</t>
        </is>
      </c>
      <c r="B90" s="8" t="inlineStr">
        <is>
          <t>ORD-000047</t>
        </is>
      </c>
      <c r="C90" s="10" t="inlineStr">
        <is>
          <t>2025-11-03</t>
        </is>
      </c>
      <c r="D90" s="8" t="inlineStr">
        <is>
          <t>CUST-00902</t>
        </is>
      </c>
      <c r="E90" s="8" t="inlineStr">
        <is>
          <t>PRD-0496</t>
        </is>
      </c>
      <c r="F90" s="8" t="n">
        <v>1</v>
      </c>
      <c r="G90" s="9">
        <f>IFERROR(XLOOKUP(E90, '04_Products'!$A:$A, '04_Products'!$G:$G), 555.47)</f>
        <v/>
      </c>
      <c r="H90" s="9">
        <f>IFERROR(XLOOKUP(E90, '04_Products'!$A:$A, '04_Products'!$F:$F), 0)</f>
        <v/>
      </c>
      <c r="I90" s="9">
        <f>F90*G90</f>
        <v/>
      </c>
      <c r="J90" s="11" t="n">
        <v>0</v>
      </c>
      <c r="K90" s="9">
        <f>I90*J90</f>
        <v/>
      </c>
      <c r="L90" s="9">
        <f>I90-K90</f>
        <v/>
      </c>
      <c r="M90" s="9">
        <f>F90*H90</f>
        <v/>
      </c>
      <c r="N90" s="9">
        <f>L90-M90</f>
        <v/>
      </c>
      <c r="O90" s="11">
        <f>IFERROR(N90/L90, 0)</f>
        <v/>
      </c>
      <c r="P90" s="8">
        <f>YEAR(C90)</f>
        <v/>
      </c>
      <c r="Q90" s="8">
        <f>TEXT(C90, "yyyy-mm")</f>
        <v/>
      </c>
      <c r="R90" s="8" t="inlineStr">
        <is>
          <t>Direct Web</t>
        </is>
      </c>
      <c r="S90" s="8" t="inlineStr">
        <is>
          <t>REG-EU</t>
        </is>
      </c>
    </row>
    <row r="91">
      <c r="A91" s="8" t="inlineStr">
        <is>
          <t>DTL-0000088</t>
        </is>
      </c>
      <c r="B91" s="8" t="inlineStr">
        <is>
          <t>ORD-000047</t>
        </is>
      </c>
      <c r="C91" s="10" t="inlineStr">
        <is>
          <t>2025-11-03</t>
        </is>
      </c>
      <c r="D91" s="8" t="inlineStr">
        <is>
          <t>CUST-00902</t>
        </is>
      </c>
      <c r="E91" s="8" t="inlineStr">
        <is>
          <t>PRD-0197</t>
        </is>
      </c>
      <c r="F91" s="8" t="n">
        <v>2</v>
      </c>
      <c r="G91" s="9">
        <f>IFERROR(XLOOKUP(E91, '04_Products'!$A:$A, '04_Products'!$G:$G), 810.85)</f>
        <v/>
      </c>
      <c r="H91" s="9">
        <f>IFERROR(XLOOKUP(E91, '04_Products'!$A:$A, '04_Products'!$F:$F), 0)</f>
        <v/>
      </c>
      <c r="I91" s="9">
        <f>F91*G91</f>
        <v/>
      </c>
      <c r="J91" s="11" t="n">
        <v>0.1</v>
      </c>
      <c r="K91" s="9">
        <f>I91*J91</f>
        <v/>
      </c>
      <c r="L91" s="9">
        <f>I91-K91</f>
        <v/>
      </c>
      <c r="M91" s="9">
        <f>F91*H91</f>
        <v/>
      </c>
      <c r="N91" s="9">
        <f>L91-M91</f>
        <v/>
      </c>
      <c r="O91" s="11">
        <f>IFERROR(N91/L91, 0)</f>
        <v/>
      </c>
      <c r="P91" s="8">
        <f>YEAR(C91)</f>
        <v/>
      </c>
      <c r="Q91" s="8">
        <f>TEXT(C91, "yyyy-mm")</f>
        <v/>
      </c>
      <c r="R91" s="8" t="inlineStr">
        <is>
          <t>Direct Web</t>
        </is>
      </c>
      <c r="S91" s="8" t="inlineStr">
        <is>
          <t>REG-EU</t>
        </is>
      </c>
    </row>
    <row r="92">
      <c r="A92" s="8" t="inlineStr">
        <is>
          <t>DTL-0000089</t>
        </is>
      </c>
      <c r="B92" s="8" t="inlineStr">
        <is>
          <t>ORD-000048</t>
        </is>
      </c>
      <c r="C92" s="10" t="inlineStr">
        <is>
          <t>2024-03-21</t>
        </is>
      </c>
      <c r="D92" s="8" t="inlineStr">
        <is>
          <t>CUST-03522</t>
        </is>
      </c>
      <c r="E92" s="8" t="inlineStr">
        <is>
          <t>PRD-0451</t>
        </is>
      </c>
      <c r="F92" s="8" t="n">
        <v>1</v>
      </c>
      <c r="G92" s="9">
        <f>IFERROR(XLOOKUP(E92, '04_Products'!$A:$A, '04_Products'!$G:$G), 664.94)</f>
        <v/>
      </c>
      <c r="H92" s="9">
        <f>IFERROR(XLOOKUP(E92, '04_Products'!$A:$A, '04_Products'!$F:$F), 0)</f>
        <v/>
      </c>
      <c r="I92" s="9">
        <f>F92*G92</f>
        <v/>
      </c>
      <c r="J92" s="11" t="n">
        <v>0</v>
      </c>
      <c r="K92" s="9">
        <f>I92*J92</f>
        <v/>
      </c>
      <c r="L92" s="9">
        <f>I92-K92</f>
        <v/>
      </c>
      <c r="M92" s="9">
        <f>F92*H92</f>
        <v/>
      </c>
      <c r="N92" s="9">
        <f>L92-M92</f>
        <v/>
      </c>
      <c r="O92" s="11">
        <f>IFERROR(N92/L92, 0)</f>
        <v/>
      </c>
      <c r="P92" s="8">
        <f>YEAR(C92)</f>
        <v/>
      </c>
      <c r="Q92" s="8">
        <f>TEXT(C92, "yyyy-mm")</f>
        <v/>
      </c>
      <c r="R92" s="8" t="inlineStr">
        <is>
          <t>Direct Web</t>
        </is>
      </c>
      <c r="S92" s="8" t="inlineStr">
        <is>
          <t>REG-EU</t>
        </is>
      </c>
    </row>
    <row r="93">
      <c r="A93" s="8" t="inlineStr">
        <is>
          <t>DTL-0000090</t>
        </is>
      </c>
      <c r="B93" s="8" t="inlineStr">
        <is>
          <t>ORD-000049</t>
        </is>
      </c>
      <c r="C93" s="10" t="inlineStr">
        <is>
          <t>2024-11-13</t>
        </is>
      </c>
      <c r="D93" s="8" t="inlineStr">
        <is>
          <t>CUST-01209</t>
        </is>
      </c>
      <c r="E93" s="8" t="inlineStr">
        <is>
          <t>PRD-0482</t>
        </is>
      </c>
      <c r="F93" s="8" t="n">
        <v>1</v>
      </c>
      <c r="G93" s="9">
        <f>IFERROR(XLOOKUP(E93, '04_Products'!$A:$A, '04_Products'!$G:$G), 1206.95)</f>
        <v/>
      </c>
      <c r="H93" s="9">
        <f>IFERROR(XLOOKUP(E93, '04_Products'!$A:$A, '04_Products'!$F:$F), 0)</f>
        <v/>
      </c>
      <c r="I93" s="9">
        <f>F93*G93</f>
        <v/>
      </c>
      <c r="J93" s="11" t="n">
        <v>0.15</v>
      </c>
      <c r="K93" s="9">
        <f>I93*J93</f>
        <v/>
      </c>
      <c r="L93" s="9">
        <f>I93-K93</f>
        <v/>
      </c>
      <c r="M93" s="9">
        <f>F93*H93</f>
        <v/>
      </c>
      <c r="N93" s="9">
        <f>L93-M93</f>
        <v/>
      </c>
      <c r="O93" s="11">
        <f>IFERROR(N93/L93, 0)</f>
        <v/>
      </c>
      <c r="P93" s="8">
        <f>YEAR(C93)</f>
        <v/>
      </c>
      <c r="Q93" s="8">
        <f>TEXT(C93, "yyyy-mm")</f>
        <v/>
      </c>
      <c r="R93" s="8" t="inlineStr">
        <is>
          <t>Direct Web</t>
        </is>
      </c>
      <c r="S93" s="8" t="inlineStr">
        <is>
          <t>REG-EU</t>
        </is>
      </c>
    </row>
    <row r="94">
      <c r="A94" s="8" t="inlineStr">
        <is>
          <t>DTL-0000091</t>
        </is>
      </c>
      <c r="B94" s="8" t="inlineStr">
        <is>
          <t>ORD-000049</t>
        </is>
      </c>
      <c r="C94" s="10" t="inlineStr">
        <is>
          <t>2024-11-13</t>
        </is>
      </c>
      <c r="D94" s="8" t="inlineStr">
        <is>
          <t>CUST-01209</t>
        </is>
      </c>
      <c r="E94" s="8" t="inlineStr">
        <is>
          <t>PRD-0331</t>
        </is>
      </c>
      <c r="F94" s="8" t="n">
        <v>2</v>
      </c>
      <c r="G94" s="9">
        <f>IFERROR(XLOOKUP(E94, '04_Products'!$A:$A, '04_Products'!$G:$G), 1076.14)</f>
        <v/>
      </c>
      <c r="H94" s="9">
        <f>IFERROR(XLOOKUP(E94, '04_Products'!$A:$A, '04_Products'!$F:$F), 0)</f>
        <v/>
      </c>
      <c r="I94" s="9">
        <f>F94*G94</f>
        <v/>
      </c>
      <c r="J94" s="11" t="n">
        <v>0</v>
      </c>
      <c r="K94" s="9">
        <f>I94*J94</f>
        <v/>
      </c>
      <c r="L94" s="9">
        <f>I94-K94</f>
        <v/>
      </c>
      <c r="M94" s="9">
        <f>F94*H94</f>
        <v/>
      </c>
      <c r="N94" s="9">
        <f>L94-M94</f>
        <v/>
      </c>
      <c r="O94" s="11">
        <f>IFERROR(N94/L94, 0)</f>
        <v/>
      </c>
      <c r="P94" s="8">
        <f>YEAR(C94)</f>
        <v/>
      </c>
      <c r="Q94" s="8">
        <f>TEXT(C94, "yyyy-mm")</f>
        <v/>
      </c>
      <c r="R94" s="8" t="inlineStr">
        <is>
          <t>Direct Web</t>
        </is>
      </c>
      <c r="S94" s="8" t="inlineStr">
        <is>
          <t>REG-EU</t>
        </is>
      </c>
    </row>
    <row r="95">
      <c r="A95" s="8" t="inlineStr">
        <is>
          <t>DTL-0000092</t>
        </is>
      </c>
      <c r="B95" s="8" t="inlineStr">
        <is>
          <t>ORD-000049</t>
        </is>
      </c>
      <c r="C95" s="10" t="inlineStr">
        <is>
          <t>2024-11-13</t>
        </is>
      </c>
      <c r="D95" s="8" t="inlineStr">
        <is>
          <t>CUST-01209</t>
        </is>
      </c>
      <c r="E95" s="8" t="inlineStr">
        <is>
          <t>PRD-0338</t>
        </is>
      </c>
      <c r="F95" s="8" t="n">
        <v>1</v>
      </c>
      <c r="G95" s="9">
        <f>IFERROR(XLOOKUP(E95, '04_Products'!$A:$A, '04_Products'!$G:$G), 76.99)</f>
        <v/>
      </c>
      <c r="H95" s="9">
        <f>IFERROR(XLOOKUP(E95, '04_Products'!$A:$A, '04_Products'!$F:$F), 0)</f>
        <v/>
      </c>
      <c r="I95" s="9">
        <f>F95*G95</f>
        <v/>
      </c>
      <c r="J95" s="11" t="n">
        <v>0.1</v>
      </c>
      <c r="K95" s="9">
        <f>I95*J95</f>
        <v/>
      </c>
      <c r="L95" s="9">
        <f>I95-K95</f>
        <v/>
      </c>
      <c r="M95" s="9">
        <f>F95*H95</f>
        <v/>
      </c>
      <c r="N95" s="9">
        <f>L95-M95</f>
        <v/>
      </c>
      <c r="O95" s="11">
        <f>IFERROR(N95/L95, 0)</f>
        <v/>
      </c>
      <c r="P95" s="8">
        <f>YEAR(C95)</f>
        <v/>
      </c>
      <c r="Q95" s="8">
        <f>TEXT(C95, "yyyy-mm")</f>
        <v/>
      </c>
      <c r="R95" s="8" t="inlineStr">
        <is>
          <t>Direct Web</t>
        </is>
      </c>
      <c r="S95" s="8" t="inlineStr">
        <is>
          <t>REG-EU</t>
        </is>
      </c>
    </row>
    <row r="96">
      <c r="A96" s="8" t="inlineStr">
        <is>
          <t>DTL-0000093</t>
        </is>
      </c>
      <c r="B96" s="8" t="inlineStr">
        <is>
          <t>ORD-000050</t>
        </is>
      </c>
      <c r="C96" s="10" t="inlineStr">
        <is>
          <t>2025-08-03</t>
        </is>
      </c>
      <c r="D96" s="8" t="inlineStr">
        <is>
          <t>CUST-00567</t>
        </is>
      </c>
      <c r="E96" s="8" t="inlineStr">
        <is>
          <t>PRD-0205</t>
        </is>
      </c>
      <c r="F96" s="8" t="n">
        <v>1</v>
      </c>
      <c r="G96" s="9">
        <f>IFERROR(XLOOKUP(E96, '04_Products'!$A:$A, '04_Products'!$G:$G), 385.35)</f>
        <v/>
      </c>
      <c r="H96" s="9">
        <f>IFERROR(XLOOKUP(E96, '04_Products'!$A:$A, '04_Products'!$F:$F), 0)</f>
        <v/>
      </c>
      <c r="I96" s="9">
        <f>F96*G96</f>
        <v/>
      </c>
      <c r="J96" s="11" t="n">
        <v>0.15</v>
      </c>
      <c r="K96" s="9">
        <f>I96*J96</f>
        <v/>
      </c>
      <c r="L96" s="9">
        <f>I96-K96</f>
        <v/>
      </c>
      <c r="M96" s="9">
        <f>F96*H96</f>
        <v/>
      </c>
      <c r="N96" s="9">
        <f>L96-M96</f>
        <v/>
      </c>
      <c r="O96" s="11">
        <f>IFERROR(N96/L96, 0)</f>
        <v/>
      </c>
      <c r="P96" s="8">
        <f>YEAR(C96)</f>
        <v/>
      </c>
      <c r="Q96" s="8">
        <f>TEXT(C96, "yyyy-mm")</f>
        <v/>
      </c>
      <c r="R96" s="8" t="inlineStr">
        <is>
          <t>Affiliate Partner</t>
        </is>
      </c>
      <c r="S96" s="8" t="inlineStr">
        <is>
          <t>REG-EU</t>
        </is>
      </c>
    </row>
    <row r="97">
      <c r="A97" s="8" t="inlineStr">
        <is>
          <t>DTL-0000094</t>
        </is>
      </c>
      <c r="B97" s="8" t="inlineStr">
        <is>
          <t>ORD-000051</t>
        </is>
      </c>
      <c r="C97" s="10" t="inlineStr">
        <is>
          <t>2024-10-13</t>
        </is>
      </c>
      <c r="D97" s="8" t="inlineStr">
        <is>
          <t>CUST-05267</t>
        </is>
      </c>
      <c r="E97" s="8" t="inlineStr">
        <is>
          <t>PRD-0401</t>
        </is>
      </c>
      <c r="F97" s="8" t="n">
        <v>2</v>
      </c>
      <c r="G97" s="9">
        <f>IFERROR(XLOOKUP(E97, '04_Products'!$A:$A, '04_Products'!$G:$G), 57.89)</f>
        <v/>
      </c>
      <c r="H97" s="9">
        <f>IFERROR(XLOOKUP(E97, '04_Products'!$A:$A, '04_Products'!$F:$F), 0)</f>
        <v/>
      </c>
      <c r="I97" s="9">
        <f>F97*G97</f>
        <v/>
      </c>
      <c r="J97" s="11" t="n">
        <v>0.05</v>
      </c>
      <c r="K97" s="9">
        <f>I97*J97</f>
        <v/>
      </c>
      <c r="L97" s="9">
        <f>I97-K97</f>
        <v/>
      </c>
      <c r="M97" s="9">
        <f>F97*H97</f>
        <v/>
      </c>
      <c r="N97" s="9">
        <f>L97-M97</f>
        <v/>
      </c>
      <c r="O97" s="11">
        <f>IFERROR(N97/L97, 0)</f>
        <v/>
      </c>
      <c r="P97" s="8">
        <f>YEAR(C97)</f>
        <v/>
      </c>
      <c r="Q97" s="8">
        <f>TEXT(C97, "yyyy-mm")</f>
        <v/>
      </c>
      <c r="R97" s="8" t="inlineStr">
        <is>
          <t>Direct Web</t>
        </is>
      </c>
      <c r="S97" s="8" t="inlineStr">
        <is>
          <t>REG-EU</t>
        </is>
      </c>
    </row>
    <row r="98">
      <c r="A98" s="8" t="inlineStr">
        <is>
          <t>DTL-0000095</t>
        </is>
      </c>
      <c r="B98" s="8" t="inlineStr">
        <is>
          <t>ORD-000051</t>
        </is>
      </c>
      <c r="C98" s="10" t="inlineStr">
        <is>
          <t>2024-10-13</t>
        </is>
      </c>
      <c r="D98" s="8" t="inlineStr">
        <is>
          <t>CUST-05267</t>
        </is>
      </c>
      <c r="E98" s="8" t="inlineStr">
        <is>
          <t>PRD-0498</t>
        </is>
      </c>
      <c r="F98" s="8" t="n">
        <v>1</v>
      </c>
      <c r="G98" s="9">
        <f>IFERROR(XLOOKUP(E98, '04_Products'!$A:$A, '04_Products'!$G:$G), 63.17)</f>
        <v/>
      </c>
      <c r="H98" s="9">
        <f>IFERROR(XLOOKUP(E98, '04_Products'!$A:$A, '04_Products'!$F:$F), 0)</f>
        <v/>
      </c>
      <c r="I98" s="9">
        <f>F98*G98</f>
        <v/>
      </c>
      <c r="J98" s="11" t="n">
        <v>0</v>
      </c>
      <c r="K98" s="9">
        <f>I98*J98</f>
        <v/>
      </c>
      <c r="L98" s="9">
        <f>I98-K98</f>
        <v/>
      </c>
      <c r="M98" s="9">
        <f>F98*H98</f>
        <v/>
      </c>
      <c r="N98" s="9">
        <f>L98-M98</f>
        <v/>
      </c>
      <c r="O98" s="11">
        <f>IFERROR(N98/L98, 0)</f>
        <v/>
      </c>
      <c r="P98" s="8">
        <f>YEAR(C98)</f>
        <v/>
      </c>
      <c r="Q98" s="8">
        <f>TEXT(C98, "yyyy-mm")</f>
        <v/>
      </c>
      <c r="R98" s="8" t="inlineStr">
        <is>
          <t>Direct Web</t>
        </is>
      </c>
      <c r="S98" s="8" t="inlineStr">
        <is>
          <t>REG-EU</t>
        </is>
      </c>
    </row>
    <row r="99">
      <c r="A99" s="8" t="inlineStr">
        <is>
          <t>DTL-0000096</t>
        </is>
      </c>
      <c r="B99" s="8" t="inlineStr">
        <is>
          <t>ORD-000052</t>
        </is>
      </c>
      <c r="C99" s="10" t="inlineStr">
        <is>
          <t>2025-11-30</t>
        </is>
      </c>
      <c r="D99" s="8" t="inlineStr">
        <is>
          <t>CUST-00389</t>
        </is>
      </c>
      <c r="E99" s="8" t="inlineStr">
        <is>
          <t>PRD-0239</t>
        </is>
      </c>
      <c r="F99" s="8" t="n">
        <v>3</v>
      </c>
      <c r="G99" s="9">
        <f>IFERROR(XLOOKUP(E99, '04_Products'!$A:$A, '04_Products'!$G:$G), 302.56)</f>
        <v/>
      </c>
      <c r="H99" s="9">
        <f>IFERROR(XLOOKUP(E99, '04_Products'!$A:$A, '04_Products'!$F:$F), 0)</f>
        <v/>
      </c>
      <c r="I99" s="9">
        <f>F99*G99</f>
        <v/>
      </c>
      <c r="J99" s="11" t="n">
        <v>0</v>
      </c>
      <c r="K99" s="9">
        <f>I99*J99</f>
        <v/>
      </c>
      <c r="L99" s="9">
        <f>I99-K99</f>
        <v/>
      </c>
      <c r="M99" s="9">
        <f>F99*H99</f>
        <v/>
      </c>
      <c r="N99" s="9">
        <f>L99-M99</f>
        <v/>
      </c>
      <c r="O99" s="11">
        <f>IFERROR(N99/L99, 0)</f>
        <v/>
      </c>
      <c r="P99" s="8">
        <f>YEAR(C99)</f>
        <v/>
      </c>
      <c r="Q99" s="8">
        <f>TEXT(C99, "yyyy-mm")</f>
        <v/>
      </c>
      <c r="R99" s="8" t="inlineStr">
        <is>
          <t>Direct Web</t>
        </is>
      </c>
      <c r="S99" s="8" t="inlineStr">
        <is>
          <t>REG-NA</t>
        </is>
      </c>
    </row>
    <row r="100">
      <c r="A100" s="8" t="inlineStr">
        <is>
          <t>DTL-0000097</t>
        </is>
      </c>
      <c r="B100" s="8" t="inlineStr">
        <is>
          <t>ORD-000053</t>
        </is>
      </c>
      <c r="C100" s="10" t="inlineStr">
        <is>
          <t>2024-11-17</t>
        </is>
      </c>
      <c r="D100" s="8" t="inlineStr">
        <is>
          <t>CUST-07677</t>
        </is>
      </c>
      <c r="E100" s="8" t="inlineStr">
        <is>
          <t>PRD-0297</t>
        </is>
      </c>
      <c r="F100" s="8" t="n">
        <v>3</v>
      </c>
      <c r="G100" s="9">
        <f>IFERROR(XLOOKUP(E100, '04_Products'!$A:$A, '04_Products'!$G:$G), 47.74)</f>
        <v/>
      </c>
      <c r="H100" s="9">
        <f>IFERROR(XLOOKUP(E100, '04_Products'!$A:$A, '04_Products'!$F:$F), 0)</f>
        <v/>
      </c>
      <c r="I100" s="9">
        <f>F100*G100</f>
        <v/>
      </c>
      <c r="J100" s="11" t="n">
        <v>0.1</v>
      </c>
      <c r="K100" s="9">
        <f>I100*J100</f>
        <v/>
      </c>
      <c r="L100" s="9">
        <f>I100-K100</f>
        <v/>
      </c>
      <c r="M100" s="9">
        <f>F100*H100</f>
        <v/>
      </c>
      <c r="N100" s="9">
        <f>L100-M100</f>
        <v/>
      </c>
      <c r="O100" s="11">
        <f>IFERROR(N100/L100, 0)</f>
        <v/>
      </c>
      <c r="P100" s="8">
        <f>YEAR(C100)</f>
        <v/>
      </c>
      <c r="Q100" s="8">
        <f>TEXT(C100, "yyyy-mm")</f>
        <v/>
      </c>
      <c r="R100" s="8" t="inlineStr">
        <is>
          <t>Direct Web</t>
        </is>
      </c>
      <c r="S100" s="8" t="inlineStr">
        <is>
          <t>REG-NA</t>
        </is>
      </c>
    </row>
    <row r="101">
      <c r="A101" s="8" t="inlineStr">
        <is>
          <t>DTL-0000098</t>
        </is>
      </c>
      <c r="B101" s="8" t="inlineStr">
        <is>
          <t>ORD-000054</t>
        </is>
      </c>
      <c r="C101" s="10" t="inlineStr">
        <is>
          <t>2024-04-08</t>
        </is>
      </c>
      <c r="D101" s="8" t="inlineStr">
        <is>
          <t>CUST-04127</t>
        </is>
      </c>
      <c r="E101" s="8" t="inlineStr">
        <is>
          <t>PRD-0250</t>
        </is>
      </c>
      <c r="F101" s="8" t="n">
        <v>1</v>
      </c>
      <c r="G101" s="9">
        <f>IFERROR(XLOOKUP(E101, '04_Products'!$A:$A, '04_Products'!$G:$G), 91.75)</f>
        <v/>
      </c>
      <c r="H101" s="9">
        <f>IFERROR(XLOOKUP(E101, '04_Products'!$A:$A, '04_Products'!$F:$F), 0)</f>
        <v/>
      </c>
      <c r="I101" s="9">
        <f>F101*G101</f>
        <v/>
      </c>
      <c r="J101" s="11" t="n">
        <v>0</v>
      </c>
      <c r="K101" s="9">
        <f>I101*J101</f>
        <v/>
      </c>
      <c r="L101" s="9">
        <f>I101-K101</f>
        <v/>
      </c>
      <c r="M101" s="9">
        <f>F101*H101</f>
        <v/>
      </c>
      <c r="N101" s="9">
        <f>L101-M101</f>
        <v/>
      </c>
      <c r="O101" s="11">
        <f>IFERROR(N101/L101, 0)</f>
        <v/>
      </c>
      <c r="P101" s="8">
        <f>YEAR(C101)</f>
        <v/>
      </c>
      <c r="Q101" s="8">
        <f>TEXT(C101, "yyyy-mm")</f>
        <v/>
      </c>
      <c r="R101" s="8" t="inlineStr">
        <is>
          <t>Mobile App</t>
        </is>
      </c>
      <c r="S101" s="8" t="inlineStr">
        <is>
          <t>REG-NA</t>
        </is>
      </c>
    </row>
    <row r="102">
      <c r="A102" s="8" t="inlineStr">
        <is>
          <t>DTL-0000099</t>
        </is>
      </c>
      <c r="B102" s="8" t="inlineStr">
        <is>
          <t>ORD-000055</t>
        </is>
      </c>
      <c r="C102" s="10" t="inlineStr">
        <is>
          <t>2025-05-02</t>
        </is>
      </c>
      <c r="D102" s="8" t="inlineStr">
        <is>
          <t>CUST-03140</t>
        </is>
      </c>
      <c r="E102" s="8" t="inlineStr">
        <is>
          <t>PRD-0363</t>
        </is>
      </c>
      <c r="F102" s="8" t="n">
        <v>1</v>
      </c>
      <c r="G102" s="9">
        <f>IFERROR(XLOOKUP(E102, '04_Products'!$A:$A, '04_Products'!$G:$G), 40.42)</f>
        <v/>
      </c>
      <c r="H102" s="9">
        <f>IFERROR(XLOOKUP(E102, '04_Products'!$A:$A, '04_Products'!$F:$F), 0)</f>
        <v/>
      </c>
      <c r="I102" s="9">
        <f>F102*G102</f>
        <v/>
      </c>
      <c r="J102" s="11" t="n">
        <v>0</v>
      </c>
      <c r="K102" s="9">
        <f>I102*J102</f>
        <v/>
      </c>
      <c r="L102" s="9">
        <f>I102-K102</f>
        <v/>
      </c>
      <c r="M102" s="9">
        <f>F102*H102</f>
        <v/>
      </c>
      <c r="N102" s="9">
        <f>L102-M102</f>
        <v/>
      </c>
      <c r="O102" s="11">
        <f>IFERROR(N102/L102, 0)</f>
        <v/>
      </c>
      <c r="P102" s="8">
        <f>YEAR(C102)</f>
        <v/>
      </c>
      <c r="Q102" s="8">
        <f>TEXT(C102, "yyyy-mm")</f>
        <v/>
      </c>
      <c r="R102" s="8" t="inlineStr">
        <is>
          <t>Direct Web</t>
        </is>
      </c>
      <c r="S102" s="8" t="inlineStr">
        <is>
          <t>REG-LATAM</t>
        </is>
      </c>
    </row>
    <row r="103">
      <c r="A103" s="8" t="inlineStr">
        <is>
          <t>DTL-0000100</t>
        </is>
      </c>
      <c r="B103" s="8" t="inlineStr">
        <is>
          <t>ORD-000055</t>
        </is>
      </c>
      <c r="C103" s="10" t="inlineStr">
        <is>
          <t>2025-05-02</t>
        </is>
      </c>
      <c r="D103" s="8" t="inlineStr">
        <is>
          <t>CUST-03140</t>
        </is>
      </c>
      <c r="E103" s="8" t="inlineStr">
        <is>
          <t>PRD-0217</t>
        </is>
      </c>
      <c r="F103" s="8" t="n">
        <v>5</v>
      </c>
      <c r="G103" s="9">
        <f>IFERROR(XLOOKUP(E103, '04_Products'!$A:$A, '04_Products'!$G:$G), 457.08)</f>
        <v/>
      </c>
      <c r="H103" s="9">
        <f>IFERROR(XLOOKUP(E103, '04_Products'!$A:$A, '04_Products'!$F:$F), 0)</f>
        <v/>
      </c>
      <c r="I103" s="9">
        <f>F103*G103</f>
        <v/>
      </c>
      <c r="J103" s="11" t="n">
        <v>0</v>
      </c>
      <c r="K103" s="9">
        <f>I103*J103</f>
        <v/>
      </c>
      <c r="L103" s="9">
        <f>I103-K103</f>
        <v/>
      </c>
      <c r="M103" s="9">
        <f>F103*H103</f>
        <v/>
      </c>
      <c r="N103" s="9">
        <f>L103-M103</f>
        <v/>
      </c>
      <c r="O103" s="11">
        <f>IFERROR(N103/L103, 0)</f>
        <v/>
      </c>
      <c r="P103" s="8">
        <f>YEAR(C103)</f>
        <v/>
      </c>
      <c r="Q103" s="8">
        <f>TEXT(C103, "yyyy-mm")</f>
        <v/>
      </c>
      <c r="R103" s="8" t="inlineStr">
        <is>
          <t>Direct Web</t>
        </is>
      </c>
      <c r="S103" s="8" t="inlineStr">
        <is>
          <t>REG-LATAM</t>
        </is>
      </c>
    </row>
    <row r="104">
      <c r="A104" s="8" t="inlineStr">
        <is>
          <t>DTL-0000101</t>
        </is>
      </c>
      <c r="B104" s="8" t="inlineStr">
        <is>
          <t>ORD-000055</t>
        </is>
      </c>
      <c r="C104" s="10" t="inlineStr">
        <is>
          <t>2025-05-02</t>
        </is>
      </c>
      <c r="D104" s="8" t="inlineStr">
        <is>
          <t>CUST-03140</t>
        </is>
      </c>
      <c r="E104" s="8" t="inlineStr">
        <is>
          <t>PRD-0390</t>
        </is>
      </c>
      <c r="F104" s="8" t="n">
        <v>2</v>
      </c>
      <c r="G104" s="9">
        <f>IFERROR(XLOOKUP(E104, '04_Products'!$A:$A, '04_Products'!$G:$G), 260.60)</f>
        <v/>
      </c>
      <c r="H104" s="9">
        <f>IFERROR(XLOOKUP(E104, '04_Products'!$A:$A, '04_Products'!$F:$F), 0)</f>
        <v/>
      </c>
      <c r="I104" s="9">
        <f>F104*G104</f>
        <v/>
      </c>
      <c r="J104" s="11" t="n">
        <v>0</v>
      </c>
      <c r="K104" s="9">
        <f>I104*J104</f>
        <v/>
      </c>
      <c r="L104" s="9">
        <f>I104-K104</f>
        <v/>
      </c>
      <c r="M104" s="9">
        <f>F104*H104</f>
        <v/>
      </c>
      <c r="N104" s="9">
        <f>L104-M104</f>
        <v/>
      </c>
      <c r="O104" s="11">
        <f>IFERROR(N104/L104, 0)</f>
        <v/>
      </c>
      <c r="P104" s="8">
        <f>YEAR(C104)</f>
        <v/>
      </c>
      <c r="Q104" s="8">
        <f>TEXT(C104, "yyyy-mm")</f>
        <v/>
      </c>
      <c r="R104" s="8" t="inlineStr">
        <is>
          <t>Direct Web</t>
        </is>
      </c>
      <c r="S104" s="8" t="inlineStr">
        <is>
          <t>REG-LATAM</t>
        </is>
      </c>
    </row>
    <row r="105">
      <c r="A105" s="8" t="inlineStr">
        <is>
          <t>DTL-0000102</t>
        </is>
      </c>
      <c r="B105" s="8" t="inlineStr">
        <is>
          <t>ORD-000055</t>
        </is>
      </c>
      <c r="C105" s="10" t="inlineStr">
        <is>
          <t>2025-05-02</t>
        </is>
      </c>
      <c r="D105" s="8" t="inlineStr">
        <is>
          <t>CUST-03140</t>
        </is>
      </c>
      <c r="E105" s="8" t="inlineStr">
        <is>
          <t>PRD-0230</t>
        </is>
      </c>
      <c r="F105" s="8" t="n">
        <v>4</v>
      </c>
      <c r="G105" s="9">
        <f>IFERROR(XLOOKUP(E105, '04_Products'!$A:$A, '04_Products'!$G:$G), 54.32)</f>
        <v/>
      </c>
      <c r="H105" s="9">
        <f>IFERROR(XLOOKUP(E105, '04_Products'!$A:$A, '04_Products'!$F:$F), 0)</f>
        <v/>
      </c>
      <c r="I105" s="9">
        <f>F105*G105</f>
        <v/>
      </c>
      <c r="J105" s="11" t="n">
        <v>0.2</v>
      </c>
      <c r="K105" s="9">
        <f>I105*J105</f>
        <v/>
      </c>
      <c r="L105" s="9">
        <f>I105-K105</f>
        <v/>
      </c>
      <c r="M105" s="9">
        <f>F105*H105</f>
        <v/>
      </c>
      <c r="N105" s="9">
        <f>L105-M105</f>
        <v/>
      </c>
      <c r="O105" s="11">
        <f>IFERROR(N105/L105, 0)</f>
        <v/>
      </c>
      <c r="P105" s="8">
        <f>YEAR(C105)</f>
        <v/>
      </c>
      <c r="Q105" s="8">
        <f>TEXT(C105, "yyyy-mm")</f>
        <v/>
      </c>
      <c r="R105" s="8" t="inlineStr">
        <is>
          <t>Direct Web</t>
        </is>
      </c>
      <c r="S105" s="8" t="inlineStr">
        <is>
          <t>REG-LATAM</t>
        </is>
      </c>
    </row>
    <row r="106">
      <c r="A106" s="8" t="inlineStr">
        <is>
          <t>DTL-0000103</t>
        </is>
      </c>
      <c r="B106" s="8" t="inlineStr">
        <is>
          <t>ORD-000056</t>
        </is>
      </c>
      <c r="C106" s="10" t="inlineStr">
        <is>
          <t>2024-05-08</t>
        </is>
      </c>
      <c r="D106" s="8" t="inlineStr">
        <is>
          <t>CUST-05290</t>
        </is>
      </c>
      <c r="E106" s="8" t="inlineStr">
        <is>
          <t>PRD-0190</t>
        </is>
      </c>
      <c r="F106" s="8" t="n">
        <v>1</v>
      </c>
      <c r="G106" s="9">
        <f>IFERROR(XLOOKUP(E106, '04_Products'!$A:$A, '04_Products'!$G:$G), 33.02)</f>
        <v/>
      </c>
      <c r="H106" s="9">
        <f>IFERROR(XLOOKUP(E106, '04_Products'!$A:$A, '04_Products'!$F:$F), 0)</f>
        <v/>
      </c>
      <c r="I106" s="9">
        <f>F106*G106</f>
        <v/>
      </c>
      <c r="J106" s="11" t="n">
        <v>0</v>
      </c>
      <c r="K106" s="9">
        <f>I106*J106</f>
        <v/>
      </c>
      <c r="L106" s="9">
        <f>I106-K106</f>
        <v/>
      </c>
      <c r="M106" s="9">
        <f>F106*H106</f>
        <v/>
      </c>
      <c r="N106" s="9">
        <f>L106-M106</f>
        <v/>
      </c>
      <c r="O106" s="11">
        <f>IFERROR(N106/L106, 0)</f>
        <v/>
      </c>
      <c r="P106" s="8">
        <f>YEAR(C106)</f>
        <v/>
      </c>
      <c r="Q106" s="8">
        <f>TEXT(C106, "yyyy-mm")</f>
        <v/>
      </c>
      <c r="R106" s="8" t="inlineStr">
        <is>
          <t>Mobile App</t>
        </is>
      </c>
      <c r="S106" s="8" t="inlineStr">
        <is>
          <t>REG-EU</t>
        </is>
      </c>
    </row>
    <row r="107">
      <c r="A107" s="8" t="inlineStr">
        <is>
          <t>DTL-0000104</t>
        </is>
      </c>
      <c r="B107" s="8" t="inlineStr">
        <is>
          <t>ORD-000056</t>
        </is>
      </c>
      <c r="C107" s="10" t="inlineStr">
        <is>
          <t>2024-05-08</t>
        </is>
      </c>
      <c r="D107" s="8" t="inlineStr">
        <is>
          <t>CUST-05290</t>
        </is>
      </c>
      <c r="E107" s="8" t="inlineStr">
        <is>
          <t>PRD-0124</t>
        </is>
      </c>
      <c r="F107" s="8" t="n">
        <v>2</v>
      </c>
      <c r="G107" s="9">
        <f>IFERROR(XLOOKUP(E107, '04_Products'!$A:$A, '04_Products'!$G:$G), 265.24)</f>
        <v/>
      </c>
      <c r="H107" s="9">
        <f>IFERROR(XLOOKUP(E107, '04_Products'!$A:$A, '04_Products'!$F:$F), 0)</f>
        <v/>
      </c>
      <c r="I107" s="9">
        <f>F107*G107</f>
        <v/>
      </c>
      <c r="J107" s="11" t="n">
        <v>0.2</v>
      </c>
      <c r="K107" s="9">
        <f>I107*J107</f>
        <v/>
      </c>
      <c r="L107" s="9">
        <f>I107-K107</f>
        <v/>
      </c>
      <c r="M107" s="9">
        <f>F107*H107</f>
        <v/>
      </c>
      <c r="N107" s="9">
        <f>L107-M107</f>
        <v/>
      </c>
      <c r="O107" s="11">
        <f>IFERROR(N107/L107, 0)</f>
        <v/>
      </c>
      <c r="P107" s="8">
        <f>YEAR(C107)</f>
        <v/>
      </c>
      <c r="Q107" s="8">
        <f>TEXT(C107, "yyyy-mm")</f>
        <v/>
      </c>
      <c r="R107" s="8" t="inlineStr">
        <is>
          <t>Mobile App</t>
        </is>
      </c>
      <c r="S107" s="8" t="inlineStr">
        <is>
          <t>REG-EU</t>
        </is>
      </c>
    </row>
    <row r="108">
      <c r="A108" s="8" t="inlineStr">
        <is>
          <t>DTL-0000105</t>
        </is>
      </c>
      <c r="B108" s="8" t="inlineStr">
        <is>
          <t>ORD-000057</t>
        </is>
      </c>
      <c r="C108" s="10" t="inlineStr">
        <is>
          <t>2023-06-30</t>
        </is>
      </c>
      <c r="D108" s="8" t="inlineStr">
        <is>
          <t>CUST-01734</t>
        </is>
      </c>
      <c r="E108" s="8" t="inlineStr">
        <is>
          <t>PRD-0456</t>
        </is>
      </c>
      <c r="F108" s="8" t="n">
        <v>2</v>
      </c>
      <c r="G108" s="9">
        <f>IFERROR(XLOOKUP(E108, '04_Products'!$A:$A, '04_Products'!$G:$G), 148.24)</f>
        <v/>
      </c>
      <c r="H108" s="9">
        <f>IFERROR(XLOOKUP(E108, '04_Products'!$A:$A, '04_Products'!$F:$F), 0)</f>
        <v/>
      </c>
      <c r="I108" s="9">
        <f>F108*G108</f>
        <v/>
      </c>
      <c r="J108" s="11" t="n">
        <v>0.25</v>
      </c>
      <c r="K108" s="9">
        <f>I108*J108</f>
        <v/>
      </c>
      <c r="L108" s="9">
        <f>I108-K108</f>
        <v/>
      </c>
      <c r="M108" s="9">
        <f>F108*H108</f>
        <v/>
      </c>
      <c r="N108" s="9">
        <f>L108-M108</f>
        <v/>
      </c>
      <c r="O108" s="11">
        <f>IFERROR(N108/L108, 0)</f>
        <v/>
      </c>
      <c r="P108" s="8">
        <f>YEAR(C108)</f>
        <v/>
      </c>
      <c r="Q108" s="8">
        <f>TEXT(C108, "yyyy-mm")</f>
        <v/>
      </c>
      <c r="R108" s="8" t="inlineStr">
        <is>
          <t>B2B Portal</t>
        </is>
      </c>
      <c r="S108" s="8" t="inlineStr">
        <is>
          <t>REG-EU</t>
        </is>
      </c>
    </row>
    <row r="109">
      <c r="A109" s="8" t="inlineStr">
        <is>
          <t>DTL-0000106</t>
        </is>
      </c>
      <c r="B109" s="8" t="inlineStr">
        <is>
          <t>ORD-000057</t>
        </is>
      </c>
      <c r="C109" s="10" t="inlineStr">
        <is>
          <t>2023-06-30</t>
        </is>
      </c>
      <c r="D109" s="8" t="inlineStr">
        <is>
          <t>CUST-01734</t>
        </is>
      </c>
      <c r="E109" s="8" t="inlineStr">
        <is>
          <t>PRD-0283</t>
        </is>
      </c>
      <c r="F109" s="8" t="n">
        <v>4</v>
      </c>
      <c r="G109" s="9">
        <f>IFERROR(XLOOKUP(E109, '04_Products'!$A:$A, '04_Products'!$G:$G), 778.89)</f>
        <v/>
      </c>
      <c r="H109" s="9">
        <f>IFERROR(XLOOKUP(E109, '04_Products'!$A:$A, '04_Products'!$F:$F), 0)</f>
        <v/>
      </c>
      <c r="I109" s="9">
        <f>F109*G109</f>
        <v/>
      </c>
      <c r="J109" s="11" t="n">
        <v>0.05</v>
      </c>
      <c r="K109" s="9">
        <f>I109*J109</f>
        <v/>
      </c>
      <c r="L109" s="9">
        <f>I109-K109</f>
        <v/>
      </c>
      <c r="M109" s="9">
        <f>F109*H109</f>
        <v/>
      </c>
      <c r="N109" s="9">
        <f>L109-M109</f>
        <v/>
      </c>
      <c r="O109" s="11">
        <f>IFERROR(N109/L109, 0)</f>
        <v/>
      </c>
      <c r="P109" s="8">
        <f>YEAR(C109)</f>
        <v/>
      </c>
      <c r="Q109" s="8">
        <f>TEXT(C109, "yyyy-mm")</f>
        <v/>
      </c>
      <c r="R109" s="8" t="inlineStr">
        <is>
          <t>B2B Portal</t>
        </is>
      </c>
      <c r="S109" s="8" t="inlineStr">
        <is>
          <t>REG-EU</t>
        </is>
      </c>
    </row>
    <row r="110">
      <c r="A110" s="8" t="inlineStr">
        <is>
          <t>DTL-0000107</t>
        </is>
      </c>
      <c r="B110" s="8" t="inlineStr">
        <is>
          <t>ORD-000058</t>
        </is>
      </c>
      <c r="C110" s="10" t="inlineStr">
        <is>
          <t>2024-08-02</t>
        </is>
      </c>
      <c r="D110" s="8" t="inlineStr">
        <is>
          <t>CUST-04587</t>
        </is>
      </c>
      <c r="E110" s="8" t="inlineStr">
        <is>
          <t>PRD-0258</t>
        </is>
      </c>
      <c r="F110" s="8" t="n">
        <v>3</v>
      </c>
      <c r="G110" s="9">
        <f>IFERROR(XLOOKUP(E110, '04_Products'!$A:$A, '04_Products'!$G:$G), 636.27)</f>
        <v/>
      </c>
      <c r="H110" s="9">
        <f>IFERROR(XLOOKUP(E110, '04_Products'!$A:$A, '04_Products'!$F:$F), 0)</f>
        <v/>
      </c>
      <c r="I110" s="9">
        <f>F110*G110</f>
        <v/>
      </c>
      <c r="J110" s="11" t="n">
        <v>0.15</v>
      </c>
      <c r="K110" s="9">
        <f>I110*J110</f>
        <v/>
      </c>
      <c r="L110" s="9">
        <f>I110-K110</f>
        <v/>
      </c>
      <c r="M110" s="9">
        <f>F110*H110</f>
        <v/>
      </c>
      <c r="N110" s="9">
        <f>L110-M110</f>
        <v/>
      </c>
      <c r="O110" s="11">
        <f>IFERROR(N110/L110, 0)</f>
        <v/>
      </c>
      <c r="P110" s="8">
        <f>YEAR(C110)</f>
        <v/>
      </c>
      <c r="Q110" s="8">
        <f>TEXT(C110, "yyyy-mm")</f>
        <v/>
      </c>
      <c r="R110" s="8" t="inlineStr">
        <is>
          <t>Mobile App</t>
        </is>
      </c>
      <c r="S110" s="8" t="inlineStr">
        <is>
          <t>REG-NA</t>
        </is>
      </c>
    </row>
    <row r="111">
      <c r="A111" s="8" t="inlineStr">
        <is>
          <t>DTL-0000108</t>
        </is>
      </c>
      <c r="B111" s="8" t="inlineStr">
        <is>
          <t>ORD-000058</t>
        </is>
      </c>
      <c r="C111" s="10" t="inlineStr">
        <is>
          <t>2024-08-02</t>
        </is>
      </c>
      <c r="D111" s="8" t="inlineStr">
        <is>
          <t>CUST-04587</t>
        </is>
      </c>
      <c r="E111" s="8" t="inlineStr">
        <is>
          <t>PRD-0203</t>
        </is>
      </c>
      <c r="F111" s="8" t="n">
        <v>1</v>
      </c>
      <c r="G111" s="9">
        <f>IFERROR(XLOOKUP(E111, '04_Products'!$A:$A, '04_Products'!$G:$G), 991.36)</f>
        <v/>
      </c>
      <c r="H111" s="9">
        <f>IFERROR(XLOOKUP(E111, '04_Products'!$A:$A, '04_Products'!$F:$F), 0)</f>
        <v/>
      </c>
      <c r="I111" s="9">
        <f>F111*G111</f>
        <v/>
      </c>
      <c r="J111" s="11" t="n">
        <v>0</v>
      </c>
      <c r="K111" s="9">
        <f>I111*J111</f>
        <v/>
      </c>
      <c r="L111" s="9">
        <f>I111-K111</f>
        <v/>
      </c>
      <c r="M111" s="9">
        <f>F111*H111</f>
        <v/>
      </c>
      <c r="N111" s="9">
        <f>L111-M111</f>
        <v/>
      </c>
      <c r="O111" s="11">
        <f>IFERROR(N111/L111, 0)</f>
        <v/>
      </c>
      <c r="P111" s="8">
        <f>YEAR(C111)</f>
        <v/>
      </c>
      <c r="Q111" s="8">
        <f>TEXT(C111, "yyyy-mm")</f>
        <v/>
      </c>
      <c r="R111" s="8" t="inlineStr">
        <is>
          <t>Mobile App</t>
        </is>
      </c>
      <c r="S111" s="8" t="inlineStr">
        <is>
          <t>REG-NA</t>
        </is>
      </c>
    </row>
    <row r="112">
      <c r="A112" s="8" t="inlineStr">
        <is>
          <t>DTL-0000109</t>
        </is>
      </c>
      <c r="B112" s="8" t="inlineStr">
        <is>
          <t>ORD-000058</t>
        </is>
      </c>
      <c r="C112" s="10" t="inlineStr">
        <is>
          <t>2024-08-02</t>
        </is>
      </c>
      <c r="D112" s="8" t="inlineStr">
        <is>
          <t>CUST-04587</t>
        </is>
      </c>
      <c r="E112" s="8" t="inlineStr">
        <is>
          <t>PRD-0220</t>
        </is>
      </c>
      <c r="F112" s="8" t="n">
        <v>1</v>
      </c>
      <c r="G112" s="9">
        <f>IFERROR(XLOOKUP(E112, '04_Products'!$A:$A, '04_Products'!$G:$G), 472.50)</f>
        <v/>
      </c>
      <c r="H112" s="9">
        <f>IFERROR(XLOOKUP(E112, '04_Products'!$A:$A, '04_Products'!$F:$F), 0)</f>
        <v/>
      </c>
      <c r="I112" s="9">
        <f>F112*G112</f>
        <v/>
      </c>
      <c r="J112" s="11" t="n">
        <v>0.15</v>
      </c>
      <c r="K112" s="9">
        <f>I112*J112</f>
        <v/>
      </c>
      <c r="L112" s="9">
        <f>I112-K112</f>
        <v/>
      </c>
      <c r="M112" s="9">
        <f>F112*H112</f>
        <v/>
      </c>
      <c r="N112" s="9">
        <f>L112-M112</f>
        <v/>
      </c>
      <c r="O112" s="11">
        <f>IFERROR(N112/L112, 0)</f>
        <v/>
      </c>
      <c r="P112" s="8">
        <f>YEAR(C112)</f>
        <v/>
      </c>
      <c r="Q112" s="8">
        <f>TEXT(C112, "yyyy-mm")</f>
        <v/>
      </c>
      <c r="R112" s="8" t="inlineStr">
        <is>
          <t>Mobile App</t>
        </is>
      </c>
      <c r="S112" s="8" t="inlineStr">
        <is>
          <t>REG-NA</t>
        </is>
      </c>
    </row>
    <row r="113">
      <c r="A113" s="8" t="inlineStr">
        <is>
          <t>DTL-0000110</t>
        </is>
      </c>
      <c r="B113" s="8" t="inlineStr">
        <is>
          <t>ORD-000058</t>
        </is>
      </c>
      <c r="C113" s="10" t="inlineStr">
        <is>
          <t>2024-08-02</t>
        </is>
      </c>
      <c r="D113" s="8" t="inlineStr">
        <is>
          <t>CUST-04587</t>
        </is>
      </c>
      <c r="E113" s="8" t="inlineStr">
        <is>
          <t>PRD-0465</t>
        </is>
      </c>
      <c r="F113" s="8" t="n">
        <v>1</v>
      </c>
      <c r="G113" s="9">
        <f>IFERROR(XLOOKUP(E113, '04_Products'!$A:$A, '04_Products'!$G:$G), 36.72)</f>
        <v/>
      </c>
      <c r="H113" s="9">
        <f>IFERROR(XLOOKUP(E113, '04_Products'!$A:$A, '04_Products'!$F:$F), 0)</f>
        <v/>
      </c>
      <c r="I113" s="9">
        <f>F113*G113</f>
        <v/>
      </c>
      <c r="J113" s="11" t="n">
        <v>0.05</v>
      </c>
      <c r="K113" s="9">
        <f>I113*J113</f>
        <v/>
      </c>
      <c r="L113" s="9">
        <f>I113-K113</f>
        <v/>
      </c>
      <c r="M113" s="9">
        <f>F113*H113</f>
        <v/>
      </c>
      <c r="N113" s="9">
        <f>L113-M113</f>
        <v/>
      </c>
      <c r="O113" s="11">
        <f>IFERROR(N113/L113, 0)</f>
        <v/>
      </c>
      <c r="P113" s="8">
        <f>YEAR(C113)</f>
        <v/>
      </c>
      <c r="Q113" s="8">
        <f>TEXT(C113, "yyyy-mm")</f>
        <v/>
      </c>
      <c r="R113" s="8" t="inlineStr">
        <is>
          <t>Mobile App</t>
        </is>
      </c>
      <c r="S113" s="8" t="inlineStr">
        <is>
          <t>REG-NA</t>
        </is>
      </c>
    </row>
    <row r="114">
      <c r="A114" s="8" t="inlineStr">
        <is>
          <t>DTL-0000111</t>
        </is>
      </c>
      <c r="B114" s="8" t="inlineStr">
        <is>
          <t>ORD-000059</t>
        </is>
      </c>
      <c r="C114" s="10" t="inlineStr">
        <is>
          <t>2024-12-26</t>
        </is>
      </c>
      <c r="D114" s="8" t="inlineStr">
        <is>
          <t>CUST-03166</t>
        </is>
      </c>
      <c r="E114" s="8" t="inlineStr">
        <is>
          <t>PRD-0069</t>
        </is>
      </c>
      <c r="F114" s="8" t="n">
        <v>2</v>
      </c>
      <c r="G114" s="9">
        <f>IFERROR(XLOOKUP(E114, '04_Products'!$A:$A, '04_Products'!$G:$G), 58.36)</f>
        <v/>
      </c>
      <c r="H114" s="9">
        <f>IFERROR(XLOOKUP(E114, '04_Products'!$A:$A, '04_Products'!$F:$F), 0)</f>
        <v/>
      </c>
      <c r="I114" s="9">
        <f>F114*G114</f>
        <v/>
      </c>
      <c r="J114" s="11" t="n">
        <v>0.1</v>
      </c>
      <c r="K114" s="9">
        <f>I114*J114</f>
        <v/>
      </c>
      <c r="L114" s="9">
        <f>I114-K114</f>
        <v/>
      </c>
      <c r="M114" s="9">
        <f>F114*H114</f>
        <v/>
      </c>
      <c r="N114" s="9">
        <f>L114-M114</f>
        <v/>
      </c>
      <c r="O114" s="11">
        <f>IFERROR(N114/L114, 0)</f>
        <v/>
      </c>
      <c r="P114" s="8">
        <f>YEAR(C114)</f>
        <v/>
      </c>
      <c r="Q114" s="8">
        <f>TEXT(C114, "yyyy-mm")</f>
        <v/>
      </c>
      <c r="R114" s="8" t="inlineStr">
        <is>
          <t>Affiliate Partner</t>
        </is>
      </c>
      <c r="S114" s="8" t="inlineStr">
        <is>
          <t>REG-NA</t>
        </is>
      </c>
    </row>
    <row r="115">
      <c r="A115" s="8" t="inlineStr">
        <is>
          <t>DTL-0000112</t>
        </is>
      </c>
      <c r="B115" s="8" t="inlineStr">
        <is>
          <t>ORD-000060</t>
        </is>
      </c>
      <c r="C115" s="10" t="inlineStr">
        <is>
          <t>2023-11-01</t>
        </is>
      </c>
      <c r="D115" s="8" t="inlineStr">
        <is>
          <t>CUST-01461</t>
        </is>
      </c>
      <c r="E115" s="8" t="inlineStr">
        <is>
          <t>PRD-0292</t>
        </is>
      </c>
      <c r="F115" s="8" t="n">
        <v>1</v>
      </c>
      <c r="G115" s="9">
        <f>IFERROR(XLOOKUP(E115, '04_Products'!$A:$A, '04_Products'!$G:$G), 44.76)</f>
        <v/>
      </c>
      <c r="H115" s="9">
        <f>IFERROR(XLOOKUP(E115, '04_Products'!$A:$A, '04_Products'!$F:$F), 0)</f>
        <v/>
      </c>
      <c r="I115" s="9">
        <f>F115*G115</f>
        <v/>
      </c>
      <c r="J115" s="11" t="n">
        <v>0</v>
      </c>
      <c r="K115" s="9">
        <f>I115*J115</f>
        <v/>
      </c>
      <c r="L115" s="9">
        <f>I115-K115</f>
        <v/>
      </c>
      <c r="M115" s="9">
        <f>F115*H115</f>
        <v/>
      </c>
      <c r="N115" s="9">
        <f>L115-M115</f>
        <v/>
      </c>
      <c r="O115" s="11">
        <f>IFERROR(N115/L115, 0)</f>
        <v/>
      </c>
      <c r="P115" s="8">
        <f>YEAR(C115)</f>
        <v/>
      </c>
      <c r="Q115" s="8">
        <f>TEXT(C115, "yyyy-mm")</f>
        <v/>
      </c>
      <c r="R115" s="8" t="inlineStr">
        <is>
          <t>Mobile App</t>
        </is>
      </c>
      <c r="S115" s="8" t="inlineStr">
        <is>
          <t>REG-LATAM</t>
        </is>
      </c>
    </row>
    <row r="116">
      <c r="A116" s="8" t="inlineStr">
        <is>
          <t>DTL-0000113</t>
        </is>
      </c>
      <c r="B116" s="8" t="inlineStr">
        <is>
          <t>ORD-000061</t>
        </is>
      </c>
      <c r="C116" s="10" t="inlineStr">
        <is>
          <t>2023-11-22</t>
        </is>
      </c>
      <c r="D116" s="8" t="inlineStr">
        <is>
          <t>CUST-04236</t>
        </is>
      </c>
      <c r="E116" s="8" t="inlineStr">
        <is>
          <t>PRD-0170</t>
        </is>
      </c>
      <c r="F116" s="8" t="n">
        <v>1</v>
      </c>
      <c r="G116" s="9">
        <f>IFERROR(XLOOKUP(E116, '04_Products'!$A:$A, '04_Products'!$G:$G), 111.00)</f>
        <v/>
      </c>
      <c r="H116" s="9">
        <f>IFERROR(XLOOKUP(E116, '04_Products'!$A:$A, '04_Products'!$F:$F), 0)</f>
        <v/>
      </c>
      <c r="I116" s="9">
        <f>F116*G116</f>
        <v/>
      </c>
      <c r="J116" s="11" t="n">
        <v>0</v>
      </c>
      <c r="K116" s="9">
        <f>I116*J116</f>
        <v/>
      </c>
      <c r="L116" s="9">
        <f>I116-K116</f>
        <v/>
      </c>
      <c r="M116" s="9">
        <f>F116*H116</f>
        <v/>
      </c>
      <c r="N116" s="9">
        <f>L116-M116</f>
        <v/>
      </c>
      <c r="O116" s="11">
        <f>IFERROR(N116/L116, 0)</f>
        <v/>
      </c>
      <c r="P116" s="8">
        <f>YEAR(C116)</f>
        <v/>
      </c>
      <c r="Q116" s="8">
        <f>TEXT(C116, "yyyy-mm")</f>
        <v/>
      </c>
      <c r="R116" s="8" t="inlineStr">
        <is>
          <t>Mobile App</t>
        </is>
      </c>
      <c r="S116" s="8" t="inlineStr">
        <is>
          <t>REG-NA</t>
        </is>
      </c>
    </row>
    <row r="117">
      <c r="A117" s="8" t="inlineStr">
        <is>
          <t>DTL-0000114</t>
        </is>
      </c>
      <c r="B117" s="8" t="inlineStr">
        <is>
          <t>ORD-000061</t>
        </is>
      </c>
      <c r="C117" s="10" t="inlineStr">
        <is>
          <t>2023-11-22</t>
        </is>
      </c>
      <c r="D117" s="8" t="inlineStr">
        <is>
          <t>CUST-04236</t>
        </is>
      </c>
      <c r="E117" s="8" t="inlineStr">
        <is>
          <t>PRD-0454</t>
        </is>
      </c>
      <c r="F117" s="8" t="n">
        <v>1</v>
      </c>
      <c r="G117" s="9">
        <f>IFERROR(XLOOKUP(E117, '04_Products'!$A:$A, '04_Products'!$G:$G), 745.94)</f>
        <v/>
      </c>
      <c r="H117" s="9">
        <f>IFERROR(XLOOKUP(E117, '04_Products'!$A:$A, '04_Products'!$F:$F), 0)</f>
        <v/>
      </c>
      <c r="I117" s="9">
        <f>F117*G117</f>
        <v/>
      </c>
      <c r="J117" s="11" t="n">
        <v>0.15</v>
      </c>
      <c r="K117" s="9">
        <f>I117*J117</f>
        <v/>
      </c>
      <c r="L117" s="9">
        <f>I117-K117</f>
        <v/>
      </c>
      <c r="M117" s="9">
        <f>F117*H117</f>
        <v/>
      </c>
      <c r="N117" s="9">
        <f>L117-M117</f>
        <v/>
      </c>
      <c r="O117" s="11">
        <f>IFERROR(N117/L117, 0)</f>
        <v/>
      </c>
      <c r="P117" s="8">
        <f>YEAR(C117)</f>
        <v/>
      </c>
      <c r="Q117" s="8">
        <f>TEXT(C117, "yyyy-mm")</f>
        <v/>
      </c>
      <c r="R117" s="8" t="inlineStr">
        <is>
          <t>Mobile App</t>
        </is>
      </c>
      <c r="S117" s="8" t="inlineStr">
        <is>
          <t>REG-NA</t>
        </is>
      </c>
    </row>
    <row r="118">
      <c r="A118" s="8" t="inlineStr">
        <is>
          <t>DTL-0000115</t>
        </is>
      </c>
      <c r="B118" s="8" t="inlineStr">
        <is>
          <t>ORD-000061</t>
        </is>
      </c>
      <c r="C118" s="10" t="inlineStr">
        <is>
          <t>2023-11-22</t>
        </is>
      </c>
      <c r="D118" s="8" t="inlineStr">
        <is>
          <t>CUST-04236</t>
        </is>
      </c>
      <c r="E118" s="8" t="inlineStr">
        <is>
          <t>PRD-0346</t>
        </is>
      </c>
      <c r="F118" s="8" t="n">
        <v>5</v>
      </c>
      <c r="G118" s="9">
        <f>IFERROR(XLOOKUP(E118, '04_Products'!$A:$A, '04_Products'!$G:$G), 61.49)</f>
        <v/>
      </c>
      <c r="H118" s="9">
        <f>IFERROR(XLOOKUP(E118, '04_Products'!$A:$A, '04_Products'!$F:$F), 0)</f>
        <v/>
      </c>
      <c r="I118" s="9">
        <f>F118*G118</f>
        <v/>
      </c>
      <c r="J118" s="11" t="n">
        <v>0</v>
      </c>
      <c r="K118" s="9">
        <f>I118*J118</f>
        <v/>
      </c>
      <c r="L118" s="9">
        <f>I118-K118</f>
        <v/>
      </c>
      <c r="M118" s="9">
        <f>F118*H118</f>
        <v/>
      </c>
      <c r="N118" s="9">
        <f>L118-M118</f>
        <v/>
      </c>
      <c r="O118" s="11">
        <f>IFERROR(N118/L118, 0)</f>
        <v/>
      </c>
      <c r="P118" s="8">
        <f>YEAR(C118)</f>
        <v/>
      </c>
      <c r="Q118" s="8">
        <f>TEXT(C118, "yyyy-mm")</f>
        <v/>
      </c>
      <c r="R118" s="8" t="inlineStr">
        <is>
          <t>Mobile App</t>
        </is>
      </c>
      <c r="S118" s="8" t="inlineStr">
        <is>
          <t>REG-NA</t>
        </is>
      </c>
    </row>
    <row r="119">
      <c r="A119" s="8" t="inlineStr">
        <is>
          <t>DTL-0000116</t>
        </is>
      </c>
      <c r="B119" s="8" t="inlineStr">
        <is>
          <t>ORD-000061</t>
        </is>
      </c>
      <c r="C119" s="10" t="inlineStr">
        <is>
          <t>2023-11-22</t>
        </is>
      </c>
      <c r="D119" s="8" t="inlineStr">
        <is>
          <t>CUST-04236</t>
        </is>
      </c>
      <c r="E119" s="8" t="inlineStr">
        <is>
          <t>PRD-0142</t>
        </is>
      </c>
      <c r="F119" s="8" t="n">
        <v>5</v>
      </c>
      <c r="G119" s="9">
        <f>IFERROR(XLOOKUP(E119, '04_Products'!$A:$A, '04_Products'!$G:$G), 44.60)</f>
        <v/>
      </c>
      <c r="H119" s="9">
        <f>IFERROR(XLOOKUP(E119, '04_Products'!$A:$A, '04_Products'!$F:$F), 0)</f>
        <v/>
      </c>
      <c r="I119" s="9">
        <f>F119*G119</f>
        <v/>
      </c>
      <c r="J119" s="11" t="n">
        <v>0.1</v>
      </c>
      <c r="K119" s="9">
        <f>I119*J119</f>
        <v/>
      </c>
      <c r="L119" s="9">
        <f>I119-K119</f>
        <v/>
      </c>
      <c r="M119" s="9">
        <f>F119*H119</f>
        <v/>
      </c>
      <c r="N119" s="9">
        <f>L119-M119</f>
        <v/>
      </c>
      <c r="O119" s="11">
        <f>IFERROR(N119/L119, 0)</f>
        <v/>
      </c>
      <c r="P119" s="8">
        <f>YEAR(C119)</f>
        <v/>
      </c>
      <c r="Q119" s="8">
        <f>TEXT(C119, "yyyy-mm")</f>
        <v/>
      </c>
      <c r="R119" s="8" t="inlineStr">
        <is>
          <t>Mobile App</t>
        </is>
      </c>
      <c r="S119" s="8" t="inlineStr">
        <is>
          <t>REG-NA</t>
        </is>
      </c>
    </row>
    <row r="120">
      <c r="A120" s="8" t="inlineStr">
        <is>
          <t>DTL-0000117</t>
        </is>
      </c>
      <c r="B120" s="8" t="inlineStr">
        <is>
          <t>ORD-000062</t>
        </is>
      </c>
      <c r="C120" s="10" t="inlineStr">
        <is>
          <t>2024-12-26</t>
        </is>
      </c>
      <c r="D120" s="8" t="inlineStr">
        <is>
          <t>CUST-02482</t>
        </is>
      </c>
      <c r="E120" s="8" t="inlineStr">
        <is>
          <t>PRD-0455</t>
        </is>
      </c>
      <c r="F120" s="8" t="n">
        <v>1</v>
      </c>
      <c r="G120" s="9">
        <f>IFERROR(XLOOKUP(E120, '04_Products'!$A:$A, '04_Products'!$G:$G), 63.62)</f>
        <v/>
      </c>
      <c r="H120" s="9">
        <f>IFERROR(XLOOKUP(E120, '04_Products'!$A:$A, '04_Products'!$F:$F), 0)</f>
        <v/>
      </c>
      <c r="I120" s="9">
        <f>F120*G120</f>
        <v/>
      </c>
      <c r="J120" s="11" t="n">
        <v>0.15</v>
      </c>
      <c r="K120" s="9">
        <f>I120*J120</f>
        <v/>
      </c>
      <c r="L120" s="9">
        <f>I120-K120</f>
        <v/>
      </c>
      <c r="M120" s="9">
        <f>F120*H120</f>
        <v/>
      </c>
      <c r="N120" s="9">
        <f>L120-M120</f>
        <v/>
      </c>
      <c r="O120" s="11">
        <f>IFERROR(N120/L120, 0)</f>
        <v/>
      </c>
      <c r="P120" s="8">
        <f>YEAR(C120)</f>
        <v/>
      </c>
      <c r="Q120" s="8">
        <f>TEXT(C120, "yyyy-mm")</f>
        <v/>
      </c>
      <c r="R120" s="8" t="inlineStr">
        <is>
          <t>Direct Web</t>
        </is>
      </c>
      <c r="S120" s="8" t="inlineStr">
        <is>
          <t>REG-APAC</t>
        </is>
      </c>
    </row>
    <row r="121">
      <c r="A121" s="8" t="inlineStr">
        <is>
          <t>DTL-0000118</t>
        </is>
      </c>
      <c r="B121" s="8" t="inlineStr">
        <is>
          <t>ORD-000062</t>
        </is>
      </c>
      <c r="C121" s="10" t="inlineStr">
        <is>
          <t>2024-12-26</t>
        </is>
      </c>
      <c r="D121" s="8" t="inlineStr">
        <is>
          <t>CUST-02482</t>
        </is>
      </c>
      <c r="E121" s="8" t="inlineStr">
        <is>
          <t>PRD-0184</t>
        </is>
      </c>
      <c r="F121" s="8" t="n">
        <v>1</v>
      </c>
      <c r="G121" s="9">
        <f>IFERROR(XLOOKUP(E121, '04_Products'!$A:$A, '04_Products'!$G:$G), 79.57)</f>
        <v/>
      </c>
      <c r="H121" s="9">
        <f>IFERROR(XLOOKUP(E121, '04_Products'!$A:$A, '04_Products'!$F:$F), 0)</f>
        <v/>
      </c>
      <c r="I121" s="9">
        <f>F121*G121</f>
        <v/>
      </c>
      <c r="J121" s="11" t="n">
        <v>0</v>
      </c>
      <c r="K121" s="9">
        <f>I121*J121</f>
        <v/>
      </c>
      <c r="L121" s="9">
        <f>I121-K121</f>
        <v/>
      </c>
      <c r="M121" s="9">
        <f>F121*H121</f>
        <v/>
      </c>
      <c r="N121" s="9">
        <f>L121-M121</f>
        <v/>
      </c>
      <c r="O121" s="11">
        <f>IFERROR(N121/L121, 0)</f>
        <v/>
      </c>
      <c r="P121" s="8">
        <f>YEAR(C121)</f>
        <v/>
      </c>
      <c r="Q121" s="8">
        <f>TEXT(C121, "yyyy-mm")</f>
        <v/>
      </c>
      <c r="R121" s="8" t="inlineStr">
        <is>
          <t>Direct Web</t>
        </is>
      </c>
      <c r="S121" s="8" t="inlineStr">
        <is>
          <t>REG-APAC</t>
        </is>
      </c>
    </row>
    <row r="122">
      <c r="A122" s="8" t="inlineStr">
        <is>
          <t>DTL-0000119</t>
        </is>
      </c>
      <c r="B122" s="8" t="inlineStr">
        <is>
          <t>ORD-000062</t>
        </is>
      </c>
      <c r="C122" s="10" t="inlineStr">
        <is>
          <t>2024-12-26</t>
        </is>
      </c>
      <c r="D122" s="8" t="inlineStr">
        <is>
          <t>CUST-02482</t>
        </is>
      </c>
      <c r="E122" s="8" t="inlineStr">
        <is>
          <t>PRD-0293</t>
        </is>
      </c>
      <c r="F122" s="8" t="n">
        <v>3</v>
      </c>
      <c r="G122" s="9">
        <f>IFERROR(XLOOKUP(E122, '04_Products'!$A:$A, '04_Products'!$G:$G), 231.64)</f>
        <v/>
      </c>
      <c r="H122" s="9">
        <f>IFERROR(XLOOKUP(E122, '04_Products'!$A:$A, '04_Products'!$F:$F), 0)</f>
        <v/>
      </c>
      <c r="I122" s="9">
        <f>F122*G122</f>
        <v/>
      </c>
      <c r="J122" s="11" t="n">
        <v>0</v>
      </c>
      <c r="K122" s="9">
        <f>I122*J122</f>
        <v/>
      </c>
      <c r="L122" s="9">
        <f>I122-K122</f>
        <v/>
      </c>
      <c r="M122" s="9">
        <f>F122*H122</f>
        <v/>
      </c>
      <c r="N122" s="9">
        <f>L122-M122</f>
        <v/>
      </c>
      <c r="O122" s="11">
        <f>IFERROR(N122/L122, 0)</f>
        <v/>
      </c>
      <c r="P122" s="8">
        <f>YEAR(C122)</f>
        <v/>
      </c>
      <c r="Q122" s="8">
        <f>TEXT(C122, "yyyy-mm")</f>
        <v/>
      </c>
      <c r="R122" s="8" t="inlineStr">
        <is>
          <t>Direct Web</t>
        </is>
      </c>
      <c r="S122" s="8" t="inlineStr">
        <is>
          <t>REG-APAC</t>
        </is>
      </c>
    </row>
    <row r="123">
      <c r="A123" s="8" t="inlineStr">
        <is>
          <t>DTL-0000120</t>
        </is>
      </c>
      <c r="B123" s="8" t="inlineStr">
        <is>
          <t>ORD-000062</t>
        </is>
      </c>
      <c r="C123" s="10" t="inlineStr">
        <is>
          <t>2024-12-26</t>
        </is>
      </c>
      <c r="D123" s="8" t="inlineStr">
        <is>
          <t>CUST-02482</t>
        </is>
      </c>
      <c r="E123" s="8" t="inlineStr">
        <is>
          <t>PRD-0120</t>
        </is>
      </c>
      <c r="F123" s="8" t="n">
        <v>1</v>
      </c>
      <c r="G123" s="9">
        <f>IFERROR(XLOOKUP(E123, '04_Products'!$A:$A, '04_Products'!$G:$G), 1001.04)</f>
        <v/>
      </c>
      <c r="H123" s="9">
        <f>IFERROR(XLOOKUP(E123, '04_Products'!$A:$A, '04_Products'!$F:$F), 0)</f>
        <v/>
      </c>
      <c r="I123" s="9">
        <f>F123*G123</f>
        <v/>
      </c>
      <c r="J123" s="11" t="n">
        <v>0.05</v>
      </c>
      <c r="K123" s="9">
        <f>I123*J123</f>
        <v/>
      </c>
      <c r="L123" s="9">
        <f>I123-K123</f>
        <v/>
      </c>
      <c r="M123" s="9">
        <f>F123*H123</f>
        <v/>
      </c>
      <c r="N123" s="9">
        <f>L123-M123</f>
        <v/>
      </c>
      <c r="O123" s="11">
        <f>IFERROR(N123/L123, 0)</f>
        <v/>
      </c>
      <c r="P123" s="8">
        <f>YEAR(C123)</f>
        <v/>
      </c>
      <c r="Q123" s="8">
        <f>TEXT(C123, "yyyy-mm")</f>
        <v/>
      </c>
      <c r="R123" s="8" t="inlineStr">
        <is>
          <t>Direct Web</t>
        </is>
      </c>
      <c r="S123" s="8" t="inlineStr">
        <is>
          <t>REG-APAC</t>
        </is>
      </c>
    </row>
    <row r="124">
      <c r="A124" s="8" t="inlineStr">
        <is>
          <t>DTL-0000121</t>
        </is>
      </c>
      <c r="B124" s="8" t="inlineStr">
        <is>
          <t>ORD-000062</t>
        </is>
      </c>
      <c r="C124" s="10" t="inlineStr">
        <is>
          <t>2024-12-26</t>
        </is>
      </c>
      <c r="D124" s="8" t="inlineStr">
        <is>
          <t>CUST-02482</t>
        </is>
      </c>
      <c r="E124" s="8" t="inlineStr">
        <is>
          <t>PRD-0188</t>
        </is>
      </c>
      <c r="F124" s="8" t="n">
        <v>1</v>
      </c>
      <c r="G124" s="9">
        <f>IFERROR(XLOOKUP(E124, '04_Products'!$A:$A, '04_Products'!$G:$G), 946.83)</f>
        <v/>
      </c>
      <c r="H124" s="9">
        <f>IFERROR(XLOOKUP(E124, '04_Products'!$A:$A, '04_Products'!$F:$F), 0)</f>
        <v/>
      </c>
      <c r="I124" s="9">
        <f>F124*G124</f>
        <v/>
      </c>
      <c r="J124" s="11" t="n">
        <v>0.05</v>
      </c>
      <c r="K124" s="9">
        <f>I124*J124</f>
        <v/>
      </c>
      <c r="L124" s="9">
        <f>I124-K124</f>
        <v/>
      </c>
      <c r="M124" s="9">
        <f>F124*H124</f>
        <v/>
      </c>
      <c r="N124" s="9">
        <f>L124-M124</f>
        <v/>
      </c>
      <c r="O124" s="11">
        <f>IFERROR(N124/L124, 0)</f>
        <v/>
      </c>
      <c r="P124" s="8">
        <f>YEAR(C124)</f>
        <v/>
      </c>
      <c r="Q124" s="8">
        <f>TEXT(C124, "yyyy-mm")</f>
        <v/>
      </c>
      <c r="R124" s="8" t="inlineStr">
        <is>
          <t>Direct Web</t>
        </is>
      </c>
      <c r="S124" s="8" t="inlineStr">
        <is>
          <t>REG-APAC</t>
        </is>
      </c>
    </row>
    <row r="125">
      <c r="A125" s="8" t="inlineStr">
        <is>
          <t>DTL-0000122</t>
        </is>
      </c>
      <c r="B125" s="8" t="inlineStr">
        <is>
          <t>ORD-000063</t>
        </is>
      </c>
      <c r="C125" s="10" t="inlineStr">
        <is>
          <t>2024-08-11</t>
        </is>
      </c>
      <c r="D125" s="8" t="inlineStr">
        <is>
          <t>CUST-06992</t>
        </is>
      </c>
      <c r="E125" s="8" t="inlineStr">
        <is>
          <t>PRD-0309</t>
        </is>
      </c>
      <c r="F125" s="8" t="n">
        <v>3</v>
      </c>
      <c r="G125" s="9">
        <f>IFERROR(XLOOKUP(E125, '04_Products'!$A:$A, '04_Products'!$G:$G), 632.18)</f>
        <v/>
      </c>
      <c r="H125" s="9">
        <f>IFERROR(XLOOKUP(E125, '04_Products'!$A:$A, '04_Products'!$F:$F), 0)</f>
        <v/>
      </c>
      <c r="I125" s="9">
        <f>F125*G125</f>
        <v/>
      </c>
      <c r="J125" s="11" t="n">
        <v>0.2</v>
      </c>
      <c r="K125" s="9">
        <f>I125*J125</f>
        <v/>
      </c>
      <c r="L125" s="9">
        <f>I125-K125</f>
        <v/>
      </c>
      <c r="M125" s="9">
        <f>F125*H125</f>
        <v/>
      </c>
      <c r="N125" s="9">
        <f>L125-M125</f>
        <v/>
      </c>
      <c r="O125" s="11">
        <f>IFERROR(N125/L125, 0)</f>
        <v/>
      </c>
      <c r="P125" s="8">
        <f>YEAR(C125)</f>
        <v/>
      </c>
      <c r="Q125" s="8">
        <f>TEXT(C125, "yyyy-mm")</f>
        <v/>
      </c>
      <c r="R125" s="8" t="inlineStr">
        <is>
          <t>Direct Web</t>
        </is>
      </c>
      <c r="S125" s="8" t="inlineStr">
        <is>
          <t>REG-EU</t>
        </is>
      </c>
    </row>
    <row r="126">
      <c r="A126" s="8" t="inlineStr">
        <is>
          <t>DTL-0000123</t>
        </is>
      </c>
      <c r="B126" s="8" t="inlineStr">
        <is>
          <t>ORD-000063</t>
        </is>
      </c>
      <c r="C126" s="10" t="inlineStr">
        <is>
          <t>2024-08-11</t>
        </is>
      </c>
      <c r="D126" s="8" t="inlineStr">
        <is>
          <t>CUST-06992</t>
        </is>
      </c>
      <c r="E126" s="8" t="inlineStr">
        <is>
          <t>PRD-0176</t>
        </is>
      </c>
      <c r="F126" s="8" t="n">
        <v>1</v>
      </c>
      <c r="G126" s="9">
        <f>IFERROR(XLOOKUP(E126, '04_Products'!$A:$A, '04_Products'!$G:$G), 18.25)</f>
        <v/>
      </c>
      <c r="H126" s="9">
        <f>IFERROR(XLOOKUP(E126, '04_Products'!$A:$A, '04_Products'!$F:$F), 0)</f>
        <v/>
      </c>
      <c r="I126" s="9">
        <f>F126*G126</f>
        <v/>
      </c>
      <c r="J126" s="11" t="n">
        <v>0.05</v>
      </c>
      <c r="K126" s="9">
        <f>I126*J126</f>
        <v/>
      </c>
      <c r="L126" s="9">
        <f>I126-K126</f>
        <v/>
      </c>
      <c r="M126" s="9">
        <f>F126*H126</f>
        <v/>
      </c>
      <c r="N126" s="9">
        <f>L126-M126</f>
        <v/>
      </c>
      <c r="O126" s="11">
        <f>IFERROR(N126/L126, 0)</f>
        <v/>
      </c>
      <c r="P126" s="8">
        <f>YEAR(C126)</f>
        <v/>
      </c>
      <c r="Q126" s="8">
        <f>TEXT(C126, "yyyy-mm")</f>
        <v/>
      </c>
      <c r="R126" s="8" t="inlineStr">
        <is>
          <t>Direct Web</t>
        </is>
      </c>
      <c r="S126" s="8" t="inlineStr">
        <is>
          <t>REG-EU</t>
        </is>
      </c>
    </row>
    <row r="127">
      <c r="A127" s="8" t="inlineStr">
        <is>
          <t>DTL-0000124</t>
        </is>
      </c>
      <c r="B127" s="8" t="inlineStr">
        <is>
          <t>ORD-000064</t>
        </is>
      </c>
      <c r="C127" s="10" t="inlineStr">
        <is>
          <t>2024-10-12</t>
        </is>
      </c>
      <c r="D127" s="8" t="inlineStr">
        <is>
          <t>CUST-03544</t>
        </is>
      </c>
      <c r="E127" s="8" t="inlineStr">
        <is>
          <t>PRD-0165</t>
        </is>
      </c>
      <c r="F127" s="8" t="n">
        <v>1</v>
      </c>
      <c r="G127" s="9">
        <f>IFERROR(XLOOKUP(E127, '04_Products'!$A:$A, '04_Products'!$G:$G), 37.40)</f>
        <v/>
      </c>
      <c r="H127" s="9">
        <f>IFERROR(XLOOKUP(E127, '04_Products'!$A:$A, '04_Products'!$F:$F), 0)</f>
        <v/>
      </c>
      <c r="I127" s="9">
        <f>F127*G127</f>
        <v/>
      </c>
      <c r="J127" s="11" t="n">
        <v>0.2</v>
      </c>
      <c r="K127" s="9">
        <f>I127*J127</f>
        <v/>
      </c>
      <c r="L127" s="9">
        <f>I127-K127</f>
        <v/>
      </c>
      <c r="M127" s="9">
        <f>F127*H127</f>
        <v/>
      </c>
      <c r="N127" s="9">
        <f>L127-M127</f>
        <v/>
      </c>
      <c r="O127" s="11">
        <f>IFERROR(N127/L127, 0)</f>
        <v/>
      </c>
      <c r="P127" s="8">
        <f>YEAR(C127)</f>
        <v/>
      </c>
      <c r="Q127" s="8">
        <f>TEXT(C127, "yyyy-mm")</f>
        <v/>
      </c>
      <c r="R127" s="8" t="inlineStr">
        <is>
          <t>Mobile App</t>
        </is>
      </c>
      <c r="S127" s="8" t="inlineStr">
        <is>
          <t>REG-EU</t>
        </is>
      </c>
    </row>
    <row r="128">
      <c r="A128" s="8" t="inlineStr">
        <is>
          <t>DTL-0000125</t>
        </is>
      </c>
      <c r="B128" s="8" t="inlineStr">
        <is>
          <t>ORD-000064</t>
        </is>
      </c>
      <c r="C128" s="10" t="inlineStr">
        <is>
          <t>2024-10-12</t>
        </is>
      </c>
      <c r="D128" s="8" t="inlineStr">
        <is>
          <t>CUST-03544</t>
        </is>
      </c>
      <c r="E128" s="8" t="inlineStr">
        <is>
          <t>PRD-0192</t>
        </is>
      </c>
      <c r="F128" s="8" t="n">
        <v>4</v>
      </c>
      <c r="G128" s="9">
        <f>IFERROR(XLOOKUP(E128, '04_Products'!$A:$A, '04_Products'!$G:$G), 26.26)</f>
        <v/>
      </c>
      <c r="H128" s="9">
        <f>IFERROR(XLOOKUP(E128, '04_Products'!$A:$A, '04_Products'!$F:$F), 0)</f>
        <v/>
      </c>
      <c r="I128" s="9">
        <f>F128*G128</f>
        <v/>
      </c>
      <c r="J128" s="11" t="n">
        <v>0</v>
      </c>
      <c r="K128" s="9">
        <f>I128*J128</f>
        <v/>
      </c>
      <c r="L128" s="9">
        <f>I128-K128</f>
        <v/>
      </c>
      <c r="M128" s="9">
        <f>F128*H128</f>
        <v/>
      </c>
      <c r="N128" s="9">
        <f>L128-M128</f>
        <v/>
      </c>
      <c r="O128" s="11">
        <f>IFERROR(N128/L128, 0)</f>
        <v/>
      </c>
      <c r="P128" s="8">
        <f>YEAR(C128)</f>
        <v/>
      </c>
      <c r="Q128" s="8">
        <f>TEXT(C128, "yyyy-mm")</f>
        <v/>
      </c>
      <c r="R128" s="8" t="inlineStr">
        <is>
          <t>Mobile App</t>
        </is>
      </c>
      <c r="S128" s="8" t="inlineStr">
        <is>
          <t>REG-EU</t>
        </is>
      </c>
    </row>
    <row r="129">
      <c r="A129" s="8" t="inlineStr">
        <is>
          <t>DTL-0000126</t>
        </is>
      </c>
      <c r="B129" s="8" t="inlineStr">
        <is>
          <t>ORD-000064</t>
        </is>
      </c>
      <c r="C129" s="10" t="inlineStr">
        <is>
          <t>2024-10-12</t>
        </is>
      </c>
      <c r="D129" s="8" t="inlineStr">
        <is>
          <t>CUST-03544</t>
        </is>
      </c>
      <c r="E129" s="8" t="inlineStr">
        <is>
          <t>PRD-0388</t>
        </is>
      </c>
      <c r="F129" s="8" t="n">
        <v>1</v>
      </c>
      <c r="G129" s="9">
        <f>IFERROR(XLOOKUP(E129, '04_Products'!$A:$A, '04_Products'!$G:$G), 318.52)</f>
        <v/>
      </c>
      <c r="H129" s="9">
        <f>IFERROR(XLOOKUP(E129, '04_Products'!$A:$A, '04_Products'!$F:$F), 0)</f>
        <v/>
      </c>
      <c r="I129" s="9">
        <f>F129*G129</f>
        <v/>
      </c>
      <c r="J129" s="11" t="n">
        <v>0.05</v>
      </c>
      <c r="K129" s="9">
        <f>I129*J129</f>
        <v/>
      </c>
      <c r="L129" s="9">
        <f>I129-K129</f>
        <v/>
      </c>
      <c r="M129" s="9">
        <f>F129*H129</f>
        <v/>
      </c>
      <c r="N129" s="9">
        <f>L129-M129</f>
        <v/>
      </c>
      <c r="O129" s="11">
        <f>IFERROR(N129/L129, 0)</f>
        <v/>
      </c>
      <c r="P129" s="8">
        <f>YEAR(C129)</f>
        <v/>
      </c>
      <c r="Q129" s="8">
        <f>TEXT(C129, "yyyy-mm")</f>
        <v/>
      </c>
      <c r="R129" s="8" t="inlineStr">
        <is>
          <t>Mobile App</t>
        </is>
      </c>
      <c r="S129" s="8" t="inlineStr">
        <is>
          <t>REG-EU</t>
        </is>
      </c>
    </row>
    <row r="130">
      <c r="A130" s="8" t="inlineStr">
        <is>
          <t>DTL-0000127</t>
        </is>
      </c>
      <c r="B130" s="8" t="inlineStr">
        <is>
          <t>ORD-000064</t>
        </is>
      </c>
      <c r="C130" s="10" t="inlineStr">
        <is>
          <t>2024-10-12</t>
        </is>
      </c>
      <c r="D130" s="8" t="inlineStr">
        <is>
          <t>CUST-03544</t>
        </is>
      </c>
      <c r="E130" s="8" t="inlineStr">
        <is>
          <t>PRD-0385</t>
        </is>
      </c>
      <c r="F130" s="8" t="n">
        <v>1</v>
      </c>
      <c r="G130" s="9">
        <f>IFERROR(XLOOKUP(E130, '04_Products'!$A:$A, '04_Products'!$G:$G), 209.78)</f>
        <v/>
      </c>
      <c r="H130" s="9">
        <f>IFERROR(XLOOKUP(E130, '04_Products'!$A:$A, '04_Products'!$F:$F), 0)</f>
        <v/>
      </c>
      <c r="I130" s="9">
        <f>F130*G130</f>
        <v/>
      </c>
      <c r="J130" s="11" t="n">
        <v>0</v>
      </c>
      <c r="K130" s="9">
        <f>I130*J130</f>
        <v/>
      </c>
      <c r="L130" s="9">
        <f>I130-K130</f>
        <v/>
      </c>
      <c r="M130" s="9">
        <f>F130*H130</f>
        <v/>
      </c>
      <c r="N130" s="9">
        <f>L130-M130</f>
        <v/>
      </c>
      <c r="O130" s="11">
        <f>IFERROR(N130/L130, 0)</f>
        <v/>
      </c>
      <c r="P130" s="8">
        <f>YEAR(C130)</f>
        <v/>
      </c>
      <c r="Q130" s="8">
        <f>TEXT(C130, "yyyy-mm")</f>
        <v/>
      </c>
      <c r="R130" s="8" t="inlineStr">
        <is>
          <t>Mobile App</t>
        </is>
      </c>
      <c r="S130" s="8" t="inlineStr">
        <is>
          <t>REG-EU</t>
        </is>
      </c>
    </row>
    <row r="131">
      <c r="A131" s="8" t="inlineStr">
        <is>
          <t>DTL-0000128</t>
        </is>
      </c>
      <c r="B131" s="8" t="inlineStr">
        <is>
          <t>ORD-000064</t>
        </is>
      </c>
      <c r="C131" s="10" t="inlineStr">
        <is>
          <t>2024-10-12</t>
        </is>
      </c>
      <c r="D131" s="8" t="inlineStr">
        <is>
          <t>CUST-03544</t>
        </is>
      </c>
      <c r="E131" s="8" t="inlineStr">
        <is>
          <t>PRD-0326</t>
        </is>
      </c>
      <c r="F131" s="8" t="n">
        <v>2</v>
      </c>
      <c r="G131" s="9">
        <f>IFERROR(XLOOKUP(E131, '04_Products'!$A:$A, '04_Products'!$G:$G), 886.10)</f>
        <v/>
      </c>
      <c r="H131" s="9">
        <f>IFERROR(XLOOKUP(E131, '04_Products'!$A:$A, '04_Products'!$F:$F), 0)</f>
        <v/>
      </c>
      <c r="I131" s="9">
        <f>F131*G131</f>
        <v/>
      </c>
      <c r="J131" s="11" t="n">
        <v>0</v>
      </c>
      <c r="K131" s="9">
        <f>I131*J131</f>
        <v/>
      </c>
      <c r="L131" s="9">
        <f>I131-K131</f>
        <v/>
      </c>
      <c r="M131" s="9">
        <f>F131*H131</f>
        <v/>
      </c>
      <c r="N131" s="9">
        <f>L131-M131</f>
        <v/>
      </c>
      <c r="O131" s="11">
        <f>IFERROR(N131/L131, 0)</f>
        <v/>
      </c>
      <c r="P131" s="8">
        <f>YEAR(C131)</f>
        <v/>
      </c>
      <c r="Q131" s="8">
        <f>TEXT(C131, "yyyy-mm")</f>
        <v/>
      </c>
      <c r="R131" s="8" t="inlineStr">
        <is>
          <t>Mobile App</t>
        </is>
      </c>
      <c r="S131" s="8" t="inlineStr">
        <is>
          <t>REG-EU</t>
        </is>
      </c>
    </row>
    <row r="132">
      <c r="A132" s="8" t="inlineStr">
        <is>
          <t>DTL-0000129</t>
        </is>
      </c>
      <c r="B132" s="8" t="inlineStr">
        <is>
          <t>ORD-000065</t>
        </is>
      </c>
      <c r="C132" s="10" t="inlineStr">
        <is>
          <t>2024-03-20</t>
        </is>
      </c>
      <c r="D132" s="8" t="inlineStr">
        <is>
          <t>CUST-04887</t>
        </is>
      </c>
      <c r="E132" s="8" t="inlineStr">
        <is>
          <t>PRD-0295</t>
        </is>
      </c>
      <c r="F132" s="8" t="n">
        <v>2</v>
      </c>
      <c r="G132" s="9">
        <f>IFERROR(XLOOKUP(E132, '04_Products'!$A:$A, '04_Products'!$G:$G), 929.31)</f>
        <v/>
      </c>
      <c r="H132" s="9">
        <f>IFERROR(XLOOKUP(E132, '04_Products'!$A:$A, '04_Products'!$F:$F), 0)</f>
        <v/>
      </c>
      <c r="I132" s="9">
        <f>F132*G132</f>
        <v/>
      </c>
      <c r="J132" s="11" t="n">
        <v>0.05</v>
      </c>
      <c r="K132" s="9">
        <f>I132*J132</f>
        <v/>
      </c>
      <c r="L132" s="9">
        <f>I132-K132</f>
        <v/>
      </c>
      <c r="M132" s="9">
        <f>F132*H132</f>
        <v/>
      </c>
      <c r="N132" s="9">
        <f>L132-M132</f>
        <v/>
      </c>
      <c r="O132" s="11">
        <f>IFERROR(N132/L132, 0)</f>
        <v/>
      </c>
      <c r="P132" s="8">
        <f>YEAR(C132)</f>
        <v/>
      </c>
      <c r="Q132" s="8">
        <f>TEXT(C132, "yyyy-mm")</f>
        <v/>
      </c>
      <c r="R132" s="8" t="inlineStr">
        <is>
          <t>Direct Web</t>
        </is>
      </c>
      <c r="S132" s="8" t="inlineStr">
        <is>
          <t>REG-EU</t>
        </is>
      </c>
    </row>
    <row r="133">
      <c r="A133" s="8" t="inlineStr">
        <is>
          <t>DTL-0000130</t>
        </is>
      </c>
      <c r="B133" s="8" t="inlineStr">
        <is>
          <t>ORD-000066</t>
        </is>
      </c>
      <c r="C133" s="10" t="inlineStr">
        <is>
          <t>2025-07-09</t>
        </is>
      </c>
      <c r="D133" s="8" t="inlineStr">
        <is>
          <t>CUST-00805</t>
        </is>
      </c>
      <c r="E133" s="8" t="inlineStr">
        <is>
          <t>PRD-0265</t>
        </is>
      </c>
      <c r="F133" s="8" t="n">
        <v>5</v>
      </c>
      <c r="G133" s="9">
        <f>IFERROR(XLOOKUP(E133, '04_Products'!$A:$A, '04_Products'!$G:$G), 426.80)</f>
        <v/>
      </c>
      <c r="H133" s="9">
        <f>IFERROR(XLOOKUP(E133, '04_Products'!$A:$A, '04_Products'!$F:$F), 0)</f>
        <v/>
      </c>
      <c r="I133" s="9">
        <f>F133*G133</f>
        <v/>
      </c>
      <c r="J133" s="11" t="n">
        <v>0</v>
      </c>
      <c r="K133" s="9">
        <f>I133*J133</f>
        <v/>
      </c>
      <c r="L133" s="9">
        <f>I133-K133</f>
        <v/>
      </c>
      <c r="M133" s="9">
        <f>F133*H133</f>
        <v/>
      </c>
      <c r="N133" s="9">
        <f>L133-M133</f>
        <v/>
      </c>
      <c r="O133" s="11">
        <f>IFERROR(N133/L133, 0)</f>
        <v/>
      </c>
      <c r="P133" s="8">
        <f>YEAR(C133)</f>
        <v/>
      </c>
      <c r="Q133" s="8">
        <f>TEXT(C133, "yyyy-mm")</f>
        <v/>
      </c>
      <c r="R133" s="8" t="inlineStr">
        <is>
          <t>Direct Web</t>
        </is>
      </c>
      <c r="S133" s="8" t="inlineStr">
        <is>
          <t>REG-NA</t>
        </is>
      </c>
    </row>
    <row r="134">
      <c r="A134" s="8" t="inlineStr">
        <is>
          <t>DTL-0000131</t>
        </is>
      </c>
      <c r="B134" s="8" t="inlineStr">
        <is>
          <t>ORD-000066</t>
        </is>
      </c>
      <c r="C134" s="10" t="inlineStr">
        <is>
          <t>2025-07-09</t>
        </is>
      </c>
      <c r="D134" s="8" t="inlineStr">
        <is>
          <t>CUST-00805</t>
        </is>
      </c>
      <c r="E134" s="8" t="inlineStr">
        <is>
          <t>PRD-0045</t>
        </is>
      </c>
      <c r="F134" s="8" t="n">
        <v>1</v>
      </c>
      <c r="G134" s="9">
        <f>IFERROR(XLOOKUP(E134, '04_Products'!$A:$A, '04_Products'!$G:$G), 30.53)</f>
        <v/>
      </c>
      <c r="H134" s="9">
        <f>IFERROR(XLOOKUP(E134, '04_Products'!$A:$A, '04_Products'!$F:$F), 0)</f>
        <v/>
      </c>
      <c r="I134" s="9">
        <f>F134*G134</f>
        <v/>
      </c>
      <c r="J134" s="11" t="n">
        <v>0.2</v>
      </c>
      <c r="K134" s="9">
        <f>I134*J134</f>
        <v/>
      </c>
      <c r="L134" s="9">
        <f>I134-K134</f>
        <v/>
      </c>
      <c r="M134" s="9">
        <f>F134*H134</f>
        <v/>
      </c>
      <c r="N134" s="9">
        <f>L134-M134</f>
        <v/>
      </c>
      <c r="O134" s="11">
        <f>IFERROR(N134/L134, 0)</f>
        <v/>
      </c>
      <c r="P134" s="8">
        <f>YEAR(C134)</f>
        <v/>
      </c>
      <c r="Q134" s="8">
        <f>TEXT(C134, "yyyy-mm")</f>
        <v/>
      </c>
      <c r="R134" s="8" t="inlineStr">
        <is>
          <t>Direct Web</t>
        </is>
      </c>
      <c r="S134" s="8" t="inlineStr">
        <is>
          <t>REG-NA</t>
        </is>
      </c>
    </row>
    <row r="135">
      <c r="A135" s="8" t="inlineStr">
        <is>
          <t>DTL-0000132</t>
        </is>
      </c>
      <c r="B135" s="8" t="inlineStr">
        <is>
          <t>ORD-000066</t>
        </is>
      </c>
      <c r="C135" s="10" t="inlineStr">
        <is>
          <t>2025-07-09</t>
        </is>
      </c>
      <c r="D135" s="8" t="inlineStr">
        <is>
          <t>CUST-00805</t>
        </is>
      </c>
      <c r="E135" s="8" t="inlineStr">
        <is>
          <t>PRD-0160</t>
        </is>
      </c>
      <c r="F135" s="8" t="n">
        <v>1</v>
      </c>
      <c r="G135" s="9">
        <f>IFERROR(XLOOKUP(E135, '04_Products'!$A:$A, '04_Products'!$G:$G), 1076.82)</f>
        <v/>
      </c>
      <c r="H135" s="9">
        <f>IFERROR(XLOOKUP(E135, '04_Products'!$A:$A, '04_Products'!$F:$F), 0)</f>
        <v/>
      </c>
      <c r="I135" s="9">
        <f>F135*G135</f>
        <v/>
      </c>
      <c r="J135" s="11" t="n">
        <v>0.05</v>
      </c>
      <c r="K135" s="9">
        <f>I135*J135</f>
        <v/>
      </c>
      <c r="L135" s="9">
        <f>I135-K135</f>
        <v/>
      </c>
      <c r="M135" s="9">
        <f>F135*H135</f>
        <v/>
      </c>
      <c r="N135" s="9">
        <f>L135-M135</f>
        <v/>
      </c>
      <c r="O135" s="11">
        <f>IFERROR(N135/L135, 0)</f>
        <v/>
      </c>
      <c r="P135" s="8">
        <f>YEAR(C135)</f>
        <v/>
      </c>
      <c r="Q135" s="8">
        <f>TEXT(C135, "yyyy-mm")</f>
        <v/>
      </c>
      <c r="R135" s="8" t="inlineStr">
        <is>
          <t>Direct Web</t>
        </is>
      </c>
      <c r="S135" s="8" t="inlineStr">
        <is>
          <t>REG-NA</t>
        </is>
      </c>
    </row>
    <row r="136">
      <c r="A136" s="8" t="inlineStr">
        <is>
          <t>DTL-0000133</t>
        </is>
      </c>
      <c r="B136" s="8" t="inlineStr">
        <is>
          <t>ORD-000066</t>
        </is>
      </c>
      <c r="C136" s="10" t="inlineStr">
        <is>
          <t>2025-07-09</t>
        </is>
      </c>
      <c r="D136" s="8" t="inlineStr">
        <is>
          <t>CUST-00805</t>
        </is>
      </c>
      <c r="E136" s="8" t="inlineStr">
        <is>
          <t>PRD-0403</t>
        </is>
      </c>
      <c r="F136" s="8" t="n">
        <v>1</v>
      </c>
      <c r="G136" s="9">
        <f>IFERROR(XLOOKUP(E136, '04_Products'!$A:$A, '04_Products'!$G:$G), 213.25)</f>
        <v/>
      </c>
      <c r="H136" s="9">
        <f>IFERROR(XLOOKUP(E136, '04_Products'!$A:$A, '04_Products'!$F:$F), 0)</f>
        <v/>
      </c>
      <c r="I136" s="9">
        <f>F136*G136</f>
        <v/>
      </c>
      <c r="J136" s="11" t="n">
        <v>0</v>
      </c>
      <c r="K136" s="9">
        <f>I136*J136</f>
        <v/>
      </c>
      <c r="L136" s="9">
        <f>I136-K136</f>
        <v/>
      </c>
      <c r="M136" s="9">
        <f>F136*H136</f>
        <v/>
      </c>
      <c r="N136" s="9">
        <f>L136-M136</f>
        <v/>
      </c>
      <c r="O136" s="11">
        <f>IFERROR(N136/L136, 0)</f>
        <v/>
      </c>
      <c r="P136" s="8">
        <f>YEAR(C136)</f>
        <v/>
      </c>
      <c r="Q136" s="8">
        <f>TEXT(C136, "yyyy-mm")</f>
        <v/>
      </c>
      <c r="R136" s="8" t="inlineStr">
        <is>
          <t>Direct Web</t>
        </is>
      </c>
      <c r="S136" s="8" t="inlineStr">
        <is>
          <t>REG-NA</t>
        </is>
      </c>
    </row>
    <row r="137">
      <c r="A137" s="8" t="inlineStr">
        <is>
          <t>DTL-0000134</t>
        </is>
      </c>
      <c r="B137" s="8" t="inlineStr">
        <is>
          <t>ORD-000067</t>
        </is>
      </c>
      <c r="C137" s="10" t="inlineStr">
        <is>
          <t>2024-07-28</t>
        </is>
      </c>
      <c r="D137" s="8" t="inlineStr">
        <is>
          <t>CUST-04544</t>
        </is>
      </c>
      <c r="E137" s="8" t="inlineStr">
        <is>
          <t>PRD-0119</t>
        </is>
      </c>
      <c r="F137" s="8" t="n">
        <v>2</v>
      </c>
      <c r="G137" s="9">
        <f>IFERROR(XLOOKUP(E137, '04_Products'!$A:$A, '04_Products'!$G:$G), 11.35)</f>
        <v/>
      </c>
      <c r="H137" s="9">
        <f>IFERROR(XLOOKUP(E137, '04_Products'!$A:$A, '04_Products'!$F:$F), 0)</f>
        <v/>
      </c>
      <c r="I137" s="9">
        <f>F137*G137</f>
        <v/>
      </c>
      <c r="J137" s="11" t="n">
        <v>0.1</v>
      </c>
      <c r="K137" s="9">
        <f>I137*J137</f>
        <v/>
      </c>
      <c r="L137" s="9">
        <f>I137-K137</f>
        <v/>
      </c>
      <c r="M137" s="9">
        <f>F137*H137</f>
        <v/>
      </c>
      <c r="N137" s="9">
        <f>L137-M137</f>
        <v/>
      </c>
      <c r="O137" s="11">
        <f>IFERROR(N137/L137, 0)</f>
        <v/>
      </c>
      <c r="P137" s="8">
        <f>YEAR(C137)</f>
        <v/>
      </c>
      <c r="Q137" s="8">
        <f>TEXT(C137, "yyyy-mm")</f>
        <v/>
      </c>
      <c r="R137" s="8" t="inlineStr">
        <is>
          <t>Direct Web</t>
        </is>
      </c>
      <c r="S137" s="8" t="inlineStr">
        <is>
          <t>REG-NA</t>
        </is>
      </c>
    </row>
    <row r="138">
      <c r="A138" s="8" t="inlineStr">
        <is>
          <t>DTL-0000135</t>
        </is>
      </c>
      <c r="B138" s="8" t="inlineStr">
        <is>
          <t>ORD-000068</t>
        </is>
      </c>
      <c r="C138" s="10" t="inlineStr">
        <is>
          <t>2025-10-26</t>
        </is>
      </c>
      <c r="D138" s="8" t="inlineStr">
        <is>
          <t>CUST-06734</t>
        </is>
      </c>
      <c r="E138" s="8" t="inlineStr">
        <is>
          <t>PRD-0113</t>
        </is>
      </c>
      <c r="F138" s="8" t="n">
        <v>4</v>
      </c>
      <c r="G138" s="9">
        <f>IFERROR(XLOOKUP(E138, '04_Products'!$A:$A, '04_Products'!$G:$G), 70.09)</f>
        <v/>
      </c>
      <c r="H138" s="9">
        <f>IFERROR(XLOOKUP(E138, '04_Products'!$A:$A, '04_Products'!$F:$F), 0)</f>
        <v/>
      </c>
      <c r="I138" s="9">
        <f>F138*G138</f>
        <v/>
      </c>
      <c r="J138" s="11" t="n">
        <v>0.05</v>
      </c>
      <c r="K138" s="9">
        <f>I138*J138</f>
        <v/>
      </c>
      <c r="L138" s="9">
        <f>I138-K138</f>
        <v/>
      </c>
      <c r="M138" s="9">
        <f>F138*H138</f>
        <v/>
      </c>
      <c r="N138" s="9">
        <f>L138-M138</f>
        <v/>
      </c>
      <c r="O138" s="11">
        <f>IFERROR(N138/L138, 0)</f>
        <v/>
      </c>
      <c r="P138" s="8">
        <f>YEAR(C138)</f>
        <v/>
      </c>
      <c r="Q138" s="8">
        <f>TEXT(C138, "yyyy-mm")</f>
        <v/>
      </c>
      <c r="R138" s="8" t="inlineStr">
        <is>
          <t>Direct Web</t>
        </is>
      </c>
      <c r="S138" s="8" t="inlineStr">
        <is>
          <t>REG-EU</t>
        </is>
      </c>
    </row>
    <row r="139">
      <c r="A139" s="8" t="inlineStr">
        <is>
          <t>DTL-0000136</t>
        </is>
      </c>
      <c r="B139" s="8" t="inlineStr">
        <is>
          <t>ORD-000069</t>
        </is>
      </c>
      <c r="C139" s="10" t="inlineStr">
        <is>
          <t>2024-12-07</t>
        </is>
      </c>
      <c r="D139" s="8" t="inlineStr">
        <is>
          <t>CUST-02379</t>
        </is>
      </c>
      <c r="E139" s="8" t="inlineStr">
        <is>
          <t>PRD-0053</t>
        </is>
      </c>
      <c r="F139" s="8" t="n">
        <v>2</v>
      </c>
      <c r="G139" s="9">
        <f>IFERROR(XLOOKUP(E139, '04_Products'!$A:$A, '04_Products'!$G:$G), 1031.53)</f>
        <v/>
      </c>
      <c r="H139" s="9">
        <f>IFERROR(XLOOKUP(E139, '04_Products'!$A:$A, '04_Products'!$F:$F), 0)</f>
        <v/>
      </c>
      <c r="I139" s="9">
        <f>F139*G139</f>
        <v/>
      </c>
      <c r="J139" s="11" t="n">
        <v>0.1</v>
      </c>
      <c r="K139" s="9">
        <f>I139*J139</f>
        <v/>
      </c>
      <c r="L139" s="9">
        <f>I139-K139</f>
        <v/>
      </c>
      <c r="M139" s="9">
        <f>F139*H139</f>
        <v/>
      </c>
      <c r="N139" s="9">
        <f>L139-M139</f>
        <v/>
      </c>
      <c r="O139" s="11">
        <f>IFERROR(N139/L139, 0)</f>
        <v/>
      </c>
      <c r="P139" s="8">
        <f>YEAR(C139)</f>
        <v/>
      </c>
      <c r="Q139" s="8">
        <f>TEXT(C139, "yyyy-mm")</f>
        <v/>
      </c>
      <c r="R139" s="8" t="inlineStr">
        <is>
          <t>Direct Web</t>
        </is>
      </c>
      <c r="S139" s="8" t="inlineStr">
        <is>
          <t>REG-APAC</t>
        </is>
      </c>
    </row>
    <row r="140">
      <c r="A140" s="8" t="inlineStr">
        <is>
          <t>DTL-0000137</t>
        </is>
      </c>
      <c r="B140" s="8" t="inlineStr">
        <is>
          <t>ORD-000069</t>
        </is>
      </c>
      <c r="C140" s="10" t="inlineStr">
        <is>
          <t>2024-12-07</t>
        </is>
      </c>
      <c r="D140" s="8" t="inlineStr">
        <is>
          <t>CUST-02379</t>
        </is>
      </c>
      <c r="E140" s="8" t="inlineStr">
        <is>
          <t>PRD-0243</t>
        </is>
      </c>
      <c r="F140" s="8" t="n">
        <v>2</v>
      </c>
      <c r="G140" s="9">
        <f>IFERROR(XLOOKUP(E140, '04_Products'!$A:$A, '04_Products'!$G:$G), 510.81)</f>
        <v/>
      </c>
      <c r="H140" s="9">
        <f>IFERROR(XLOOKUP(E140, '04_Products'!$A:$A, '04_Products'!$F:$F), 0)</f>
        <v/>
      </c>
      <c r="I140" s="9">
        <f>F140*G140</f>
        <v/>
      </c>
      <c r="J140" s="11" t="n">
        <v>0.2</v>
      </c>
      <c r="K140" s="9">
        <f>I140*J140</f>
        <v/>
      </c>
      <c r="L140" s="9">
        <f>I140-K140</f>
        <v/>
      </c>
      <c r="M140" s="9">
        <f>F140*H140</f>
        <v/>
      </c>
      <c r="N140" s="9">
        <f>L140-M140</f>
        <v/>
      </c>
      <c r="O140" s="11">
        <f>IFERROR(N140/L140, 0)</f>
        <v/>
      </c>
      <c r="P140" s="8">
        <f>YEAR(C140)</f>
        <v/>
      </c>
      <c r="Q140" s="8">
        <f>TEXT(C140, "yyyy-mm")</f>
        <v/>
      </c>
      <c r="R140" s="8" t="inlineStr">
        <is>
          <t>Direct Web</t>
        </is>
      </c>
      <c r="S140" s="8" t="inlineStr">
        <is>
          <t>REG-APAC</t>
        </is>
      </c>
    </row>
    <row r="141">
      <c r="A141" s="8" t="inlineStr">
        <is>
          <t>DTL-0000138</t>
        </is>
      </c>
      <c r="B141" s="8" t="inlineStr">
        <is>
          <t>ORD-000069</t>
        </is>
      </c>
      <c r="C141" s="10" t="inlineStr">
        <is>
          <t>2024-12-07</t>
        </is>
      </c>
      <c r="D141" s="8" t="inlineStr">
        <is>
          <t>CUST-02379</t>
        </is>
      </c>
      <c r="E141" s="8" t="inlineStr">
        <is>
          <t>PRD-0342</t>
        </is>
      </c>
      <c r="F141" s="8" t="n">
        <v>1</v>
      </c>
      <c r="G141" s="9">
        <f>IFERROR(XLOOKUP(E141, '04_Products'!$A:$A, '04_Products'!$G:$G), 994.42)</f>
        <v/>
      </c>
      <c r="H141" s="9">
        <f>IFERROR(XLOOKUP(E141, '04_Products'!$A:$A, '04_Products'!$F:$F), 0)</f>
        <v/>
      </c>
      <c r="I141" s="9">
        <f>F141*G141</f>
        <v/>
      </c>
      <c r="J141" s="11" t="n">
        <v>0</v>
      </c>
      <c r="K141" s="9">
        <f>I141*J141</f>
        <v/>
      </c>
      <c r="L141" s="9">
        <f>I141-K141</f>
        <v/>
      </c>
      <c r="M141" s="9">
        <f>F141*H141</f>
        <v/>
      </c>
      <c r="N141" s="9">
        <f>L141-M141</f>
        <v/>
      </c>
      <c r="O141" s="11">
        <f>IFERROR(N141/L141, 0)</f>
        <v/>
      </c>
      <c r="P141" s="8">
        <f>YEAR(C141)</f>
        <v/>
      </c>
      <c r="Q141" s="8">
        <f>TEXT(C141, "yyyy-mm")</f>
        <v/>
      </c>
      <c r="R141" s="8" t="inlineStr">
        <is>
          <t>Direct Web</t>
        </is>
      </c>
      <c r="S141" s="8" t="inlineStr">
        <is>
          <t>REG-APAC</t>
        </is>
      </c>
    </row>
    <row r="142">
      <c r="A142" s="8" t="inlineStr">
        <is>
          <t>DTL-0000139</t>
        </is>
      </c>
      <c r="B142" s="8" t="inlineStr">
        <is>
          <t>ORD-000069</t>
        </is>
      </c>
      <c r="C142" s="10" t="inlineStr">
        <is>
          <t>2024-12-07</t>
        </is>
      </c>
      <c r="D142" s="8" t="inlineStr">
        <is>
          <t>CUST-02379</t>
        </is>
      </c>
      <c r="E142" s="8" t="inlineStr">
        <is>
          <t>PRD-0089</t>
        </is>
      </c>
      <c r="F142" s="8" t="n">
        <v>1</v>
      </c>
      <c r="G142" s="9">
        <f>IFERROR(XLOOKUP(E142, '04_Products'!$A:$A, '04_Products'!$G:$G), 638.52)</f>
        <v/>
      </c>
      <c r="H142" s="9">
        <f>IFERROR(XLOOKUP(E142, '04_Products'!$A:$A, '04_Products'!$F:$F), 0)</f>
        <v/>
      </c>
      <c r="I142" s="9">
        <f>F142*G142</f>
        <v/>
      </c>
      <c r="J142" s="11" t="n">
        <v>0</v>
      </c>
      <c r="K142" s="9">
        <f>I142*J142</f>
        <v/>
      </c>
      <c r="L142" s="9">
        <f>I142-K142</f>
        <v/>
      </c>
      <c r="M142" s="9">
        <f>F142*H142</f>
        <v/>
      </c>
      <c r="N142" s="9">
        <f>L142-M142</f>
        <v/>
      </c>
      <c r="O142" s="11">
        <f>IFERROR(N142/L142, 0)</f>
        <v/>
      </c>
      <c r="P142" s="8">
        <f>YEAR(C142)</f>
        <v/>
      </c>
      <c r="Q142" s="8">
        <f>TEXT(C142, "yyyy-mm")</f>
        <v/>
      </c>
      <c r="R142" s="8" t="inlineStr">
        <is>
          <t>Direct Web</t>
        </is>
      </c>
      <c r="S142" s="8" t="inlineStr">
        <is>
          <t>REG-APAC</t>
        </is>
      </c>
    </row>
    <row r="143">
      <c r="A143" s="8" t="inlineStr">
        <is>
          <t>DTL-0000140</t>
        </is>
      </c>
      <c r="B143" s="8" t="inlineStr">
        <is>
          <t>ORD-000069</t>
        </is>
      </c>
      <c r="C143" s="10" t="inlineStr">
        <is>
          <t>2024-12-07</t>
        </is>
      </c>
      <c r="D143" s="8" t="inlineStr">
        <is>
          <t>CUST-02379</t>
        </is>
      </c>
      <c r="E143" s="8" t="inlineStr">
        <is>
          <t>PRD-0240</t>
        </is>
      </c>
      <c r="F143" s="8" t="n">
        <v>1</v>
      </c>
      <c r="G143" s="9">
        <f>IFERROR(XLOOKUP(E143, '04_Products'!$A:$A, '04_Products'!$G:$G), 656.01)</f>
        <v/>
      </c>
      <c r="H143" s="9">
        <f>IFERROR(XLOOKUP(E143, '04_Products'!$A:$A, '04_Products'!$F:$F), 0)</f>
        <v/>
      </c>
      <c r="I143" s="9">
        <f>F143*G143</f>
        <v/>
      </c>
      <c r="J143" s="11" t="n">
        <v>0</v>
      </c>
      <c r="K143" s="9">
        <f>I143*J143</f>
        <v/>
      </c>
      <c r="L143" s="9">
        <f>I143-K143</f>
        <v/>
      </c>
      <c r="M143" s="9">
        <f>F143*H143</f>
        <v/>
      </c>
      <c r="N143" s="9">
        <f>L143-M143</f>
        <v/>
      </c>
      <c r="O143" s="11">
        <f>IFERROR(N143/L143, 0)</f>
        <v/>
      </c>
      <c r="P143" s="8">
        <f>YEAR(C143)</f>
        <v/>
      </c>
      <c r="Q143" s="8">
        <f>TEXT(C143, "yyyy-mm")</f>
        <v/>
      </c>
      <c r="R143" s="8" t="inlineStr">
        <is>
          <t>Direct Web</t>
        </is>
      </c>
      <c r="S143" s="8" t="inlineStr">
        <is>
          <t>REG-APAC</t>
        </is>
      </c>
    </row>
    <row r="144">
      <c r="A144" s="8" t="inlineStr">
        <is>
          <t>DTL-0000141</t>
        </is>
      </c>
      <c r="B144" s="8" t="inlineStr">
        <is>
          <t>ORD-000070</t>
        </is>
      </c>
      <c r="C144" s="10" t="inlineStr">
        <is>
          <t>2025-03-31</t>
        </is>
      </c>
      <c r="D144" s="8" t="inlineStr">
        <is>
          <t>CUST-02185</t>
        </is>
      </c>
      <c r="E144" s="8" t="inlineStr">
        <is>
          <t>PRD-0025</t>
        </is>
      </c>
      <c r="F144" s="8" t="n">
        <v>3</v>
      </c>
      <c r="G144" s="9">
        <f>IFERROR(XLOOKUP(E144, '04_Products'!$A:$A, '04_Products'!$G:$G), 537.57)</f>
        <v/>
      </c>
      <c r="H144" s="9">
        <f>IFERROR(XLOOKUP(E144, '04_Products'!$A:$A, '04_Products'!$F:$F), 0)</f>
        <v/>
      </c>
      <c r="I144" s="9">
        <f>F144*G144</f>
        <v/>
      </c>
      <c r="J144" s="11" t="n">
        <v>0.1</v>
      </c>
      <c r="K144" s="9">
        <f>I144*J144</f>
        <v/>
      </c>
      <c r="L144" s="9">
        <f>I144-K144</f>
        <v/>
      </c>
      <c r="M144" s="9">
        <f>F144*H144</f>
        <v/>
      </c>
      <c r="N144" s="9">
        <f>L144-M144</f>
        <v/>
      </c>
      <c r="O144" s="11">
        <f>IFERROR(N144/L144, 0)</f>
        <v/>
      </c>
      <c r="P144" s="8">
        <f>YEAR(C144)</f>
        <v/>
      </c>
      <c r="Q144" s="8">
        <f>TEXT(C144, "yyyy-mm")</f>
        <v/>
      </c>
      <c r="R144" s="8" t="inlineStr">
        <is>
          <t>Mobile App</t>
        </is>
      </c>
      <c r="S144" s="8" t="inlineStr">
        <is>
          <t>REG-EU</t>
        </is>
      </c>
    </row>
    <row r="145">
      <c r="A145" s="8" t="inlineStr">
        <is>
          <t>DTL-0000142</t>
        </is>
      </c>
      <c r="B145" s="8" t="inlineStr">
        <is>
          <t>ORD-000070</t>
        </is>
      </c>
      <c r="C145" s="10" t="inlineStr">
        <is>
          <t>2025-03-31</t>
        </is>
      </c>
      <c r="D145" s="8" t="inlineStr">
        <is>
          <t>CUST-02185</t>
        </is>
      </c>
      <c r="E145" s="8" t="inlineStr">
        <is>
          <t>PRD-0192</t>
        </is>
      </c>
      <c r="F145" s="8" t="n">
        <v>1</v>
      </c>
      <c r="G145" s="9">
        <f>IFERROR(XLOOKUP(E145, '04_Products'!$A:$A, '04_Products'!$G:$G), 26.26)</f>
        <v/>
      </c>
      <c r="H145" s="9">
        <f>IFERROR(XLOOKUP(E145, '04_Products'!$A:$A, '04_Products'!$F:$F), 0)</f>
        <v/>
      </c>
      <c r="I145" s="9">
        <f>F145*G145</f>
        <v/>
      </c>
      <c r="J145" s="11" t="n">
        <v>0</v>
      </c>
      <c r="K145" s="9">
        <f>I145*J145</f>
        <v/>
      </c>
      <c r="L145" s="9">
        <f>I145-K145</f>
        <v/>
      </c>
      <c r="M145" s="9">
        <f>F145*H145</f>
        <v/>
      </c>
      <c r="N145" s="9">
        <f>L145-M145</f>
        <v/>
      </c>
      <c r="O145" s="11">
        <f>IFERROR(N145/L145, 0)</f>
        <v/>
      </c>
      <c r="P145" s="8">
        <f>YEAR(C145)</f>
        <v/>
      </c>
      <c r="Q145" s="8">
        <f>TEXT(C145, "yyyy-mm")</f>
        <v/>
      </c>
      <c r="R145" s="8" t="inlineStr">
        <is>
          <t>Mobile App</t>
        </is>
      </c>
      <c r="S145" s="8" t="inlineStr">
        <is>
          <t>REG-EU</t>
        </is>
      </c>
    </row>
    <row r="146">
      <c r="A146" s="8" t="inlineStr">
        <is>
          <t>DTL-0000143</t>
        </is>
      </c>
      <c r="B146" s="8" t="inlineStr">
        <is>
          <t>ORD-000071</t>
        </is>
      </c>
      <c r="C146" s="10" t="inlineStr">
        <is>
          <t>2023-12-08</t>
        </is>
      </c>
      <c r="D146" s="8" t="inlineStr">
        <is>
          <t>CUST-01023</t>
        </is>
      </c>
      <c r="E146" s="8" t="inlineStr">
        <is>
          <t>PRD-0143</t>
        </is>
      </c>
      <c r="F146" s="8" t="n">
        <v>2</v>
      </c>
      <c r="G146" s="9">
        <f>IFERROR(XLOOKUP(E146, '04_Products'!$A:$A, '04_Products'!$G:$G), 359.58)</f>
        <v/>
      </c>
      <c r="H146" s="9">
        <f>IFERROR(XLOOKUP(E146, '04_Products'!$A:$A, '04_Products'!$F:$F), 0)</f>
        <v/>
      </c>
      <c r="I146" s="9">
        <f>F146*G146</f>
        <v/>
      </c>
      <c r="J146" s="11" t="n">
        <v>0.05</v>
      </c>
      <c r="K146" s="9">
        <f>I146*J146</f>
        <v/>
      </c>
      <c r="L146" s="9">
        <f>I146-K146</f>
        <v/>
      </c>
      <c r="M146" s="9">
        <f>F146*H146</f>
        <v/>
      </c>
      <c r="N146" s="9">
        <f>L146-M146</f>
        <v/>
      </c>
      <c r="O146" s="11">
        <f>IFERROR(N146/L146, 0)</f>
        <v/>
      </c>
      <c r="P146" s="8">
        <f>YEAR(C146)</f>
        <v/>
      </c>
      <c r="Q146" s="8">
        <f>TEXT(C146, "yyyy-mm")</f>
        <v/>
      </c>
      <c r="R146" s="8" t="inlineStr">
        <is>
          <t>Direct Web</t>
        </is>
      </c>
      <c r="S146" s="8" t="inlineStr">
        <is>
          <t>REG-APAC</t>
        </is>
      </c>
    </row>
    <row r="147">
      <c r="A147" s="8" t="inlineStr">
        <is>
          <t>DTL-0000144</t>
        </is>
      </c>
      <c r="B147" s="8" t="inlineStr">
        <is>
          <t>ORD-000071</t>
        </is>
      </c>
      <c r="C147" s="10" t="inlineStr">
        <is>
          <t>2023-12-08</t>
        </is>
      </c>
      <c r="D147" s="8" t="inlineStr">
        <is>
          <t>CUST-01023</t>
        </is>
      </c>
      <c r="E147" s="8" t="inlineStr">
        <is>
          <t>PRD-0430</t>
        </is>
      </c>
      <c r="F147" s="8" t="n">
        <v>1</v>
      </c>
      <c r="G147" s="9">
        <f>IFERROR(XLOOKUP(E147, '04_Products'!$A:$A, '04_Products'!$G:$G), 105.31)</f>
        <v/>
      </c>
      <c r="H147" s="9">
        <f>IFERROR(XLOOKUP(E147, '04_Products'!$A:$A, '04_Products'!$F:$F), 0)</f>
        <v/>
      </c>
      <c r="I147" s="9">
        <f>F147*G147</f>
        <v/>
      </c>
      <c r="J147" s="11" t="n">
        <v>0.05</v>
      </c>
      <c r="K147" s="9">
        <f>I147*J147</f>
        <v/>
      </c>
      <c r="L147" s="9">
        <f>I147-K147</f>
        <v/>
      </c>
      <c r="M147" s="9">
        <f>F147*H147</f>
        <v/>
      </c>
      <c r="N147" s="9">
        <f>L147-M147</f>
        <v/>
      </c>
      <c r="O147" s="11">
        <f>IFERROR(N147/L147, 0)</f>
        <v/>
      </c>
      <c r="P147" s="8">
        <f>YEAR(C147)</f>
        <v/>
      </c>
      <c r="Q147" s="8">
        <f>TEXT(C147, "yyyy-mm")</f>
        <v/>
      </c>
      <c r="R147" s="8" t="inlineStr">
        <is>
          <t>Direct Web</t>
        </is>
      </c>
      <c r="S147" s="8" t="inlineStr">
        <is>
          <t>REG-APAC</t>
        </is>
      </c>
    </row>
    <row r="148">
      <c r="A148" s="8" t="inlineStr">
        <is>
          <t>DTL-0000145</t>
        </is>
      </c>
      <c r="B148" s="8" t="inlineStr">
        <is>
          <t>ORD-000072</t>
        </is>
      </c>
      <c r="C148" s="10" t="inlineStr">
        <is>
          <t>2023-12-30</t>
        </is>
      </c>
      <c r="D148" s="8" t="inlineStr">
        <is>
          <t>CUST-00187</t>
        </is>
      </c>
      <c r="E148" s="8" t="inlineStr">
        <is>
          <t>PRD-0121</t>
        </is>
      </c>
      <c r="F148" s="8" t="n">
        <v>1</v>
      </c>
      <c r="G148" s="9">
        <f>IFERROR(XLOOKUP(E148, '04_Products'!$A:$A, '04_Products'!$G:$G), 420.86)</f>
        <v/>
      </c>
      <c r="H148" s="9">
        <f>IFERROR(XLOOKUP(E148, '04_Products'!$A:$A, '04_Products'!$F:$F), 0)</f>
        <v/>
      </c>
      <c r="I148" s="9">
        <f>F148*G148</f>
        <v/>
      </c>
      <c r="J148" s="11" t="n">
        <v>0.2</v>
      </c>
      <c r="K148" s="9">
        <f>I148*J148</f>
        <v/>
      </c>
      <c r="L148" s="9">
        <f>I148-K148</f>
        <v/>
      </c>
      <c r="M148" s="9">
        <f>F148*H148</f>
        <v/>
      </c>
      <c r="N148" s="9">
        <f>L148-M148</f>
        <v/>
      </c>
      <c r="O148" s="11">
        <f>IFERROR(N148/L148, 0)</f>
        <v/>
      </c>
      <c r="P148" s="8">
        <f>YEAR(C148)</f>
        <v/>
      </c>
      <c r="Q148" s="8">
        <f>TEXT(C148, "yyyy-mm")</f>
        <v/>
      </c>
      <c r="R148" s="8" t="inlineStr">
        <is>
          <t>Mobile App</t>
        </is>
      </c>
      <c r="S148" s="8" t="inlineStr">
        <is>
          <t>REG-APAC</t>
        </is>
      </c>
    </row>
    <row r="149">
      <c r="A149" s="8" t="inlineStr">
        <is>
          <t>DTL-0000146</t>
        </is>
      </c>
      <c r="B149" s="8" t="inlineStr">
        <is>
          <t>ORD-000073</t>
        </is>
      </c>
      <c r="C149" s="10" t="inlineStr">
        <is>
          <t>2024-07-17</t>
        </is>
      </c>
      <c r="D149" s="8" t="inlineStr">
        <is>
          <t>CUST-07434</t>
        </is>
      </c>
      <c r="E149" s="8" t="inlineStr">
        <is>
          <t>PRD-0135</t>
        </is>
      </c>
      <c r="F149" s="8" t="n">
        <v>1</v>
      </c>
      <c r="G149" s="9">
        <f>IFERROR(XLOOKUP(E149, '04_Products'!$A:$A, '04_Products'!$G:$G), 946.98)</f>
        <v/>
      </c>
      <c r="H149" s="9">
        <f>IFERROR(XLOOKUP(E149, '04_Products'!$A:$A, '04_Products'!$F:$F), 0)</f>
        <v/>
      </c>
      <c r="I149" s="9">
        <f>F149*G149</f>
        <v/>
      </c>
      <c r="J149" s="11" t="n">
        <v>0.05</v>
      </c>
      <c r="K149" s="9">
        <f>I149*J149</f>
        <v/>
      </c>
      <c r="L149" s="9">
        <f>I149-K149</f>
        <v/>
      </c>
      <c r="M149" s="9">
        <f>F149*H149</f>
        <v/>
      </c>
      <c r="N149" s="9">
        <f>L149-M149</f>
        <v/>
      </c>
      <c r="O149" s="11">
        <f>IFERROR(N149/L149, 0)</f>
        <v/>
      </c>
      <c r="P149" s="8">
        <f>YEAR(C149)</f>
        <v/>
      </c>
      <c r="Q149" s="8">
        <f>TEXT(C149, "yyyy-mm")</f>
        <v/>
      </c>
      <c r="R149" s="8" t="inlineStr">
        <is>
          <t>Direct Web</t>
        </is>
      </c>
      <c r="S149" s="8" t="inlineStr">
        <is>
          <t>REG-EU</t>
        </is>
      </c>
    </row>
    <row r="150">
      <c r="A150" s="8" t="inlineStr">
        <is>
          <t>DTL-0000147</t>
        </is>
      </c>
      <c r="B150" s="8" t="inlineStr">
        <is>
          <t>ORD-000073</t>
        </is>
      </c>
      <c r="C150" s="10" t="inlineStr">
        <is>
          <t>2024-07-17</t>
        </is>
      </c>
      <c r="D150" s="8" t="inlineStr">
        <is>
          <t>CUST-07434</t>
        </is>
      </c>
      <c r="E150" s="8" t="inlineStr">
        <is>
          <t>PRD-0344</t>
        </is>
      </c>
      <c r="F150" s="8" t="n">
        <v>3</v>
      </c>
      <c r="G150" s="9">
        <f>IFERROR(XLOOKUP(E150, '04_Products'!$A:$A, '04_Products'!$G:$G), 337.02)</f>
        <v/>
      </c>
      <c r="H150" s="9">
        <f>IFERROR(XLOOKUP(E150, '04_Products'!$A:$A, '04_Products'!$F:$F), 0)</f>
        <v/>
      </c>
      <c r="I150" s="9">
        <f>F150*G150</f>
        <v/>
      </c>
      <c r="J150" s="11" t="n">
        <v>0.25</v>
      </c>
      <c r="K150" s="9">
        <f>I150*J150</f>
        <v/>
      </c>
      <c r="L150" s="9">
        <f>I150-K150</f>
        <v/>
      </c>
      <c r="M150" s="9">
        <f>F150*H150</f>
        <v/>
      </c>
      <c r="N150" s="9">
        <f>L150-M150</f>
        <v/>
      </c>
      <c r="O150" s="11">
        <f>IFERROR(N150/L150, 0)</f>
        <v/>
      </c>
      <c r="P150" s="8">
        <f>YEAR(C150)</f>
        <v/>
      </c>
      <c r="Q150" s="8">
        <f>TEXT(C150, "yyyy-mm")</f>
        <v/>
      </c>
      <c r="R150" s="8" t="inlineStr">
        <is>
          <t>Direct Web</t>
        </is>
      </c>
      <c r="S150" s="8" t="inlineStr">
        <is>
          <t>REG-EU</t>
        </is>
      </c>
    </row>
    <row r="151">
      <c r="A151" s="8" t="inlineStr">
        <is>
          <t>DTL-0000148</t>
        </is>
      </c>
      <c r="B151" s="8" t="inlineStr">
        <is>
          <t>ORD-000073</t>
        </is>
      </c>
      <c r="C151" s="10" t="inlineStr">
        <is>
          <t>2024-07-17</t>
        </is>
      </c>
      <c r="D151" s="8" t="inlineStr">
        <is>
          <t>CUST-07434</t>
        </is>
      </c>
      <c r="E151" s="8" t="inlineStr">
        <is>
          <t>PRD-0133</t>
        </is>
      </c>
      <c r="F151" s="8" t="n">
        <v>1</v>
      </c>
      <c r="G151" s="9">
        <f>IFERROR(XLOOKUP(E151, '04_Products'!$A:$A, '04_Products'!$G:$G), 673.35)</f>
        <v/>
      </c>
      <c r="H151" s="9">
        <f>IFERROR(XLOOKUP(E151, '04_Products'!$A:$A, '04_Products'!$F:$F), 0)</f>
        <v/>
      </c>
      <c r="I151" s="9">
        <f>F151*G151</f>
        <v/>
      </c>
      <c r="J151" s="11" t="n">
        <v>0</v>
      </c>
      <c r="K151" s="9">
        <f>I151*J151</f>
        <v/>
      </c>
      <c r="L151" s="9">
        <f>I151-K151</f>
        <v/>
      </c>
      <c r="M151" s="9">
        <f>F151*H151</f>
        <v/>
      </c>
      <c r="N151" s="9">
        <f>L151-M151</f>
        <v/>
      </c>
      <c r="O151" s="11">
        <f>IFERROR(N151/L151, 0)</f>
        <v/>
      </c>
      <c r="P151" s="8">
        <f>YEAR(C151)</f>
        <v/>
      </c>
      <c r="Q151" s="8">
        <f>TEXT(C151, "yyyy-mm")</f>
        <v/>
      </c>
      <c r="R151" s="8" t="inlineStr">
        <is>
          <t>Direct Web</t>
        </is>
      </c>
      <c r="S151" s="8" t="inlineStr">
        <is>
          <t>REG-EU</t>
        </is>
      </c>
    </row>
    <row r="152">
      <c r="A152" s="8" t="inlineStr">
        <is>
          <t>DTL-0000149</t>
        </is>
      </c>
      <c r="B152" s="8" t="inlineStr">
        <is>
          <t>ORD-000074</t>
        </is>
      </c>
      <c r="C152" s="10" t="inlineStr">
        <is>
          <t>2023-10-07</t>
        </is>
      </c>
      <c r="D152" s="8" t="inlineStr">
        <is>
          <t>CUST-07252</t>
        </is>
      </c>
      <c r="E152" s="8" t="inlineStr">
        <is>
          <t>PRD-0116</t>
        </is>
      </c>
      <c r="F152" s="8" t="n">
        <v>3</v>
      </c>
      <c r="G152" s="9">
        <f>IFERROR(XLOOKUP(E152, '04_Products'!$A:$A, '04_Products'!$G:$G), 177.13)</f>
        <v/>
      </c>
      <c r="H152" s="9">
        <f>IFERROR(XLOOKUP(E152, '04_Products'!$A:$A, '04_Products'!$F:$F), 0)</f>
        <v/>
      </c>
      <c r="I152" s="9">
        <f>F152*G152</f>
        <v/>
      </c>
      <c r="J152" s="11" t="n">
        <v>0</v>
      </c>
      <c r="K152" s="9">
        <f>I152*J152</f>
        <v/>
      </c>
      <c r="L152" s="9">
        <f>I152-K152</f>
        <v/>
      </c>
      <c r="M152" s="9">
        <f>F152*H152</f>
        <v/>
      </c>
      <c r="N152" s="9">
        <f>L152-M152</f>
        <v/>
      </c>
      <c r="O152" s="11">
        <f>IFERROR(N152/L152, 0)</f>
        <v/>
      </c>
      <c r="P152" s="8">
        <f>YEAR(C152)</f>
        <v/>
      </c>
      <c r="Q152" s="8">
        <f>TEXT(C152, "yyyy-mm")</f>
        <v/>
      </c>
      <c r="R152" s="8" t="inlineStr">
        <is>
          <t>Direct Web</t>
        </is>
      </c>
      <c r="S152" s="8" t="inlineStr">
        <is>
          <t>REG-APAC</t>
        </is>
      </c>
    </row>
    <row r="153">
      <c r="A153" s="8" t="inlineStr">
        <is>
          <t>DTL-0000150</t>
        </is>
      </c>
      <c r="B153" s="8" t="inlineStr">
        <is>
          <t>ORD-000074</t>
        </is>
      </c>
      <c r="C153" s="10" t="inlineStr">
        <is>
          <t>2023-10-07</t>
        </is>
      </c>
      <c r="D153" s="8" t="inlineStr">
        <is>
          <t>CUST-07252</t>
        </is>
      </c>
      <c r="E153" s="8" t="inlineStr">
        <is>
          <t>PRD-0018</t>
        </is>
      </c>
      <c r="F153" s="8" t="n">
        <v>1</v>
      </c>
      <c r="G153" s="9">
        <f>IFERROR(XLOOKUP(E153, '04_Products'!$A:$A, '04_Products'!$G:$G), 75.52)</f>
        <v/>
      </c>
      <c r="H153" s="9">
        <f>IFERROR(XLOOKUP(E153, '04_Products'!$A:$A, '04_Products'!$F:$F), 0)</f>
        <v/>
      </c>
      <c r="I153" s="9">
        <f>F153*G153</f>
        <v/>
      </c>
      <c r="J153" s="11" t="n">
        <v>0</v>
      </c>
      <c r="K153" s="9">
        <f>I153*J153</f>
        <v/>
      </c>
      <c r="L153" s="9">
        <f>I153-K153</f>
        <v/>
      </c>
      <c r="M153" s="9">
        <f>F153*H153</f>
        <v/>
      </c>
      <c r="N153" s="9">
        <f>L153-M153</f>
        <v/>
      </c>
      <c r="O153" s="11">
        <f>IFERROR(N153/L153, 0)</f>
        <v/>
      </c>
      <c r="P153" s="8">
        <f>YEAR(C153)</f>
        <v/>
      </c>
      <c r="Q153" s="8">
        <f>TEXT(C153, "yyyy-mm")</f>
        <v/>
      </c>
      <c r="R153" s="8" t="inlineStr">
        <is>
          <t>Direct Web</t>
        </is>
      </c>
      <c r="S153" s="8" t="inlineStr">
        <is>
          <t>REG-APAC</t>
        </is>
      </c>
    </row>
    <row r="154">
      <c r="A154" s="8" t="inlineStr">
        <is>
          <t>DTL-0000151</t>
        </is>
      </c>
      <c r="B154" s="8" t="inlineStr">
        <is>
          <t>ORD-000075</t>
        </is>
      </c>
      <c r="C154" s="10" t="inlineStr">
        <is>
          <t>2023-04-05</t>
        </is>
      </c>
      <c r="D154" s="8" t="inlineStr">
        <is>
          <t>CUST-00940</t>
        </is>
      </c>
      <c r="E154" s="8" t="inlineStr">
        <is>
          <t>PRD-0417</t>
        </is>
      </c>
      <c r="F154" s="8" t="n">
        <v>1</v>
      </c>
      <c r="G154" s="9">
        <f>IFERROR(XLOOKUP(E154, '04_Products'!$A:$A, '04_Products'!$G:$G), 134.04)</f>
        <v/>
      </c>
      <c r="H154" s="9">
        <f>IFERROR(XLOOKUP(E154, '04_Products'!$A:$A, '04_Products'!$F:$F), 0)</f>
        <v/>
      </c>
      <c r="I154" s="9">
        <f>F154*G154</f>
        <v/>
      </c>
      <c r="J154" s="11" t="n">
        <v>0.15</v>
      </c>
      <c r="K154" s="9">
        <f>I154*J154</f>
        <v/>
      </c>
      <c r="L154" s="9">
        <f>I154-K154</f>
        <v/>
      </c>
      <c r="M154" s="9">
        <f>F154*H154</f>
        <v/>
      </c>
      <c r="N154" s="9">
        <f>L154-M154</f>
        <v/>
      </c>
      <c r="O154" s="11">
        <f>IFERROR(N154/L154, 0)</f>
        <v/>
      </c>
      <c r="P154" s="8">
        <f>YEAR(C154)</f>
        <v/>
      </c>
      <c r="Q154" s="8">
        <f>TEXT(C154, "yyyy-mm")</f>
        <v/>
      </c>
      <c r="R154" s="8" t="inlineStr">
        <is>
          <t>Mobile App</t>
        </is>
      </c>
      <c r="S154" s="8" t="inlineStr">
        <is>
          <t>REG-APAC</t>
        </is>
      </c>
    </row>
    <row r="155">
      <c r="A155" s="8" t="inlineStr">
        <is>
          <t>DTL-0000152</t>
        </is>
      </c>
      <c r="B155" s="8" t="inlineStr">
        <is>
          <t>ORD-000075</t>
        </is>
      </c>
      <c r="C155" s="10" t="inlineStr">
        <is>
          <t>2023-04-05</t>
        </is>
      </c>
      <c r="D155" s="8" t="inlineStr">
        <is>
          <t>CUST-00940</t>
        </is>
      </c>
      <c r="E155" s="8" t="inlineStr">
        <is>
          <t>PRD-0358</t>
        </is>
      </c>
      <c r="F155" s="8" t="n">
        <v>1</v>
      </c>
      <c r="G155" s="9">
        <f>IFERROR(XLOOKUP(E155, '04_Products'!$A:$A, '04_Products'!$G:$G), 795.41)</f>
        <v/>
      </c>
      <c r="H155" s="9">
        <f>IFERROR(XLOOKUP(E155, '04_Products'!$A:$A, '04_Products'!$F:$F), 0)</f>
        <v/>
      </c>
      <c r="I155" s="9">
        <f>F155*G155</f>
        <v/>
      </c>
      <c r="J155" s="11" t="n">
        <v>0.1</v>
      </c>
      <c r="K155" s="9">
        <f>I155*J155</f>
        <v/>
      </c>
      <c r="L155" s="9">
        <f>I155-K155</f>
        <v/>
      </c>
      <c r="M155" s="9">
        <f>F155*H155</f>
        <v/>
      </c>
      <c r="N155" s="9">
        <f>L155-M155</f>
        <v/>
      </c>
      <c r="O155" s="11">
        <f>IFERROR(N155/L155, 0)</f>
        <v/>
      </c>
      <c r="P155" s="8">
        <f>YEAR(C155)</f>
        <v/>
      </c>
      <c r="Q155" s="8">
        <f>TEXT(C155, "yyyy-mm")</f>
        <v/>
      </c>
      <c r="R155" s="8" t="inlineStr">
        <is>
          <t>Mobile App</t>
        </is>
      </c>
      <c r="S155" s="8" t="inlineStr">
        <is>
          <t>REG-APAC</t>
        </is>
      </c>
    </row>
    <row r="156">
      <c r="A156" s="8" t="inlineStr">
        <is>
          <t>DTL-0000153</t>
        </is>
      </c>
      <c r="B156" s="8" t="inlineStr">
        <is>
          <t>ORD-000076</t>
        </is>
      </c>
      <c r="C156" s="10" t="inlineStr">
        <is>
          <t>2024-03-24</t>
        </is>
      </c>
      <c r="D156" s="8" t="inlineStr">
        <is>
          <t>CUST-02765</t>
        </is>
      </c>
      <c r="E156" s="8" t="inlineStr">
        <is>
          <t>PRD-0347</t>
        </is>
      </c>
      <c r="F156" s="8" t="n">
        <v>1</v>
      </c>
      <c r="G156" s="9">
        <f>IFERROR(XLOOKUP(E156, '04_Products'!$A:$A, '04_Products'!$G:$G), 197.61)</f>
        <v/>
      </c>
      <c r="H156" s="9">
        <f>IFERROR(XLOOKUP(E156, '04_Products'!$A:$A, '04_Products'!$F:$F), 0)</f>
        <v/>
      </c>
      <c r="I156" s="9">
        <f>F156*G156</f>
        <v/>
      </c>
      <c r="J156" s="11" t="n">
        <v>0.05</v>
      </c>
      <c r="K156" s="9">
        <f>I156*J156</f>
        <v/>
      </c>
      <c r="L156" s="9">
        <f>I156-K156</f>
        <v/>
      </c>
      <c r="M156" s="9">
        <f>F156*H156</f>
        <v/>
      </c>
      <c r="N156" s="9">
        <f>L156-M156</f>
        <v/>
      </c>
      <c r="O156" s="11">
        <f>IFERROR(N156/L156, 0)</f>
        <v/>
      </c>
      <c r="P156" s="8">
        <f>YEAR(C156)</f>
        <v/>
      </c>
      <c r="Q156" s="8">
        <f>TEXT(C156, "yyyy-mm")</f>
        <v/>
      </c>
      <c r="R156" s="8" t="inlineStr">
        <is>
          <t>Mobile App</t>
        </is>
      </c>
      <c r="S156" s="8" t="inlineStr">
        <is>
          <t>REG-NA</t>
        </is>
      </c>
    </row>
    <row r="157">
      <c r="A157" s="8" t="inlineStr">
        <is>
          <t>DTL-0000154</t>
        </is>
      </c>
      <c r="B157" s="8" t="inlineStr">
        <is>
          <t>ORD-000077</t>
        </is>
      </c>
      <c r="C157" s="10" t="inlineStr">
        <is>
          <t>2024-11-26</t>
        </is>
      </c>
      <c r="D157" s="8" t="inlineStr">
        <is>
          <t>CUST-02502</t>
        </is>
      </c>
      <c r="E157" s="8" t="inlineStr">
        <is>
          <t>PRD-0388</t>
        </is>
      </c>
      <c r="F157" s="8" t="n">
        <v>1</v>
      </c>
      <c r="G157" s="9">
        <f>IFERROR(XLOOKUP(E157, '04_Products'!$A:$A, '04_Products'!$G:$G), 318.52)</f>
        <v/>
      </c>
      <c r="H157" s="9">
        <f>IFERROR(XLOOKUP(E157, '04_Products'!$A:$A, '04_Products'!$F:$F), 0)</f>
        <v/>
      </c>
      <c r="I157" s="9">
        <f>F157*G157</f>
        <v/>
      </c>
      <c r="J157" s="11" t="n">
        <v>0.05</v>
      </c>
      <c r="K157" s="9">
        <f>I157*J157</f>
        <v/>
      </c>
      <c r="L157" s="9">
        <f>I157-K157</f>
        <v/>
      </c>
      <c r="M157" s="9">
        <f>F157*H157</f>
        <v/>
      </c>
      <c r="N157" s="9">
        <f>L157-M157</f>
        <v/>
      </c>
      <c r="O157" s="11">
        <f>IFERROR(N157/L157, 0)</f>
        <v/>
      </c>
      <c r="P157" s="8">
        <f>YEAR(C157)</f>
        <v/>
      </c>
      <c r="Q157" s="8">
        <f>TEXT(C157, "yyyy-mm")</f>
        <v/>
      </c>
      <c r="R157" s="8" t="inlineStr">
        <is>
          <t>Mobile App</t>
        </is>
      </c>
      <c r="S157" s="8" t="inlineStr">
        <is>
          <t>REG-EU</t>
        </is>
      </c>
    </row>
    <row r="158">
      <c r="A158" s="8" t="inlineStr">
        <is>
          <t>DTL-0000155</t>
        </is>
      </c>
      <c r="B158" s="8" t="inlineStr">
        <is>
          <t>ORD-000078</t>
        </is>
      </c>
      <c r="C158" s="10" t="inlineStr">
        <is>
          <t>2025-09-23</t>
        </is>
      </c>
      <c r="D158" s="8" t="inlineStr">
        <is>
          <t>CUST-03012</t>
        </is>
      </c>
      <c r="E158" s="8" t="inlineStr">
        <is>
          <t>PRD-0287</t>
        </is>
      </c>
      <c r="F158" s="8" t="n">
        <v>1</v>
      </c>
      <c r="G158" s="9">
        <f>IFERROR(XLOOKUP(E158, '04_Products'!$A:$A, '04_Products'!$G:$G), 214.91)</f>
        <v/>
      </c>
      <c r="H158" s="9">
        <f>IFERROR(XLOOKUP(E158, '04_Products'!$A:$A, '04_Products'!$F:$F), 0)</f>
        <v/>
      </c>
      <c r="I158" s="9">
        <f>F158*G158</f>
        <v/>
      </c>
      <c r="J158" s="11" t="n">
        <v>0.15</v>
      </c>
      <c r="K158" s="9">
        <f>I158*J158</f>
        <v/>
      </c>
      <c r="L158" s="9">
        <f>I158-K158</f>
        <v/>
      </c>
      <c r="M158" s="9">
        <f>F158*H158</f>
        <v/>
      </c>
      <c r="N158" s="9">
        <f>L158-M158</f>
        <v/>
      </c>
      <c r="O158" s="11">
        <f>IFERROR(N158/L158, 0)</f>
        <v/>
      </c>
      <c r="P158" s="8">
        <f>YEAR(C158)</f>
        <v/>
      </c>
      <c r="Q158" s="8">
        <f>TEXT(C158, "yyyy-mm")</f>
        <v/>
      </c>
      <c r="R158" s="8" t="inlineStr">
        <is>
          <t>B2B Portal</t>
        </is>
      </c>
      <c r="S158" s="8" t="inlineStr">
        <is>
          <t>REG-NA</t>
        </is>
      </c>
    </row>
    <row r="159">
      <c r="A159" s="8" t="inlineStr">
        <is>
          <t>DTL-0000156</t>
        </is>
      </c>
      <c r="B159" s="8" t="inlineStr">
        <is>
          <t>ORD-000079</t>
        </is>
      </c>
      <c r="C159" s="10" t="inlineStr">
        <is>
          <t>2023-06-13</t>
        </is>
      </c>
      <c r="D159" s="8" t="inlineStr">
        <is>
          <t>CUST-00938</t>
        </is>
      </c>
      <c r="E159" s="8" t="inlineStr">
        <is>
          <t>PRD-0200</t>
        </is>
      </c>
      <c r="F159" s="8" t="n">
        <v>1</v>
      </c>
      <c r="G159" s="9">
        <f>IFERROR(XLOOKUP(E159, '04_Products'!$A:$A, '04_Products'!$G:$G), 977.00)</f>
        <v/>
      </c>
      <c r="H159" s="9">
        <f>IFERROR(XLOOKUP(E159, '04_Products'!$A:$A, '04_Products'!$F:$F), 0)</f>
        <v/>
      </c>
      <c r="I159" s="9">
        <f>F159*G159</f>
        <v/>
      </c>
      <c r="J159" s="11" t="n">
        <v>0.1</v>
      </c>
      <c r="K159" s="9">
        <f>I159*J159</f>
        <v/>
      </c>
      <c r="L159" s="9">
        <f>I159-K159</f>
        <v/>
      </c>
      <c r="M159" s="9">
        <f>F159*H159</f>
        <v/>
      </c>
      <c r="N159" s="9">
        <f>L159-M159</f>
        <v/>
      </c>
      <c r="O159" s="11">
        <f>IFERROR(N159/L159, 0)</f>
        <v/>
      </c>
      <c r="P159" s="8">
        <f>YEAR(C159)</f>
        <v/>
      </c>
      <c r="Q159" s="8">
        <f>TEXT(C159, "yyyy-mm")</f>
        <v/>
      </c>
      <c r="R159" s="8" t="inlineStr">
        <is>
          <t>B2B Portal</t>
        </is>
      </c>
      <c r="S159" s="8" t="inlineStr">
        <is>
          <t>REG-NA</t>
        </is>
      </c>
    </row>
    <row r="160">
      <c r="A160" s="8" t="inlineStr">
        <is>
          <t>DTL-0000157</t>
        </is>
      </c>
      <c r="B160" s="8" t="inlineStr">
        <is>
          <t>ORD-000079</t>
        </is>
      </c>
      <c r="C160" s="10" t="inlineStr">
        <is>
          <t>2023-06-13</t>
        </is>
      </c>
      <c r="D160" s="8" t="inlineStr">
        <is>
          <t>CUST-00938</t>
        </is>
      </c>
      <c r="E160" s="8" t="inlineStr">
        <is>
          <t>PRD-0371</t>
        </is>
      </c>
      <c r="F160" s="8" t="n">
        <v>1</v>
      </c>
      <c r="G160" s="9">
        <f>IFERROR(XLOOKUP(E160, '04_Products'!$A:$A, '04_Products'!$G:$G), 41.78)</f>
        <v/>
      </c>
      <c r="H160" s="9">
        <f>IFERROR(XLOOKUP(E160, '04_Products'!$A:$A, '04_Products'!$F:$F), 0)</f>
        <v/>
      </c>
      <c r="I160" s="9">
        <f>F160*G160</f>
        <v/>
      </c>
      <c r="J160" s="11" t="n">
        <v>0</v>
      </c>
      <c r="K160" s="9">
        <f>I160*J160</f>
        <v/>
      </c>
      <c r="L160" s="9">
        <f>I160-K160</f>
        <v/>
      </c>
      <c r="M160" s="9">
        <f>F160*H160</f>
        <v/>
      </c>
      <c r="N160" s="9">
        <f>L160-M160</f>
        <v/>
      </c>
      <c r="O160" s="11">
        <f>IFERROR(N160/L160, 0)</f>
        <v/>
      </c>
      <c r="P160" s="8">
        <f>YEAR(C160)</f>
        <v/>
      </c>
      <c r="Q160" s="8">
        <f>TEXT(C160, "yyyy-mm")</f>
        <v/>
      </c>
      <c r="R160" s="8" t="inlineStr">
        <is>
          <t>B2B Portal</t>
        </is>
      </c>
      <c r="S160" s="8" t="inlineStr">
        <is>
          <t>REG-NA</t>
        </is>
      </c>
    </row>
    <row r="161">
      <c r="A161" s="8" t="inlineStr">
        <is>
          <t>DTL-0000158</t>
        </is>
      </c>
      <c r="B161" s="8" t="inlineStr">
        <is>
          <t>ORD-000079</t>
        </is>
      </c>
      <c r="C161" s="10" t="inlineStr">
        <is>
          <t>2023-06-13</t>
        </is>
      </c>
      <c r="D161" s="8" t="inlineStr">
        <is>
          <t>CUST-00938</t>
        </is>
      </c>
      <c r="E161" s="8" t="inlineStr">
        <is>
          <t>PRD-0252</t>
        </is>
      </c>
      <c r="F161" s="8" t="n">
        <v>2</v>
      </c>
      <c r="G161" s="9">
        <f>IFERROR(XLOOKUP(E161, '04_Products'!$A:$A, '04_Products'!$G:$G), 332.85)</f>
        <v/>
      </c>
      <c r="H161" s="9">
        <f>IFERROR(XLOOKUP(E161, '04_Products'!$A:$A, '04_Products'!$F:$F), 0)</f>
        <v/>
      </c>
      <c r="I161" s="9">
        <f>F161*G161</f>
        <v/>
      </c>
      <c r="J161" s="11" t="n">
        <v>0.1</v>
      </c>
      <c r="K161" s="9">
        <f>I161*J161</f>
        <v/>
      </c>
      <c r="L161" s="9">
        <f>I161-K161</f>
        <v/>
      </c>
      <c r="M161" s="9">
        <f>F161*H161</f>
        <v/>
      </c>
      <c r="N161" s="9">
        <f>L161-M161</f>
        <v/>
      </c>
      <c r="O161" s="11">
        <f>IFERROR(N161/L161, 0)</f>
        <v/>
      </c>
      <c r="P161" s="8">
        <f>YEAR(C161)</f>
        <v/>
      </c>
      <c r="Q161" s="8">
        <f>TEXT(C161, "yyyy-mm")</f>
        <v/>
      </c>
      <c r="R161" s="8" t="inlineStr">
        <is>
          <t>B2B Portal</t>
        </is>
      </c>
      <c r="S161" s="8" t="inlineStr">
        <is>
          <t>REG-NA</t>
        </is>
      </c>
    </row>
    <row r="162">
      <c r="A162" s="8" t="inlineStr">
        <is>
          <t>DTL-0000159</t>
        </is>
      </c>
      <c r="B162" s="8" t="inlineStr">
        <is>
          <t>ORD-000079</t>
        </is>
      </c>
      <c r="C162" s="10" t="inlineStr">
        <is>
          <t>2023-06-13</t>
        </is>
      </c>
      <c r="D162" s="8" t="inlineStr">
        <is>
          <t>CUST-00938</t>
        </is>
      </c>
      <c r="E162" s="8" t="inlineStr">
        <is>
          <t>PRD-0349</t>
        </is>
      </c>
      <c r="F162" s="8" t="n">
        <v>1</v>
      </c>
      <c r="G162" s="9">
        <f>IFERROR(XLOOKUP(E162, '04_Products'!$A:$A, '04_Products'!$G:$G), 70.33)</f>
        <v/>
      </c>
      <c r="H162" s="9">
        <f>IFERROR(XLOOKUP(E162, '04_Products'!$A:$A, '04_Products'!$F:$F), 0)</f>
        <v/>
      </c>
      <c r="I162" s="9">
        <f>F162*G162</f>
        <v/>
      </c>
      <c r="J162" s="11" t="n">
        <v>0</v>
      </c>
      <c r="K162" s="9">
        <f>I162*J162</f>
        <v/>
      </c>
      <c r="L162" s="9">
        <f>I162-K162</f>
        <v/>
      </c>
      <c r="M162" s="9">
        <f>F162*H162</f>
        <v/>
      </c>
      <c r="N162" s="9">
        <f>L162-M162</f>
        <v/>
      </c>
      <c r="O162" s="11">
        <f>IFERROR(N162/L162, 0)</f>
        <v/>
      </c>
      <c r="P162" s="8">
        <f>YEAR(C162)</f>
        <v/>
      </c>
      <c r="Q162" s="8">
        <f>TEXT(C162, "yyyy-mm")</f>
        <v/>
      </c>
      <c r="R162" s="8" t="inlineStr">
        <is>
          <t>B2B Portal</t>
        </is>
      </c>
      <c r="S162" s="8" t="inlineStr">
        <is>
          <t>REG-NA</t>
        </is>
      </c>
    </row>
    <row r="163">
      <c r="A163" s="8" t="inlineStr">
        <is>
          <t>DTL-0000160</t>
        </is>
      </c>
      <c r="B163" s="8" t="inlineStr">
        <is>
          <t>ORD-000080</t>
        </is>
      </c>
      <c r="C163" s="10" t="inlineStr">
        <is>
          <t>2024-11-28</t>
        </is>
      </c>
      <c r="D163" s="8" t="inlineStr">
        <is>
          <t>CUST-02410</t>
        </is>
      </c>
      <c r="E163" s="8" t="inlineStr">
        <is>
          <t>PRD-0418</t>
        </is>
      </c>
      <c r="F163" s="8" t="n">
        <v>1</v>
      </c>
      <c r="G163" s="9">
        <f>IFERROR(XLOOKUP(E163, '04_Products'!$A:$A, '04_Products'!$G:$G), 287.35)</f>
        <v/>
      </c>
      <c r="H163" s="9">
        <f>IFERROR(XLOOKUP(E163, '04_Products'!$A:$A, '04_Products'!$F:$F), 0)</f>
        <v/>
      </c>
      <c r="I163" s="9">
        <f>F163*G163</f>
        <v/>
      </c>
      <c r="J163" s="11" t="n">
        <v>0</v>
      </c>
      <c r="K163" s="9">
        <f>I163*J163</f>
        <v/>
      </c>
      <c r="L163" s="9">
        <f>I163-K163</f>
        <v/>
      </c>
      <c r="M163" s="9">
        <f>F163*H163</f>
        <v/>
      </c>
      <c r="N163" s="9">
        <f>L163-M163</f>
        <v/>
      </c>
      <c r="O163" s="11">
        <f>IFERROR(N163/L163, 0)</f>
        <v/>
      </c>
      <c r="P163" s="8">
        <f>YEAR(C163)</f>
        <v/>
      </c>
      <c r="Q163" s="8">
        <f>TEXT(C163, "yyyy-mm")</f>
        <v/>
      </c>
      <c r="R163" s="8" t="inlineStr">
        <is>
          <t>Direct Web</t>
        </is>
      </c>
      <c r="S163" s="8" t="inlineStr">
        <is>
          <t>REG-NA</t>
        </is>
      </c>
    </row>
    <row r="164">
      <c r="A164" s="8" t="inlineStr">
        <is>
          <t>DTL-0000161</t>
        </is>
      </c>
      <c r="B164" s="8" t="inlineStr">
        <is>
          <t>ORD-000080</t>
        </is>
      </c>
      <c r="C164" s="10" t="inlineStr">
        <is>
          <t>2024-11-28</t>
        </is>
      </c>
      <c r="D164" s="8" t="inlineStr">
        <is>
          <t>CUST-02410</t>
        </is>
      </c>
      <c r="E164" s="8" t="inlineStr">
        <is>
          <t>PRD-0346</t>
        </is>
      </c>
      <c r="F164" s="8" t="n">
        <v>1</v>
      </c>
      <c r="G164" s="9">
        <f>IFERROR(XLOOKUP(E164, '04_Products'!$A:$A, '04_Products'!$G:$G), 61.49)</f>
        <v/>
      </c>
      <c r="H164" s="9">
        <f>IFERROR(XLOOKUP(E164, '04_Products'!$A:$A, '04_Products'!$F:$F), 0)</f>
        <v/>
      </c>
      <c r="I164" s="9">
        <f>F164*G164</f>
        <v/>
      </c>
      <c r="J164" s="11" t="n">
        <v>0.25</v>
      </c>
      <c r="K164" s="9">
        <f>I164*J164</f>
        <v/>
      </c>
      <c r="L164" s="9">
        <f>I164-K164</f>
        <v/>
      </c>
      <c r="M164" s="9">
        <f>F164*H164</f>
        <v/>
      </c>
      <c r="N164" s="9">
        <f>L164-M164</f>
        <v/>
      </c>
      <c r="O164" s="11">
        <f>IFERROR(N164/L164, 0)</f>
        <v/>
      </c>
      <c r="P164" s="8">
        <f>YEAR(C164)</f>
        <v/>
      </c>
      <c r="Q164" s="8">
        <f>TEXT(C164, "yyyy-mm")</f>
        <v/>
      </c>
      <c r="R164" s="8" t="inlineStr">
        <is>
          <t>Direct Web</t>
        </is>
      </c>
      <c r="S164" s="8" t="inlineStr">
        <is>
          <t>REG-NA</t>
        </is>
      </c>
    </row>
    <row r="165">
      <c r="A165" s="8" t="inlineStr">
        <is>
          <t>DTL-0000162</t>
        </is>
      </c>
      <c r="B165" s="8" t="inlineStr">
        <is>
          <t>ORD-000081</t>
        </is>
      </c>
      <c r="C165" s="10" t="inlineStr">
        <is>
          <t>2024-03-28</t>
        </is>
      </c>
      <c r="D165" s="8" t="inlineStr">
        <is>
          <t>CUST-01064</t>
        </is>
      </c>
      <c r="E165" s="8" t="inlineStr">
        <is>
          <t>PRD-0285</t>
        </is>
      </c>
      <c r="F165" s="8" t="n">
        <v>1</v>
      </c>
      <c r="G165" s="9">
        <f>IFERROR(XLOOKUP(E165, '04_Products'!$A:$A, '04_Products'!$G:$G), 269.59)</f>
        <v/>
      </c>
      <c r="H165" s="9">
        <f>IFERROR(XLOOKUP(E165, '04_Products'!$A:$A, '04_Products'!$F:$F), 0)</f>
        <v/>
      </c>
      <c r="I165" s="9">
        <f>F165*G165</f>
        <v/>
      </c>
      <c r="J165" s="11" t="n">
        <v>0.3</v>
      </c>
      <c r="K165" s="9">
        <f>I165*J165</f>
        <v/>
      </c>
      <c r="L165" s="9">
        <f>I165-K165</f>
        <v/>
      </c>
      <c r="M165" s="9">
        <f>F165*H165</f>
        <v/>
      </c>
      <c r="N165" s="9">
        <f>L165-M165</f>
        <v/>
      </c>
      <c r="O165" s="11">
        <f>IFERROR(N165/L165, 0)</f>
        <v/>
      </c>
      <c r="P165" s="8">
        <f>YEAR(C165)</f>
        <v/>
      </c>
      <c r="Q165" s="8">
        <f>TEXT(C165, "yyyy-mm")</f>
        <v/>
      </c>
      <c r="R165" s="8" t="inlineStr">
        <is>
          <t>Affiliate Partner</t>
        </is>
      </c>
      <c r="S165" s="8" t="inlineStr">
        <is>
          <t>REG-EU</t>
        </is>
      </c>
    </row>
    <row r="166">
      <c r="A166" s="8" t="inlineStr">
        <is>
          <t>DTL-0000164</t>
        </is>
      </c>
      <c r="B166" s="8" t="inlineStr">
        <is>
          <t>ORD-000083</t>
        </is>
      </c>
      <c r="C166" s="10" t="inlineStr">
        <is>
          <t>2023-12-12</t>
        </is>
      </c>
      <c r="D166" s="8" t="inlineStr">
        <is>
          <t>CUST-03910</t>
        </is>
      </c>
      <c r="E166" s="8" t="inlineStr">
        <is>
          <t>PRD-0133</t>
        </is>
      </c>
      <c r="F166" s="8" t="n">
        <v>3</v>
      </c>
      <c r="G166" s="9">
        <f>IFERROR(XLOOKUP(E166, '04_Products'!$A:$A, '04_Products'!$G:$G), 673.35)</f>
        <v/>
      </c>
      <c r="H166" s="9">
        <f>IFERROR(XLOOKUP(E166, '04_Products'!$A:$A, '04_Products'!$F:$F), 0)</f>
        <v/>
      </c>
      <c r="I166" s="9">
        <f>F166*G166</f>
        <v/>
      </c>
      <c r="J166" s="11" t="n">
        <v>0.2</v>
      </c>
      <c r="K166" s="9">
        <f>I166*J166</f>
        <v/>
      </c>
      <c r="L166" s="9">
        <f>I166-K166</f>
        <v/>
      </c>
      <c r="M166" s="9">
        <f>F166*H166</f>
        <v/>
      </c>
      <c r="N166" s="9">
        <f>L166-M166</f>
        <v/>
      </c>
      <c r="O166" s="11">
        <f>IFERROR(N166/L166, 0)</f>
        <v/>
      </c>
      <c r="P166" s="8">
        <f>YEAR(C166)</f>
        <v/>
      </c>
      <c r="Q166" s="8">
        <f>TEXT(C166, "yyyy-mm")</f>
        <v/>
      </c>
      <c r="R166" s="8" t="inlineStr">
        <is>
          <t>Direct Web</t>
        </is>
      </c>
      <c r="S166" s="8" t="inlineStr">
        <is>
          <t>REG-LATAM</t>
        </is>
      </c>
    </row>
    <row r="167">
      <c r="A167" s="8" t="inlineStr">
        <is>
          <t>DTL-0000165</t>
        </is>
      </c>
      <c r="B167" s="8" t="inlineStr">
        <is>
          <t>ORD-000083</t>
        </is>
      </c>
      <c r="C167" s="10" t="inlineStr">
        <is>
          <t>2023-12-12</t>
        </is>
      </c>
      <c r="D167" s="8" t="inlineStr">
        <is>
          <t>CUST-03910</t>
        </is>
      </c>
      <c r="E167" s="8" t="inlineStr">
        <is>
          <t>PRD-0240</t>
        </is>
      </c>
      <c r="F167" s="8" t="n">
        <v>1</v>
      </c>
      <c r="G167" s="9">
        <f>IFERROR(XLOOKUP(E167, '04_Products'!$A:$A, '04_Products'!$G:$G), 656.01)</f>
        <v/>
      </c>
      <c r="H167" s="9">
        <f>IFERROR(XLOOKUP(E167, '04_Products'!$A:$A, '04_Products'!$F:$F), 0)</f>
        <v/>
      </c>
      <c r="I167" s="9">
        <f>F167*G167</f>
        <v/>
      </c>
      <c r="J167" s="11" t="n">
        <v>0.05</v>
      </c>
      <c r="K167" s="9">
        <f>I167*J167</f>
        <v/>
      </c>
      <c r="L167" s="9">
        <f>I167-K167</f>
        <v/>
      </c>
      <c r="M167" s="9">
        <f>F167*H167</f>
        <v/>
      </c>
      <c r="N167" s="9">
        <f>L167-M167</f>
        <v/>
      </c>
      <c r="O167" s="11">
        <f>IFERROR(N167/L167, 0)</f>
        <v/>
      </c>
      <c r="P167" s="8">
        <f>YEAR(C167)</f>
        <v/>
      </c>
      <c r="Q167" s="8">
        <f>TEXT(C167, "yyyy-mm")</f>
        <v/>
      </c>
      <c r="R167" s="8" t="inlineStr">
        <is>
          <t>Direct Web</t>
        </is>
      </c>
      <c r="S167" s="8" t="inlineStr">
        <is>
          <t>REG-LATAM</t>
        </is>
      </c>
    </row>
    <row r="168">
      <c r="A168" s="8" t="inlineStr">
        <is>
          <t>DTL-0000166</t>
        </is>
      </c>
      <c r="B168" s="8" t="inlineStr">
        <is>
          <t>ORD-000084</t>
        </is>
      </c>
      <c r="C168" s="10" t="inlineStr">
        <is>
          <t>2024-09-05</t>
        </is>
      </c>
      <c r="D168" s="8" t="inlineStr">
        <is>
          <t>CUST-00136</t>
        </is>
      </c>
      <c r="E168" s="8" t="inlineStr">
        <is>
          <t>PRD-0119</t>
        </is>
      </c>
      <c r="F168" s="8" t="n">
        <v>8</v>
      </c>
      <c r="G168" s="9">
        <f>IFERROR(XLOOKUP(E168, '04_Products'!$A:$A, '04_Products'!$G:$G), 11.35)</f>
        <v/>
      </c>
      <c r="H168" s="9">
        <f>IFERROR(XLOOKUP(E168, '04_Products'!$A:$A, '04_Products'!$F:$F), 0)</f>
        <v/>
      </c>
      <c r="I168" s="9">
        <f>F168*G168</f>
        <v/>
      </c>
      <c r="J168" s="11" t="n">
        <v>0</v>
      </c>
      <c r="K168" s="9">
        <f>I168*J168</f>
        <v/>
      </c>
      <c r="L168" s="9">
        <f>I168-K168</f>
        <v/>
      </c>
      <c r="M168" s="9">
        <f>F168*H168</f>
        <v/>
      </c>
      <c r="N168" s="9">
        <f>L168-M168</f>
        <v/>
      </c>
      <c r="O168" s="11">
        <f>IFERROR(N168/L168, 0)</f>
        <v/>
      </c>
      <c r="P168" s="8">
        <f>YEAR(C168)</f>
        <v/>
      </c>
      <c r="Q168" s="8">
        <f>TEXT(C168, "yyyy-mm")</f>
        <v/>
      </c>
      <c r="R168" s="8" t="inlineStr">
        <is>
          <t>Direct Web</t>
        </is>
      </c>
      <c r="S168" s="8" t="inlineStr">
        <is>
          <t>REG-NA</t>
        </is>
      </c>
    </row>
    <row r="169">
      <c r="A169" s="8" t="inlineStr">
        <is>
          <t>DTL-0000167</t>
        </is>
      </c>
      <c r="B169" s="8" t="inlineStr">
        <is>
          <t>ORD-000085</t>
        </is>
      </c>
      <c r="C169" s="10" t="inlineStr">
        <is>
          <t>2024-09-01</t>
        </is>
      </c>
      <c r="D169" s="8" t="inlineStr">
        <is>
          <t>CUST-05314</t>
        </is>
      </c>
      <c r="E169" s="8" t="inlineStr">
        <is>
          <t>PRD-0003</t>
        </is>
      </c>
      <c r="F169" s="8" t="n">
        <v>1</v>
      </c>
      <c r="G169" s="9">
        <f>IFERROR(XLOOKUP(E169, '04_Products'!$A:$A, '04_Products'!$G:$G), 807.39)</f>
        <v/>
      </c>
      <c r="H169" s="9">
        <f>IFERROR(XLOOKUP(E169, '04_Products'!$A:$A, '04_Products'!$F:$F), 0)</f>
        <v/>
      </c>
      <c r="I169" s="9">
        <f>F169*G169</f>
        <v/>
      </c>
      <c r="J169" s="11" t="n">
        <v>0.05</v>
      </c>
      <c r="K169" s="9">
        <f>I169*J169</f>
        <v/>
      </c>
      <c r="L169" s="9">
        <f>I169-K169</f>
        <v/>
      </c>
      <c r="M169" s="9">
        <f>F169*H169</f>
        <v/>
      </c>
      <c r="N169" s="9">
        <f>L169-M169</f>
        <v/>
      </c>
      <c r="O169" s="11">
        <f>IFERROR(N169/L169, 0)</f>
        <v/>
      </c>
      <c r="P169" s="8">
        <f>YEAR(C169)</f>
        <v/>
      </c>
      <c r="Q169" s="8">
        <f>TEXT(C169, "yyyy-mm")</f>
        <v/>
      </c>
      <c r="R169" s="8" t="inlineStr">
        <is>
          <t>Direct Web</t>
        </is>
      </c>
      <c r="S169" s="8" t="inlineStr">
        <is>
          <t>REG-LATAM</t>
        </is>
      </c>
    </row>
    <row r="170">
      <c r="A170" s="8" t="inlineStr">
        <is>
          <t>DTL-0000168</t>
        </is>
      </c>
      <c r="B170" s="8" t="inlineStr">
        <is>
          <t>ORD-000085</t>
        </is>
      </c>
      <c r="C170" s="10" t="inlineStr">
        <is>
          <t>2024-09-01</t>
        </is>
      </c>
      <c r="D170" s="8" t="inlineStr">
        <is>
          <t>CUST-05314</t>
        </is>
      </c>
      <c r="E170" s="8" t="inlineStr">
        <is>
          <t>PRD-0348</t>
        </is>
      </c>
      <c r="F170" s="8" t="n">
        <v>4</v>
      </c>
      <c r="G170" s="9">
        <f>IFERROR(XLOOKUP(E170, '04_Products'!$A:$A, '04_Products'!$G:$G), 792.82)</f>
        <v/>
      </c>
      <c r="H170" s="9">
        <f>IFERROR(XLOOKUP(E170, '04_Products'!$A:$A, '04_Products'!$F:$F), 0)</f>
        <v/>
      </c>
      <c r="I170" s="9">
        <f>F170*G170</f>
        <v/>
      </c>
      <c r="J170" s="11" t="n">
        <v>0.1</v>
      </c>
      <c r="K170" s="9">
        <f>I170*J170</f>
        <v/>
      </c>
      <c r="L170" s="9">
        <f>I170-K170</f>
        <v/>
      </c>
      <c r="M170" s="9">
        <f>F170*H170</f>
        <v/>
      </c>
      <c r="N170" s="9">
        <f>L170-M170</f>
        <v/>
      </c>
      <c r="O170" s="11">
        <f>IFERROR(N170/L170, 0)</f>
        <v/>
      </c>
      <c r="P170" s="8">
        <f>YEAR(C170)</f>
        <v/>
      </c>
      <c r="Q170" s="8">
        <f>TEXT(C170, "yyyy-mm")</f>
        <v/>
      </c>
      <c r="R170" s="8" t="inlineStr">
        <is>
          <t>Direct Web</t>
        </is>
      </c>
      <c r="S170" s="8" t="inlineStr">
        <is>
          <t>REG-LATAM</t>
        </is>
      </c>
    </row>
    <row r="171">
      <c r="A171" s="8" t="inlineStr">
        <is>
          <t>DTL-0000169</t>
        </is>
      </c>
      <c r="B171" s="8" t="inlineStr">
        <is>
          <t>ORD-000085</t>
        </is>
      </c>
      <c r="C171" s="10" t="inlineStr">
        <is>
          <t>2024-09-01</t>
        </is>
      </c>
      <c r="D171" s="8" t="inlineStr">
        <is>
          <t>CUST-05314</t>
        </is>
      </c>
      <c r="E171" s="8" t="inlineStr">
        <is>
          <t>PRD-0459</t>
        </is>
      </c>
      <c r="F171" s="8" t="n">
        <v>2</v>
      </c>
      <c r="G171" s="9">
        <f>IFERROR(XLOOKUP(E171, '04_Products'!$A:$A, '04_Products'!$G:$G), 55.95)</f>
        <v/>
      </c>
      <c r="H171" s="9">
        <f>IFERROR(XLOOKUP(E171, '04_Products'!$A:$A, '04_Products'!$F:$F), 0)</f>
        <v/>
      </c>
      <c r="I171" s="9">
        <f>F171*G171</f>
        <v/>
      </c>
      <c r="J171" s="11" t="n">
        <v>0.05</v>
      </c>
      <c r="K171" s="9">
        <f>I171*J171</f>
        <v/>
      </c>
      <c r="L171" s="9">
        <f>I171-K171</f>
        <v/>
      </c>
      <c r="M171" s="9">
        <f>F171*H171</f>
        <v/>
      </c>
      <c r="N171" s="9">
        <f>L171-M171</f>
        <v/>
      </c>
      <c r="O171" s="11">
        <f>IFERROR(N171/L171, 0)</f>
        <v/>
      </c>
      <c r="P171" s="8">
        <f>YEAR(C171)</f>
        <v/>
      </c>
      <c r="Q171" s="8">
        <f>TEXT(C171, "yyyy-mm")</f>
        <v/>
      </c>
      <c r="R171" s="8" t="inlineStr">
        <is>
          <t>Direct Web</t>
        </is>
      </c>
      <c r="S171" s="8" t="inlineStr">
        <is>
          <t>REG-LATAM</t>
        </is>
      </c>
    </row>
    <row r="172">
      <c r="A172" s="8" t="inlineStr">
        <is>
          <t>DTL-0000170</t>
        </is>
      </c>
      <c r="B172" s="8" t="inlineStr">
        <is>
          <t>ORD-000085</t>
        </is>
      </c>
      <c r="C172" s="10" t="inlineStr">
        <is>
          <t>2024-09-01</t>
        </is>
      </c>
      <c r="D172" s="8" t="inlineStr">
        <is>
          <t>CUST-05314</t>
        </is>
      </c>
      <c r="E172" s="8" t="inlineStr">
        <is>
          <t>PRD-0037</t>
        </is>
      </c>
      <c r="F172" s="8" t="n">
        <v>1</v>
      </c>
      <c r="G172" s="9">
        <f>IFERROR(XLOOKUP(E172, '04_Products'!$A:$A, '04_Products'!$G:$G), 499.93)</f>
        <v/>
      </c>
      <c r="H172" s="9">
        <f>IFERROR(XLOOKUP(E172, '04_Products'!$A:$A, '04_Products'!$F:$F), 0)</f>
        <v/>
      </c>
      <c r="I172" s="9">
        <f>F172*G172</f>
        <v/>
      </c>
      <c r="J172" s="11" t="n">
        <v>0</v>
      </c>
      <c r="K172" s="9">
        <f>I172*J172</f>
        <v/>
      </c>
      <c r="L172" s="9">
        <f>I172-K172</f>
        <v/>
      </c>
      <c r="M172" s="9">
        <f>F172*H172</f>
        <v/>
      </c>
      <c r="N172" s="9">
        <f>L172-M172</f>
        <v/>
      </c>
      <c r="O172" s="11">
        <f>IFERROR(N172/L172, 0)</f>
        <v/>
      </c>
      <c r="P172" s="8">
        <f>YEAR(C172)</f>
        <v/>
      </c>
      <c r="Q172" s="8">
        <f>TEXT(C172, "yyyy-mm")</f>
        <v/>
      </c>
      <c r="R172" s="8" t="inlineStr">
        <is>
          <t>Direct Web</t>
        </is>
      </c>
      <c r="S172" s="8" t="inlineStr">
        <is>
          <t>REG-LATAM</t>
        </is>
      </c>
    </row>
    <row r="173">
      <c r="A173" s="8" t="inlineStr">
        <is>
          <t>DTL-0000171</t>
        </is>
      </c>
      <c r="B173" s="8" t="inlineStr">
        <is>
          <t>ORD-000086</t>
        </is>
      </c>
      <c r="C173" s="10" t="inlineStr">
        <is>
          <t>2025-03-24</t>
        </is>
      </c>
      <c r="D173" s="8" t="inlineStr">
        <is>
          <t>CUST-01200</t>
        </is>
      </c>
      <c r="E173" s="8" t="inlineStr">
        <is>
          <t>PRD-0034</t>
        </is>
      </c>
      <c r="F173" s="8" t="n">
        <v>1</v>
      </c>
      <c r="G173" s="9">
        <f>IFERROR(XLOOKUP(E173, '04_Products'!$A:$A, '04_Products'!$G:$G), 52.58)</f>
        <v/>
      </c>
      <c r="H173" s="9">
        <f>IFERROR(XLOOKUP(E173, '04_Products'!$A:$A, '04_Products'!$F:$F), 0)</f>
        <v/>
      </c>
      <c r="I173" s="9">
        <f>F173*G173</f>
        <v/>
      </c>
      <c r="J173" s="11" t="n">
        <v>0.05</v>
      </c>
      <c r="K173" s="9">
        <f>I173*J173</f>
        <v/>
      </c>
      <c r="L173" s="9">
        <f>I173-K173</f>
        <v/>
      </c>
      <c r="M173" s="9">
        <f>F173*H173</f>
        <v/>
      </c>
      <c r="N173" s="9">
        <f>L173-M173</f>
        <v/>
      </c>
      <c r="O173" s="11">
        <f>IFERROR(N173/L173, 0)</f>
        <v/>
      </c>
      <c r="P173" s="8">
        <f>YEAR(C173)</f>
        <v/>
      </c>
      <c r="Q173" s="8">
        <f>TEXT(C173, "yyyy-mm")</f>
        <v/>
      </c>
      <c r="R173" s="8" t="inlineStr">
        <is>
          <t>Mobile App</t>
        </is>
      </c>
      <c r="S173" s="8" t="inlineStr">
        <is>
          <t>REG-EU</t>
        </is>
      </c>
    </row>
    <row r="174">
      <c r="A174" s="8" t="inlineStr">
        <is>
          <t>DTL-0000172</t>
        </is>
      </c>
      <c r="B174" s="8" t="inlineStr">
        <is>
          <t>ORD-000086</t>
        </is>
      </c>
      <c r="C174" s="10" t="inlineStr">
        <is>
          <t>2025-03-24</t>
        </is>
      </c>
      <c r="D174" s="8" t="inlineStr">
        <is>
          <t>CUST-01200</t>
        </is>
      </c>
      <c r="E174" s="8" t="inlineStr">
        <is>
          <t>PRD-0308</t>
        </is>
      </c>
      <c r="F174" s="8" t="n">
        <v>1</v>
      </c>
      <c r="G174" s="9">
        <f>IFERROR(XLOOKUP(E174, '04_Products'!$A:$A, '04_Products'!$G:$G), 61.03)</f>
        <v/>
      </c>
      <c r="H174" s="9">
        <f>IFERROR(XLOOKUP(E174, '04_Products'!$A:$A, '04_Products'!$F:$F), 0)</f>
        <v/>
      </c>
      <c r="I174" s="9">
        <f>F174*G174</f>
        <v/>
      </c>
      <c r="J174" s="11" t="n">
        <v>0</v>
      </c>
      <c r="K174" s="9">
        <f>I174*J174</f>
        <v/>
      </c>
      <c r="L174" s="9">
        <f>I174-K174</f>
        <v/>
      </c>
      <c r="M174" s="9">
        <f>F174*H174</f>
        <v/>
      </c>
      <c r="N174" s="9">
        <f>L174-M174</f>
        <v/>
      </c>
      <c r="O174" s="11">
        <f>IFERROR(N174/L174, 0)</f>
        <v/>
      </c>
      <c r="P174" s="8">
        <f>YEAR(C174)</f>
        <v/>
      </c>
      <c r="Q174" s="8">
        <f>TEXT(C174, "yyyy-mm")</f>
        <v/>
      </c>
      <c r="R174" s="8" t="inlineStr">
        <is>
          <t>Mobile App</t>
        </is>
      </c>
      <c r="S174" s="8" t="inlineStr">
        <is>
          <t>REG-EU</t>
        </is>
      </c>
    </row>
    <row r="175">
      <c r="A175" s="8" t="inlineStr">
        <is>
          <t>DTL-0000173</t>
        </is>
      </c>
      <c r="B175" s="8" t="inlineStr">
        <is>
          <t>ORD-000086</t>
        </is>
      </c>
      <c r="C175" s="10" t="inlineStr">
        <is>
          <t>2025-03-24</t>
        </is>
      </c>
      <c r="D175" s="8" t="inlineStr">
        <is>
          <t>CUST-01200</t>
        </is>
      </c>
      <c r="E175" s="8" t="inlineStr">
        <is>
          <t>PRD-0311</t>
        </is>
      </c>
      <c r="F175" s="8" t="n">
        <v>1</v>
      </c>
      <c r="G175" s="9">
        <f>IFERROR(XLOOKUP(E175, '04_Products'!$A:$A, '04_Products'!$G:$G), 7.85)</f>
        <v/>
      </c>
      <c r="H175" s="9">
        <f>IFERROR(XLOOKUP(E175, '04_Products'!$A:$A, '04_Products'!$F:$F), 0)</f>
        <v/>
      </c>
      <c r="I175" s="9">
        <f>F175*G175</f>
        <v/>
      </c>
      <c r="J175" s="11" t="n">
        <v>0.1</v>
      </c>
      <c r="K175" s="9">
        <f>I175*J175</f>
        <v/>
      </c>
      <c r="L175" s="9">
        <f>I175-K175</f>
        <v/>
      </c>
      <c r="M175" s="9">
        <f>F175*H175</f>
        <v/>
      </c>
      <c r="N175" s="9">
        <f>L175-M175</f>
        <v/>
      </c>
      <c r="O175" s="11">
        <f>IFERROR(N175/L175, 0)</f>
        <v/>
      </c>
      <c r="P175" s="8">
        <f>YEAR(C175)</f>
        <v/>
      </c>
      <c r="Q175" s="8">
        <f>TEXT(C175, "yyyy-mm")</f>
        <v/>
      </c>
      <c r="R175" s="8" t="inlineStr">
        <is>
          <t>Mobile App</t>
        </is>
      </c>
      <c r="S175" s="8" t="inlineStr">
        <is>
          <t>REG-EU</t>
        </is>
      </c>
    </row>
    <row r="176">
      <c r="A176" s="8" t="inlineStr">
        <is>
          <t>DTL-0000174</t>
        </is>
      </c>
      <c r="B176" s="8" t="inlineStr">
        <is>
          <t>ORD-000087</t>
        </is>
      </c>
      <c r="C176" s="10" t="inlineStr">
        <is>
          <t>2024-03-24</t>
        </is>
      </c>
      <c r="D176" s="8" t="inlineStr">
        <is>
          <t>CUST-07052</t>
        </is>
      </c>
      <c r="E176" s="8" t="inlineStr">
        <is>
          <t>PRD-0063</t>
        </is>
      </c>
      <c r="F176" s="8" t="n">
        <v>1</v>
      </c>
      <c r="G176" s="9">
        <f>IFERROR(XLOOKUP(E176, '04_Products'!$A:$A, '04_Products'!$G:$G), 62.68)</f>
        <v/>
      </c>
      <c r="H176" s="9">
        <f>IFERROR(XLOOKUP(E176, '04_Products'!$A:$A, '04_Products'!$F:$F), 0)</f>
        <v/>
      </c>
      <c r="I176" s="9">
        <f>F176*G176</f>
        <v/>
      </c>
      <c r="J176" s="11" t="n">
        <v>0.05</v>
      </c>
      <c r="K176" s="9">
        <f>I176*J176</f>
        <v/>
      </c>
      <c r="L176" s="9">
        <f>I176-K176</f>
        <v/>
      </c>
      <c r="M176" s="9">
        <f>F176*H176</f>
        <v/>
      </c>
      <c r="N176" s="9">
        <f>L176-M176</f>
        <v/>
      </c>
      <c r="O176" s="11">
        <f>IFERROR(N176/L176, 0)</f>
        <v/>
      </c>
      <c r="P176" s="8">
        <f>YEAR(C176)</f>
        <v/>
      </c>
      <c r="Q176" s="8">
        <f>TEXT(C176, "yyyy-mm")</f>
        <v/>
      </c>
      <c r="R176" s="8" t="inlineStr">
        <is>
          <t>Direct Web</t>
        </is>
      </c>
      <c r="S176" s="8" t="inlineStr">
        <is>
          <t>REG-NA</t>
        </is>
      </c>
    </row>
    <row r="177">
      <c r="A177" s="8" t="inlineStr">
        <is>
          <t>DTL-0000175</t>
        </is>
      </c>
      <c r="B177" s="8" t="inlineStr">
        <is>
          <t>ORD-000087</t>
        </is>
      </c>
      <c r="C177" s="10" t="inlineStr">
        <is>
          <t>2024-03-24</t>
        </is>
      </c>
      <c r="D177" s="8" t="inlineStr">
        <is>
          <t>CUST-07052</t>
        </is>
      </c>
      <c r="E177" s="8" t="inlineStr">
        <is>
          <t>PRD-0266</t>
        </is>
      </c>
      <c r="F177" s="8" t="n">
        <v>4</v>
      </c>
      <c r="G177" s="9">
        <f>IFERROR(XLOOKUP(E177, '04_Products'!$A:$A, '04_Products'!$G:$G), 170.34)</f>
        <v/>
      </c>
      <c r="H177" s="9">
        <f>IFERROR(XLOOKUP(E177, '04_Products'!$A:$A, '04_Products'!$F:$F), 0)</f>
        <v/>
      </c>
      <c r="I177" s="9">
        <f>F177*G177</f>
        <v/>
      </c>
      <c r="J177" s="11" t="n">
        <v>0.05</v>
      </c>
      <c r="K177" s="9">
        <f>I177*J177</f>
        <v/>
      </c>
      <c r="L177" s="9">
        <f>I177-K177</f>
        <v/>
      </c>
      <c r="M177" s="9">
        <f>F177*H177</f>
        <v/>
      </c>
      <c r="N177" s="9">
        <f>L177-M177</f>
        <v/>
      </c>
      <c r="O177" s="11">
        <f>IFERROR(N177/L177, 0)</f>
        <v/>
      </c>
      <c r="P177" s="8">
        <f>YEAR(C177)</f>
        <v/>
      </c>
      <c r="Q177" s="8">
        <f>TEXT(C177, "yyyy-mm")</f>
        <v/>
      </c>
      <c r="R177" s="8" t="inlineStr">
        <is>
          <t>Direct Web</t>
        </is>
      </c>
      <c r="S177" s="8" t="inlineStr">
        <is>
          <t>REG-NA</t>
        </is>
      </c>
    </row>
    <row r="178">
      <c r="A178" s="8" t="inlineStr">
        <is>
          <t>DTL-0000176</t>
        </is>
      </c>
      <c r="B178" s="8" t="inlineStr">
        <is>
          <t>ORD-000087</t>
        </is>
      </c>
      <c r="C178" s="10" t="inlineStr">
        <is>
          <t>2024-03-24</t>
        </is>
      </c>
      <c r="D178" s="8" t="inlineStr">
        <is>
          <t>CUST-07052</t>
        </is>
      </c>
      <c r="E178" s="8" t="inlineStr">
        <is>
          <t>PRD-0027</t>
        </is>
      </c>
      <c r="F178" s="8" t="n">
        <v>1</v>
      </c>
      <c r="G178" s="9">
        <f>IFERROR(XLOOKUP(E178, '04_Products'!$A:$A, '04_Products'!$G:$G), 11.10)</f>
        <v/>
      </c>
      <c r="H178" s="9">
        <f>IFERROR(XLOOKUP(E178, '04_Products'!$A:$A, '04_Products'!$F:$F), 0)</f>
        <v/>
      </c>
      <c r="I178" s="9">
        <f>F178*G178</f>
        <v/>
      </c>
      <c r="J178" s="11" t="n">
        <v>0.05</v>
      </c>
      <c r="K178" s="9">
        <f>I178*J178</f>
        <v/>
      </c>
      <c r="L178" s="9">
        <f>I178-K178</f>
        <v/>
      </c>
      <c r="M178" s="9">
        <f>F178*H178</f>
        <v/>
      </c>
      <c r="N178" s="9">
        <f>L178-M178</f>
        <v/>
      </c>
      <c r="O178" s="11">
        <f>IFERROR(N178/L178, 0)</f>
        <v/>
      </c>
      <c r="P178" s="8">
        <f>YEAR(C178)</f>
        <v/>
      </c>
      <c r="Q178" s="8">
        <f>TEXT(C178, "yyyy-mm")</f>
        <v/>
      </c>
      <c r="R178" s="8" t="inlineStr">
        <is>
          <t>Direct Web</t>
        </is>
      </c>
      <c r="S178" s="8" t="inlineStr">
        <is>
          <t>REG-NA</t>
        </is>
      </c>
    </row>
    <row r="179">
      <c r="A179" s="8" t="inlineStr">
        <is>
          <t>DTL-0000177</t>
        </is>
      </c>
      <c r="B179" s="8" t="inlineStr">
        <is>
          <t>ORD-000087</t>
        </is>
      </c>
      <c r="C179" s="10" t="inlineStr">
        <is>
          <t>2024-03-24</t>
        </is>
      </c>
      <c r="D179" s="8" t="inlineStr">
        <is>
          <t>CUST-07052</t>
        </is>
      </c>
      <c r="E179" s="8" t="inlineStr">
        <is>
          <t>PRD-0286</t>
        </is>
      </c>
      <c r="F179" s="8" t="n">
        <v>1</v>
      </c>
      <c r="G179" s="9">
        <f>IFERROR(XLOOKUP(E179, '04_Products'!$A:$A, '04_Products'!$G:$G), 232.89)</f>
        <v/>
      </c>
      <c r="H179" s="9">
        <f>IFERROR(XLOOKUP(E179, '04_Products'!$A:$A, '04_Products'!$F:$F), 0)</f>
        <v/>
      </c>
      <c r="I179" s="9">
        <f>F179*G179</f>
        <v/>
      </c>
      <c r="J179" s="11" t="n">
        <v>0.1</v>
      </c>
      <c r="K179" s="9">
        <f>I179*J179</f>
        <v/>
      </c>
      <c r="L179" s="9">
        <f>I179-K179</f>
        <v/>
      </c>
      <c r="M179" s="9">
        <f>F179*H179</f>
        <v/>
      </c>
      <c r="N179" s="9">
        <f>L179-M179</f>
        <v/>
      </c>
      <c r="O179" s="11">
        <f>IFERROR(N179/L179, 0)</f>
        <v/>
      </c>
      <c r="P179" s="8">
        <f>YEAR(C179)</f>
        <v/>
      </c>
      <c r="Q179" s="8">
        <f>TEXT(C179, "yyyy-mm")</f>
        <v/>
      </c>
      <c r="R179" s="8" t="inlineStr">
        <is>
          <t>Direct Web</t>
        </is>
      </c>
      <c r="S179" s="8" t="inlineStr">
        <is>
          <t>REG-NA</t>
        </is>
      </c>
    </row>
    <row r="180">
      <c r="A180" s="8" t="inlineStr">
        <is>
          <t>DTL-0000178</t>
        </is>
      </c>
      <c r="B180" s="8" t="inlineStr">
        <is>
          <t>ORD-000088</t>
        </is>
      </c>
      <c r="C180" s="10" t="inlineStr">
        <is>
          <t>2023-04-10</t>
        </is>
      </c>
      <c r="D180" s="8" t="inlineStr">
        <is>
          <t>CUST-00409</t>
        </is>
      </c>
      <c r="E180" s="8" t="inlineStr">
        <is>
          <t>PRD-0261</t>
        </is>
      </c>
      <c r="F180" s="8" t="n">
        <v>1</v>
      </c>
      <c r="G180" s="9">
        <f>IFERROR(XLOOKUP(E180, '04_Products'!$A:$A, '04_Products'!$G:$G), 568.83)</f>
        <v/>
      </c>
      <c r="H180" s="9">
        <f>IFERROR(XLOOKUP(E180, '04_Products'!$A:$A, '04_Products'!$F:$F), 0)</f>
        <v/>
      </c>
      <c r="I180" s="9">
        <f>F180*G180</f>
        <v/>
      </c>
      <c r="J180" s="11" t="n">
        <v>0.15</v>
      </c>
      <c r="K180" s="9">
        <f>I180*J180</f>
        <v/>
      </c>
      <c r="L180" s="9">
        <f>I180-K180</f>
        <v/>
      </c>
      <c r="M180" s="9">
        <f>F180*H180</f>
        <v/>
      </c>
      <c r="N180" s="9">
        <f>L180-M180</f>
        <v/>
      </c>
      <c r="O180" s="11">
        <f>IFERROR(N180/L180, 0)</f>
        <v/>
      </c>
      <c r="P180" s="8">
        <f>YEAR(C180)</f>
        <v/>
      </c>
      <c r="Q180" s="8">
        <f>TEXT(C180, "yyyy-mm")</f>
        <v/>
      </c>
      <c r="R180" s="8" t="inlineStr">
        <is>
          <t>Direct Web</t>
        </is>
      </c>
      <c r="S180" s="8" t="inlineStr">
        <is>
          <t>REG-EU</t>
        </is>
      </c>
    </row>
    <row r="181">
      <c r="A181" s="8" t="inlineStr">
        <is>
          <t>DTL-0000179</t>
        </is>
      </c>
      <c r="B181" s="8" t="inlineStr">
        <is>
          <t>ORD-000088</t>
        </is>
      </c>
      <c r="C181" s="10" t="inlineStr">
        <is>
          <t>2023-04-10</t>
        </is>
      </c>
      <c r="D181" s="8" t="inlineStr">
        <is>
          <t>CUST-00409</t>
        </is>
      </c>
      <c r="E181" s="8" t="inlineStr">
        <is>
          <t>PRD-0433</t>
        </is>
      </c>
      <c r="F181" s="8" t="n">
        <v>1</v>
      </c>
      <c r="G181" s="9">
        <f>IFERROR(XLOOKUP(E181, '04_Products'!$A:$A, '04_Products'!$G:$G), 545.86)</f>
        <v/>
      </c>
      <c r="H181" s="9">
        <f>IFERROR(XLOOKUP(E181, '04_Products'!$A:$A, '04_Products'!$F:$F), 0)</f>
        <v/>
      </c>
      <c r="I181" s="9">
        <f>F181*G181</f>
        <v/>
      </c>
      <c r="J181" s="11" t="n">
        <v>0</v>
      </c>
      <c r="K181" s="9">
        <f>I181*J181</f>
        <v/>
      </c>
      <c r="L181" s="9">
        <f>I181-K181</f>
        <v/>
      </c>
      <c r="M181" s="9">
        <f>F181*H181</f>
        <v/>
      </c>
      <c r="N181" s="9">
        <f>L181-M181</f>
        <v/>
      </c>
      <c r="O181" s="11">
        <f>IFERROR(N181/L181, 0)</f>
        <v/>
      </c>
      <c r="P181" s="8">
        <f>YEAR(C181)</f>
        <v/>
      </c>
      <c r="Q181" s="8">
        <f>TEXT(C181, "yyyy-mm")</f>
        <v/>
      </c>
      <c r="R181" s="8" t="inlineStr">
        <is>
          <t>Direct Web</t>
        </is>
      </c>
      <c r="S181" s="8" t="inlineStr">
        <is>
          <t>REG-EU</t>
        </is>
      </c>
    </row>
    <row r="182">
      <c r="A182" s="8" t="inlineStr">
        <is>
          <t>DTL-0000180</t>
        </is>
      </c>
      <c r="B182" s="8" t="inlineStr">
        <is>
          <t>ORD-000088</t>
        </is>
      </c>
      <c r="C182" s="10" t="inlineStr">
        <is>
          <t>2023-04-10</t>
        </is>
      </c>
      <c r="D182" s="8" t="inlineStr">
        <is>
          <t>CUST-00409</t>
        </is>
      </c>
      <c r="E182" s="8" t="inlineStr">
        <is>
          <t>PRD-0386</t>
        </is>
      </c>
      <c r="F182" s="8" t="n">
        <v>4</v>
      </c>
      <c r="G182" s="9">
        <f>IFERROR(XLOOKUP(E182, '04_Products'!$A:$A, '04_Products'!$G:$G), 339.98)</f>
        <v/>
      </c>
      <c r="H182" s="9">
        <f>IFERROR(XLOOKUP(E182, '04_Products'!$A:$A, '04_Products'!$F:$F), 0)</f>
        <v/>
      </c>
      <c r="I182" s="9">
        <f>F182*G182</f>
        <v/>
      </c>
      <c r="J182" s="11" t="n">
        <v>0.05</v>
      </c>
      <c r="K182" s="9">
        <f>I182*J182</f>
        <v/>
      </c>
      <c r="L182" s="9">
        <f>I182-K182</f>
        <v/>
      </c>
      <c r="M182" s="9">
        <f>F182*H182</f>
        <v/>
      </c>
      <c r="N182" s="9">
        <f>L182-M182</f>
        <v/>
      </c>
      <c r="O182" s="11">
        <f>IFERROR(N182/L182, 0)</f>
        <v/>
      </c>
      <c r="P182" s="8">
        <f>YEAR(C182)</f>
        <v/>
      </c>
      <c r="Q182" s="8">
        <f>TEXT(C182, "yyyy-mm")</f>
        <v/>
      </c>
      <c r="R182" s="8" t="inlineStr">
        <is>
          <t>Direct Web</t>
        </is>
      </c>
      <c r="S182" s="8" t="inlineStr">
        <is>
          <t>REG-EU</t>
        </is>
      </c>
    </row>
    <row r="183">
      <c r="A183" s="8" t="inlineStr">
        <is>
          <t>DTL-0000181</t>
        </is>
      </c>
      <c r="B183" s="8" t="inlineStr">
        <is>
          <t>ORD-000088</t>
        </is>
      </c>
      <c r="C183" s="10" t="inlineStr">
        <is>
          <t>2023-04-10</t>
        </is>
      </c>
      <c r="D183" s="8" t="inlineStr">
        <is>
          <t>CUST-00409</t>
        </is>
      </c>
      <c r="E183" s="8" t="inlineStr">
        <is>
          <t>PRD-0083</t>
        </is>
      </c>
      <c r="F183" s="8" t="n">
        <v>2</v>
      </c>
      <c r="G183" s="9">
        <f>IFERROR(XLOOKUP(E183, '04_Products'!$A:$A, '04_Products'!$G:$G), 73.41)</f>
        <v/>
      </c>
      <c r="H183" s="9">
        <f>IFERROR(XLOOKUP(E183, '04_Products'!$A:$A, '04_Products'!$F:$F), 0)</f>
        <v/>
      </c>
      <c r="I183" s="9">
        <f>F183*G183</f>
        <v/>
      </c>
      <c r="J183" s="11" t="n">
        <v>0</v>
      </c>
      <c r="K183" s="9">
        <f>I183*J183</f>
        <v/>
      </c>
      <c r="L183" s="9">
        <f>I183-K183</f>
        <v/>
      </c>
      <c r="M183" s="9">
        <f>F183*H183</f>
        <v/>
      </c>
      <c r="N183" s="9">
        <f>L183-M183</f>
        <v/>
      </c>
      <c r="O183" s="11">
        <f>IFERROR(N183/L183, 0)</f>
        <v/>
      </c>
      <c r="P183" s="8">
        <f>YEAR(C183)</f>
        <v/>
      </c>
      <c r="Q183" s="8">
        <f>TEXT(C183, "yyyy-mm")</f>
        <v/>
      </c>
      <c r="R183" s="8" t="inlineStr">
        <is>
          <t>Direct Web</t>
        </is>
      </c>
      <c r="S183" s="8" t="inlineStr">
        <is>
          <t>REG-EU</t>
        </is>
      </c>
    </row>
    <row r="184">
      <c r="A184" s="8" t="inlineStr">
        <is>
          <t>DTL-0000182</t>
        </is>
      </c>
      <c r="B184" s="8" t="inlineStr">
        <is>
          <t>ORD-000089</t>
        </is>
      </c>
      <c r="C184" s="10" t="inlineStr">
        <is>
          <t>2023-08-20</t>
        </is>
      </c>
      <c r="D184" s="8" t="inlineStr">
        <is>
          <t>CUST-00504</t>
        </is>
      </c>
      <c r="E184" s="8" t="inlineStr">
        <is>
          <t>PRD-0318</t>
        </is>
      </c>
      <c r="F184" s="8" t="n">
        <v>1</v>
      </c>
      <c r="G184" s="9">
        <f>IFERROR(XLOOKUP(E184, '04_Products'!$A:$A, '04_Products'!$G:$G), 130.98)</f>
        <v/>
      </c>
      <c r="H184" s="9">
        <f>IFERROR(XLOOKUP(E184, '04_Products'!$A:$A, '04_Products'!$F:$F), 0)</f>
        <v/>
      </c>
      <c r="I184" s="9">
        <f>F184*G184</f>
        <v/>
      </c>
      <c r="J184" s="11" t="n">
        <v>0</v>
      </c>
      <c r="K184" s="9">
        <f>I184*J184</f>
        <v/>
      </c>
      <c r="L184" s="9">
        <f>I184-K184</f>
        <v/>
      </c>
      <c r="M184" s="9">
        <f>F184*H184</f>
        <v/>
      </c>
      <c r="N184" s="9">
        <f>L184-M184</f>
        <v/>
      </c>
      <c r="O184" s="11">
        <f>IFERROR(N184/L184, 0)</f>
        <v/>
      </c>
      <c r="P184" s="8">
        <f>YEAR(C184)</f>
        <v/>
      </c>
      <c r="Q184" s="8">
        <f>TEXT(C184, "yyyy-mm")</f>
        <v/>
      </c>
      <c r="R184" s="8" t="inlineStr">
        <is>
          <t>Direct Web</t>
        </is>
      </c>
      <c r="S184" s="8" t="inlineStr">
        <is>
          <t>REG-NA</t>
        </is>
      </c>
    </row>
    <row r="185">
      <c r="A185" s="8" t="inlineStr">
        <is>
          <t>DTL-0000183</t>
        </is>
      </c>
      <c r="B185" s="8" t="inlineStr">
        <is>
          <t>ORD-000089</t>
        </is>
      </c>
      <c r="C185" s="10" t="inlineStr">
        <is>
          <t>2023-08-20</t>
        </is>
      </c>
      <c r="D185" s="8" t="inlineStr">
        <is>
          <t>CUST-00504</t>
        </is>
      </c>
      <c r="E185" s="8" t="inlineStr">
        <is>
          <t>PRD-0274</t>
        </is>
      </c>
      <c r="F185" s="8" t="n">
        <v>5</v>
      </c>
      <c r="G185" s="9">
        <f>IFERROR(XLOOKUP(E185, '04_Products'!$A:$A, '04_Products'!$G:$G), 74.99)</f>
        <v/>
      </c>
      <c r="H185" s="9">
        <f>IFERROR(XLOOKUP(E185, '04_Products'!$A:$A, '04_Products'!$F:$F), 0)</f>
        <v/>
      </c>
      <c r="I185" s="9">
        <f>F185*G185</f>
        <v/>
      </c>
      <c r="J185" s="11" t="n">
        <v>0</v>
      </c>
      <c r="K185" s="9">
        <f>I185*J185</f>
        <v/>
      </c>
      <c r="L185" s="9">
        <f>I185-K185</f>
        <v/>
      </c>
      <c r="M185" s="9">
        <f>F185*H185</f>
        <v/>
      </c>
      <c r="N185" s="9">
        <f>L185-M185</f>
        <v/>
      </c>
      <c r="O185" s="11">
        <f>IFERROR(N185/L185, 0)</f>
        <v/>
      </c>
      <c r="P185" s="8">
        <f>YEAR(C185)</f>
        <v/>
      </c>
      <c r="Q185" s="8">
        <f>TEXT(C185, "yyyy-mm")</f>
        <v/>
      </c>
      <c r="R185" s="8" t="inlineStr">
        <is>
          <t>Direct Web</t>
        </is>
      </c>
      <c r="S185" s="8" t="inlineStr">
        <is>
          <t>REG-NA</t>
        </is>
      </c>
    </row>
    <row r="186">
      <c r="A186" s="8" t="inlineStr">
        <is>
          <t>DTL-0000184</t>
        </is>
      </c>
      <c r="B186" s="8" t="inlineStr">
        <is>
          <t>ORD-000089</t>
        </is>
      </c>
      <c r="C186" s="10" t="inlineStr">
        <is>
          <t>2023-08-20</t>
        </is>
      </c>
      <c r="D186" s="8" t="inlineStr">
        <is>
          <t>CUST-00504</t>
        </is>
      </c>
      <c r="E186" s="8" t="inlineStr">
        <is>
          <t>PRD-0222</t>
        </is>
      </c>
      <c r="F186" s="8" t="n">
        <v>1</v>
      </c>
      <c r="G186" s="9">
        <f>IFERROR(XLOOKUP(E186, '04_Products'!$A:$A, '04_Products'!$G:$G), 748.03)</f>
        <v/>
      </c>
      <c r="H186" s="9">
        <f>IFERROR(XLOOKUP(E186, '04_Products'!$A:$A, '04_Products'!$F:$F), 0)</f>
        <v/>
      </c>
      <c r="I186" s="9">
        <f>F186*G186</f>
        <v/>
      </c>
      <c r="J186" s="11" t="n">
        <v>0.05</v>
      </c>
      <c r="K186" s="9">
        <f>I186*J186</f>
        <v/>
      </c>
      <c r="L186" s="9">
        <f>I186-K186</f>
        <v/>
      </c>
      <c r="M186" s="9">
        <f>F186*H186</f>
        <v/>
      </c>
      <c r="N186" s="9">
        <f>L186-M186</f>
        <v/>
      </c>
      <c r="O186" s="11">
        <f>IFERROR(N186/L186, 0)</f>
        <v/>
      </c>
      <c r="P186" s="8">
        <f>YEAR(C186)</f>
        <v/>
      </c>
      <c r="Q186" s="8">
        <f>TEXT(C186, "yyyy-mm")</f>
        <v/>
      </c>
      <c r="R186" s="8" t="inlineStr">
        <is>
          <t>Direct Web</t>
        </is>
      </c>
      <c r="S186" s="8" t="inlineStr">
        <is>
          <t>REG-NA</t>
        </is>
      </c>
    </row>
    <row r="187">
      <c r="A187" s="8" t="inlineStr">
        <is>
          <t>DTL-0000185</t>
        </is>
      </c>
      <c r="B187" s="8" t="inlineStr">
        <is>
          <t>ORD-000089</t>
        </is>
      </c>
      <c r="C187" s="10" t="inlineStr">
        <is>
          <t>2023-08-20</t>
        </is>
      </c>
      <c r="D187" s="8" t="inlineStr">
        <is>
          <t>CUST-00504</t>
        </is>
      </c>
      <c r="E187" s="8" t="inlineStr">
        <is>
          <t>PRD-0366</t>
        </is>
      </c>
      <c r="F187" s="8" t="n">
        <v>1</v>
      </c>
      <c r="G187" s="9">
        <f>IFERROR(XLOOKUP(E187, '04_Products'!$A:$A, '04_Products'!$G:$G), 772.59)</f>
        <v/>
      </c>
      <c r="H187" s="9">
        <f>IFERROR(XLOOKUP(E187, '04_Products'!$A:$A, '04_Products'!$F:$F), 0)</f>
        <v/>
      </c>
      <c r="I187" s="9">
        <f>F187*G187</f>
        <v/>
      </c>
      <c r="J187" s="11" t="n">
        <v>0</v>
      </c>
      <c r="K187" s="9">
        <f>I187*J187</f>
        <v/>
      </c>
      <c r="L187" s="9">
        <f>I187-K187</f>
        <v/>
      </c>
      <c r="M187" s="9">
        <f>F187*H187</f>
        <v/>
      </c>
      <c r="N187" s="9">
        <f>L187-M187</f>
        <v/>
      </c>
      <c r="O187" s="11">
        <f>IFERROR(N187/L187, 0)</f>
        <v/>
      </c>
      <c r="P187" s="8">
        <f>YEAR(C187)</f>
        <v/>
      </c>
      <c r="Q187" s="8">
        <f>TEXT(C187, "yyyy-mm")</f>
        <v/>
      </c>
      <c r="R187" s="8" t="inlineStr">
        <is>
          <t>Direct Web</t>
        </is>
      </c>
      <c r="S187" s="8" t="inlineStr">
        <is>
          <t>REG-NA</t>
        </is>
      </c>
    </row>
    <row r="188">
      <c r="A188" s="8" t="inlineStr">
        <is>
          <t>DTL-0000186</t>
        </is>
      </c>
      <c r="B188" s="8" t="inlineStr">
        <is>
          <t>ORD-000089</t>
        </is>
      </c>
      <c r="C188" s="10" t="inlineStr">
        <is>
          <t>2023-08-20</t>
        </is>
      </c>
      <c r="D188" s="8" t="inlineStr">
        <is>
          <t>CUST-00504</t>
        </is>
      </c>
      <c r="E188" s="8" t="inlineStr">
        <is>
          <t>PRD-0061</t>
        </is>
      </c>
      <c r="F188" s="8" t="n">
        <v>5</v>
      </c>
      <c r="G188" s="9">
        <f>IFERROR(XLOOKUP(E188, '04_Products'!$A:$A, '04_Products'!$G:$G), 394.62)</f>
        <v/>
      </c>
      <c r="H188" s="9">
        <f>IFERROR(XLOOKUP(E188, '04_Products'!$A:$A, '04_Products'!$F:$F), 0)</f>
        <v/>
      </c>
      <c r="I188" s="9">
        <f>F188*G188</f>
        <v/>
      </c>
      <c r="J188" s="11" t="n">
        <v>0.05</v>
      </c>
      <c r="K188" s="9">
        <f>I188*J188</f>
        <v/>
      </c>
      <c r="L188" s="9">
        <f>I188-K188</f>
        <v/>
      </c>
      <c r="M188" s="9">
        <f>F188*H188</f>
        <v/>
      </c>
      <c r="N188" s="9">
        <f>L188-M188</f>
        <v/>
      </c>
      <c r="O188" s="11">
        <f>IFERROR(N188/L188, 0)</f>
        <v/>
      </c>
      <c r="P188" s="8">
        <f>YEAR(C188)</f>
        <v/>
      </c>
      <c r="Q188" s="8">
        <f>TEXT(C188, "yyyy-mm")</f>
        <v/>
      </c>
      <c r="R188" s="8" t="inlineStr">
        <is>
          <t>Direct Web</t>
        </is>
      </c>
      <c r="S188" s="8" t="inlineStr">
        <is>
          <t>REG-NA</t>
        </is>
      </c>
    </row>
    <row r="189">
      <c r="A189" s="8" t="inlineStr">
        <is>
          <t>DTL-0000187</t>
        </is>
      </c>
      <c r="B189" s="8" t="inlineStr">
        <is>
          <t>ORD-000090</t>
        </is>
      </c>
      <c r="C189" s="10" t="inlineStr">
        <is>
          <t>2025-11-20</t>
        </is>
      </c>
      <c r="D189" s="8" t="inlineStr">
        <is>
          <t>CUST-05381</t>
        </is>
      </c>
      <c r="E189" s="8" t="inlineStr">
        <is>
          <t>PRD-0474</t>
        </is>
      </c>
      <c r="F189" s="8" t="n">
        <v>1</v>
      </c>
      <c r="G189" s="9">
        <f>IFERROR(XLOOKUP(E189, '04_Products'!$A:$A, '04_Products'!$G:$G), 86.79)</f>
        <v/>
      </c>
      <c r="H189" s="9">
        <f>IFERROR(XLOOKUP(E189, '04_Products'!$A:$A, '04_Products'!$F:$F), 0)</f>
        <v/>
      </c>
      <c r="I189" s="9">
        <f>F189*G189</f>
        <v/>
      </c>
      <c r="J189" s="11" t="n">
        <v>0.2</v>
      </c>
      <c r="K189" s="9">
        <f>I189*J189</f>
        <v/>
      </c>
      <c r="L189" s="9">
        <f>I189-K189</f>
        <v/>
      </c>
      <c r="M189" s="9">
        <f>F189*H189</f>
        <v/>
      </c>
      <c r="N189" s="9">
        <f>L189-M189</f>
        <v/>
      </c>
      <c r="O189" s="11">
        <f>IFERROR(N189/L189, 0)</f>
        <v/>
      </c>
      <c r="P189" s="8">
        <f>YEAR(C189)</f>
        <v/>
      </c>
      <c r="Q189" s="8">
        <f>TEXT(C189, "yyyy-mm")</f>
        <v/>
      </c>
      <c r="R189" s="8" t="inlineStr">
        <is>
          <t>Direct Web</t>
        </is>
      </c>
      <c r="S189" s="8" t="inlineStr">
        <is>
          <t>REG-APAC</t>
        </is>
      </c>
    </row>
    <row r="190">
      <c r="A190" s="8" t="inlineStr">
        <is>
          <t>DTL-0000188</t>
        </is>
      </c>
      <c r="B190" s="8" t="inlineStr">
        <is>
          <t>ORD-000090</t>
        </is>
      </c>
      <c r="C190" s="10" t="inlineStr">
        <is>
          <t>2025-11-20</t>
        </is>
      </c>
      <c r="D190" s="8" t="inlineStr">
        <is>
          <t>CUST-05381</t>
        </is>
      </c>
      <c r="E190" s="8" t="inlineStr">
        <is>
          <t>PRD-0404</t>
        </is>
      </c>
      <c r="F190" s="8" t="n">
        <v>1</v>
      </c>
      <c r="G190" s="9">
        <f>IFERROR(XLOOKUP(E190, '04_Products'!$A:$A, '04_Products'!$G:$G), 23.86)</f>
        <v/>
      </c>
      <c r="H190" s="9">
        <f>IFERROR(XLOOKUP(E190, '04_Products'!$A:$A, '04_Products'!$F:$F), 0)</f>
        <v/>
      </c>
      <c r="I190" s="9">
        <f>F190*G190</f>
        <v/>
      </c>
      <c r="J190" s="11" t="n">
        <v>0.05</v>
      </c>
      <c r="K190" s="9">
        <f>I190*J190</f>
        <v/>
      </c>
      <c r="L190" s="9">
        <f>I190-K190</f>
        <v/>
      </c>
      <c r="M190" s="9">
        <f>F190*H190</f>
        <v/>
      </c>
      <c r="N190" s="9">
        <f>L190-M190</f>
        <v/>
      </c>
      <c r="O190" s="11">
        <f>IFERROR(N190/L190, 0)</f>
        <v/>
      </c>
      <c r="P190" s="8">
        <f>YEAR(C190)</f>
        <v/>
      </c>
      <c r="Q190" s="8">
        <f>TEXT(C190, "yyyy-mm")</f>
        <v/>
      </c>
      <c r="R190" s="8" t="inlineStr">
        <is>
          <t>Direct Web</t>
        </is>
      </c>
      <c r="S190" s="8" t="inlineStr">
        <is>
          <t>REG-APAC</t>
        </is>
      </c>
    </row>
    <row r="191">
      <c r="A191" s="8" t="inlineStr">
        <is>
          <t>DTL-0000189</t>
        </is>
      </c>
      <c r="B191" s="8" t="inlineStr">
        <is>
          <t>ORD-000090</t>
        </is>
      </c>
      <c r="C191" s="10" t="inlineStr">
        <is>
          <t>2025-11-20</t>
        </is>
      </c>
      <c r="D191" s="8" t="inlineStr">
        <is>
          <t>CUST-05381</t>
        </is>
      </c>
      <c r="E191" s="8" t="inlineStr">
        <is>
          <t>PRD-0448</t>
        </is>
      </c>
      <c r="F191" s="8" t="n">
        <v>1</v>
      </c>
      <c r="G191" s="9">
        <f>IFERROR(XLOOKUP(E191, '04_Products'!$A:$A, '04_Products'!$G:$G), 338.65)</f>
        <v/>
      </c>
      <c r="H191" s="9">
        <f>IFERROR(XLOOKUP(E191, '04_Products'!$A:$A, '04_Products'!$F:$F), 0)</f>
        <v/>
      </c>
      <c r="I191" s="9">
        <f>F191*G191</f>
        <v/>
      </c>
      <c r="J191" s="11" t="n">
        <v>0.15</v>
      </c>
      <c r="K191" s="9">
        <f>I191*J191</f>
        <v/>
      </c>
      <c r="L191" s="9">
        <f>I191-K191</f>
        <v/>
      </c>
      <c r="M191" s="9">
        <f>F191*H191</f>
        <v/>
      </c>
      <c r="N191" s="9">
        <f>L191-M191</f>
        <v/>
      </c>
      <c r="O191" s="11">
        <f>IFERROR(N191/L191, 0)</f>
        <v/>
      </c>
      <c r="P191" s="8">
        <f>YEAR(C191)</f>
        <v/>
      </c>
      <c r="Q191" s="8">
        <f>TEXT(C191, "yyyy-mm")</f>
        <v/>
      </c>
      <c r="R191" s="8" t="inlineStr">
        <is>
          <t>Direct Web</t>
        </is>
      </c>
      <c r="S191" s="8" t="inlineStr">
        <is>
          <t>REG-APAC</t>
        </is>
      </c>
    </row>
    <row r="192">
      <c r="A192" s="8" t="inlineStr">
        <is>
          <t>DTL-0000190</t>
        </is>
      </c>
      <c r="B192" s="8" t="inlineStr">
        <is>
          <t>ORD-000090</t>
        </is>
      </c>
      <c r="C192" s="10" t="inlineStr">
        <is>
          <t>2025-11-20</t>
        </is>
      </c>
      <c r="D192" s="8" t="inlineStr">
        <is>
          <t>CUST-05381</t>
        </is>
      </c>
      <c r="E192" s="8" t="inlineStr">
        <is>
          <t>PRD-0253</t>
        </is>
      </c>
      <c r="F192" s="8" t="n">
        <v>1</v>
      </c>
      <c r="G192" s="9">
        <f>IFERROR(XLOOKUP(E192, '04_Products'!$A:$A, '04_Products'!$G:$G), 514.94)</f>
        <v/>
      </c>
      <c r="H192" s="9">
        <f>IFERROR(XLOOKUP(E192, '04_Products'!$A:$A, '04_Products'!$F:$F), 0)</f>
        <v/>
      </c>
      <c r="I192" s="9">
        <f>F192*G192</f>
        <v/>
      </c>
      <c r="J192" s="11" t="n">
        <v>0</v>
      </c>
      <c r="K192" s="9">
        <f>I192*J192</f>
        <v/>
      </c>
      <c r="L192" s="9">
        <f>I192-K192</f>
        <v/>
      </c>
      <c r="M192" s="9">
        <f>F192*H192</f>
        <v/>
      </c>
      <c r="N192" s="9">
        <f>L192-M192</f>
        <v/>
      </c>
      <c r="O192" s="11">
        <f>IFERROR(N192/L192, 0)</f>
        <v/>
      </c>
      <c r="P192" s="8">
        <f>YEAR(C192)</f>
        <v/>
      </c>
      <c r="Q192" s="8">
        <f>TEXT(C192, "yyyy-mm")</f>
        <v/>
      </c>
      <c r="R192" s="8" t="inlineStr">
        <is>
          <t>Direct Web</t>
        </is>
      </c>
      <c r="S192" s="8" t="inlineStr">
        <is>
          <t>REG-APAC</t>
        </is>
      </c>
    </row>
    <row r="193">
      <c r="A193" s="8" t="inlineStr">
        <is>
          <t>DTL-0000192</t>
        </is>
      </c>
      <c r="B193" s="8" t="inlineStr">
        <is>
          <t>ORD-000092</t>
        </is>
      </c>
      <c r="C193" s="10" t="inlineStr">
        <is>
          <t>2024-03-11</t>
        </is>
      </c>
      <c r="D193" s="8" t="inlineStr">
        <is>
          <t>CUST-07450</t>
        </is>
      </c>
      <c r="E193" s="8" t="inlineStr">
        <is>
          <t>PRD-0204</t>
        </is>
      </c>
      <c r="F193" s="8" t="n">
        <v>2</v>
      </c>
      <c r="G193" s="9">
        <f>IFERROR(XLOOKUP(E193, '04_Products'!$A:$A, '04_Products'!$G:$G), 46.46)</f>
        <v/>
      </c>
      <c r="H193" s="9">
        <f>IFERROR(XLOOKUP(E193, '04_Products'!$A:$A, '04_Products'!$F:$F), 0)</f>
        <v/>
      </c>
      <c r="I193" s="9">
        <f>F193*G193</f>
        <v/>
      </c>
      <c r="J193" s="11" t="n">
        <v>0.15</v>
      </c>
      <c r="K193" s="9">
        <f>I193*J193</f>
        <v/>
      </c>
      <c r="L193" s="9">
        <f>I193-K193</f>
        <v/>
      </c>
      <c r="M193" s="9">
        <f>F193*H193</f>
        <v/>
      </c>
      <c r="N193" s="9">
        <f>L193-M193</f>
        <v/>
      </c>
      <c r="O193" s="11">
        <f>IFERROR(N193/L193, 0)</f>
        <v/>
      </c>
      <c r="P193" s="8">
        <f>YEAR(C193)</f>
        <v/>
      </c>
      <c r="Q193" s="8">
        <f>TEXT(C193, "yyyy-mm")</f>
        <v/>
      </c>
      <c r="R193" s="8" t="inlineStr">
        <is>
          <t>Mobile App</t>
        </is>
      </c>
      <c r="S193" s="8" t="inlineStr">
        <is>
          <t>REG-NA</t>
        </is>
      </c>
    </row>
    <row r="194">
      <c r="A194" s="8" t="inlineStr">
        <is>
          <t>DTL-0000193</t>
        </is>
      </c>
      <c r="B194" s="8" t="inlineStr">
        <is>
          <t>ORD-000092</t>
        </is>
      </c>
      <c r="C194" s="10" t="inlineStr">
        <is>
          <t>2024-03-11</t>
        </is>
      </c>
      <c r="D194" s="8" t="inlineStr">
        <is>
          <t>CUST-07450</t>
        </is>
      </c>
      <c r="E194" s="8" t="inlineStr">
        <is>
          <t>PRD-0005</t>
        </is>
      </c>
      <c r="F194" s="8" t="n">
        <v>1</v>
      </c>
      <c r="G194" s="9">
        <f>IFERROR(XLOOKUP(E194, '04_Products'!$A:$A, '04_Products'!$G:$G), 148.59)</f>
        <v/>
      </c>
      <c r="H194" s="9">
        <f>IFERROR(XLOOKUP(E194, '04_Products'!$A:$A, '04_Products'!$F:$F), 0)</f>
        <v/>
      </c>
      <c r="I194" s="9">
        <f>F194*G194</f>
        <v/>
      </c>
      <c r="J194" s="11" t="n">
        <v>0.05</v>
      </c>
      <c r="K194" s="9">
        <f>I194*J194</f>
        <v/>
      </c>
      <c r="L194" s="9">
        <f>I194-K194</f>
        <v/>
      </c>
      <c r="M194" s="9">
        <f>F194*H194</f>
        <v/>
      </c>
      <c r="N194" s="9">
        <f>L194-M194</f>
        <v/>
      </c>
      <c r="O194" s="11">
        <f>IFERROR(N194/L194, 0)</f>
        <v/>
      </c>
      <c r="P194" s="8">
        <f>YEAR(C194)</f>
        <v/>
      </c>
      <c r="Q194" s="8">
        <f>TEXT(C194, "yyyy-mm")</f>
        <v/>
      </c>
      <c r="R194" s="8" t="inlineStr">
        <is>
          <t>Mobile App</t>
        </is>
      </c>
      <c r="S194" s="8" t="inlineStr">
        <is>
          <t>REG-NA</t>
        </is>
      </c>
    </row>
    <row r="195">
      <c r="A195" s="8" t="inlineStr">
        <is>
          <t>DTL-0000194</t>
        </is>
      </c>
      <c r="B195" s="8" t="inlineStr">
        <is>
          <t>ORD-000093</t>
        </is>
      </c>
      <c r="C195" s="10" t="inlineStr">
        <is>
          <t>2024-06-24</t>
        </is>
      </c>
      <c r="D195" s="8" t="inlineStr">
        <is>
          <t>CUST-06221</t>
        </is>
      </c>
      <c r="E195" s="8" t="inlineStr">
        <is>
          <t>PRD-0389</t>
        </is>
      </c>
      <c r="F195" s="8" t="n">
        <v>3</v>
      </c>
      <c r="G195" s="9">
        <f>IFERROR(XLOOKUP(E195, '04_Products'!$A:$A, '04_Products'!$G:$G), 355.70)</f>
        <v/>
      </c>
      <c r="H195" s="9">
        <f>IFERROR(XLOOKUP(E195, '04_Products'!$A:$A, '04_Products'!$F:$F), 0)</f>
        <v/>
      </c>
      <c r="I195" s="9">
        <f>F195*G195</f>
        <v/>
      </c>
      <c r="J195" s="11" t="n">
        <v>0.3</v>
      </c>
      <c r="K195" s="9">
        <f>I195*J195</f>
        <v/>
      </c>
      <c r="L195" s="9">
        <f>I195-K195</f>
        <v/>
      </c>
      <c r="M195" s="9">
        <f>F195*H195</f>
        <v/>
      </c>
      <c r="N195" s="9">
        <f>L195-M195</f>
        <v/>
      </c>
      <c r="O195" s="11">
        <f>IFERROR(N195/L195, 0)</f>
        <v/>
      </c>
      <c r="P195" s="8">
        <f>YEAR(C195)</f>
        <v/>
      </c>
      <c r="Q195" s="8">
        <f>TEXT(C195, "yyyy-mm")</f>
        <v/>
      </c>
      <c r="R195" s="8" t="inlineStr">
        <is>
          <t>B2B Portal</t>
        </is>
      </c>
      <c r="S195" s="8" t="inlineStr">
        <is>
          <t>REG-NA</t>
        </is>
      </c>
    </row>
    <row r="196">
      <c r="A196" s="8" t="inlineStr">
        <is>
          <t>DTL-0000195</t>
        </is>
      </c>
      <c r="B196" s="8" t="inlineStr">
        <is>
          <t>ORD-000093</t>
        </is>
      </c>
      <c r="C196" s="10" t="inlineStr">
        <is>
          <t>2024-06-24</t>
        </is>
      </c>
      <c r="D196" s="8" t="inlineStr">
        <is>
          <t>CUST-06221</t>
        </is>
      </c>
      <c r="E196" s="8" t="inlineStr">
        <is>
          <t>PRD-0423</t>
        </is>
      </c>
      <c r="F196" s="8" t="n">
        <v>1</v>
      </c>
      <c r="G196" s="9">
        <f>IFERROR(XLOOKUP(E196, '04_Products'!$A:$A, '04_Products'!$G:$G), 922.78)</f>
        <v/>
      </c>
      <c r="H196" s="9">
        <f>IFERROR(XLOOKUP(E196, '04_Products'!$A:$A, '04_Products'!$F:$F), 0)</f>
        <v/>
      </c>
      <c r="I196" s="9">
        <f>F196*G196</f>
        <v/>
      </c>
      <c r="J196" s="11" t="n">
        <v>0</v>
      </c>
      <c r="K196" s="9">
        <f>I196*J196</f>
        <v/>
      </c>
      <c r="L196" s="9">
        <f>I196-K196</f>
        <v/>
      </c>
      <c r="M196" s="9">
        <f>F196*H196</f>
        <v/>
      </c>
      <c r="N196" s="9">
        <f>L196-M196</f>
        <v/>
      </c>
      <c r="O196" s="11">
        <f>IFERROR(N196/L196, 0)</f>
        <v/>
      </c>
      <c r="P196" s="8">
        <f>YEAR(C196)</f>
        <v/>
      </c>
      <c r="Q196" s="8">
        <f>TEXT(C196, "yyyy-mm")</f>
        <v/>
      </c>
      <c r="R196" s="8" t="inlineStr">
        <is>
          <t>B2B Portal</t>
        </is>
      </c>
      <c r="S196" s="8" t="inlineStr">
        <is>
          <t>REG-NA</t>
        </is>
      </c>
    </row>
    <row r="197">
      <c r="A197" s="8" t="inlineStr">
        <is>
          <t>DTL-0000196</t>
        </is>
      </c>
      <c r="B197" s="8" t="inlineStr">
        <is>
          <t>ORD-000094</t>
        </is>
      </c>
      <c r="C197" s="10" t="inlineStr">
        <is>
          <t>2024-11-17</t>
        </is>
      </c>
      <c r="D197" s="8" t="inlineStr">
        <is>
          <t>CUST-00036</t>
        </is>
      </c>
      <c r="E197" s="8" t="inlineStr">
        <is>
          <t>PRD-0294</t>
        </is>
      </c>
      <c r="F197" s="8" t="n">
        <v>1</v>
      </c>
      <c r="G197" s="9">
        <f>IFERROR(XLOOKUP(E197, '04_Products'!$A:$A, '04_Products'!$G:$G), 159.21)</f>
        <v/>
      </c>
      <c r="H197" s="9">
        <f>IFERROR(XLOOKUP(E197, '04_Products'!$A:$A, '04_Products'!$F:$F), 0)</f>
        <v/>
      </c>
      <c r="I197" s="9">
        <f>F197*G197</f>
        <v/>
      </c>
      <c r="J197" s="11" t="n">
        <v>0</v>
      </c>
      <c r="K197" s="9">
        <f>I197*J197</f>
        <v/>
      </c>
      <c r="L197" s="9">
        <f>I197-K197</f>
        <v/>
      </c>
      <c r="M197" s="9">
        <f>F197*H197</f>
        <v/>
      </c>
      <c r="N197" s="9">
        <f>L197-M197</f>
        <v/>
      </c>
      <c r="O197" s="11">
        <f>IFERROR(N197/L197, 0)</f>
        <v/>
      </c>
      <c r="P197" s="8">
        <f>YEAR(C197)</f>
        <v/>
      </c>
      <c r="Q197" s="8">
        <f>TEXT(C197, "yyyy-mm")</f>
        <v/>
      </c>
      <c r="R197" s="8" t="inlineStr">
        <is>
          <t>Affiliate Partner</t>
        </is>
      </c>
      <c r="S197" s="8" t="inlineStr">
        <is>
          <t>REG-APAC</t>
        </is>
      </c>
    </row>
    <row r="198">
      <c r="A198" s="8" t="inlineStr">
        <is>
          <t>DTL-0000197</t>
        </is>
      </c>
      <c r="B198" s="8" t="inlineStr">
        <is>
          <t>ORD-000094</t>
        </is>
      </c>
      <c r="C198" s="10" t="inlineStr">
        <is>
          <t>2024-11-17</t>
        </is>
      </c>
      <c r="D198" s="8" t="inlineStr">
        <is>
          <t>CUST-00036</t>
        </is>
      </c>
      <c r="E198" s="8" t="inlineStr">
        <is>
          <t>PRD-0381</t>
        </is>
      </c>
      <c r="F198" s="8" t="n">
        <v>1</v>
      </c>
      <c r="G198" s="9">
        <f>IFERROR(XLOOKUP(E198, '04_Products'!$A:$A, '04_Products'!$G:$G), 321.45)</f>
        <v/>
      </c>
      <c r="H198" s="9">
        <f>IFERROR(XLOOKUP(E198, '04_Products'!$A:$A, '04_Products'!$F:$F), 0)</f>
        <v/>
      </c>
      <c r="I198" s="9">
        <f>F198*G198</f>
        <v/>
      </c>
      <c r="J198" s="11" t="n">
        <v>0</v>
      </c>
      <c r="K198" s="9">
        <f>I198*J198</f>
        <v/>
      </c>
      <c r="L198" s="9">
        <f>I198-K198</f>
        <v/>
      </c>
      <c r="M198" s="9">
        <f>F198*H198</f>
        <v/>
      </c>
      <c r="N198" s="9">
        <f>L198-M198</f>
        <v/>
      </c>
      <c r="O198" s="11">
        <f>IFERROR(N198/L198, 0)</f>
        <v/>
      </c>
      <c r="P198" s="8">
        <f>YEAR(C198)</f>
        <v/>
      </c>
      <c r="Q198" s="8">
        <f>TEXT(C198, "yyyy-mm")</f>
        <v/>
      </c>
      <c r="R198" s="8" t="inlineStr">
        <is>
          <t>Affiliate Partner</t>
        </is>
      </c>
      <c r="S198" s="8" t="inlineStr">
        <is>
          <t>REG-APAC</t>
        </is>
      </c>
    </row>
    <row r="199">
      <c r="A199" s="8" t="inlineStr">
        <is>
          <t>DTL-0000198</t>
        </is>
      </c>
      <c r="B199" s="8" t="inlineStr">
        <is>
          <t>ORD-000094</t>
        </is>
      </c>
      <c r="C199" s="10" t="inlineStr">
        <is>
          <t>2024-11-17</t>
        </is>
      </c>
      <c r="D199" s="8" t="inlineStr">
        <is>
          <t>CUST-00036</t>
        </is>
      </c>
      <c r="E199" s="8" t="inlineStr">
        <is>
          <t>PRD-0309</t>
        </is>
      </c>
      <c r="F199" s="8" t="n">
        <v>1</v>
      </c>
      <c r="G199" s="9">
        <f>IFERROR(XLOOKUP(E199, '04_Products'!$A:$A, '04_Products'!$G:$G), 632.18)</f>
        <v/>
      </c>
      <c r="H199" s="9">
        <f>IFERROR(XLOOKUP(E199, '04_Products'!$A:$A, '04_Products'!$F:$F), 0)</f>
        <v/>
      </c>
      <c r="I199" s="9">
        <f>F199*G199</f>
        <v/>
      </c>
      <c r="J199" s="11" t="n">
        <v>0.05</v>
      </c>
      <c r="K199" s="9">
        <f>I199*J199</f>
        <v/>
      </c>
      <c r="L199" s="9">
        <f>I199-K199</f>
        <v/>
      </c>
      <c r="M199" s="9">
        <f>F199*H199</f>
        <v/>
      </c>
      <c r="N199" s="9">
        <f>L199-M199</f>
        <v/>
      </c>
      <c r="O199" s="11">
        <f>IFERROR(N199/L199, 0)</f>
        <v/>
      </c>
      <c r="P199" s="8">
        <f>YEAR(C199)</f>
        <v/>
      </c>
      <c r="Q199" s="8">
        <f>TEXT(C199, "yyyy-mm")</f>
        <v/>
      </c>
      <c r="R199" s="8" t="inlineStr">
        <is>
          <t>Affiliate Partner</t>
        </is>
      </c>
      <c r="S199" s="8" t="inlineStr">
        <is>
          <t>REG-APAC</t>
        </is>
      </c>
    </row>
    <row r="200">
      <c r="A200" s="8" t="inlineStr">
        <is>
          <t>DTL-0000199</t>
        </is>
      </c>
      <c r="B200" s="8" t="inlineStr">
        <is>
          <t>ORD-000094</t>
        </is>
      </c>
      <c r="C200" s="10" t="inlineStr">
        <is>
          <t>2024-11-17</t>
        </is>
      </c>
      <c r="D200" s="8" t="inlineStr">
        <is>
          <t>CUST-00036</t>
        </is>
      </c>
      <c r="E200" s="8" t="inlineStr">
        <is>
          <t>PRD-0490</t>
        </is>
      </c>
      <c r="F200" s="8" t="n">
        <v>1</v>
      </c>
      <c r="G200" s="9">
        <f>IFERROR(XLOOKUP(E200, '04_Products'!$A:$A, '04_Products'!$G:$G), 146.89)</f>
        <v/>
      </c>
      <c r="H200" s="9">
        <f>IFERROR(XLOOKUP(E200, '04_Products'!$A:$A, '04_Products'!$F:$F), 0)</f>
        <v/>
      </c>
      <c r="I200" s="9">
        <f>F200*G200</f>
        <v/>
      </c>
      <c r="J200" s="11" t="n">
        <v>0.2</v>
      </c>
      <c r="K200" s="9">
        <f>I200*J200</f>
        <v/>
      </c>
      <c r="L200" s="9">
        <f>I200-K200</f>
        <v/>
      </c>
      <c r="M200" s="9">
        <f>F200*H200</f>
        <v/>
      </c>
      <c r="N200" s="9">
        <f>L200-M200</f>
        <v/>
      </c>
      <c r="O200" s="11">
        <f>IFERROR(N200/L200, 0)</f>
        <v/>
      </c>
      <c r="P200" s="8">
        <f>YEAR(C200)</f>
        <v/>
      </c>
      <c r="Q200" s="8">
        <f>TEXT(C200, "yyyy-mm")</f>
        <v/>
      </c>
      <c r="R200" s="8" t="inlineStr">
        <is>
          <t>Affiliate Partner</t>
        </is>
      </c>
      <c r="S200" s="8" t="inlineStr">
        <is>
          <t>REG-APAC</t>
        </is>
      </c>
    </row>
    <row r="201">
      <c r="A201" s="8" t="inlineStr">
        <is>
          <t>DTL-0000200</t>
        </is>
      </c>
      <c r="B201" s="8" t="inlineStr">
        <is>
          <t>ORD-000094</t>
        </is>
      </c>
      <c r="C201" s="10" t="inlineStr">
        <is>
          <t>2024-11-17</t>
        </is>
      </c>
      <c r="D201" s="8" t="inlineStr">
        <is>
          <t>CUST-00036</t>
        </is>
      </c>
      <c r="E201" s="8" t="inlineStr">
        <is>
          <t>PRD-0437</t>
        </is>
      </c>
      <c r="F201" s="8" t="n">
        <v>2</v>
      </c>
      <c r="G201" s="9">
        <f>IFERROR(XLOOKUP(E201, '04_Products'!$A:$A, '04_Products'!$G:$G), 177.29)</f>
        <v/>
      </c>
      <c r="H201" s="9">
        <f>IFERROR(XLOOKUP(E201, '04_Products'!$A:$A, '04_Products'!$F:$F), 0)</f>
        <v/>
      </c>
      <c r="I201" s="9">
        <f>F201*G201</f>
        <v/>
      </c>
      <c r="J201" s="11" t="n">
        <v>0.05</v>
      </c>
      <c r="K201" s="9">
        <f>I201*J201</f>
        <v/>
      </c>
      <c r="L201" s="9">
        <f>I201-K201</f>
        <v/>
      </c>
      <c r="M201" s="9">
        <f>F201*H201</f>
        <v/>
      </c>
      <c r="N201" s="9">
        <f>L201-M201</f>
        <v/>
      </c>
      <c r="O201" s="11">
        <f>IFERROR(N201/L201, 0)</f>
        <v/>
      </c>
      <c r="P201" s="8">
        <f>YEAR(C201)</f>
        <v/>
      </c>
      <c r="Q201" s="8">
        <f>TEXT(C201, "yyyy-mm")</f>
        <v/>
      </c>
      <c r="R201" s="8" t="inlineStr">
        <is>
          <t>Affiliate Partner</t>
        </is>
      </c>
      <c r="S201" s="8" t="inlineStr">
        <is>
          <t>REG-APAC</t>
        </is>
      </c>
    </row>
    <row r="202">
      <c r="A202" s="8" t="inlineStr">
        <is>
          <t>DTL-0000201</t>
        </is>
      </c>
      <c r="B202" s="8" t="inlineStr">
        <is>
          <t>ORD-000095</t>
        </is>
      </c>
      <c r="C202" s="10" t="inlineStr">
        <is>
          <t>2023-11-04</t>
        </is>
      </c>
      <c r="D202" s="8" t="inlineStr">
        <is>
          <t>CUST-02043</t>
        </is>
      </c>
      <c r="E202" s="8" t="inlineStr">
        <is>
          <t>PRD-0186</t>
        </is>
      </c>
      <c r="F202" s="8" t="n">
        <v>1</v>
      </c>
      <c r="G202" s="9">
        <f>IFERROR(XLOOKUP(E202, '04_Products'!$A:$A, '04_Products'!$G:$G), 39.22)</f>
        <v/>
      </c>
      <c r="H202" s="9">
        <f>IFERROR(XLOOKUP(E202, '04_Products'!$A:$A, '04_Products'!$F:$F), 0)</f>
        <v/>
      </c>
      <c r="I202" s="9">
        <f>F202*G202</f>
        <v/>
      </c>
      <c r="J202" s="11" t="n">
        <v>0.1</v>
      </c>
      <c r="K202" s="9">
        <f>I202*J202</f>
        <v/>
      </c>
      <c r="L202" s="9">
        <f>I202-K202</f>
        <v/>
      </c>
      <c r="M202" s="9">
        <f>F202*H202</f>
        <v/>
      </c>
      <c r="N202" s="9">
        <f>L202-M202</f>
        <v/>
      </c>
      <c r="O202" s="11">
        <f>IFERROR(N202/L202, 0)</f>
        <v/>
      </c>
      <c r="P202" s="8">
        <f>YEAR(C202)</f>
        <v/>
      </c>
      <c r="Q202" s="8">
        <f>TEXT(C202, "yyyy-mm")</f>
        <v/>
      </c>
      <c r="R202" s="8" t="inlineStr">
        <is>
          <t>Direct Web</t>
        </is>
      </c>
      <c r="S202" s="8" t="inlineStr">
        <is>
          <t>REG-EU</t>
        </is>
      </c>
    </row>
    <row r="203">
      <c r="A203" s="8" t="inlineStr">
        <is>
          <t>DTL-0000202</t>
        </is>
      </c>
      <c r="B203" s="8" t="inlineStr">
        <is>
          <t>ORD-000096</t>
        </is>
      </c>
      <c r="C203" s="10" t="inlineStr">
        <is>
          <t>2025-01-22</t>
        </is>
      </c>
      <c r="D203" s="8" t="inlineStr">
        <is>
          <t>CUST-04182</t>
        </is>
      </c>
      <c r="E203" s="8" t="inlineStr">
        <is>
          <t>PRD-0285</t>
        </is>
      </c>
      <c r="F203" s="8" t="n">
        <v>2</v>
      </c>
      <c r="G203" s="9">
        <f>IFERROR(XLOOKUP(E203, '04_Products'!$A:$A, '04_Products'!$G:$G), 269.59)</f>
        <v/>
      </c>
      <c r="H203" s="9">
        <f>IFERROR(XLOOKUP(E203, '04_Products'!$A:$A, '04_Products'!$F:$F), 0)</f>
        <v/>
      </c>
      <c r="I203" s="9">
        <f>F203*G203</f>
        <v/>
      </c>
      <c r="J203" s="11" t="n">
        <v>0.1</v>
      </c>
      <c r="K203" s="9">
        <f>I203*J203</f>
        <v/>
      </c>
      <c r="L203" s="9">
        <f>I203-K203</f>
        <v/>
      </c>
      <c r="M203" s="9">
        <f>F203*H203</f>
        <v/>
      </c>
      <c r="N203" s="9">
        <f>L203-M203</f>
        <v/>
      </c>
      <c r="O203" s="11">
        <f>IFERROR(N203/L203, 0)</f>
        <v/>
      </c>
      <c r="P203" s="8">
        <f>YEAR(C203)</f>
        <v/>
      </c>
      <c r="Q203" s="8">
        <f>TEXT(C203, "yyyy-mm")</f>
        <v/>
      </c>
      <c r="R203" s="8" t="inlineStr">
        <is>
          <t>Mobile App</t>
        </is>
      </c>
      <c r="S203" s="8" t="inlineStr">
        <is>
          <t>REG-EU</t>
        </is>
      </c>
    </row>
    <row r="204">
      <c r="A204" s="8" t="inlineStr">
        <is>
          <t>DTL-0000203</t>
        </is>
      </c>
      <c r="B204" s="8" t="inlineStr">
        <is>
          <t>ORD-000096</t>
        </is>
      </c>
      <c r="C204" s="10" t="inlineStr">
        <is>
          <t>2025-01-22</t>
        </is>
      </c>
      <c r="D204" s="8" t="inlineStr">
        <is>
          <t>CUST-04182</t>
        </is>
      </c>
      <c r="E204" s="8" t="inlineStr">
        <is>
          <t>PRD-0086</t>
        </is>
      </c>
      <c r="F204" s="8" t="n">
        <v>1</v>
      </c>
      <c r="G204" s="9">
        <f>IFERROR(XLOOKUP(E204, '04_Products'!$A:$A, '04_Products'!$G:$G), 996.20)</f>
        <v/>
      </c>
      <c r="H204" s="9">
        <f>IFERROR(XLOOKUP(E204, '04_Products'!$A:$A, '04_Products'!$F:$F), 0)</f>
        <v/>
      </c>
      <c r="I204" s="9">
        <f>F204*G204</f>
        <v/>
      </c>
      <c r="J204" s="11" t="n">
        <v>0.1</v>
      </c>
      <c r="K204" s="9">
        <f>I204*J204</f>
        <v/>
      </c>
      <c r="L204" s="9">
        <f>I204-K204</f>
        <v/>
      </c>
      <c r="M204" s="9">
        <f>F204*H204</f>
        <v/>
      </c>
      <c r="N204" s="9">
        <f>L204-M204</f>
        <v/>
      </c>
      <c r="O204" s="11">
        <f>IFERROR(N204/L204, 0)</f>
        <v/>
      </c>
      <c r="P204" s="8">
        <f>YEAR(C204)</f>
        <v/>
      </c>
      <c r="Q204" s="8">
        <f>TEXT(C204, "yyyy-mm")</f>
        <v/>
      </c>
      <c r="R204" s="8" t="inlineStr">
        <is>
          <t>Mobile App</t>
        </is>
      </c>
      <c r="S204" s="8" t="inlineStr">
        <is>
          <t>REG-EU</t>
        </is>
      </c>
    </row>
    <row r="205">
      <c r="A205" s="8" t="inlineStr">
        <is>
          <t>DTL-0000204</t>
        </is>
      </c>
      <c r="B205" s="8" t="inlineStr">
        <is>
          <t>ORD-000096</t>
        </is>
      </c>
      <c r="C205" s="10" t="inlineStr">
        <is>
          <t>2025-01-22</t>
        </is>
      </c>
      <c r="D205" s="8" t="inlineStr">
        <is>
          <t>CUST-04182</t>
        </is>
      </c>
      <c r="E205" s="8" t="inlineStr">
        <is>
          <t>PRD-0446</t>
        </is>
      </c>
      <c r="F205" s="8" t="n">
        <v>1</v>
      </c>
      <c r="G205" s="9">
        <f>IFERROR(XLOOKUP(E205, '04_Products'!$A:$A, '04_Products'!$G:$G), 610.12)</f>
        <v/>
      </c>
      <c r="H205" s="9">
        <f>IFERROR(XLOOKUP(E205, '04_Products'!$A:$A, '04_Products'!$F:$F), 0)</f>
        <v/>
      </c>
      <c r="I205" s="9">
        <f>F205*G205</f>
        <v/>
      </c>
      <c r="J205" s="11" t="n">
        <v>0.05</v>
      </c>
      <c r="K205" s="9">
        <f>I205*J205</f>
        <v/>
      </c>
      <c r="L205" s="9">
        <f>I205-K205</f>
        <v/>
      </c>
      <c r="M205" s="9">
        <f>F205*H205</f>
        <v/>
      </c>
      <c r="N205" s="9">
        <f>L205-M205</f>
        <v/>
      </c>
      <c r="O205" s="11">
        <f>IFERROR(N205/L205, 0)</f>
        <v/>
      </c>
      <c r="P205" s="8">
        <f>YEAR(C205)</f>
        <v/>
      </c>
      <c r="Q205" s="8">
        <f>TEXT(C205, "yyyy-mm")</f>
        <v/>
      </c>
      <c r="R205" s="8" t="inlineStr">
        <is>
          <t>Mobile App</t>
        </is>
      </c>
      <c r="S205" s="8" t="inlineStr">
        <is>
          <t>REG-EU</t>
        </is>
      </c>
    </row>
    <row r="206">
      <c r="A206" s="8" t="inlineStr">
        <is>
          <t>DTL-0000205</t>
        </is>
      </c>
      <c r="B206" s="8" t="inlineStr">
        <is>
          <t>ORD-000097</t>
        </is>
      </c>
      <c r="C206" s="10" t="inlineStr">
        <is>
          <t>2025-03-04</t>
        </is>
      </c>
      <c r="D206" s="8" t="inlineStr">
        <is>
          <t>CUST-01056</t>
        </is>
      </c>
      <c r="E206" s="8" t="inlineStr">
        <is>
          <t>PRD-0086</t>
        </is>
      </c>
      <c r="F206" s="8" t="n">
        <v>5</v>
      </c>
      <c r="G206" s="9">
        <f>IFERROR(XLOOKUP(E206, '04_Products'!$A:$A, '04_Products'!$G:$G), 996.20)</f>
        <v/>
      </c>
      <c r="H206" s="9">
        <f>IFERROR(XLOOKUP(E206, '04_Products'!$A:$A, '04_Products'!$F:$F), 0)</f>
        <v/>
      </c>
      <c r="I206" s="9">
        <f>F206*G206</f>
        <v/>
      </c>
      <c r="J206" s="11" t="n">
        <v>0</v>
      </c>
      <c r="K206" s="9">
        <f>I206*J206</f>
        <v/>
      </c>
      <c r="L206" s="9">
        <f>I206-K206</f>
        <v/>
      </c>
      <c r="M206" s="9">
        <f>F206*H206</f>
        <v/>
      </c>
      <c r="N206" s="9">
        <f>L206-M206</f>
        <v/>
      </c>
      <c r="O206" s="11">
        <f>IFERROR(N206/L206, 0)</f>
        <v/>
      </c>
      <c r="P206" s="8">
        <f>YEAR(C206)</f>
        <v/>
      </c>
      <c r="Q206" s="8">
        <f>TEXT(C206, "yyyy-mm")</f>
        <v/>
      </c>
      <c r="R206" s="8" t="inlineStr">
        <is>
          <t>Direct Web</t>
        </is>
      </c>
      <c r="S206" s="8" t="inlineStr">
        <is>
          <t>REG-NA</t>
        </is>
      </c>
    </row>
    <row r="207">
      <c r="A207" s="8" t="inlineStr">
        <is>
          <t>DTL-0000206</t>
        </is>
      </c>
      <c r="B207" s="8" t="inlineStr">
        <is>
          <t>ORD-000098</t>
        </is>
      </c>
      <c r="C207" s="10" t="inlineStr">
        <is>
          <t>2023-03-15</t>
        </is>
      </c>
      <c r="D207" s="8" t="inlineStr">
        <is>
          <t>CUST-06987</t>
        </is>
      </c>
      <c r="E207" s="8" t="inlineStr">
        <is>
          <t>PRD-0187</t>
        </is>
      </c>
      <c r="F207" s="8" t="n">
        <v>2</v>
      </c>
      <c r="G207" s="9">
        <f>IFERROR(XLOOKUP(E207, '04_Products'!$A:$A, '04_Products'!$G:$G), 777.18)</f>
        <v/>
      </c>
      <c r="H207" s="9">
        <f>IFERROR(XLOOKUP(E207, '04_Products'!$A:$A, '04_Products'!$F:$F), 0)</f>
        <v/>
      </c>
      <c r="I207" s="9">
        <f>F207*G207</f>
        <v/>
      </c>
      <c r="J207" s="11" t="n">
        <v>0</v>
      </c>
      <c r="K207" s="9">
        <f>I207*J207</f>
        <v/>
      </c>
      <c r="L207" s="9">
        <f>I207-K207</f>
        <v/>
      </c>
      <c r="M207" s="9">
        <f>F207*H207</f>
        <v/>
      </c>
      <c r="N207" s="9">
        <f>L207-M207</f>
        <v/>
      </c>
      <c r="O207" s="11">
        <f>IFERROR(N207/L207, 0)</f>
        <v/>
      </c>
      <c r="P207" s="8">
        <f>YEAR(C207)</f>
        <v/>
      </c>
      <c r="Q207" s="8">
        <f>TEXT(C207, "yyyy-mm")</f>
        <v/>
      </c>
      <c r="R207" s="8" t="inlineStr">
        <is>
          <t>Direct Web</t>
        </is>
      </c>
      <c r="S207" s="8" t="inlineStr">
        <is>
          <t>REG-NA</t>
        </is>
      </c>
    </row>
    <row r="208">
      <c r="A208" s="8" t="inlineStr">
        <is>
          <t>DTL-0000207</t>
        </is>
      </c>
      <c r="B208" s="8" t="inlineStr">
        <is>
          <t>ORD-000099</t>
        </is>
      </c>
      <c r="C208" s="10" t="inlineStr">
        <is>
          <t>2023-05-10</t>
        </is>
      </c>
      <c r="D208" s="8" t="inlineStr">
        <is>
          <t>CUST-06662</t>
        </is>
      </c>
      <c r="E208" s="8" t="inlineStr">
        <is>
          <t>PRD-0001</t>
        </is>
      </c>
      <c r="F208" s="8" t="n">
        <v>1</v>
      </c>
      <c r="G208" s="9">
        <f>IFERROR(XLOOKUP(E208, '04_Products'!$A:$A, '04_Products'!$G:$G), 9.00)</f>
        <v/>
      </c>
      <c r="H208" s="9">
        <f>IFERROR(XLOOKUP(E208, '04_Products'!$A:$A, '04_Products'!$F:$F), 0)</f>
        <v/>
      </c>
      <c r="I208" s="9">
        <f>F208*G208</f>
        <v/>
      </c>
      <c r="J208" s="11" t="n">
        <v>0.15</v>
      </c>
      <c r="K208" s="9">
        <f>I208*J208</f>
        <v/>
      </c>
      <c r="L208" s="9">
        <f>I208-K208</f>
        <v/>
      </c>
      <c r="M208" s="9">
        <f>F208*H208</f>
        <v/>
      </c>
      <c r="N208" s="9">
        <f>L208-M208</f>
        <v/>
      </c>
      <c r="O208" s="11">
        <f>IFERROR(N208/L208, 0)</f>
        <v/>
      </c>
      <c r="P208" s="8">
        <f>YEAR(C208)</f>
        <v/>
      </c>
      <c r="Q208" s="8">
        <f>TEXT(C208, "yyyy-mm")</f>
        <v/>
      </c>
      <c r="R208" s="8" t="inlineStr">
        <is>
          <t>Mobile App</t>
        </is>
      </c>
      <c r="S208" s="8" t="inlineStr">
        <is>
          <t>REG-NA</t>
        </is>
      </c>
    </row>
    <row r="209">
      <c r="A209" s="8" t="inlineStr">
        <is>
          <t>DTL-0000208</t>
        </is>
      </c>
      <c r="B209" s="8" t="inlineStr">
        <is>
          <t>ORD-000100</t>
        </is>
      </c>
      <c r="C209" s="10" t="inlineStr">
        <is>
          <t>2023-10-31</t>
        </is>
      </c>
      <c r="D209" s="8" t="inlineStr">
        <is>
          <t>CUST-06850</t>
        </is>
      </c>
      <c r="E209" s="8" t="inlineStr">
        <is>
          <t>PRD-0053</t>
        </is>
      </c>
      <c r="F209" s="8" t="n">
        <v>1</v>
      </c>
      <c r="G209" s="9">
        <f>IFERROR(XLOOKUP(E209, '04_Products'!$A:$A, '04_Products'!$G:$G), 1031.53)</f>
        <v/>
      </c>
      <c r="H209" s="9">
        <f>IFERROR(XLOOKUP(E209, '04_Products'!$A:$A, '04_Products'!$F:$F), 0)</f>
        <v/>
      </c>
      <c r="I209" s="9">
        <f>F209*G209</f>
        <v/>
      </c>
      <c r="J209" s="11" t="n">
        <v>0</v>
      </c>
      <c r="K209" s="9">
        <f>I209*J209</f>
        <v/>
      </c>
      <c r="L209" s="9">
        <f>I209-K209</f>
        <v/>
      </c>
      <c r="M209" s="9">
        <f>F209*H209</f>
        <v/>
      </c>
      <c r="N209" s="9">
        <f>L209-M209</f>
        <v/>
      </c>
      <c r="O209" s="11">
        <f>IFERROR(N209/L209, 0)</f>
        <v/>
      </c>
      <c r="P209" s="8">
        <f>YEAR(C209)</f>
        <v/>
      </c>
      <c r="Q209" s="8">
        <f>TEXT(C209, "yyyy-mm")</f>
        <v/>
      </c>
      <c r="R209" s="8" t="inlineStr">
        <is>
          <t>B2B Portal</t>
        </is>
      </c>
      <c r="S209" s="8" t="inlineStr">
        <is>
          <t>REG-APAC</t>
        </is>
      </c>
    </row>
    <row r="210">
      <c r="A210" s="8" t="inlineStr">
        <is>
          <t>DTL-0000209</t>
        </is>
      </c>
      <c r="B210" s="8" t="inlineStr">
        <is>
          <t>ORD-000100</t>
        </is>
      </c>
      <c r="C210" s="10" t="inlineStr">
        <is>
          <t>2023-10-31</t>
        </is>
      </c>
      <c r="D210" s="8" t="inlineStr">
        <is>
          <t>CUST-06850</t>
        </is>
      </c>
      <c r="E210" s="8" t="inlineStr">
        <is>
          <t>PRD-0141</t>
        </is>
      </c>
      <c r="F210" s="8" t="n">
        <v>3</v>
      </c>
      <c r="G210" s="9">
        <f>IFERROR(XLOOKUP(E210, '04_Products'!$A:$A, '04_Products'!$G:$G), 53.70)</f>
        <v/>
      </c>
      <c r="H210" s="9">
        <f>IFERROR(XLOOKUP(E210, '04_Products'!$A:$A, '04_Products'!$F:$F), 0)</f>
        <v/>
      </c>
      <c r="I210" s="9">
        <f>F210*G210</f>
        <v/>
      </c>
      <c r="J210" s="11" t="n">
        <v>0.05</v>
      </c>
      <c r="K210" s="9">
        <f>I210*J210</f>
        <v/>
      </c>
      <c r="L210" s="9">
        <f>I210-K210</f>
        <v/>
      </c>
      <c r="M210" s="9">
        <f>F210*H210</f>
        <v/>
      </c>
      <c r="N210" s="9">
        <f>L210-M210</f>
        <v/>
      </c>
      <c r="O210" s="11">
        <f>IFERROR(N210/L210, 0)</f>
        <v/>
      </c>
      <c r="P210" s="8">
        <f>YEAR(C210)</f>
        <v/>
      </c>
      <c r="Q210" s="8">
        <f>TEXT(C210, "yyyy-mm")</f>
        <v/>
      </c>
      <c r="R210" s="8" t="inlineStr">
        <is>
          <t>B2B Portal</t>
        </is>
      </c>
      <c r="S210" s="8" t="inlineStr">
        <is>
          <t>REG-APAC</t>
        </is>
      </c>
    </row>
    <row r="211">
      <c r="A211" s="8" t="inlineStr">
        <is>
          <t>DTL-0000210</t>
        </is>
      </c>
      <c r="B211" s="8" t="inlineStr">
        <is>
          <t>ORD-000100</t>
        </is>
      </c>
      <c r="C211" s="10" t="inlineStr">
        <is>
          <t>2023-10-31</t>
        </is>
      </c>
      <c r="D211" s="8" t="inlineStr">
        <is>
          <t>CUST-06850</t>
        </is>
      </c>
      <c r="E211" s="8" t="inlineStr">
        <is>
          <t>PRD-0111</t>
        </is>
      </c>
      <c r="F211" s="8" t="n">
        <v>1</v>
      </c>
      <c r="G211" s="9">
        <f>IFERROR(XLOOKUP(E211, '04_Products'!$A:$A, '04_Products'!$G:$G), 63.37)</f>
        <v/>
      </c>
      <c r="H211" s="9">
        <f>IFERROR(XLOOKUP(E211, '04_Products'!$A:$A, '04_Products'!$F:$F), 0)</f>
        <v/>
      </c>
      <c r="I211" s="9">
        <f>F211*G211</f>
        <v/>
      </c>
      <c r="J211" s="11" t="n">
        <v>0.05</v>
      </c>
      <c r="K211" s="9">
        <f>I211*J211</f>
        <v/>
      </c>
      <c r="L211" s="9">
        <f>I211-K211</f>
        <v/>
      </c>
      <c r="M211" s="9">
        <f>F211*H211</f>
        <v/>
      </c>
      <c r="N211" s="9">
        <f>L211-M211</f>
        <v/>
      </c>
      <c r="O211" s="11">
        <f>IFERROR(N211/L211, 0)</f>
        <v/>
      </c>
      <c r="P211" s="8">
        <f>YEAR(C211)</f>
        <v/>
      </c>
      <c r="Q211" s="8">
        <f>TEXT(C211, "yyyy-mm")</f>
        <v/>
      </c>
      <c r="R211" s="8" t="inlineStr">
        <is>
          <t>B2B Portal</t>
        </is>
      </c>
      <c r="S211" s="8" t="inlineStr">
        <is>
          <t>REG-APAC</t>
        </is>
      </c>
    </row>
    <row r="212">
      <c r="A212" s="8" t="inlineStr">
        <is>
          <t>DTL-0000211</t>
        </is>
      </c>
      <c r="B212" s="8" t="inlineStr">
        <is>
          <t>ORD-000100</t>
        </is>
      </c>
      <c r="C212" s="10" t="inlineStr">
        <is>
          <t>2023-10-31</t>
        </is>
      </c>
      <c r="D212" s="8" t="inlineStr">
        <is>
          <t>CUST-06850</t>
        </is>
      </c>
      <c r="E212" s="8" t="inlineStr">
        <is>
          <t>PRD-0258</t>
        </is>
      </c>
      <c r="F212" s="8" t="n">
        <v>2</v>
      </c>
      <c r="G212" s="9">
        <f>IFERROR(XLOOKUP(E212, '04_Products'!$A:$A, '04_Products'!$G:$G), 636.27)</f>
        <v/>
      </c>
      <c r="H212" s="9">
        <f>IFERROR(XLOOKUP(E212, '04_Products'!$A:$A, '04_Products'!$F:$F), 0)</f>
        <v/>
      </c>
      <c r="I212" s="9">
        <f>F212*G212</f>
        <v/>
      </c>
      <c r="J212" s="11" t="n">
        <v>0</v>
      </c>
      <c r="K212" s="9">
        <f>I212*J212</f>
        <v/>
      </c>
      <c r="L212" s="9">
        <f>I212-K212</f>
        <v/>
      </c>
      <c r="M212" s="9">
        <f>F212*H212</f>
        <v/>
      </c>
      <c r="N212" s="9">
        <f>L212-M212</f>
        <v/>
      </c>
      <c r="O212" s="11">
        <f>IFERROR(N212/L212, 0)</f>
        <v/>
      </c>
      <c r="P212" s="8">
        <f>YEAR(C212)</f>
        <v/>
      </c>
      <c r="Q212" s="8">
        <f>TEXT(C212, "yyyy-mm")</f>
        <v/>
      </c>
      <c r="R212" s="8" t="inlineStr">
        <is>
          <t>B2B Portal</t>
        </is>
      </c>
      <c r="S212" s="8" t="inlineStr">
        <is>
          <t>REG-APAC</t>
        </is>
      </c>
    </row>
    <row r="213">
      <c r="A213" s="8" t="inlineStr">
        <is>
          <t>DTL-0000212</t>
        </is>
      </c>
      <c r="B213" s="8" t="inlineStr">
        <is>
          <t>ORD-000100</t>
        </is>
      </c>
      <c r="C213" s="10" t="inlineStr">
        <is>
          <t>2023-10-31</t>
        </is>
      </c>
      <c r="D213" s="8" t="inlineStr">
        <is>
          <t>CUST-06850</t>
        </is>
      </c>
      <c r="E213" s="8" t="inlineStr">
        <is>
          <t>PRD-0308</t>
        </is>
      </c>
      <c r="F213" s="8" t="n">
        <v>2</v>
      </c>
      <c r="G213" s="9">
        <f>IFERROR(XLOOKUP(E213, '04_Products'!$A:$A, '04_Products'!$G:$G), 61.03)</f>
        <v/>
      </c>
      <c r="H213" s="9">
        <f>IFERROR(XLOOKUP(E213, '04_Products'!$A:$A, '04_Products'!$F:$F), 0)</f>
        <v/>
      </c>
      <c r="I213" s="9">
        <f>F213*G213</f>
        <v/>
      </c>
      <c r="J213" s="11" t="n">
        <v>0</v>
      </c>
      <c r="K213" s="9">
        <f>I213*J213</f>
        <v/>
      </c>
      <c r="L213" s="9">
        <f>I213-K213</f>
        <v/>
      </c>
      <c r="M213" s="9">
        <f>F213*H213</f>
        <v/>
      </c>
      <c r="N213" s="9">
        <f>L213-M213</f>
        <v/>
      </c>
      <c r="O213" s="11">
        <f>IFERROR(N213/L213, 0)</f>
        <v/>
      </c>
      <c r="P213" s="8">
        <f>YEAR(C213)</f>
        <v/>
      </c>
      <c r="Q213" s="8">
        <f>TEXT(C213, "yyyy-mm")</f>
        <v/>
      </c>
      <c r="R213" s="8" t="inlineStr">
        <is>
          <t>B2B Portal</t>
        </is>
      </c>
      <c r="S213" s="8" t="inlineStr">
        <is>
          <t>REG-APAC</t>
        </is>
      </c>
    </row>
    <row r="214">
      <c r="A214" s="8" t="inlineStr">
        <is>
          <t>DTL-0000213</t>
        </is>
      </c>
      <c r="B214" s="8" t="inlineStr">
        <is>
          <t>ORD-000101</t>
        </is>
      </c>
      <c r="C214" s="10" t="inlineStr">
        <is>
          <t>2023-11-02</t>
        </is>
      </c>
      <c r="D214" s="8" t="inlineStr">
        <is>
          <t>CUST-05247</t>
        </is>
      </c>
      <c r="E214" s="8" t="inlineStr">
        <is>
          <t>PRD-0048</t>
        </is>
      </c>
      <c r="F214" s="8" t="n">
        <v>3</v>
      </c>
      <c r="G214" s="9">
        <f>IFERROR(XLOOKUP(E214, '04_Products'!$A:$A, '04_Products'!$G:$G), 39.00)</f>
        <v/>
      </c>
      <c r="H214" s="9">
        <f>IFERROR(XLOOKUP(E214, '04_Products'!$A:$A, '04_Products'!$F:$F), 0)</f>
        <v/>
      </c>
      <c r="I214" s="9">
        <f>F214*G214</f>
        <v/>
      </c>
      <c r="J214" s="11" t="n">
        <v>0</v>
      </c>
      <c r="K214" s="9">
        <f>I214*J214</f>
        <v/>
      </c>
      <c r="L214" s="9">
        <f>I214-K214</f>
        <v/>
      </c>
      <c r="M214" s="9">
        <f>F214*H214</f>
        <v/>
      </c>
      <c r="N214" s="9">
        <f>L214-M214</f>
        <v/>
      </c>
      <c r="O214" s="11">
        <f>IFERROR(N214/L214, 0)</f>
        <v/>
      </c>
      <c r="P214" s="8">
        <f>YEAR(C214)</f>
        <v/>
      </c>
      <c r="Q214" s="8">
        <f>TEXT(C214, "yyyy-mm")</f>
        <v/>
      </c>
      <c r="R214" s="8" t="inlineStr">
        <is>
          <t>Direct Web</t>
        </is>
      </c>
      <c r="S214" s="8" t="inlineStr">
        <is>
          <t>REG-EU</t>
        </is>
      </c>
    </row>
    <row r="215">
      <c r="A215" s="8" t="inlineStr">
        <is>
          <t>DTL-0000214</t>
        </is>
      </c>
      <c r="B215" s="8" t="inlineStr">
        <is>
          <t>ORD-000102</t>
        </is>
      </c>
      <c r="C215" s="10" t="inlineStr">
        <is>
          <t>2024-01-29</t>
        </is>
      </c>
      <c r="D215" s="8" t="inlineStr">
        <is>
          <t>CUST-06426</t>
        </is>
      </c>
      <c r="E215" s="8" t="inlineStr">
        <is>
          <t>PRD-0369</t>
        </is>
      </c>
      <c r="F215" s="8" t="n">
        <v>1</v>
      </c>
      <c r="G215" s="9">
        <f>IFERROR(XLOOKUP(E215, '04_Products'!$A:$A, '04_Products'!$G:$G), 653.11)</f>
        <v/>
      </c>
      <c r="H215" s="9">
        <f>IFERROR(XLOOKUP(E215, '04_Products'!$A:$A, '04_Products'!$F:$F), 0)</f>
        <v/>
      </c>
      <c r="I215" s="9">
        <f>F215*G215</f>
        <v/>
      </c>
      <c r="J215" s="11" t="n">
        <v>0</v>
      </c>
      <c r="K215" s="9">
        <f>I215*J215</f>
        <v/>
      </c>
      <c r="L215" s="9">
        <f>I215-K215</f>
        <v/>
      </c>
      <c r="M215" s="9">
        <f>F215*H215</f>
        <v/>
      </c>
      <c r="N215" s="9">
        <f>L215-M215</f>
        <v/>
      </c>
      <c r="O215" s="11">
        <f>IFERROR(N215/L215, 0)</f>
        <v/>
      </c>
      <c r="P215" s="8">
        <f>YEAR(C215)</f>
        <v/>
      </c>
      <c r="Q215" s="8">
        <f>TEXT(C215, "yyyy-mm")</f>
        <v/>
      </c>
      <c r="R215" s="8" t="inlineStr">
        <is>
          <t>Direct Web</t>
        </is>
      </c>
      <c r="S215" s="8" t="inlineStr">
        <is>
          <t>REG-APAC</t>
        </is>
      </c>
    </row>
    <row r="216">
      <c r="A216" s="8" t="inlineStr">
        <is>
          <t>DTL-0000215</t>
        </is>
      </c>
      <c r="B216" s="8" t="inlineStr">
        <is>
          <t>ORD-000102</t>
        </is>
      </c>
      <c r="C216" s="10" t="inlineStr">
        <is>
          <t>2024-01-29</t>
        </is>
      </c>
      <c r="D216" s="8" t="inlineStr">
        <is>
          <t>CUST-06426</t>
        </is>
      </c>
      <c r="E216" s="8" t="inlineStr">
        <is>
          <t>PRD-0112</t>
        </is>
      </c>
      <c r="F216" s="8" t="n">
        <v>1</v>
      </c>
      <c r="G216" s="9">
        <f>IFERROR(XLOOKUP(E216, '04_Products'!$A:$A, '04_Products'!$G:$G), 54.82)</f>
        <v/>
      </c>
      <c r="H216" s="9">
        <f>IFERROR(XLOOKUP(E216, '04_Products'!$A:$A, '04_Products'!$F:$F), 0)</f>
        <v/>
      </c>
      <c r="I216" s="9">
        <f>F216*G216</f>
        <v/>
      </c>
      <c r="J216" s="11" t="n">
        <v>0.15</v>
      </c>
      <c r="K216" s="9">
        <f>I216*J216</f>
        <v/>
      </c>
      <c r="L216" s="9">
        <f>I216-K216</f>
        <v/>
      </c>
      <c r="M216" s="9">
        <f>F216*H216</f>
        <v/>
      </c>
      <c r="N216" s="9">
        <f>L216-M216</f>
        <v/>
      </c>
      <c r="O216" s="11">
        <f>IFERROR(N216/L216, 0)</f>
        <v/>
      </c>
      <c r="P216" s="8">
        <f>YEAR(C216)</f>
        <v/>
      </c>
      <c r="Q216" s="8">
        <f>TEXT(C216, "yyyy-mm")</f>
        <v/>
      </c>
      <c r="R216" s="8" t="inlineStr">
        <is>
          <t>Direct Web</t>
        </is>
      </c>
      <c r="S216" s="8" t="inlineStr">
        <is>
          <t>REG-APAC</t>
        </is>
      </c>
    </row>
    <row r="217">
      <c r="A217" s="8" t="inlineStr">
        <is>
          <t>DTL-0000216</t>
        </is>
      </c>
      <c r="B217" s="8" t="inlineStr">
        <is>
          <t>ORD-000103</t>
        </is>
      </c>
      <c r="C217" s="10" t="inlineStr">
        <is>
          <t>2025-01-31</t>
        </is>
      </c>
      <c r="D217" s="8" t="inlineStr">
        <is>
          <t>CUST-04396</t>
        </is>
      </c>
      <c r="E217" s="8" t="inlineStr">
        <is>
          <t>PRD-0433</t>
        </is>
      </c>
      <c r="F217" s="8" t="n">
        <v>1</v>
      </c>
      <c r="G217" s="9">
        <f>IFERROR(XLOOKUP(E217, '04_Products'!$A:$A, '04_Products'!$G:$G), 545.86)</f>
        <v/>
      </c>
      <c r="H217" s="9">
        <f>IFERROR(XLOOKUP(E217, '04_Products'!$A:$A, '04_Products'!$F:$F), 0)</f>
        <v/>
      </c>
      <c r="I217" s="9">
        <f>F217*G217</f>
        <v/>
      </c>
      <c r="J217" s="11" t="n">
        <v>0.05</v>
      </c>
      <c r="K217" s="9">
        <f>I217*J217</f>
        <v/>
      </c>
      <c r="L217" s="9">
        <f>I217-K217</f>
        <v/>
      </c>
      <c r="M217" s="9">
        <f>F217*H217</f>
        <v/>
      </c>
      <c r="N217" s="9">
        <f>L217-M217</f>
        <v/>
      </c>
      <c r="O217" s="11">
        <f>IFERROR(N217/L217, 0)</f>
        <v/>
      </c>
      <c r="P217" s="8">
        <f>YEAR(C217)</f>
        <v/>
      </c>
      <c r="Q217" s="8">
        <f>TEXT(C217, "yyyy-mm")</f>
        <v/>
      </c>
      <c r="R217" s="8" t="inlineStr">
        <is>
          <t>Direct Web</t>
        </is>
      </c>
      <c r="S217" s="8" t="inlineStr">
        <is>
          <t>REG-NA</t>
        </is>
      </c>
    </row>
    <row r="218">
      <c r="A218" s="8" t="inlineStr">
        <is>
          <t>DTL-0000217</t>
        </is>
      </c>
      <c r="B218" s="8" t="inlineStr">
        <is>
          <t>ORD-000103</t>
        </is>
      </c>
      <c r="C218" s="10" t="inlineStr">
        <is>
          <t>2025-01-31</t>
        </is>
      </c>
      <c r="D218" s="8" t="inlineStr">
        <is>
          <t>CUST-04396</t>
        </is>
      </c>
      <c r="E218" s="8" t="inlineStr">
        <is>
          <t>PRD-0214</t>
        </is>
      </c>
      <c r="F218" s="8" t="n">
        <v>1</v>
      </c>
      <c r="G218" s="9">
        <f>IFERROR(XLOOKUP(E218, '04_Products'!$A:$A, '04_Products'!$G:$G), 482.72)</f>
        <v/>
      </c>
      <c r="H218" s="9">
        <f>IFERROR(XLOOKUP(E218, '04_Products'!$A:$A, '04_Products'!$F:$F), 0)</f>
        <v/>
      </c>
      <c r="I218" s="9">
        <f>F218*G218</f>
        <v/>
      </c>
      <c r="J218" s="11" t="n">
        <v>0</v>
      </c>
      <c r="K218" s="9">
        <f>I218*J218</f>
        <v/>
      </c>
      <c r="L218" s="9">
        <f>I218-K218</f>
        <v/>
      </c>
      <c r="M218" s="9">
        <f>F218*H218</f>
        <v/>
      </c>
      <c r="N218" s="9">
        <f>L218-M218</f>
        <v/>
      </c>
      <c r="O218" s="11">
        <f>IFERROR(N218/L218, 0)</f>
        <v/>
      </c>
      <c r="P218" s="8">
        <f>YEAR(C218)</f>
        <v/>
      </c>
      <c r="Q218" s="8">
        <f>TEXT(C218, "yyyy-mm")</f>
        <v/>
      </c>
      <c r="R218" s="8" t="inlineStr">
        <is>
          <t>Direct Web</t>
        </is>
      </c>
      <c r="S218" s="8" t="inlineStr">
        <is>
          <t>REG-NA</t>
        </is>
      </c>
    </row>
    <row r="219">
      <c r="A219" s="8" t="inlineStr">
        <is>
          <t>DTL-0000218</t>
        </is>
      </c>
      <c r="B219" s="8" t="inlineStr">
        <is>
          <t>ORD-000103</t>
        </is>
      </c>
      <c r="C219" s="10" t="inlineStr">
        <is>
          <t>2025-01-31</t>
        </is>
      </c>
      <c r="D219" s="8" t="inlineStr">
        <is>
          <t>CUST-04396</t>
        </is>
      </c>
      <c r="E219" s="8" t="inlineStr">
        <is>
          <t>PRD-0419</t>
        </is>
      </c>
      <c r="F219" s="8" t="n">
        <v>3</v>
      </c>
      <c r="G219" s="9">
        <f>IFERROR(XLOOKUP(E219, '04_Products'!$A:$A, '04_Products'!$G:$G), 113.66)</f>
        <v/>
      </c>
      <c r="H219" s="9">
        <f>IFERROR(XLOOKUP(E219, '04_Products'!$A:$A, '04_Products'!$F:$F), 0)</f>
        <v/>
      </c>
      <c r="I219" s="9">
        <f>F219*G219</f>
        <v/>
      </c>
      <c r="J219" s="11" t="n">
        <v>0.05</v>
      </c>
      <c r="K219" s="9">
        <f>I219*J219</f>
        <v/>
      </c>
      <c r="L219" s="9">
        <f>I219-K219</f>
        <v/>
      </c>
      <c r="M219" s="9">
        <f>F219*H219</f>
        <v/>
      </c>
      <c r="N219" s="9">
        <f>L219-M219</f>
        <v/>
      </c>
      <c r="O219" s="11">
        <f>IFERROR(N219/L219, 0)</f>
        <v/>
      </c>
      <c r="P219" s="8">
        <f>YEAR(C219)</f>
        <v/>
      </c>
      <c r="Q219" s="8">
        <f>TEXT(C219, "yyyy-mm")</f>
        <v/>
      </c>
      <c r="R219" s="8" t="inlineStr">
        <is>
          <t>Direct Web</t>
        </is>
      </c>
      <c r="S219" s="8" t="inlineStr">
        <is>
          <t>REG-NA</t>
        </is>
      </c>
    </row>
    <row r="220">
      <c r="A220" s="8" t="inlineStr">
        <is>
          <t>DTL-0000219</t>
        </is>
      </c>
      <c r="B220" s="8" t="inlineStr">
        <is>
          <t>ORD-000103</t>
        </is>
      </c>
      <c r="C220" s="10" t="inlineStr">
        <is>
          <t>2025-01-31</t>
        </is>
      </c>
      <c r="D220" s="8" t="inlineStr">
        <is>
          <t>CUST-04396</t>
        </is>
      </c>
      <c r="E220" s="8" t="inlineStr">
        <is>
          <t>PRD-0347</t>
        </is>
      </c>
      <c r="F220" s="8" t="n">
        <v>1</v>
      </c>
      <c r="G220" s="9">
        <f>IFERROR(XLOOKUP(E220, '04_Products'!$A:$A, '04_Products'!$G:$G), 197.61)</f>
        <v/>
      </c>
      <c r="H220" s="9">
        <f>IFERROR(XLOOKUP(E220, '04_Products'!$A:$A, '04_Products'!$F:$F), 0)</f>
        <v/>
      </c>
      <c r="I220" s="9">
        <f>F220*G220</f>
        <v/>
      </c>
      <c r="J220" s="11" t="n">
        <v>0</v>
      </c>
      <c r="K220" s="9">
        <f>I220*J220</f>
        <v/>
      </c>
      <c r="L220" s="9">
        <f>I220-K220</f>
        <v/>
      </c>
      <c r="M220" s="9">
        <f>F220*H220</f>
        <v/>
      </c>
      <c r="N220" s="9">
        <f>L220-M220</f>
        <v/>
      </c>
      <c r="O220" s="11">
        <f>IFERROR(N220/L220, 0)</f>
        <v/>
      </c>
      <c r="P220" s="8">
        <f>YEAR(C220)</f>
        <v/>
      </c>
      <c r="Q220" s="8">
        <f>TEXT(C220, "yyyy-mm")</f>
        <v/>
      </c>
      <c r="R220" s="8" t="inlineStr">
        <is>
          <t>Direct Web</t>
        </is>
      </c>
      <c r="S220" s="8" t="inlineStr">
        <is>
          <t>REG-NA</t>
        </is>
      </c>
    </row>
    <row r="221">
      <c r="A221" s="8" t="inlineStr">
        <is>
          <t>DTL-0000220</t>
        </is>
      </c>
      <c r="B221" s="8" t="inlineStr">
        <is>
          <t>ORD-000104</t>
        </is>
      </c>
      <c r="C221" s="10" t="inlineStr">
        <is>
          <t>2025-12-09</t>
        </is>
      </c>
      <c r="D221" s="8" t="inlineStr">
        <is>
          <t>CUST-05273</t>
        </is>
      </c>
      <c r="E221" s="8" t="inlineStr">
        <is>
          <t>PRD-0004</t>
        </is>
      </c>
      <c r="F221" s="8" t="n">
        <v>1</v>
      </c>
      <c r="G221" s="9">
        <f>IFERROR(XLOOKUP(E221, '04_Products'!$A:$A, '04_Products'!$G:$G), 13.71)</f>
        <v/>
      </c>
      <c r="H221" s="9">
        <f>IFERROR(XLOOKUP(E221, '04_Products'!$A:$A, '04_Products'!$F:$F), 0)</f>
        <v/>
      </c>
      <c r="I221" s="9">
        <f>F221*G221</f>
        <v/>
      </c>
      <c r="J221" s="11" t="n">
        <v>0</v>
      </c>
      <c r="K221" s="9">
        <f>I221*J221</f>
        <v/>
      </c>
      <c r="L221" s="9">
        <f>I221-K221</f>
        <v/>
      </c>
      <c r="M221" s="9">
        <f>F221*H221</f>
        <v/>
      </c>
      <c r="N221" s="9">
        <f>L221-M221</f>
        <v/>
      </c>
      <c r="O221" s="11">
        <f>IFERROR(N221/L221, 0)</f>
        <v/>
      </c>
      <c r="P221" s="8">
        <f>YEAR(C221)</f>
        <v/>
      </c>
      <c r="Q221" s="8">
        <f>TEXT(C221, "yyyy-mm")</f>
        <v/>
      </c>
      <c r="R221" s="8" t="inlineStr">
        <is>
          <t>Direct Web</t>
        </is>
      </c>
      <c r="S221" s="8" t="inlineStr">
        <is>
          <t>REG-EU</t>
        </is>
      </c>
    </row>
    <row r="222">
      <c r="A222" s="8" t="inlineStr">
        <is>
          <t>DTL-0000221</t>
        </is>
      </c>
      <c r="B222" s="8" t="inlineStr">
        <is>
          <t>ORD-000104</t>
        </is>
      </c>
      <c r="C222" s="10" t="inlineStr">
        <is>
          <t>2025-12-09</t>
        </is>
      </c>
      <c r="D222" s="8" t="inlineStr">
        <is>
          <t>CUST-05273</t>
        </is>
      </c>
      <c r="E222" s="8" t="inlineStr">
        <is>
          <t>PRD-0232</t>
        </is>
      </c>
      <c r="F222" s="8" t="n">
        <v>1</v>
      </c>
      <c r="G222" s="9">
        <f>IFERROR(XLOOKUP(E222, '04_Products'!$A:$A, '04_Products'!$G:$G), 192.08)</f>
        <v/>
      </c>
      <c r="H222" s="9">
        <f>IFERROR(XLOOKUP(E222, '04_Products'!$A:$A, '04_Products'!$F:$F), 0)</f>
        <v/>
      </c>
      <c r="I222" s="9">
        <f>F222*G222</f>
        <v/>
      </c>
      <c r="J222" s="11" t="n">
        <v>0</v>
      </c>
      <c r="K222" s="9">
        <f>I222*J222</f>
        <v/>
      </c>
      <c r="L222" s="9">
        <f>I222-K222</f>
        <v/>
      </c>
      <c r="M222" s="9">
        <f>F222*H222</f>
        <v/>
      </c>
      <c r="N222" s="9">
        <f>L222-M222</f>
        <v/>
      </c>
      <c r="O222" s="11">
        <f>IFERROR(N222/L222, 0)</f>
        <v/>
      </c>
      <c r="P222" s="8">
        <f>YEAR(C222)</f>
        <v/>
      </c>
      <c r="Q222" s="8">
        <f>TEXT(C222, "yyyy-mm")</f>
        <v/>
      </c>
      <c r="R222" s="8" t="inlineStr">
        <is>
          <t>Direct Web</t>
        </is>
      </c>
      <c r="S222" s="8" t="inlineStr">
        <is>
          <t>REG-EU</t>
        </is>
      </c>
    </row>
    <row r="223">
      <c r="A223" s="8" t="inlineStr">
        <is>
          <t>DTL-0000222</t>
        </is>
      </c>
      <c r="B223" s="8" t="inlineStr">
        <is>
          <t>ORD-000104</t>
        </is>
      </c>
      <c r="C223" s="10" t="inlineStr">
        <is>
          <t>2025-12-09</t>
        </is>
      </c>
      <c r="D223" s="8" t="inlineStr">
        <is>
          <t>CUST-05273</t>
        </is>
      </c>
      <c r="E223" s="8" t="inlineStr">
        <is>
          <t>PRD-0280</t>
        </is>
      </c>
      <c r="F223" s="8" t="n">
        <v>1</v>
      </c>
      <c r="G223" s="9">
        <f>IFERROR(XLOOKUP(E223, '04_Products'!$A:$A, '04_Products'!$G:$G), 408.85)</f>
        <v/>
      </c>
      <c r="H223" s="9">
        <f>IFERROR(XLOOKUP(E223, '04_Products'!$A:$A, '04_Products'!$F:$F), 0)</f>
        <v/>
      </c>
      <c r="I223" s="9">
        <f>F223*G223</f>
        <v/>
      </c>
      <c r="J223" s="11" t="n">
        <v>0</v>
      </c>
      <c r="K223" s="9">
        <f>I223*J223</f>
        <v/>
      </c>
      <c r="L223" s="9">
        <f>I223-K223</f>
        <v/>
      </c>
      <c r="M223" s="9">
        <f>F223*H223</f>
        <v/>
      </c>
      <c r="N223" s="9">
        <f>L223-M223</f>
        <v/>
      </c>
      <c r="O223" s="11">
        <f>IFERROR(N223/L223, 0)</f>
        <v/>
      </c>
      <c r="P223" s="8">
        <f>YEAR(C223)</f>
        <v/>
      </c>
      <c r="Q223" s="8">
        <f>TEXT(C223, "yyyy-mm")</f>
        <v/>
      </c>
      <c r="R223" s="8" t="inlineStr">
        <is>
          <t>Direct Web</t>
        </is>
      </c>
      <c r="S223" s="8" t="inlineStr">
        <is>
          <t>REG-EU</t>
        </is>
      </c>
    </row>
    <row r="224">
      <c r="A224" s="8" t="inlineStr">
        <is>
          <t>DTL-0000223</t>
        </is>
      </c>
      <c r="B224" s="8" t="inlineStr">
        <is>
          <t>ORD-000105</t>
        </is>
      </c>
      <c r="C224" s="10" t="inlineStr">
        <is>
          <t>2024-05-13</t>
        </is>
      </c>
      <c r="D224" s="8" t="inlineStr">
        <is>
          <t>CUST-03313</t>
        </is>
      </c>
      <c r="E224" s="8" t="inlineStr">
        <is>
          <t>PRD-0037</t>
        </is>
      </c>
      <c r="F224" s="8" t="n">
        <v>1</v>
      </c>
      <c r="G224" s="9">
        <f>IFERROR(XLOOKUP(E224, '04_Products'!$A:$A, '04_Products'!$G:$G), 499.93)</f>
        <v/>
      </c>
      <c r="H224" s="9">
        <f>IFERROR(XLOOKUP(E224, '04_Products'!$A:$A, '04_Products'!$F:$F), 0)</f>
        <v/>
      </c>
      <c r="I224" s="9">
        <f>F224*G224</f>
        <v/>
      </c>
      <c r="J224" s="11" t="n">
        <v>0.05</v>
      </c>
      <c r="K224" s="9">
        <f>I224*J224</f>
        <v/>
      </c>
      <c r="L224" s="9">
        <f>I224-K224</f>
        <v/>
      </c>
      <c r="M224" s="9">
        <f>F224*H224</f>
        <v/>
      </c>
      <c r="N224" s="9">
        <f>L224-M224</f>
        <v/>
      </c>
      <c r="O224" s="11">
        <f>IFERROR(N224/L224, 0)</f>
        <v/>
      </c>
      <c r="P224" s="8">
        <f>YEAR(C224)</f>
        <v/>
      </c>
      <c r="Q224" s="8">
        <f>TEXT(C224, "yyyy-mm")</f>
        <v/>
      </c>
      <c r="R224" s="8" t="inlineStr">
        <is>
          <t>Direct Web</t>
        </is>
      </c>
      <c r="S224" s="8" t="inlineStr">
        <is>
          <t>REG-APAC</t>
        </is>
      </c>
    </row>
    <row r="225">
      <c r="A225" s="8" t="inlineStr">
        <is>
          <t>DTL-0000224</t>
        </is>
      </c>
      <c r="B225" s="8" t="inlineStr">
        <is>
          <t>ORD-000105</t>
        </is>
      </c>
      <c r="C225" s="10" t="inlineStr">
        <is>
          <t>2024-05-13</t>
        </is>
      </c>
      <c r="D225" s="8" t="inlineStr">
        <is>
          <t>CUST-03313</t>
        </is>
      </c>
      <c r="E225" s="8" t="inlineStr">
        <is>
          <t>PRD-0001</t>
        </is>
      </c>
      <c r="F225" s="8" t="n">
        <v>2</v>
      </c>
      <c r="G225" s="9">
        <f>IFERROR(XLOOKUP(E225, '04_Products'!$A:$A, '04_Products'!$G:$G), 9.00)</f>
        <v/>
      </c>
      <c r="H225" s="9">
        <f>IFERROR(XLOOKUP(E225, '04_Products'!$A:$A, '04_Products'!$F:$F), 0)</f>
        <v/>
      </c>
      <c r="I225" s="9">
        <f>F225*G225</f>
        <v/>
      </c>
      <c r="J225" s="11" t="n">
        <v>0</v>
      </c>
      <c r="K225" s="9">
        <f>I225*J225</f>
        <v/>
      </c>
      <c r="L225" s="9">
        <f>I225-K225</f>
        <v/>
      </c>
      <c r="M225" s="9">
        <f>F225*H225</f>
        <v/>
      </c>
      <c r="N225" s="9">
        <f>L225-M225</f>
        <v/>
      </c>
      <c r="O225" s="11">
        <f>IFERROR(N225/L225, 0)</f>
        <v/>
      </c>
      <c r="P225" s="8">
        <f>YEAR(C225)</f>
        <v/>
      </c>
      <c r="Q225" s="8">
        <f>TEXT(C225, "yyyy-mm")</f>
        <v/>
      </c>
      <c r="R225" s="8" t="inlineStr">
        <is>
          <t>Direct Web</t>
        </is>
      </c>
      <c r="S225" s="8" t="inlineStr">
        <is>
          <t>REG-APAC</t>
        </is>
      </c>
    </row>
    <row r="226">
      <c r="A226" s="8" t="inlineStr">
        <is>
          <t>DTL-0000225</t>
        </is>
      </c>
      <c r="B226" s="8" t="inlineStr">
        <is>
          <t>ORD-000106</t>
        </is>
      </c>
      <c r="C226" s="10" t="inlineStr">
        <is>
          <t>2024-04-08</t>
        </is>
      </c>
      <c r="D226" s="8" t="inlineStr">
        <is>
          <t>CUST-04629</t>
        </is>
      </c>
      <c r="E226" s="8" t="inlineStr">
        <is>
          <t>PRD-0102</t>
        </is>
      </c>
      <c r="F226" s="8" t="n">
        <v>1</v>
      </c>
      <c r="G226" s="9">
        <f>IFERROR(XLOOKUP(E226, '04_Products'!$A:$A, '04_Products'!$G:$G), 933.64)</f>
        <v/>
      </c>
      <c r="H226" s="9">
        <f>IFERROR(XLOOKUP(E226, '04_Products'!$A:$A, '04_Products'!$F:$F), 0)</f>
        <v/>
      </c>
      <c r="I226" s="9">
        <f>F226*G226</f>
        <v/>
      </c>
      <c r="J226" s="11" t="n">
        <v>0</v>
      </c>
      <c r="K226" s="9">
        <f>I226*J226</f>
        <v/>
      </c>
      <c r="L226" s="9">
        <f>I226-K226</f>
        <v/>
      </c>
      <c r="M226" s="9">
        <f>F226*H226</f>
        <v/>
      </c>
      <c r="N226" s="9">
        <f>L226-M226</f>
        <v/>
      </c>
      <c r="O226" s="11">
        <f>IFERROR(N226/L226, 0)</f>
        <v/>
      </c>
      <c r="P226" s="8">
        <f>YEAR(C226)</f>
        <v/>
      </c>
      <c r="Q226" s="8">
        <f>TEXT(C226, "yyyy-mm")</f>
        <v/>
      </c>
      <c r="R226" s="8" t="inlineStr">
        <is>
          <t>B2B Portal</t>
        </is>
      </c>
      <c r="S226" s="8" t="inlineStr">
        <is>
          <t>REG-EU</t>
        </is>
      </c>
    </row>
    <row r="227">
      <c r="A227" s="8" t="inlineStr">
        <is>
          <t>DTL-0000226</t>
        </is>
      </c>
      <c r="B227" s="8" t="inlineStr">
        <is>
          <t>ORD-000106</t>
        </is>
      </c>
      <c r="C227" s="10" t="inlineStr">
        <is>
          <t>2024-04-08</t>
        </is>
      </c>
      <c r="D227" s="8" t="inlineStr">
        <is>
          <t>CUST-04629</t>
        </is>
      </c>
      <c r="E227" s="8" t="inlineStr">
        <is>
          <t>PRD-0081</t>
        </is>
      </c>
      <c r="F227" s="8" t="n">
        <v>8</v>
      </c>
      <c r="G227" s="9">
        <f>IFERROR(XLOOKUP(E227, '04_Products'!$A:$A, '04_Products'!$G:$G), 62.94)</f>
        <v/>
      </c>
      <c r="H227" s="9">
        <f>IFERROR(XLOOKUP(E227, '04_Products'!$A:$A, '04_Products'!$F:$F), 0)</f>
        <v/>
      </c>
      <c r="I227" s="9">
        <f>F227*G227</f>
        <v/>
      </c>
      <c r="J227" s="11" t="n">
        <v>0</v>
      </c>
      <c r="K227" s="9">
        <f>I227*J227</f>
        <v/>
      </c>
      <c r="L227" s="9">
        <f>I227-K227</f>
        <v/>
      </c>
      <c r="M227" s="9">
        <f>F227*H227</f>
        <v/>
      </c>
      <c r="N227" s="9">
        <f>L227-M227</f>
        <v/>
      </c>
      <c r="O227" s="11">
        <f>IFERROR(N227/L227, 0)</f>
        <v/>
      </c>
      <c r="P227" s="8">
        <f>YEAR(C227)</f>
        <v/>
      </c>
      <c r="Q227" s="8">
        <f>TEXT(C227, "yyyy-mm")</f>
        <v/>
      </c>
      <c r="R227" s="8" t="inlineStr">
        <is>
          <t>B2B Portal</t>
        </is>
      </c>
      <c r="S227" s="8" t="inlineStr">
        <is>
          <t>REG-EU</t>
        </is>
      </c>
    </row>
    <row r="228">
      <c r="A228" s="8" t="inlineStr">
        <is>
          <t>DTL-0000227</t>
        </is>
      </c>
      <c r="B228" s="8" t="inlineStr">
        <is>
          <t>ORD-000107</t>
        </is>
      </c>
      <c r="C228" s="10" t="inlineStr">
        <is>
          <t>2023-12-03</t>
        </is>
      </c>
      <c r="D228" s="8" t="inlineStr">
        <is>
          <t>CUST-01690</t>
        </is>
      </c>
      <c r="E228" s="8" t="inlineStr">
        <is>
          <t>PRD-0234</t>
        </is>
      </c>
      <c r="F228" s="8" t="n">
        <v>3</v>
      </c>
      <c r="G228" s="9">
        <f>IFERROR(XLOOKUP(E228, '04_Products'!$A:$A, '04_Products'!$G:$G), 608.75)</f>
        <v/>
      </c>
      <c r="H228" s="9">
        <f>IFERROR(XLOOKUP(E228, '04_Products'!$A:$A, '04_Products'!$F:$F), 0)</f>
        <v/>
      </c>
      <c r="I228" s="9">
        <f>F228*G228</f>
        <v/>
      </c>
      <c r="J228" s="11" t="n">
        <v>0.15</v>
      </c>
      <c r="K228" s="9">
        <f>I228*J228</f>
        <v/>
      </c>
      <c r="L228" s="9">
        <f>I228-K228</f>
        <v/>
      </c>
      <c r="M228" s="9">
        <f>F228*H228</f>
        <v/>
      </c>
      <c r="N228" s="9">
        <f>L228-M228</f>
        <v/>
      </c>
      <c r="O228" s="11">
        <f>IFERROR(N228/L228, 0)</f>
        <v/>
      </c>
      <c r="P228" s="8">
        <f>YEAR(C228)</f>
        <v/>
      </c>
      <c r="Q228" s="8">
        <f>TEXT(C228, "yyyy-mm")</f>
        <v/>
      </c>
      <c r="R228" s="8" t="inlineStr">
        <is>
          <t>Mobile App</t>
        </is>
      </c>
      <c r="S228" s="8" t="inlineStr">
        <is>
          <t>REG-EU</t>
        </is>
      </c>
    </row>
    <row r="229">
      <c r="A229" s="8" t="inlineStr">
        <is>
          <t>DTL-0000228</t>
        </is>
      </c>
      <c r="B229" s="8" t="inlineStr">
        <is>
          <t>ORD-000107</t>
        </is>
      </c>
      <c r="C229" s="10" t="inlineStr">
        <is>
          <t>2023-12-03</t>
        </is>
      </c>
      <c r="D229" s="8" t="inlineStr">
        <is>
          <t>CUST-01690</t>
        </is>
      </c>
      <c r="E229" s="8" t="inlineStr">
        <is>
          <t>PRD-0344</t>
        </is>
      </c>
      <c r="F229" s="8" t="n">
        <v>1</v>
      </c>
      <c r="G229" s="9">
        <f>IFERROR(XLOOKUP(E229, '04_Products'!$A:$A, '04_Products'!$G:$G), 337.02)</f>
        <v/>
      </c>
      <c r="H229" s="9">
        <f>IFERROR(XLOOKUP(E229, '04_Products'!$A:$A, '04_Products'!$F:$F), 0)</f>
        <v/>
      </c>
      <c r="I229" s="9">
        <f>F229*G229</f>
        <v/>
      </c>
      <c r="J229" s="11" t="n">
        <v>0</v>
      </c>
      <c r="K229" s="9">
        <f>I229*J229</f>
        <v/>
      </c>
      <c r="L229" s="9">
        <f>I229-K229</f>
        <v/>
      </c>
      <c r="M229" s="9">
        <f>F229*H229</f>
        <v/>
      </c>
      <c r="N229" s="9">
        <f>L229-M229</f>
        <v/>
      </c>
      <c r="O229" s="11">
        <f>IFERROR(N229/L229, 0)</f>
        <v/>
      </c>
      <c r="P229" s="8">
        <f>YEAR(C229)</f>
        <v/>
      </c>
      <c r="Q229" s="8">
        <f>TEXT(C229, "yyyy-mm")</f>
        <v/>
      </c>
      <c r="R229" s="8" t="inlineStr">
        <is>
          <t>Mobile App</t>
        </is>
      </c>
      <c r="S229" s="8" t="inlineStr">
        <is>
          <t>REG-EU</t>
        </is>
      </c>
    </row>
    <row r="230">
      <c r="A230" s="8" t="inlineStr">
        <is>
          <t>DTL-0000229</t>
        </is>
      </c>
      <c r="B230" s="8" t="inlineStr">
        <is>
          <t>ORD-000107</t>
        </is>
      </c>
      <c r="C230" s="10" t="inlineStr">
        <is>
          <t>2023-12-03</t>
        </is>
      </c>
      <c r="D230" s="8" t="inlineStr">
        <is>
          <t>CUST-01690</t>
        </is>
      </c>
      <c r="E230" s="8" t="inlineStr">
        <is>
          <t>PRD-0246</t>
        </is>
      </c>
      <c r="F230" s="8" t="n">
        <v>2</v>
      </c>
      <c r="G230" s="9">
        <f>IFERROR(XLOOKUP(E230, '04_Products'!$A:$A, '04_Products'!$G:$G), 1238.92)</f>
        <v/>
      </c>
      <c r="H230" s="9">
        <f>IFERROR(XLOOKUP(E230, '04_Products'!$A:$A, '04_Products'!$F:$F), 0)</f>
        <v/>
      </c>
      <c r="I230" s="9">
        <f>F230*G230</f>
        <v/>
      </c>
      <c r="J230" s="11" t="n">
        <v>0.05</v>
      </c>
      <c r="K230" s="9">
        <f>I230*J230</f>
        <v/>
      </c>
      <c r="L230" s="9">
        <f>I230-K230</f>
        <v/>
      </c>
      <c r="M230" s="9">
        <f>F230*H230</f>
        <v/>
      </c>
      <c r="N230" s="9">
        <f>L230-M230</f>
        <v/>
      </c>
      <c r="O230" s="11">
        <f>IFERROR(N230/L230, 0)</f>
        <v/>
      </c>
      <c r="P230" s="8">
        <f>YEAR(C230)</f>
        <v/>
      </c>
      <c r="Q230" s="8">
        <f>TEXT(C230, "yyyy-mm")</f>
        <v/>
      </c>
      <c r="R230" s="8" t="inlineStr">
        <is>
          <t>Mobile App</t>
        </is>
      </c>
      <c r="S230" s="8" t="inlineStr">
        <is>
          <t>REG-EU</t>
        </is>
      </c>
    </row>
    <row r="231">
      <c r="A231" s="8" t="inlineStr">
        <is>
          <t>DTL-0000230</t>
        </is>
      </c>
      <c r="B231" s="8" t="inlineStr">
        <is>
          <t>ORD-000107</t>
        </is>
      </c>
      <c r="C231" s="10" t="inlineStr">
        <is>
          <t>2023-12-03</t>
        </is>
      </c>
      <c r="D231" s="8" t="inlineStr">
        <is>
          <t>CUST-01690</t>
        </is>
      </c>
      <c r="E231" s="8" t="inlineStr">
        <is>
          <t>PRD-0161</t>
        </is>
      </c>
      <c r="F231" s="8" t="n">
        <v>1</v>
      </c>
      <c r="G231" s="9">
        <f>IFERROR(XLOOKUP(E231, '04_Products'!$A:$A, '04_Products'!$G:$G), 192.49)</f>
        <v/>
      </c>
      <c r="H231" s="9">
        <f>IFERROR(XLOOKUP(E231, '04_Products'!$A:$A, '04_Products'!$F:$F), 0)</f>
        <v/>
      </c>
      <c r="I231" s="9">
        <f>F231*G231</f>
        <v/>
      </c>
      <c r="J231" s="11" t="n">
        <v>0.1</v>
      </c>
      <c r="K231" s="9">
        <f>I231*J231</f>
        <v/>
      </c>
      <c r="L231" s="9">
        <f>I231-K231</f>
        <v/>
      </c>
      <c r="M231" s="9">
        <f>F231*H231</f>
        <v/>
      </c>
      <c r="N231" s="9">
        <f>L231-M231</f>
        <v/>
      </c>
      <c r="O231" s="11">
        <f>IFERROR(N231/L231, 0)</f>
        <v/>
      </c>
      <c r="P231" s="8">
        <f>YEAR(C231)</f>
        <v/>
      </c>
      <c r="Q231" s="8">
        <f>TEXT(C231, "yyyy-mm")</f>
        <v/>
      </c>
      <c r="R231" s="8" t="inlineStr">
        <is>
          <t>Mobile App</t>
        </is>
      </c>
      <c r="S231" s="8" t="inlineStr">
        <is>
          <t>REG-EU</t>
        </is>
      </c>
    </row>
    <row r="232">
      <c r="A232" s="8" t="inlineStr">
        <is>
          <t>DTL-0000231</t>
        </is>
      </c>
      <c r="B232" s="8" t="inlineStr">
        <is>
          <t>ORD-000108</t>
        </is>
      </c>
      <c r="C232" s="10" t="inlineStr">
        <is>
          <t>2025-11-01</t>
        </is>
      </c>
      <c r="D232" s="8" t="inlineStr">
        <is>
          <t>CUST-01908</t>
        </is>
      </c>
      <c r="E232" s="8" t="inlineStr">
        <is>
          <t>PRD-0229</t>
        </is>
      </c>
      <c r="F232" s="8" t="n">
        <v>2</v>
      </c>
      <c r="G232" s="9">
        <f>IFERROR(XLOOKUP(E232, '04_Products'!$A:$A, '04_Products'!$G:$G), 31.96)</f>
        <v/>
      </c>
      <c r="H232" s="9">
        <f>IFERROR(XLOOKUP(E232, '04_Products'!$A:$A, '04_Products'!$F:$F), 0)</f>
        <v/>
      </c>
      <c r="I232" s="9">
        <f>F232*G232</f>
        <v/>
      </c>
      <c r="J232" s="11" t="n">
        <v>0.1</v>
      </c>
      <c r="K232" s="9">
        <f>I232*J232</f>
        <v/>
      </c>
      <c r="L232" s="9">
        <f>I232-K232</f>
        <v/>
      </c>
      <c r="M232" s="9">
        <f>F232*H232</f>
        <v/>
      </c>
      <c r="N232" s="9">
        <f>L232-M232</f>
        <v/>
      </c>
      <c r="O232" s="11">
        <f>IFERROR(N232/L232, 0)</f>
        <v/>
      </c>
      <c r="P232" s="8">
        <f>YEAR(C232)</f>
        <v/>
      </c>
      <c r="Q232" s="8">
        <f>TEXT(C232, "yyyy-mm")</f>
        <v/>
      </c>
      <c r="R232" s="8" t="inlineStr">
        <is>
          <t>Mobile App</t>
        </is>
      </c>
      <c r="S232" s="8" t="inlineStr">
        <is>
          <t>REG-EU</t>
        </is>
      </c>
    </row>
    <row r="233">
      <c r="A233" s="8" t="inlineStr">
        <is>
          <t>DTL-0000232</t>
        </is>
      </c>
      <c r="B233" s="8" t="inlineStr">
        <is>
          <t>ORD-000109</t>
        </is>
      </c>
      <c r="C233" s="10" t="inlineStr">
        <is>
          <t>2024-01-20</t>
        </is>
      </c>
      <c r="D233" s="8" t="inlineStr">
        <is>
          <t>CUST-03807</t>
        </is>
      </c>
      <c r="E233" s="8" t="inlineStr">
        <is>
          <t>PRD-0220</t>
        </is>
      </c>
      <c r="F233" s="8" t="n">
        <v>1</v>
      </c>
      <c r="G233" s="9">
        <f>IFERROR(XLOOKUP(E233, '04_Products'!$A:$A, '04_Products'!$G:$G), 472.50)</f>
        <v/>
      </c>
      <c r="H233" s="9">
        <f>IFERROR(XLOOKUP(E233, '04_Products'!$A:$A, '04_Products'!$F:$F), 0)</f>
        <v/>
      </c>
      <c r="I233" s="9">
        <f>F233*G233</f>
        <v/>
      </c>
      <c r="J233" s="11" t="n">
        <v>0.05</v>
      </c>
      <c r="K233" s="9">
        <f>I233*J233</f>
        <v/>
      </c>
      <c r="L233" s="9">
        <f>I233-K233</f>
        <v/>
      </c>
      <c r="M233" s="9">
        <f>F233*H233</f>
        <v/>
      </c>
      <c r="N233" s="9">
        <f>L233-M233</f>
        <v/>
      </c>
      <c r="O233" s="11">
        <f>IFERROR(N233/L233, 0)</f>
        <v/>
      </c>
      <c r="P233" s="8">
        <f>YEAR(C233)</f>
        <v/>
      </c>
      <c r="Q233" s="8">
        <f>TEXT(C233, "yyyy-mm")</f>
        <v/>
      </c>
      <c r="R233" s="8" t="inlineStr">
        <is>
          <t>Direct Web</t>
        </is>
      </c>
      <c r="S233" s="8" t="inlineStr">
        <is>
          <t>REG-EU</t>
        </is>
      </c>
    </row>
    <row r="234">
      <c r="A234" s="8" t="inlineStr">
        <is>
          <t>DTL-0000233</t>
        </is>
      </c>
      <c r="B234" s="8" t="inlineStr">
        <is>
          <t>ORD-000109</t>
        </is>
      </c>
      <c r="C234" s="10" t="inlineStr">
        <is>
          <t>2024-01-20</t>
        </is>
      </c>
      <c r="D234" s="8" t="inlineStr">
        <is>
          <t>CUST-03807</t>
        </is>
      </c>
      <c r="E234" s="8" t="inlineStr">
        <is>
          <t>PRD-0031</t>
        </is>
      </c>
      <c r="F234" s="8" t="n">
        <v>2</v>
      </c>
      <c r="G234" s="9">
        <f>IFERROR(XLOOKUP(E234, '04_Products'!$A:$A, '04_Products'!$G:$G), 68.91)</f>
        <v/>
      </c>
      <c r="H234" s="9">
        <f>IFERROR(XLOOKUP(E234, '04_Products'!$A:$A, '04_Products'!$F:$F), 0)</f>
        <v/>
      </c>
      <c r="I234" s="9">
        <f>F234*G234</f>
        <v/>
      </c>
      <c r="J234" s="11" t="n">
        <v>0</v>
      </c>
      <c r="K234" s="9">
        <f>I234*J234</f>
        <v/>
      </c>
      <c r="L234" s="9">
        <f>I234-K234</f>
        <v/>
      </c>
      <c r="M234" s="9">
        <f>F234*H234</f>
        <v/>
      </c>
      <c r="N234" s="9">
        <f>L234-M234</f>
        <v/>
      </c>
      <c r="O234" s="11">
        <f>IFERROR(N234/L234, 0)</f>
        <v/>
      </c>
      <c r="P234" s="8">
        <f>YEAR(C234)</f>
        <v/>
      </c>
      <c r="Q234" s="8">
        <f>TEXT(C234, "yyyy-mm")</f>
        <v/>
      </c>
      <c r="R234" s="8" t="inlineStr">
        <is>
          <t>Direct Web</t>
        </is>
      </c>
      <c r="S234" s="8" t="inlineStr">
        <is>
          <t>REG-EU</t>
        </is>
      </c>
    </row>
    <row r="235">
      <c r="A235" s="8" t="inlineStr">
        <is>
          <t>DTL-0000234</t>
        </is>
      </c>
      <c r="B235" s="8" t="inlineStr">
        <is>
          <t>ORD-000109</t>
        </is>
      </c>
      <c r="C235" s="10" t="inlineStr">
        <is>
          <t>2024-01-20</t>
        </is>
      </c>
      <c r="D235" s="8" t="inlineStr">
        <is>
          <t>CUST-03807</t>
        </is>
      </c>
      <c r="E235" s="8" t="inlineStr">
        <is>
          <t>PRD-0060</t>
        </is>
      </c>
      <c r="F235" s="8" t="n">
        <v>1</v>
      </c>
      <c r="G235" s="9">
        <f>IFERROR(XLOOKUP(E235, '04_Products'!$A:$A, '04_Products'!$G:$G), 826.74)</f>
        <v/>
      </c>
      <c r="H235" s="9">
        <f>IFERROR(XLOOKUP(E235, '04_Products'!$A:$A, '04_Products'!$F:$F), 0)</f>
        <v/>
      </c>
      <c r="I235" s="9">
        <f>F235*G235</f>
        <v/>
      </c>
      <c r="J235" s="11" t="n">
        <v>0</v>
      </c>
      <c r="K235" s="9">
        <f>I235*J235</f>
        <v/>
      </c>
      <c r="L235" s="9">
        <f>I235-K235</f>
        <v/>
      </c>
      <c r="M235" s="9">
        <f>F235*H235</f>
        <v/>
      </c>
      <c r="N235" s="9">
        <f>L235-M235</f>
        <v/>
      </c>
      <c r="O235" s="11">
        <f>IFERROR(N235/L235, 0)</f>
        <v/>
      </c>
      <c r="P235" s="8">
        <f>YEAR(C235)</f>
        <v/>
      </c>
      <c r="Q235" s="8">
        <f>TEXT(C235, "yyyy-mm")</f>
        <v/>
      </c>
      <c r="R235" s="8" t="inlineStr">
        <is>
          <t>Direct Web</t>
        </is>
      </c>
      <c r="S235" s="8" t="inlineStr">
        <is>
          <t>REG-EU</t>
        </is>
      </c>
    </row>
    <row r="236">
      <c r="A236" s="8" t="inlineStr">
        <is>
          <t>DTL-0000235</t>
        </is>
      </c>
      <c r="B236" s="8" t="inlineStr">
        <is>
          <t>ORD-000110</t>
        </is>
      </c>
      <c r="C236" s="10" t="inlineStr">
        <is>
          <t>2025-10-20</t>
        </is>
      </c>
      <c r="D236" s="8" t="inlineStr">
        <is>
          <t>CUST-07880</t>
        </is>
      </c>
      <c r="E236" s="8" t="inlineStr">
        <is>
          <t>PRD-0331</t>
        </is>
      </c>
      <c r="F236" s="8" t="n">
        <v>2</v>
      </c>
      <c r="G236" s="9">
        <f>IFERROR(XLOOKUP(E236, '04_Products'!$A:$A, '04_Products'!$G:$G), 1076.14)</f>
        <v/>
      </c>
      <c r="H236" s="9">
        <f>IFERROR(XLOOKUP(E236, '04_Products'!$A:$A, '04_Products'!$F:$F), 0)</f>
        <v/>
      </c>
      <c r="I236" s="9">
        <f>F236*G236</f>
        <v/>
      </c>
      <c r="J236" s="11" t="n">
        <v>0.1</v>
      </c>
      <c r="K236" s="9">
        <f>I236*J236</f>
        <v/>
      </c>
      <c r="L236" s="9">
        <f>I236-K236</f>
        <v/>
      </c>
      <c r="M236" s="9">
        <f>F236*H236</f>
        <v/>
      </c>
      <c r="N236" s="9">
        <f>L236-M236</f>
        <v/>
      </c>
      <c r="O236" s="11">
        <f>IFERROR(N236/L236, 0)</f>
        <v/>
      </c>
      <c r="P236" s="8">
        <f>YEAR(C236)</f>
        <v/>
      </c>
      <c r="Q236" s="8">
        <f>TEXT(C236, "yyyy-mm")</f>
        <v/>
      </c>
      <c r="R236" s="8" t="inlineStr">
        <is>
          <t>Mobile App</t>
        </is>
      </c>
      <c r="S236" s="8" t="inlineStr">
        <is>
          <t>REG-EU</t>
        </is>
      </c>
    </row>
    <row r="237">
      <c r="A237" s="8" t="inlineStr">
        <is>
          <t>DTL-0000236</t>
        </is>
      </c>
      <c r="B237" s="8" t="inlineStr">
        <is>
          <t>ORD-000111</t>
        </is>
      </c>
      <c r="C237" s="10" t="inlineStr">
        <is>
          <t>2023-05-12</t>
        </is>
      </c>
      <c r="D237" s="8" t="inlineStr">
        <is>
          <t>CUST-00210</t>
        </is>
      </c>
      <c r="E237" s="8" t="inlineStr">
        <is>
          <t>PRD-0298</t>
        </is>
      </c>
      <c r="F237" s="8" t="n">
        <v>2</v>
      </c>
      <c r="G237" s="9">
        <f>IFERROR(XLOOKUP(E237, '04_Products'!$A:$A, '04_Products'!$G:$G), 1013.11)</f>
        <v/>
      </c>
      <c r="H237" s="9">
        <f>IFERROR(XLOOKUP(E237, '04_Products'!$A:$A, '04_Products'!$F:$F), 0)</f>
        <v/>
      </c>
      <c r="I237" s="9">
        <f>F237*G237</f>
        <v/>
      </c>
      <c r="J237" s="11" t="n">
        <v>0</v>
      </c>
      <c r="K237" s="9">
        <f>I237*J237</f>
        <v/>
      </c>
      <c r="L237" s="9">
        <f>I237-K237</f>
        <v/>
      </c>
      <c r="M237" s="9">
        <f>F237*H237</f>
        <v/>
      </c>
      <c r="N237" s="9">
        <f>L237-M237</f>
        <v/>
      </c>
      <c r="O237" s="11">
        <f>IFERROR(N237/L237, 0)</f>
        <v/>
      </c>
      <c r="P237" s="8">
        <f>YEAR(C237)</f>
        <v/>
      </c>
      <c r="Q237" s="8">
        <f>TEXT(C237, "yyyy-mm")</f>
        <v/>
      </c>
      <c r="R237" s="8" t="inlineStr">
        <is>
          <t>Direct Web</t>
        </is>
      </c>
      <c r="S237" s="8" t="inlineStr">
        <is>
          <t>REG-APAC</t>
        </is>
      </c>
    </row>
    <row r="238">
      <c r="A238" s="8" t="inlineStr">
        <is>
          <t>DTL-0000237</t>
        </is>
      </c>
      <c r="B238" s="8" t="inlineStr">
        <is>
          <t>ORD-000111</t>
        </is>
      </c>
      <c r="C238" s="10" t="inlineStr">
        <is>
          <t>2023-05-12</t>
        </is>
      </c>
      <c r="D238" s="8" t="inlineStr">
        <is>
          <t>CUST-00210</t>
        </is>
      </c>
      <c r="E238" s="8" t="inlineStr">
        <is>
          <t>PRD-0026</t>
        </is>
      </c>
      <c r="F238" s="8" t="n">
        <v>2</v>
      </c>
      <c r="G238" s="9">
        <f>IFERROR(XLOOKUP(E238, '04_Products'!$A:$A, '04_Products'!$G:$G), 469.49)</f>
        <v/>
      </c>
      <c r="H238" s="9">
        <f>IFERROR(XLOOKUP(E238, '04_Products'!$A:$A, '04_Products'!$F:$F), 0)</f>
        <v/>
      </c>
      <c r="I238" s="9">
        <f>F238*G238</f>
        <v/>
      </c>
      <c r="J238" s="11" t="n">
        <v>0.15</v>
      </c>
      <c r="K238" s="9">
        <f>I238*J238</f>
        <v/>
      </c>
      <c r="L238" s="9">
        <f>I238-K238</f>
        <v/>
      </c>
      <c r="M238" s="9">
        <f>F238*H238</f>
        <v/>
      </c>
      <c r="N238" s="9">
        <f>L238-M238</f>
        <v/>
      </c>
      <c r="O238" s="11">
        <f>IFERROR(N238/L238, 0)</f>
        <v/>
      </c>
      <c r="P238" s="8">
        <f>YEAR(C238)</f>
        <v/>
      </c>
      <c r="Q238" s="8">
        <f>TEXT(C238, "yyyy-mm")</f>
        <v/>
      </c>
      <c r="R238" s="8" t="inlineStr">
        <is>
          <t>Direct Web</t>
        </is>
      </c>
      <c r="S238" s="8" t="inlineStr">
        <is>
          <t>REG-APAC</t>
        </is>
      </c>
    </row>
    <row r="239">
      <c r="A239" s="8" t="inlineStr">
        <is>
          <t>DTL-0000238</t>
        </is>
      </c>
      <c r="B239" s="8" t="inlineStr">
        <is>
          <t>ORD-000111</t>
        </is>
      </c>
      <c r="C239" s="10" t="inlineStr">
        <is>
          <t>2023-05-12</t>
        </is>
      </c>
      <c r="D239" s="8" t="inlineStr">
        <is>
          <t>CUST-00210</t>
        </is>
      </c>
      <c r="E239" s="8" t="inlineStr">
        <is>
          <t>PRD-0054</t>
        </is>
      </c>
      <c r="F239" s="8" t="n">
        <v>1</v>
      </c>
      <c r="G239" s="9">
        <f>IFERROR(XLOOKUP(E239, '04_Products'!$A:$A, '04_Products'!$G:$G), 873.80)</f>
        <v/>
      </c>
      <c r="H239" s="9">
        <f>IFERROR(XLOOKUP(E239, '04_Products'!$A:$A, '04_Products'!$F:$F), 0)</f>
        <v/>
      </c>
      <c r="I239" s="9">
        <f>F239*G239</f>
        <v/>
      </c>
      <c r="J239" s="11" t="n">
        <v>0.05</v>
      </c>
      <c r="K239" s="9">
        <f>I239*J239</f>
        <v/>
      </c>
      <c r="L239" s="9">
        <f>I239-K239</f>
        <v/>
      </c>
      <c r="M239" s="9">
        <f>F239*H239</f>
        <v/>
      </c>
      <c r="N239" s="9">
        <f>L239-M239</f>
        <v/>
      </c>
      <c r="O239" s="11">
        <f>IFERROR(N239/L239, 0)</f>
        <v/>
      </c>
      <c r="P239" s="8">
        <f>YEAR(C239)</f>
        <v/>
      </c>
      <c r="Q239" s="8">
        <f>TEXT(C239, "yyyy-mm")</f>
        <v/>
      </c>
      <c r="R239" s="8" t="inlineStr">
        <is>
          <t>Direct Web</t>
        </is>
      </c>
      <c r="S239" s="8" t="inlineStr">
        <is>
          <t>REG-APAC</t>
        </is>
      </c>
    </row>
    <row r="240">
      <c r="A240" s="8" t="inlineStr">
        <is>
          <t>DTL-0000239</t>
        </is>
      </c>
      <c r="B240" s="8" t="inlineStr">
        <is>
          <t>ORD-000111</t>
        </is>
      </c>
      <c r="C240" s="10" t="inlineStr">
        <is>
          <t>2023-05-12</t>
        </is>
      </c>
      <c r="D240" s="8" t="inlineStr">
        <is>
          <t>CUST-00210</t>
        </is>
      </c>
      <c r="E240" s="8" t="inlineStr">
        <is>
          <t>PRD-0456</t>
        </is>
      </c>
      <c r="F240" s="8" t="n">
        <v>1</v>
      </c>
      <c r="G240" s="9">
        <f>IFERROR(XLOOKUP(E240, '04_Products'!$A:$A, '04_Products'!$G:$G), 148.24)</f>
        <v/>
      </c>
      <c r="H240" s="9">
        <f>IFERROR(XLOOKUP(E240, '04_Products'!$A:$A, '04_Products'!$F:$F), 0)</f>
        <v/>
      </c>
      <c r="I240" s="9">
        <f>F240*G240</f>
        <v/>
      </c>
      <c r="J240" s="11" t="n">
        <v>0</v>
      </c>
      <c r="K240" s="9">
        <f>I240*J240</f>
        <v/>
      </c>
      <c r="L240" s="9">
        <f>I240-K240</f>
        <v/>
      </c>
      <c r="M240" s="9">
        <f>F240*H240</f>
        <v/>
      </c>
      <c r="N240" s="9">
        <f>L240-M240</f>
        <v/>
      </c>
      <c r="O240" s="11">
        <f>IFERROR(N240/L240, 0)</f>
        <v/>
      </c>
      <c r="P240" s="8">
        <f>YEAR(C240)</f>
        <v/>
      </c>
      <c r="Q240" s="8">
        <f>TEXT(C240, "yyyy-mm")</f>
        <v/>
      </c>
      <c r="R240" s="8" t="inlineStr">
        <is>
          <t>Direct Web</t>
        </is>
      </c>
      <c r="S240" s="8" t="inlineStr">
        <is>
          <t>REG-APAC</t>
        </is>
      </c>
    </row>
    <row r="241">
      <c r="A241" s="8" t="inlineStr">
        <is>
          <t>DTL-0000240</t>
        </is>
      </c>
      <c r="B241" s="8" t="inlineStr">
        <is>
          <t>ORD-000111</t>
        </is>
      </c>
      <c r="C241" s="10" t="inlineStr">
        <is>
          <t>2023-05-12</t>
        </is>
      </c>
      <c r="D241" s="8" t="inlineStr">
        <is>
          <t>CUST-00210</t>
        </is>
      </c>
      <c r="E241" s="8" t="inlineStr">
        <is>
          <t>PRD-0367</t>
        </is>
      </c>
      <c r="F241" s="8" t="n">
        <v>1</v>
      </c>
      <c r="G241" s="9">
        <f>IFERROR(XLOOKUP(E241, '04_Products'!$A:$A, '04_Products'!$G:$G), 68.37)</f>
        <v/>
      </c>
      <c r="H241" s="9">
        <f>IFERROR(XLOOKUP(E241, '04_Products'!$A:$A, '04_Products'!$F:$F), 0)</f>
        <v/>
      </c>
      <c r="I241" s="9">
        <f>F241*G241</f>
        <v/>
      </c>
      <c r="J241" s="11" t="n">
        <v>0</v>
      </c>
      <c r="K241" s="9">
        <f>I241*J241</f>
        <v/>
      </c>
      <c r="L241" s="9">
        <f>I241-K241</f>
        <v/>
      </c>
      <c r="M241" s="9">
        <f>F241*H241</f>
        <v/>
      </c>
      <c r="N241" s="9">
        <f>L241-M241</f>
        <v/>
      </c>
      <c r="O241" s="11">
        <f>IFERROR(N241/L241, 0)</f>
        <v/>
      </c>
      <c r="P241" s="8">
        <f>YEAR(C241)</f>
        <v/>
      </c>
      <c r="Q241" s="8">
        <f>TEXT(C241, "yyyy-mm")</f>
        <v/>
      </c>
      <c r="R241" s="8" t="inlineStr">
        <is>
          <t>Direct Web</t>
        </is>
      </c>
      <c r="S241" s="8" t="inlineStr">
        <is>
          <t>REG-APAC</t>
        </is>
      </c>
    </row>
    <row r="242">
      <c r="A242" s="8" t="inlineStr">
        <is>
          <t>DTL-0000241</t>
        </is>
      </c>
      <c r="B242" s="8" t="inlineStr">
        <is>
          <t>ORD-000112</t>
        </is>
      </c>
      <c r="C242" s="10" t="inlineStr">
        <is>
          <t>2025-08-07</t>
        </is>
      </c>
      <c r="D242" s="8" t="inlineStr">
        <is>
          <t>CUST-04126</t>
        </is>
      </c>
      <c r="E242" s="8" t="inlineStr">
        <is>
          <t>PRD-0307</t>
        </is>
      </c>
      <c r="F242" s="8" t="n">
        <v>2</v>
      </c>
      <c r="G242" s="9">
        <f>IFERROR(XLOOKUP(E242, '04_Products'!$A:$A, '04_Products'!$G:$G), 762.88)</f>
        <v/>
      </c>
      <c r="H242" s="9">
        <f>IFERROR(XLOOKUP(E242, '04_Products'!$A:$A, '04_Products'!$F:$F), 0)</f>
        <v/>
      </c>
      <c r="I242" s="9">
        <f>F242*G242</f>
        <v/>
      </c>
      <c r="J242" s="11" t="n">
        <v>0.05</v>
      </c>
      <c r="K242" s="9">
        <f>I242*J242</f>
        <v/>
      </c>
      <c r="L242" s="9">
        <f>I242-K242</f>
        <v/>
      </c>
      <c r="M242" s="9">
        <f>F242*H242</f>
        <v/>
      </c>
      <c r="N242" s="9">
        <f>L242-M242</f>
        <v/>
      </c>
      <c r="O242" s="11">
        <f>IFERROR(N242/L242, 0)</f>
        <v/>
      </c>
      <c r="P242" s="8">
        <f>YEAR(C242)</f>
        <v/>
      </c>
      <c r="Q242" s="8">
        <f>TEXT(C242, "yyyy-mm")</f>
        <v/>
      </c>
      <c r="R242" s="8" t="inlineStr">
        <is>
          <t>B2B Portal</t>
        </is>
      </c>
      <c r="S242" s="8" t="inlineStr">
        <is>
          <t>REG-NA</t>
        </is>
      </c>
    </row>
    <row r="243">
      <c r="A243" s="8" t="inlineStr">
        <is>
          <t>DTL-0000242</t>
        </is>
      </c>
      <c r="B243" s="8" t="inlineStr">
        <is>
          <t>ORD-000113</t>
        </is>
      </c>
      <c r="C243" s="10" t="inlineStr">
        <is>
          <t>2024-12-08</t>
        </is>
      </c>
      <c r="D243" s="8" t="inlineStr">
        <is>
          <t>CUST-05774</t>
        </is>
      </c>
      <c r="E243" s="8" t="inlineStr">
        <is>
          <t>PRD-0007</t>
        </is>
      </c>
      <c r="F243" s="8" t="n">
        <v>1</v>
      </c>
      <c r="G243" s="9">
        <f>IFERROR(XLOOKUP(E243, '04_Products'!$A:$A, '04_Products'!$G:$G), 254.43)</f>
        <v/>
      </c>
      <c r="H243" s="9">
        <f>IFERROR(XLOOKUP(E243, '04_Products'!$A:$A, '04_Products'!$F:$F), 0)</f>
        <v/>
      </c>
      <c r="I243" s="9">
        <f>F243*G243</f>
        <v/>
      </c>
      <c r="J243" s="11" t="n">
        <v>0</v>
      </c>
      <c r="K243" s="9">
        <f>I243*J243</f>
        <v/>
      </c>
      <c r="L243" s="9">
        <f>I243-K243</f>
        <v/>
      </c>
      <c r="M243" s="9">
        <f>F243*H243</f>
        <v/>
      </c>
      <c r="N243" s="9">
        <f>L243-M243</f>
        <v/>
      </c>
      <c r="O243" s="11">
        <f>IFERROR(N243/L243, 0)</f>
        <v/>
      </c>
      <c r="P243" s="8">
        <f>YEAR(C243)</f>
        <v/>
      </c>
      <c r="Q243" s="8">
        <f>TEXT(C243, "yyyy-mm")</f>
        <v/>
      </c>
      <c r="R243" s="8" t="inlineStr">
        <is>
          <t>Direct Web</t>
        </is>
      </c>
      <c r="S243" s="8" t="inlineStr">
        <is>
          <t>REG-APAC</t>
        </is>
      </c>
    </row>
    <row r="244">
      <c r="A244" s="8" t="inlineStr">
        <is>
          <t>DTL-0000243</t>
        </is>
      </c>
      <c r="B244" s="8" t="inlineStr">
        <is>
          <t>ORD-000114</t>
        </is>
      </c>
      <c r="C244" s="10" t="inlineStr">
        <is>
          <t>2023-09-13</t>
        </is>
      </c>
      <c r="D244" s="8" t="inlineStr">
        <is>
          <t>CUST-03699</t>
        </is>
      </c>
      <c r="E244" s="8" t="inlineStr">
        <is>
          <t>PRD-0225</t>
        </is>
      </c>
      <c r="F244" s="8" t="n">
        <v>1</v>
      </c>
      <c r="G244" s="9">
        <f>IFERROR(XLOOKUP(E244, '04_Products'!$A:$A, '04_Products'!$G:$G), 266.58)</f>
        <v/>
      </c>
      <c r="H244" s="9">
        <f>IFERROR(XLOOKUP(E244, '04_Products'!$A:$A, '04_Products'!$F:$F), 0)</f>
        <v/>
      </c>
      <c r="I244" s="9">
        <f>F244*G244</f>
        <v/>
      </c>
      <c r="J244" s="11" t="n">
        <v>0</v>
      </c>
      <c r="K244" s="9">
        <f>I244*J244</f>
        <v/>
      </c>
      <c r="L244" s="9">
        <f>I244-K244</f>
        <v/>
      </c>
      <c r="M244" s="9">
        <f>F244*H244</f>
        <v/>
      </c>
      <c r="N244" s="9">
        <f>L244-M244</f>
        <v/>
      </c>
      <c r="O244" s="11">
        <f>IFERROR(N244/L244, 0)</f>
        <v/>
      </c>
      <c r="P244" s="8">
        <f>YEAR(C244)</f>
        <v/>
      </c>
      <c r="Q244" s="8">
        <f>TEXT(C244, "yyyy-mm")</f>
        <v/>
      </c>
      <c r="R244" s="8" t="inlineStr">
        <is>
          <t>Mobile App</t>
        </is>
      </c>
      <c r="S244" s="8" t="inlineStr">
        <is>
          <t>REG-EU</t>
        </is>
      </c>
    </row>
    <row r="245">
      <c r="A245" s="8" t="inlineStr">
        <is>
          <t>DTL-0000244</t>
        </is>
      </c>
      <c r="B245" s="8" t="inlineStr">
        <is>
          <t>ORD-000115</t>
        </is>
      </c>
      <c r="C245" s="10" t="inlineStr">
        <is>
          <t>2024-06-03</t>
        </is>
      </c>
      <c r="D245" s="8" t="inlineStr">
        <is>
          <t>CUST-06145</t>
        </is>
      </c>
      <c r="E245" s="8" t="inlineStr">
        <is>
          <t>PRD-0403</t>
        </is>
      </c>
      <c r="F245" s="8" t="n">
        <v>2</v>
      </c>
      <c r="G245" s="9">
        <f>IFERROR(XLOOKUP(E245, '04_Products'!$A:$A, '04_Products'!$G:$G), 213.25)</f>
        <v/>
      </c>
      <c r="H245" s="9">
        <f>IFERROR(XLOOKUP(E245, '04_Products'!$A:$A, '04_Products'!$F:$F), 0)</f>
        <v/>
      </c>
      <c r="I245" s="9">
        <f>F245*G245</f>
        <v/>
      </c>
      <c r="J245" s="11" t="n">
        <v>0</v>
      </c>
      <c r="K245" s="9">
        <f>I245*J245</f>
        <v/>
      </c>
      <c r="L245" s="9">
        <f>I245-K245</f>
        <v/>
      </c>
      <c r="M245" s="9">
        <f>F245*H245</f>
        <v/>
      </c>
      <c r="N245" s="9">
        <f>L245-M245</f>
        <v/>
      </c>
      <c r="O245" s="11">
        <f>IFERROR(N245/L245, 0)</f>
        <v/>
      </c>
      <c r="P245" s="8">
        <f>YEAR(C245)</f>
        <v/>
      </c>
      <c r="Q245" s="8">
        <f>TEXT(C245, "yyyy-mm")</f>
        <v/>
      </c>
      <c r="R245" s="8" t="inlineStr">
        <is>
          <t>B2B Portal</t>
        </is>
      </c>
      <c r="S245" s="8" t="inlineStr">
        <is>
          <t>REG-APAC</t>
        </is>
      </c>
    </row>
    <row r="246">
      <c r="A246" s="8" t="inlineStr">
        <is>
          <t>DTL-0000245</t>
        </is>
      </c>
      <c r="B246" s="8" t="inlineStr">
        <is>
          <t>ORD-000116</t>
        </is>
      </c>
      <c r="C246" s="10" t="inlineStr">
        <is>
          <t>2023-08-13</t>
        </is>
      </c>
      <c r="D246" s="8" t="inlineStr">
        <is>
          <t>CUST-02135</t>
        </is>
      </c>
      <c r="E246" s="8" t="inlineStr">
        <is>
          <t>PRD-0186</t>
        </is>
      </c>
      <c r="F246" s="8" t="n">
        <v>1</v>
      </c>
      <c r="G246" s="9">
        <f>IFERROR(XLOOKUP(E246, '04_Products'!$A:$A, '04_Products'!$G:$G), 39.22)</f>
        <v/>
      </c>
      <c r="H246" s="9">
        <f>IFERROR(XLOOKUP(E246, '04_Products'!$A:$A, '04_Products'!$F:$F), 0)</f>
        <v/>
      </c>
      <c r="I246" s="9">
        <f>F246*G246</f>
        <v/>
      </c>
      <c r="J246" s="11" t="n">
        <v>0</v>
      </c>
      <c r="K246" s="9">
        <f>I246*J246</f>
        <v/>
      </c>
      <c r="L246" s="9">
        <f>I246-K246</f>
        <v/>
      </c>
      <c r="M246" s="9">
        <f>F246*H246</f>
        <v/>
      </c>
      <c r="N246" s="9">
        <f>L246-M246</f>
        <v/>
      </c>
      <c r="O246" s="11">
        <f>IFERROR(N246/L246, 0)</f>
        <v/>
      </c>
      <c r="P246" s="8">
        <f>YEAR(C246)</f>
        <v/>
      </c>
      <c r="Q246" s="8">
        <f>TEXT(C246, "yyyy-mm")</f>
        <v/>
      </c>
      <c r="R246" s="8" t="inlineStr">
        <is>
          <t>Direct Web</t>
        </is>
      </c>
      <c r="S246" s="8" t="inlineStr">
        <is>
          <t>REG-NA</t>
        </is>
      </c>
    </row>
    <row r="247">
      <c r="A247" s="8" t="inlineStr">
        <is>
          <t>DTL-0000246</t>
        </is>
      </c>
      <c r="B247" s="8" t="inlineStr">
        <is>
          <t>ORD-000117</t>
        </is>
      </c>
      <c r="C247" s="10" t="inlineStr">
        <is>
          <t>2025-05-22</t>
        </is>
      </c>
      <c r="D247" s="8" t="inlineStr">
        <is>
          <t>CUST-04573</t>
        </is>
      </c>
      <c r="E247" s="8" t="inlineStr">
        <is>
          <t>PRD-0373</t>
        </is>
      </c>
      <c r="F247" s="8" t="n">
        <v>2</v>
      </c>
      <c r="G247" s="9">
        <f>IFERROR(XLOOKUP(E247, '04_Products'!$A:$A, '04_Products'!$G:$G), 308.95)</f>
        <v/>
      </c>
      <c r="H247" s="9">
        <f>IFERROR(XLOOKUP(E247, '04_Products'!$A:$A, '04_Products'!$F:$F), 0)</f>
        <v/>
      </c>
      <c r="I247" s="9">
        <f>F247*G247</f>
        <v/>
      </c>
      <c r="J247" s="11" t="n">
        <v>0</v>
      </c>
      <c r="K247" s="9">
        <f>I247*J247</f>
        <v/>
      </c>
      <c r="L247" s="9">
        <f>I247-K247</f>
        <v/>
      </c>
      <c r="M247" s="9">
        <f>F247*H247</f>
        <v/>
      </c>
      <c r="N247" s="9">
        <f>L247-M247</f>
        <v/>
      </c>
      <c r="O247" s="11">
        <f>IFERROR(N247/L247, 0)</f>
        <v/>
      </c>
      <c r="P247" s="8">
        <f>YEAR(C247)</f>
        <v/>
      </c>
      <c r="Q247" s="8">
        <f>TEXT(C247, "yyyy-mm")</f>
        <v/>
      </c>
      <c r="R247" s="8" t="inlineStr">
        <is>
          <t>Direct Web</t>
        </is>
      </c>
      <c r="S247" s="8" t="inlineStr">
        <is>
          <t>REG-EU</t>
        </is>
      </c>
    </row>
    <row r="248">
      <c r="A248" s="8" t="inlineStr">
        <is>
          <t>DTL-0000247</t>
        </is>
      </c>
      <c r="B248" s="8" t="inlineStr">
        <is>
          <t>ORD-000117</t>
        </is>
      </c>
      <c r="C248" s="10" t="inlineStr">
        <is>
          <t>2025-05-22</t>
        </is>
      </c>
      <c r="D248" s="8" t="inlineStr">
        <is>
          <t>CUST-04573</t>
        </is>
      </c>
      <c r="E248" s="8" t="inlineStr">
        <is>
          <t>PRD-0092</t>
        </is>
      </c>
      <c r="F248" s="8" t="n">
        <v>1</v>
      </c>
      <c r="G248" s="9">
        <f>IFERROR(XLOOKUP(E248, '04_Products'!$A:$A, '04_Products'!$G:$G), 63.90)</f>
        <v/>
      </c>
      <c r="H248" s="9">
        <f>IFERROR(XLOOKUP(E248, '04_Products'!$A:$A, '04_Products'!$F:$F), 0)</f>
        <v/>
      </c>
      <c r="I248" s="9">
        <f>F248*G248</f>
        <v/>
      </c>
      <c r="J248" s="11" t="n">
        <v>0.05</v>
      </c>
      <c r="K248" s="9">
        <f>I248*J248</f>
        <v/>
      </c>
      <c r="L248" s="9">
        <f>I248-K248</f>
        <v/>
      </c>
      <c r="M248" s="9">
        <f>F248*H248</f>
        <v/>
      </c>
      <c r="N248" s="9">
        <f>L248-M248</f>
        <v/>
      </c>
      <c r="O248" s="11">
        <f>IFERROR(N248/L248, 0)</f>
        <v/>
      </c>
      <c r="P248" s="8">
        <f>YEAR(C248)</f>
        <v/>
      </c>
      <c r="Q248" s="8">
        <f>TEXT(C248, "yyyy-mm")</f>
        <v/>
      </c>
      <c r="R248" s="8" t="inlineStr">
        <is>
          <t>Direct Web</t>
        </is>
      </c>
      <c r="S248" s="8" t="inlineStr">
        <is>
          <t>REG-EU</t>
        </is>
      </c>
    </row>
    <row r="249">
      <c r="A249" s="8" t="inlineStr">
        <is>
          <t>DTL-0000248</t>
        </is>
      </c>
      <c r="B249" s="8" t="inlineStr">
        <is>
          <t>ORD-000118</t>
        </is>
      </c>
      <c r="C249" s="10" t="inlineStr">
        <is>
          <t>2025-12-26</t>
        </is>
      </c>
      <c r="D249" s="8" t="inlineStr">
        <is>
          <t>CUST-05627</t>
        </is>
      </c>
      <c r="E249" s="8" t="inlineStr">
        <is>
          <t>PRD-0005</t>
        </is>
      </c>
      <c r="F249" s="8" t="n">
        <v>2</v>
      </c>
      <c r="G249" s="9">
        <f>IFERROR(XLOOKUP(E249, '04_Products'!$A:$A, '04_Products'!$G:$G), 148.59)</f>
        <v/>
      </c>
      <c r="H249" s="9">
        <f>IFERROR(XLOOKUP(E249, '04_Products'!$A:$A, '04_Products'!$F:$F), 0)</f>
        <v/>
      </c>
      <c r="I249" s="9">
        <f>F249*G249</f>
        <v/>
      </c>
      <c r="J249" s="11" t="n">
        <v>0</v>
      </c>
      <c r="K249" s="9">
        <f>I249*J249</f>
        <v/>
      </c>
      <c r="L249" s="9">
        <f>I249-K249</f>
        <v/>
      </c>
      <c r="M249" s="9">
        <f>F249*H249</f>
        <v/>
      </c>
      <c r="N249" s="9">
        <f>L249-M249</f>
        <v/>
      </c>
      <c r="O249" s="11">
        <f>IFERROR(N249/L249, 0)</f>
        <v/>
      </c>
      <c r="P249" s="8">
        <f>YEAR(C249)</f>
        <v/>
      </c>
      <c r="Q249" s="8">
        <f>TEXT(C249, "yyyy-mm")</f>
        <v/>
      </c>
      <c r="R249" s="8" t="inlineStr">
        <is>
          <t>B2B Portal</t>
        </is>
      </c>
      <c r="S249" s="8" t="inlineStr">
        <is>
          <t>REG-EU</t>
        </is>
      </c>
    </row>
    <row r="250">
      <c r="A250" s="8" t="inlineStr">
        <is>
          <t>DTL-0000249</t>
        </is>
      </c>
      <c r="B250" s="8" t="inlineStr">
        <is>
          <t>ORD-000118</t>
        </is>
      </c>
      <c r="C250" s="10" t="inlineStr">
        <is>
          <t>2025-12-26</t>
        </is>
      </c>
      <c r="D250" s="8" t="inlineStr">
        <is>
          <t>CUST-05627</t>
        </is>
      </c>
      <c r="E250" s="8" t="inlineStr">
        <is>
          <t>PRD-0130</t>
        </is>
      </c>
      <c r="F250" s="8" t="n">
        <v>2</v>
      </c>
      <c r="G250" s="9">
        <f>IFERROR(XLOOKUP(E250, '04_Products'!$A:$A, '04_Products'!$G:$G), 593.34)</f>
        <v/>
      </c>
      <c r="H250" s="9">
        <f>IFERROR(XLOOKUP(E250, '04_Products'!$A:$A, '04_Products'!$F:$F), 0)</f>
        <v/>
      </c>
      <c r="I250" s="9">
        <f>F250*G250</f>
        <v/>
      </c>
      <c r="J250" s="11" t="n">
        <v>0.05</v>
      </c>
      <c r="K250" s="9">
        <f>I250*J250</f>
        <v/>
      </c>
      <c r="L250" s="9">
        <f>I250-K250</f>
        <v/>
      </c>
      <c r="M250" s="9">
        <f>F250*H250</f>
        <v/>
      </c>
      <c r="N250" s="9">
        <f>L250-M250</f>
        <v/>
      </c>
      <c r="O250" s="11">
        <f>IFERROR(N250/L250, 0)</f>
        <v/>
      </c>
      <c r="P250" s="8">
        <f>YEAR(C250)</f>
        <v/>
      </c>
      <c r="Q250" s="8">
        <f>TEXT(C250, "yyyy-mm")</f>
        <v/>
      </c>
      <c r="R250" s="8" t="inlineStr">
        <is>
          <t>B2B Portal</t>
        </is>
      </c>
      <c r="S250" s="8" t="inlineStr">
        <is>
          <t>REG-EU</t>
        </is>
      </c>
    </row>
    <row r="251">
      <c r="A251" s="8" t="inlineStr">
        <is>
          <t>DTL-0000250</t>
        </is>
      </c>
      <c r="B251" s="8" t="inlineStr">
        <is>
          <t>ORD-000119</t>
        </is>
      </c>
      <c r="C251" s="10" t="inlineStr">
        <is>
          <t>2025-09-02</t>
        </is>
      </c>
      <c r="D251" s="8" t="inlineStr">
        <is>
          <t>CUST-00587</t>
        </is>
      </c>
      <c r="E251" s="8" t="inlineStr">
        <is>
          <t>PRD-0069</t>
        </is>
      </c>
      <c r="F251" s="8" t="n">
        <v>3</v>
      </c>
      <c r="G251" s="9">
        <f>IFERROR(XLOOKUP(E251, '04_Products'!$A:$A, '04_Products'!$G:$G), 58.36)</f>
        <v/>
      </c>
      <c r="H251" s="9">
        <f>IFERROR(XLOOKUP(E251, '04_Products'!$A:$A, '04_Products'!$F:$F), 0)</f>
        <v/>
      </c>
      <c r="I251" s="9">
        <f>F251*G251</f>
        <v/>
      </c>
      <c r="J251" s="11" t="n">
        <v>0.1</v>
      </c>
      <c r="K251" s="9">
        <f>I251*J251</f>
        <v/>
      </c>
      <c r="L251" s="9">
        <f>I251-K251</f>
        <v/>
      </c>
      <c r="M251" s="9">
        <f>F251*H251</f>
        <v/>
      </c>
      <c r="N251" s="9">
        <f>L251-M251</f>
        <v/>
      </c>
      <c r="O251" s="11">
        <f>IFERROR(N251/L251, 0)</f>
        <v/>
      </c>
      <c r="P251" s="8">
        <f>YEAR(C251)</f>
        <v/>
      </c>
      <c r="Q251" s="8">
        <f>TEXT(C251, "yyyy-mm")</f>
        <v/>
      </c>
      <c r="R251" s="8" t="inlineStr">
        <is>
          <t>Direct Web</t>
        </is>
      </c>
      <c r="S251" s="8" t="inlineStr">
        <is>
          <t>REG-NA</t>
        </is>
      </c>
    </row>
    <row r="252">
      <c r="A252" s="8" t="inlineStr">
        <is>
          <t>DTL-0000251</t>
        </is>
      </c>
      <c r="B252" s="8" t="inlineStr">
        <is>
          <t>ORD-000120</t>
        </is>
      </c>
      <c r="C252" s="10" t="inlineStr">
        <is>
          <t>2025-11-19</t>
        </is>
      </c>
      <c r="D252" s="8" t="inlineStr">
        <is>
          <t>CUST-06471</t>
        </is>
      </c>
      <c r="E252" s="8" t="inlineStr">
        <is>
          <t>PRD-0274</t>
        </is>
      </c>
      <c r="F252" s="8" t="n">
        <v>3</v>
      </c>
      <c r="G252" s="9">
        <f>IFERROR(XLOOKUP(E252, '04_Products'!$A:$A, '04_Products'!$G:$G), 74.99)</f>
        <v/>
      </c>
      <c r="H252" s="9">
        <f>IFERROR(XLOOKUP(E252, '04_Products'!$A:$A, '04_Products'!$F:$F), 0)</f>
        <v/>
      </c>
      <c r="I252" s="9">
        <f>F252*G252</f>
        <v/>
      </c>
      <c r="J252" s="11" t="n">
        <v>0.1</v>
      </c>
      <c r="K252" s="9">
        <f>I252*J252</f>
        <v/>
      </c>
      <c r="L252" s="9">
        <f>I252-K252</f>
        <v/>
      </c>
      <c r="M252" s="9">
        <f>F252*H252</f>
        <v/>
      </c>
      <c r="N252" s="9">
        <f>L252-M252</f>
        <v/>
      </c>
      <c r="O252" s="11">
        <f>IFERROR(N252/L252, 0)</f>
        <v/>
      </c>
      <c r="P252" s="8">
        <f>YEAR(C252)</f>
        <v/>
      </c>
      <c r="Q252" s="8">
        <f>TEXT(C252, "yyyy-mm")</f>
        <v/>
      </c>
      <c r="R252" s="8" t="inlineStr">
        <is>
          <t>Mobile App</t>
        </is>
      </c>
      <c r="S252" s="8" t="inlineStr">
        <is>
          <t>REG-NA</t>
        </is>
      </c>
    </row>
    <row r="253">
      <c r="A253" s="8" t="inlineStr">
        <is>
          <t>DTL-0000252</t>
        </is>
      </c>
      <c r="B253" s="8" t="inlineStr">
        <is>
          <t>ORD-000121</t>
        </is>
      </c>
      <c r="C253" s="10" t="inlineStr">
        <is>
          <t>2023-04-14</t>
        </is>
      </c>
      <c r="D253" s="8" t="inlineStr">
        <is>
          <t>CUST-07107</t>
        </is>
      </c>
      <c r="E253" s="8" t="inlineStr">
        <is>
          <t>PRD-0228</t>
        </is>
      </c>
      <c r="F253" s="8" t="n">
        <v>2</v>
      </c>
      <c r="G253" s="9">
        <f>IFERROR(XLOOKUP(E253, '04_Products'!$A:$A, '04_Products'!$G:$G), 907.01)</f>
        <v/>
      </c>
      <c r="H253" s="9">
        <f>IFERROR(XLOOKUP(E253, '04_Products'!$A:$A, '04_Products'!$F:$F), 0)</f>
        <v/>
      </c>
      <c r="I253" s="9">
        <f>F253*G253</f>
        <v/>
      </c>
      <c r="J253" s="11" t="n">
        <v>0</v>
      </c>
      <c r="K253" s="9">
        <f>I253*J253</f>
        <v/>
      </c>
      <c r="L253" s="9">
        <f>I253-K253</f>
        <v/>
      </c>
      <c r="M253" s="9">
        <f>F253*H253</f>
        <v/>
      </c>
      <c r="N253" s="9">
        <f>L253-M253</f>
        <v/>
      </c>
      <c r="O253" s="11">
        <f>IFERROR(N253/L253, 0)</f>
        <v/>
      </c>
      <c r="P253" s="8">
        <f>YEAR(C253)</f>
        <v/>
      </c>
      <c r="Q253" s="8">
        <f>TEXT(C253, "yyyy-mm")</f>
        <v/>
      </c>
      <c r="R253" s="8" t="inlineStr">
        <is>
          <t>B2B Portal</t>
        </is>
      </c>
      <c r="S253" s="8" t="inlineStr">
        <is>
          <t>REG-LATAM</t>
        </is>
      </c>
    </row>
    <row r="254">
      <c r="A254" s="8" t="inlineStr">
        <is>
          <t>DTL-0000253</t>
        </is>
      </c>
      <c r="B254" s="8" t="inlineStr">
        <is>
          <t>ORD-000122</t>
        </is>
      </c>
      <c r="C254" s="10" t="inlineStr">
        <is>
          <t>2025-02-03</t>
        </is>
      </c>
      <c r="D254" s="8" t="inlineStr">
        <is>
          <t>CUST-02863</t>
        </is>
      </c>
      <c r="E254" s="8" t="inlineStr">
        <is>
          <t>PRD-0245</t>
        </is>
      </c>
      <c r="F254" s="8" t="n">
        <v>2</v>
      </c>
      <c r="G254" s="9">
        <f>IFERROR(XLOOKUP(E254, '04_Products'!$A:$A, '04_Products'!$G:$G), 202.50)</f>
        <v/>
      </c>
      <c r="H254" s="9">
        <f>IFERROR(XLOOKUP(E254, '04_Products'!$A:$A, '04_Products'!$F:$F), 0)</f>
        <v/>
      </c>
      <c r="I254" s="9">
        <f>F254*G254</f>
        <v/>
      </c>
      <c r="J254" s="11" t="n">
        <v>0</v>
      </c>
      <c r="K254" s="9">
        <f>I254*J254</f>
        <v/>
      </c>
      <c r="L254" s="9">
        <f>I254-K254</f>
        <v/>
      </c>
      <c r="M254" s="9">
        <f>F254*H254</f>
        <v/>
      </c>
      <c r="N254" s="9">
        <f>L254-M254</f>
        <v/>
      </c>
      <c r="O254" s="11">
        <f>IFERROR(N254/L254, 0)</f>
        <v/>
      </c>
      <c r="P254" s="8">
        <f>YEAR(C254)</f>
        <v/>
      </c>
      <c r="Q254" s="8">
        <f>TEXT(C254, "yyyy-mm")</f>
        <v/>
      </c>
      <c r="R254" s="8" t="inlineStr">
        <is>
          <t>Direct Web</t>
        </is>
      </c>
      <c r="S254" s="8" t="inlineStr">
        <is>
          <t>REG-EU</t>
        </is>
      </c>
    </row>
    <row r="255">
      <c r="A255" s="8" t="inlineStr">
        <is>
          <t>DTL-0000254</t>
        </is>
      </c>
      <c r="B255" s="8" t="inlineStr">
        <is>
          <t>ORD-000122</t>
        </is>
      </c>
      <c r="C255" s="10" t="inlineStr">
        <is>
          <t>2025-02-03</t>
        </is>
      </c>
      <c r="D255" s="8" t="inlineStr">
        <is>
          <t>CUST-02863</t>
        </is>
      </c>
      <c r="E255" s="8" t="inlineStr">
        <is>
          <t>PRD-0272</t>
        </is>
      </c>
      <c r="F255" s="8" t="n">
        <v>2</v>
      </c>
      <c r="G255" s="9">
        <f>IFERROR(XLOOKUP(E255, '04_Products'!$A:$A, '04_Products'!$G:$G), 109.11)</f>
        <v/>
      </c>
      <c r="H255" s="9">
        <f>IFERROR(XLOOKUP(E255, '04_Products'!$A:$A, '04_Products'!$F:$F), 0)</f>
        <v/>
      </c>
      <c r="I255" s="9">
        <f>F255*G255</f>
        <v/>
      </c>
      <c r="J255" s="11" t="n">
        <v>0.1</v>
      </c>
      <c r="K255" s="9">
        <f>I255*J255</f>
        <v/>
      </c>
      <c r="L255" s="9">
        <f>I255-K255</f>
        <v/>
      </c>
      <c r="M255" s="9">
        <f>F255*H255</f>
        <v/>
      </c>
      <c r="N255" s="9">
        <f>L255-M255</f>
        <v/>
      </c>
      <c r="O255" s="11">
        <f>IFERROR(N255/L255, 0)</f>
        <v/>
      </c>
      <c r="P255" s="8">
        <f>YEAR(C255)</f>
        <v/>
      </c>
      <c r="Q255" s="8">
        <f>TEXT(C255, "yyyy-mm")</f>
        <v/>
      </c>
      <c r="R255" s="8" t="inlineStr">
        <is>
          <t>Direct Web</t>
        </is>
      </c>
      <c r="S255" s="8" t="inlineStr">
        <is>
          <t>REG-EU</t>
        </is>
      </c>
    </row>
    <row r="256">
      <c r="A256" s="8" t="inlineStr">
        <is>
          <t>DTL-0000255</t>
        </is>
      </c>
      <c r="B256" s="8" t="inlineStr">
        <is>
          <t>ORD-000122</t>
        </is>
      </c>
      <c r="C256" s="10" t="inlineStr">
        <is>
          <t>2025-02-03</t>
        </is>
      </c>
      <c r="D256" s="8" t="inlineStr">
        <is>
          <t>CUST-02863</t>
        </is>
      </c>
      <c r="E256" s="8" t="inlineStr">
        <is>
          <t>PRD-0246</t>
        </is>
      </c>
      <c r="F256" s="8" t="n">
        <v>2</v>
      </c>
      <c r="G256" s="9">
        <f>IFERROR(XLOOKUP(E256, '04_Products'!$A:$A, '04_Products'!$G:$G), 1238.92)</f>
        <v/>
      </c>
      <c r="H256" s="9">
        <f>IFERROR(XLOOKUP(E256, '04_Products'!$A:$A, '04_Products'!$F:$F), 0)</f>
        <v/>
      </c>
      <c r="I256" s="9">
        <f>F256*G256</f>
        <v/>
      </c>
      <c r="J256" s="11" t="n">
        <v>0</v>
      </c>
      <c r="K256" s="9">
        <f>I256*J256</f>
        <v/>
      </c>
      <c r="L256" s="9">
        <f>I256-K256</f>
        <v/>
      </c>
      <c r="M256" s="9">
        <f>F256*H256</f>
        <v/>
      </c>
      <c r="N256" s="9">
        <f>L256-M256</f>
        <v/>
      </c>
      <c r="O256" s="11">
        <f>IFERROR(N256/L256, 0)</f>
        <v/>
      </c>
      <c r="P256" s="8">
        <f>YEAR(C256)</f>
        <v/>
      </c>
      <c r="Q256" s="8">
        <f>TEXT(C256, "yyyy-mm")</f>
        <v/>
      </c>
      <c r="R256" s="8" t="inlineStr">
        <is>
          <t>Direct Web</t>
        </is>
      </c>
      <c r="S256" s="8" t="inlineStr">
        <is>
          <t>REG-EU</t>
        </is>
      </c>
    </row>
    <row r="257">
      <c r="A257" s="8" t="inlineStr">
        <is>
          <t>DTL-0000256</t>
        </is>
      </c>
      <c r="B257" s="8" t="inlineStr">
        <is>
          <t>ORD-000123</t>
        </is>
      </c>
      <c r="C257" s="10" t="inlineStr">
        <is>
          <t>2023-09-14</t>
        </is>
      </c>
      <c r="D257" s="8" t="inlineStr">
        <is>
          <t>CUST-06109</t>
        </is>
      </c>
      <c r="E257" s="8" t="inlineStr">
        <is>
          <t>PRD-0420</t>
        </is>
      </c>
      <c r="F257" s="8" t="n">
        <v>1</v>
      </c>
      <c r="G257" s="9">
        <f>IFERROR(XLOOKUP(E257, '04_Products'!$A:$A, '04_Products'!$G:$G), 923.98)</f>
        <v/>
      </c>
      <c r="H257" s="9">
        <f>IFERROR(XLOOKUP(E257, '04_Products'!$A:$A, '04_Products'!$F:$F), 0)</f>
        <v/>
      </c>
      <c r="I257" s="9">
        <f>F257*G257</f>
        <v/>
      </c>
      <c r="J257" s="11" t="n">
        <v>0</v>
      </c>
      <c r="K257" s="9">
        <f>I257*J257</f>
        <v/>
      </c>
      <c r="L257" s="9">
        <f>I257-K257</f>
        <v/>
      </c>
      <c r="M257" s="9">
        <f>F257*H257</f>
        <v/>
      </c>
      <c r="N257" s="9">
        <f>L257-M257</f>
        <v/>
      </c>
      <c r="O257" s="11">
        <f>IFERROR(N257/L257, 0)</f>
        <v/>
      </c>
      <c r="P257" s="8">
        <f>YEAR(C257)</f>
        <v/>
      </c>
      <c r="Q257" s="8">
        <f>TEXT(C257, "yyyy-mm")</f>
        <v/>
      </c>
      <c r="R257" s="8" t="inlineStr">
        <is>
          <t>Direct Web</t>
        </is>
      </c>
      <c r="S257" s="8" t="inlineStr">
        <is>
          <t>REG-NA</t>
        </is>
      </c>
    </row>
    <row r="258">
      <c r="A258" s="8" t="inlineStr">
        <is>
          <t>DTL-0000257</t>
        </is>
      </c>
      <c r="B258" s="8" t="inlineStr">
        <is>
          <t>ORD-000123</t>
        </is>
      </c>
      <c r="C258" s="10" t="inlineStr">
        <is>
          <t>2023-09-14</t>
        </is>
      </c>
      <c r="D258" s="8" t="inlineStr">
        <is>
          <t>CUST-06109</t>
        </is>
      </c>
      <c r="E258" s="8" t="inlineStr">
        <is>
          <t>PRD-0143</t>
        </is>
      </c>
      <c r="F258" s="8" t="n">
        <v>1</v>
      </c>
      <c r="G258" s="9">
        <f>IFERROR(XLOOKUP(E258, '04_Products'!$A:$A, '04_Products'!$G:$G), 359.58)</f>
        <v/>
      </c>
      <c r="H258" s="9">
        <f>IFERROR(XLOOKUP(E258, '04_Products'!$A:$A, '04_Products'!$F:$F), 0)</f>
        <v/>
      </c>
      <c r="I258" s="9">
        <f>F258*G258</f>
        <v/>
      </c>
      <c r="J258" s="11" t="n">
        <v>0.25</v>
      </c>
      <c r="K258" s="9">
        <f>I258*J258</f>
        <v/>
      </c>
      <c r="L258" s="9">
        <f>I258-K258</f>
        <v/>
      </c>
      <c r="M258" s="9">
        <f>F258*H258</f>
        <v/>
      </c>
      <c r="N258" s="9">
        <f>L258-M258</f>
        <v/>
      </c>
      <c r="O258" s="11">
        <f>IFERROR(N258/L258, 0)</f>
        <v/>
      </c>
      <c r="P258" s="8">
        <f>YEAR(C258)</f>
        <v/>
      </c>
      <c r="Q258" s="8">
        <f>TEXT(C258, "yyyy-mm")</f>
        <v/>
      </c>
      <c r="R258" s="8" t="inlineStr">
        <is>
          <t>Direct Web</t>
        </is>
      </c>
      <c r="S258" s="8" t="inlineStr">
        <is>
          <t>REG-NA</t>
        </is>
      </c>
    </row>
    <row r="259">
      <c r="A259" s="8" t="inlineStr">
        <is>
          <t>DTL-0000258</t>
        </is>
      </c>
      <c r="B259" s="8" t="inlineStr">
        <is>
          <t>ORD-000123</t>
        </is>
      </c>
      <c r="C259" s="10" t="inlineStr">
        <is>
          <t>2023-09-14</t>
        </is>
      </c>
      <c r="D259" s="8" t="inlineStr">
        <is>
          <t>CUST-06109</t>
        </is>
      </c>
      <c r="E259" s="8" t="inlineStr">
        <is>
          <t>PRD-0260</t>
        </is>
      </c>
      <c r="F259" s="8" t="n">
        <v>3</v>
      </c>
      <c r="G259" s="9">
        <f>IFERROR(XLOOKUP(E259, '04_Products'!$A:$A, '04_Products'!$G:$G), 13.65)</f>
        <v/>
      </c>
      <c r="H259" s="9">
        <f>IFERROR(XLOOKUP(E259, '04_Products'!$A:$A, '04_Products'!$F:$F), 0)</f>
        <v/>
      </c>
      <c r="I259" s="9">
        <f>F259*G259</f>
        <v/>
      </c>
      <c r="J259" s="11" t="n">
        <v>0</v>
      </c>
      <c r="K259" s="9">
        <f>I259*J259</f>
        <v/>
      </c>
      <c r="L259" s="9">
        <f>I259-K259</f>
        <v/>
      </c>
      <c r="M259" s="9">
        <f>F259*H259</f>
        <v/>
      </c>
      <c r="N259" s="9">
        <f>L259-M259</f>
        <v/>
      </c>
      <c r="O259" s="11">
        <f>IFERROR(N259/L259, 0)</f>
        <v/>
      </c>
      <c r="P259" s="8">
        <f>YEAR(C259)</f>
        <v/>
      </c>
      <c r="Q259" s="8">
        <f>TEXT(C259, "yyyy-mm")</f>
        <v/>
      </c>
      <c r="R259" s="8" t="inlineStr">
        <is>
          <t>Direct Web</t>
        </is>
      </c>
      <c r="S259" s="8" t="inlineStr">
        <is>
          <t>REG-NA</t>
        </is>
      </c>
    </row>
    <row r="260">
      <c r="A260" s="8" t="inlineStr">
        <is>
          <t>DTL-0000259</t>
        </is>
      </c>
      <c r="B260" s="8" t="inlineStr">
        <is>
          <t>ORD-000123</t>
        </is>
      </c>
      <c r="C260" s="10" t="inlineStr">
        <is>
          <t>2023-09-14</t>
        </is>
      </c>
      <c r="D260" s="8" t="inlineStr">
        <is>
          <t>CUST-06109</t>
        </is>
      </c>
      <c r="E260" s="8" t="inlineStr">
        <is>
          <t>PRD-0234</t>
        </is>
      </c>
      <c r="F260" s="8" t="n">
        <v>1</v>
      </c>
      <c r="G260" s="9">
        <f>IFERROR(XLOOKUP(E260, '04_Products'!$A:$A, '04_Products'!$G:$G), 608.75)</f>
        <v/>
      </c>
      <c r="H260" s="9">
        <f>IFERROR(XLOOKUP(E260, '04_Products'!$A:$A, '04_Products'!$F:$F), 0)</f>
        <v/>
      </c>
      <c r="I260" s="9">
        <f>F260*G260</f>
        <v/>
      </c>
      <c r="J260" s="11" t="n">
        <v>0.1</v>
      </c>
      <c r="K260" s="9">
        <f>I260*J260</f>
        <v/>
      </c>
      <c r="L260" s="9">
        <f>I260-K260</f>
        <v/>
      </c>
      <c r="M260" s="9">
        <f>F260*H260</f>
        <v/>
      </c>
      <c r="N260" s="9">
        <f>L260-M260</f>
        <v/>
      </c>
      <c r="O260" s="11">
        <f>IFERROR(N260/L260, 0)</f>
        <v/>
      </c>
      <c r="P260" s="8">
        <f>YEAR(C260)</f>
        <v/>
      </c>
      <c r="Q260" s="8">
        <f>TEXT(C260, "yyyy-mm")</f>
        <v/>
      </c>
      <c r="R260" s="8" t="inlineStr">
        <is>
          <t>Direct Web</t>
        </is>
      </c>
      <c r="S260" s="8" t="inlineStr">
        <is>
          <t>REG-NA</t>
        </is>
      </c>
    </row>
    <row r="261">
      <c r="A261" s="8" t="inlineStr">
        <is>
          <t>DTL-0000260</t>
        </is>
      </c>
      <c r="B261" s="8" t="inlineStr">
        <is>
          <t>ORD-000124</t>
        </is>
      </c>
      <c r="C261" s="10" t="inlineStr">
        <is>
          <t>2024-06-30</t>
        </is>
      </c>
      <c r="D261" s="8" t="inlineStr">
        <is>
          <t>CUST-06598</t>
        </is>
      </c>
      <c r="E261" s="8" t="inlineStr">
        <is>
          <t>PRD-0017</t>
        </is>
      </c>
      <c r="F261" s="8" t="n">
        <v>1</v>
      </c>
      <c r="G261" s="9">
        <f>IFERROR(XLOOKUP(E261, '04_Products'!$A:$A, '04_Products'!$G:$G), 931.16)</f>
        <v/>
      </c>
      <c r="H261" s="9">
        <f>IFERROR(XLOOKUP(E261, '04_Products'!$A:$A, '04_Products'!$F:$F), 0)</f>
        <v/>
      </c>
      <c r="I261" s="9">
        <f>F261*G261</f>
        <v/>
      </c>
      <c r="J261" s="11" t="n">
        <v>0.15</v>
      </c>
      <c r="K261" s="9">
        <f>I261*J261</f>
        <v/>
      </c>
      <c r="L261" s="9">
        <f>I261-K261</f>
        <v/>
      </c>
      <c r="M261" s="9">
        <f>F261*H261</f>
        <v/>
      </c>
      <c r="N261" s="9">
        <f>L261-M261</f>
        <v/>
      </c>
      <c r="O261" s="11">
        <f>IFERROR(N261/L261, 0)</f>
        <v/>
      </c>
      <c r="P261" s="8">
        <f>YEAR(C261)</f>
        <v/>
      </c>
      <c r="Q261" s="8">
        <f>TEXT(C261, "yyyy-mm")</f>
        <v/>
      </c>
      <c r="R261" s="8" t="inlineStr">
        <is>
          <t>Direct Web</t>
        </is>
      </c>
      <c r="S261" s="8" t="inlineStr">
        <is>
          <t>REG-EU</t>
        </is>
      </c>
    </row>
    <row r="262">
      <c r="A262" s="8" t="inlineStr">
        <is>
          <t>DTL-0000261</t>
        </is>
      </c>
      <c r="B262" s="8" t="inlineStr">
        <is>
          <t>ORD-000124</t>
        </is>
      </c>
      <c r="C262" s="10" t="inlineStr">
        <is>
          <t>2024-06-30</t>
        </is>
      </c>
      <c r="D262" s="8" t="inlineStr">
        <is>
          <t>CUST-06598</t>
        </is>
      </c>
      <c r="E262" s="8" t="inlineStr">
        <is>
          <t>PRD-0120</t>
        </is>
      </c>
      <c r="F262" s="8" t="n">
        <v>3</v>
      </c>
      <c r="G262" s="9">
        <f>IFERROR(XLOOKUP(E262, '04_Products'!$A:$A, '04_Products'!$G:$G), 1001.04)</f>
        <v/>
      </c>
      <c r="H262" s="9">
        <f>IFERROR(XLOOKUP(E262, '04_Products'!$A:$A, '04_Products'!$F:$F), 0)</f>
        <v/>
      </c>
      <c r="I262" s="9">
        <f>F262*G262</f>
        <v/>
      </c>
      <c r="J262" s="11" t="n">
        <v>0</v>
      </c>
      <c r="K262" s="9">
        <f>I262*J262</f>
        <v/>
      </c>
      <c r="L262" s="9">
        <f>I262-K262</f>
        <v/>
      </c>
      <c r="M262" s="9">
        <f>F262*H262</f>
        <v/>
      </c>
      <c r="N262" s="9">
        <f>L262-M262</f>
        <v/>
      </c>
      <c r="O262" s="11">
        <f>IFERROR(N262/L262, 0)</f>
        <v/>
      </c>
      <c r="P262" s="8">
        <f>YEAR(C262)</f>
        <v/>
      </c>
      <c r="Q262" s="8">
        <f>TEXT(C262, "yyyy-mm")</f>
        <v/>
      </c>
      <c r="R262" s="8" t="inlineStr">
        <is>
          <t>Direct Web</t>
        </is>
      </c>
      <c r="S262" s="8" t="inlineStr">
        <is>
          <t>REG-EU</t>
        </is>
      </c>
    </row>
    <row r="263">
      <c r="A263" s="8" t="inlineStr">
        <is>
          <t>DTL-0000262</t>
        </is>
      </c>
      <c r="B263" s="8" t="inlineStr">
        <is>
          <t>ORD-000124</t>
        </is>
      </c>
      <c r="C263" s="10" t="inlineStr">
        <is>
          <t>2024-06-30</t>
        </is>
      </c>
      <c r="D263" s="8" t="inlineStr">
        <is>
          <t>CUST-06598</t>
        </is>
      </c>
      <c r="E263" s="8" t="inlineStr">
        <is>
          <t>PRD-0132</t>
        </is>
      </c>
      <c r="F263" s="8" t="n">
        <v>2</v>
      </c>
      <c r="G263" s="9">
        <f>IFERROR(XLOOKUP(E263, '04_Products'!$A:$A, '04_Products'!$G:$G), 792.09)</f>
        <v/>
      </c>
      <c r="H263" s="9">
        <f>IFERROR(XLOOKUP(E263, '04_Products'!$A:$A, '04_Products'!$F:$F), 0)</f>
        <v/>
      </c>
      <c r="I263" s="9">
        <f>F263*G263</f>
        <v/>
      </c>
      <c r="J263" s="11" t="n">
        <v>0.1</v>
      </c>
      <c r="K263" s="9">
        <f>I263*J263</f>
        <v/>
      </c>
      <c r="L263" s="9">
        <f>I263-K263</f>
        <v/>
      </c>
      <c r="M263" s="9">
        <f>F263*H263</f>
        <v/>
      </c>
      <c r="N263" s="9">
        <f>L263-M263</f>
        <v/>
      </c>
      <c r="O263" s="11">
        <f>IFERROR(N263/L263, 0)</f>
        <v/>
      </c>
      <c r="P263" s="8">
        <f>YEAR(C263)</f>
        <v/>
      </c>
      <c r="Q263" s="8">
        <f>TEXT(C263, "yyyy-mm")</f>
        <v/>
      </c>
      <c r="R263" s="8" t="inlineStr">
        <is>
          <t>Direct Web</t>
        </is>
      </c>
      <c r="S263" s="8" t="inlineStr">
        <is>
          <t>REG-EU</t>
        </is>
      </c>
    </row>
    <row r="264">
      <c r="A264" s="8" t="inlineStr">
        <is>
          <t>DTL-0000263</t>
        </is>
      </c>
      <c r="B264" s="8" t="inlineStr">
        <is>
          <t>ORD-000125</t>
        </is>
      </c>
      <c r="C264" s="10" t="inlineStr">
        <is>
          <t>2025-03-29</t>
        </is>
      </c>
      <c r="D264" s="8" t="inlineStr">
        <is>
          <t>CUST-00561</t>
        </is>
      </c>
      <c r="E264" s="8" t="inlineStr">
        <is>
          <t>PRD-0454</t>
        </is>
      </c>
      <c r="F264" s="8" t="n">
        <v>2</v>
      </c>
      <c r="G264" s="9">
        <f>IFERROR(XLOOKUP(E264, '04_Products'!$A:$A, '04_Products'!$G:$G), 745.94)</f>
        <v/>
      </c>
      <c r="H264" s="9">
        <f>IFERROR(XLOOKUP(E264, '04_Products'!$A:$A, '04_Products'!$F:$F), 0)</f>
        <v/>
      </c>
      <c r="I264" s="9">
        <f>F264*G264</f>
        <v/>
      </c>
      <c r="J264" s="11" t="n">
        <v>0.1</v>
      </c>
      <c r="K264" s="9">
        <f>I264*J264</f>
        <v/>
      </c>
      <c r="L264" s="9">
        <f>I264-K264</f>
        <v/>
      </c>
      <c r="M264" s="9">
        <f>F264*H264</f>
        <v/>
      </c>
      <c r="N264" s="9">
        <f>L264-M264</f>
        <v/>
      </c>
      <c r="O264" s="11">
        <f>IFERROR(N264/L264, 0)</f>
        <v/>
      </c>
      <c r="P264" s="8">
        <f>YEAR(C264)</f>
        <v/>
      </c>
      <c r="Q264" s="8">
        <f>TEXT(C264, "yyyy-mm")</f>
        <v/>
      </c>
      <c r="R264" s="8" t="inlineStr">
        <is>
          <t>Direct Web</t>
        </is>
      </c>
      <c r="S264" s="8" t="inlineStr">
        <is>
          <t>REG-NA</t>
        </is>
      </c>
    </row>
    <row r="265">
      <c r="A265" s="8" t="inlineStr">
        <is>
          <t>DTL-0000264</t>
        </is>
      </c>
      <c r="B265" s="8" t="inlineStr">
        <is>
          <t>ORD-000125</t>
        </is>
      </c>
      <c r="C265" s="10" t="inlineStr">
        <is>
          <t>2025-03-29</t>
        </is>
      </c>
      <c r="D265" s="8" t="inlineStr">
        <is>
          <t>CUST-00561</t>
        </is>
      </c>
      <c r="E265" s="8" t="inlineStr">
        <is>
          <t>PRD-0020</t>
        </is>
      </c>
      <c r="F265" s="8" t="n">
        <v>1</v>
      </c>
      <c r="G265" s="9">
        <f>IFERROR(XLOOKUP(E265, '04_Products'!$A:$A, '04_Products'!$G:$G), 22.42)</f>
        <v/>
      </c>
      <c r="H265" s="9">
        <f>IFERROR(XLOOKUP(E265, '04_Products'!$A:$A, '04_Products'!$F:$F), 0)</f>
        <v/>
      </c>
      <c r="I265" s="9">
        <f>F265*G265</f>
        <v/>
      </c>
      <c r="J265" s="11" t="n">
        <v>0</v>
      </c>
      <c r="K265" s="9">
        <f>I265*J265</f>
        <v/>
      </c>
      <c r="L265" s="9">
        <f>I265-K265</f>
        <v/>
      </c>
      <c r="M265" s="9">
        <f>F265*H265</f>
        <v/>
      </c>
      <c r="N265" s="9">
        <f>L265-M265</f>
        <v/>
      </c>
      <c r="O265" s="11">
        <f>IFERROR(N265/L265, 0)</f>
        <v/>
      </c>
      <c r="P265" s="8">
        <f>YEAR(C265)</f>
        <v/>
      </c>
      <c r="Q265" s="8">
        <f>TEXT(C265, "yyyy-mm")</f>
        <v/>
      </c>
      <c r="R265" s="8" t="inlineStr">
        <is>
          <t>Direct Web</t>
        </is>
      </c>
      <c r="S265" s="8" t="inlineStr">
        <is>
          <t>REG-NA</t>
        </is>
      </c>
    </row>
    <row r="266">
      <c r="A266" s="8" t="inlineStr">
        <is>
          <t>DTL-0000265</t>
        </is>
      </c>
      <c r="B266" s="8" t="inlineStr">
        <is>
          <t>ORD-000125</t>
        </is>
      </c>
      <c r="C266" s="10" t="inlineStr">
        <is>
          <t>2025-03-29</t>
        </is>
      </c>
      <c r="D266" s="8" t="inlineStr">
        <is>
          <t>CUST-00561</t>
        </is>
      </c>
      <c r="E266" s="8" t="inlineStr">
        <is>
          <t>PRD-0125</t>
        </is>
      </c>
      <c r="F266" s="8" t="n">
        <v>2</v>
      </c>
      <c r="G266" s="9">
        <f>IFERROR(XLOOKUP(E266, '04_Products'!$A:$A, '04_Products'!$G:$G), 1389.75)</f>
        <v/>
      </c>
      <c r="H266" s="9">
        <f>IFERROR(XLOOKUP(E266, '04_Products'!$A:$A, '04_Products'!$F:$F), 0)</f>
        <v/>
      </c>
      <c r="I266" s="9">
        <f>F266*G266</f>
        <v/>
      </c>
      <c r="J266" s="11" t="n">
        <v>0.05</v>
      </c>
      <c r="K266" s="9">
        <f>I266*J266</f>
        <v/>
      </c>
      <c r="L266" s="9">
        <f>I266-K266</f>
        <v/>
      </c>
      <c r="M266" s="9">
        <f>F266*H266</f>
        <v/>
      </c>
      <c r="N266" s="9">
        <f>L266-M266</f>
        <v/>
      </c>
      <c r="O266" s="11">
        <f>IFERROR(N266/L266, 0)</f>
        <v/>
      </c>
      <c r="P266" s="8">
        <f>YEAR(C266)</f>
        <v/>
      </c>
      <c r="Q266" s="8">
        <f>TEXT(C266, "yyyy-mm")</f>
        <v/>
      </c>
      <c r="R266" s="8" t="inlineStr">
        <is>
          <t>Direct Web</t>
        </is>
      </c>
      <c r="S266" s="8" t="inlineStr">
        <is>
          <t>REG-NA</t>
        </is>
      </c>
    </row>
    <row r="267">
      <c r="A267" s="8" t="inlineStr">
        <is>
          <t>DTL-0000266</t>
        </is>
      </c>
      <c r="B267" s="8" t="inlineStr">
        <is>
          <t>ORD-000126</t>
        </is>
      </c>
      <c r="C267" s="10" t="inlineStr">
        <is>
          <t>2025-02-11</t>
        </is>
      </c>
      <c r="D267" s="8" t="inlineStr">
        <is>
          <t>CUST-00178</t>
        </is>
      </c>
      <c r="E267" s="8" t="inlineStr">
        <is>
          <t>PRD-0083</t>
        </is>
      </c>
      <c r="F267" s="8" t="n">
        <v>2</v>
      </c>
      <c r="G267" s="9">
        <f>IFERROR(XLOOKUP(E267, '04_Products'!$A:$A, '04_Products'!$G:$G), 73.41)</f>
        <v/>
      </c>
      <c r="H267" s="9">
        <f>IFERROR(XLOOKUP(E267, '04_Products'!$A:$A, '04_Products'!$F:$F), 0)</f>
        <v/>
      </c>
      <c r="I267" s="9">
        <f>F267*G267</f>
        <v/>
      </c>
      <c r="J267" s="11" t="n">
        <v>0</v>
      </c>
      <c r="K267" s="9">
        <f>I267*J267</f>
        <v/>
      </c>
      <c r="L267" s="9">
        <f>I267-K267</f>
        <v/>
      </c>
      <c r="M267" s="9">
        <f>F267*H267</f>
        <v/>
      </c>
      <c r="N267" s="9">
        <f>L267-M267</f>
        <v/>
      </c>
      <c r="O267" s="11">
        <f>IFERROR(N267/L267, 0)</f>
        <v/>
      </c>
      <c r="P267" s="8">
        <f>YEAR(C267)</f>
        <v/>
      </c>
      <c r="Q267" s="8">
        <f>TEXT(C267, "yyyy-mm")</f>
        <v/>
      </c>
      <c r="R267" s="8" t="inlineStr">
        <is>
          <t>Mobile App</t>
        </is>
      </c>
      <c r="S267" s="8" t="inlineStr">
        <is>
          <t>REG-LATAM</t>
        </is>
      </c>
    </row>
    <row r="268">
      <c r="A268" s="8" t="inlineStr">
        <is>
          <t>DTL-0000267</t>
        </is>
      </c>
      <c r="B268" s="8" t="inlineStr">
        <is>
          <t>ORD-000127</t>
        </is>
      </c>
      <c r="C268" s="10" t="inlineStr">
        <is>
          <t>2024-05-13</t>
        </is>
      </c>
      <c r="D268" s="8" t="inlineStr">
        <is>
          <t>CUST-06012</t>
        </is>
      </c>
      <c r="E268" s="8" t="inlineStr">
        <is>
          <t>PRD-0112</t>
        </is>
      </c>
      <c r="F268" s="8" t="n">
        <v>4</v>
      </c>
      <c r="G268" s="9">
        <f>IFERROR(XLOOKUP(E268, '04_Products'!$A:$A, '04_Products'!$G:$G), 54.82)</f>
        <v/>
      </c>
      <c r="H268" s="9">
        <f>IFERROR(XLOOKUP(E268, '04_Products'!$A:$A, '04_Products'!$F:$F), 0)</f>
        <v/>
      </c>
      <c r="I268" s="9">
        <f>F268*G268</f>
        <v/>
      </c>
      <c r="J268" s="11" t="n">
        <v>0.25</v>
      </c>
      <c r="K268" s="9">
        <f>I268*J268</f>
        <v/>
      </c>
      <c r="L268" s="9">
        <f>I268-K268</f>
        <v/>
      </c>
      <c r="M268" s="9">
        <f>F268*H268</f>
        <v/>
      </c>
      <c r="N268" s="9">
        <f>L268-M268</f>
        <v/>
      </c>
      <c r="O268" s="11">
        <f>IFERROR(N268/L268, 0)</f>
        <v/>
      </c>
      <c r="P268" s="8">
        <f>YEAR(C268)</f>
        <v/>
      </c>
      <c r="Q268" s="8">
        <f>TEXT(C268, "yyyy-mm")</f>
        <v/>
      </c>
      <c r="R268" s="8" t="inlineStr">
        <is>
          <t>Direct Web</t>
        </is>
      </c>
      <c r="S268" s="8" t="inlineStr">
        <is>
          <t>REG-NA</t>
        </is>
      </c>
    </row>
    <row r="269">
      <c r="A269" s="8" t="inlineStr">
        <is>
          <t>DTL-0000268</t>
        </is>
      </c>
      <c r="B269" s="8" t="inlineStr">
        <is>
          <t>ORD-000127</t>
        </is>
      </c>
      <c r="C269" s="10" t="inlineStr">
        <is>
          <t>2024-05-13</t>
        </is>
      </c>
      <c r="D269" s="8" t="inlineStr">
        <is>
          <t>CUST-06012</t>
        </is>
      </c>
      <c r="E269" s="8" t="inlineStr">
        <is>
          <t>PRD-0256</t>
        </is>
      </c>
      <c r="F269" s="8" t="n">
        <v>2</v>
      </c>
      <c r="G269" s="9">
        <f>IFERROR(XLOOKUP(E269, '04_Products'!$A:$A, '04_Products'!$G:$G), 235.18)</f>
        <v/>
      </c>
      <c r="H269" s="9">
        <f>IFERROR(XLOOKUP(E269, '04_Products'!$A:$A, '04_Products'!$F:$F), 0)</f>
        <v/>
      </c>
      <c r="I269" s="9">
        <f>F269*G269</f>
        <v/>
      </c>
      <c r="J269" s="11" t="n">
        <v>0.1</v>
      </c>
      <c r="K269" s="9">
        <f>I269*J269</f>
        <v/>
      </c>
      <c r="L269" s="9">
        <f>I269-K269</f>
        <v/>
      </c>
      <c r="M269" s="9">
        <f>F269*H269</f>
        <v/>
      </c>
      <c r="N269" s="9">
        <f>L269-M269</f>
        <v/>
      </c>
      <c r="O269" s="11">
        <f>IFERROR(N269/L269, 0)</f>
        <v/>
      </c>
      <c r="P269" s="8">
        <f>YEAR(C269)</f>
        <v/>
      </c>
      <c r="Q269" s="8">
        <f>TEXT(C269, "yyyy-mm")</f>
        <v/>
      </c>
      <c r="R269" s="8" t="inlineStr">
        <is>
          <t>Direct Web</t>
        </is>
      </c>
      <c r="S269" s="8" t="inlineStr">
        <is>
          <t>REG-NA</t>
        </is>
      </c>
    </row>
    <row r="270">
      <c r="A270" s="8" t="inlineStr">
        <is>
          <t>DTL-0000269</t>
        </is>
      </c>
      <c r="B270" s="8" t="inlineStr">
        <is>
          <t>ORD-000128</t>
        </is>
      </c>
      <c r="C270" s="10" t="inlineStr">
        <is>
          <t>2025-07-30</t>
        </is>
      </c>
      <c r="D270" s="8" t="inlineStr">
        <is>
          <t>CUST-03272</t>
        </is>
      </c>
      <c r="E270" s="8" t="inlineStr">
        <is>
          <t>PRD-0433</t>
        </is>
      </c>
      <c r="F270" s="8" t="n">
        <v>1</v>
      </c>
      <c r="G270" s="9">
        <f>IFERROR(XLOOKUP(E270, '04_Products'!$A:$A, '04_Products'!$G:$G), 545.86)</f>
        <v/>
      </c>
      <c r="H270" s="9">
        <f>IFERROR(XLOOKUP(E270, '04_Products'!$A:$A, '04_Products'!$F:$F), 0)</f>
        <v/>
      </c>
      <c r="I270" s="9">
        <f>F270*G270</f>
        <v/>
      </c>
      <c r="J270" s="11" t="n">
        <v>0.1</v>
      </c>
      <c r="K270" s="9">
        <f>I270*J270</f>
        <v/>
      </c>
      <c r="L270" s="9">
        <f>I270-K270</f>
        <v/>
      </c>
      <c r="M270" s="9">
        <f>F270*H270</f>
        <v/>
      </c>
      <c r="N270" s="9">
        <f>L270-M270</f>
        <v/>
      </c>
      <c r="O270" s="11">
        <f>IFERROR(N270/L270, 0)</f>
        <v/>
      </c>
      <c r="P270" s="8">
        <f>YEAR(C270)</f>
        <v/>
      </c>
      <c r="Q270" s="8">
        <f>TEXT(C270, "yyyy-mm")</f>
        <v/>
      </c>
      <c r="R270" s="8" t="inlineStr">
        <is>
          <t>Direct Web</t>
        </is>
      </c>
      <c r="S270" s="8" t="inlineStr">
        <is>
          <t>REG-APAC</t>
        </is>
      </c>
    </row>
    <row r="271">
      <c r="A271" s="8" t="inlineStr">
        <is>
          <t>DTL-0000270</t>
        </is>
      </c>
      <c r="B271" s="8" t="inlineStr">
        <is>
          <t>ORD-000128</t>
        </is>
      </c>
      <c r="C271" s="10" t="inlineStr">
        <is>
          <t>2025-07-30</t>
        </is>
      </c>
      <c r="D271" s="8" t="inlineStr">
        <is>
          <t>CUST-03272</t>
        </is>
      </c>
      <c r="E271" s="8" t="inlineStr">
        <is>
          <t>PRD-0269</t>
        </is>
      </c>
      <c r="F271" s="8" t="n">
        <v>2</v>
      </c>
      <c r="G271" s="9">
        <f>IFERROR(XLOOKUP(E271, '04_Products'!$A:$A, '04_Products'!$G:$G), 1195.16)</f>
        <v/>
      </c>
      <c r="H271" s="9">
        <f>IFERROR(XLOOKUP(E271, '04_Products'!$A:$A, '04_Products'!$F:$F), 0)</f>
        <v/>
      </c>
      <c r="I271" s="9">
        <f>F271*G271</f>
        <v/>
      </c>
      <c r="J271" s="11" t="n">
        <v>0.05</v>
      </c>
      <c r="K271" s="9">
        <f>I271*J271</f>
        <v/>
      </c>
      <c r="L271" s="9">
        <f>I271-K271</f>
        <v/>
      </c>
      <c r="M271" s="9">
        <f>F271*H271</f>
        <v/>
      </c>
      <c r="N271" s="9">
        <f>L271-M271</f>
        <v/>
      </c>
      <c r="O271" s="11">
        <f>IFERROR(N271/L271, 0)</f>
        <v/>
      </c>
      <c r="P271" s="8">
        <f>YEAR(C271)</f>
        <v/>
      </c>
      <c r="Q271" s="8">
        <f>TEXT(C271, "yyyy-mm")</f>
        <v/>
      </c>
      <c r="R271" s="8" t="inlineStr">
        <is>
          <t>Direct Web</t>
        </is>
      </c>
      <c r="S271" s="8" t="inlineStr">
        <is>
          <t>REG-APAC</t>
        </is>
      </c>
    </row>
    <row r="272">
      <c r="A272" s="8" t="inlineStr">
        <is>
          <t>DTL-0000271</t>
        </is>
      </c>
      <c r="B272" s="8" t="inlineStr">
        <is>
          <t>ORD-000128</t>
        </is>
      </c>
      <c r="C272" s="10" t="inlineStr">
        <is>
          <t>2025-07-30</t>
        </is>
      </c>
      <c r="D272" s="8" t="inlineStr">
        <is>
          <t>CUST-03272</t>
        </is>
      </c>
      <c r="E272" s="8" t="inlineStr">
        <is>
          <t>PRD-0367</t>
        </is>
      </c>
      <c r="F272" s="8" t="n">
        <v>2</v>
      </c>
      <c r="G272" s="9">
        <f>IFERROR(XLOOKUP(E272, '04_Products'!$A:$A, '04_Products'!$G:$G), 68.37)</f>
        <v/>
      </c>
      <c r="H272" s="9">
        <f>IFERROR(XLOOKUP(E272, '04_Products'!$A:$A, '04_Products'!$F:$F), 0)</f>
        <v/>
      </c>
      <c r="I272" s="9">
        <f>F272*G272</f>
        <v/>
      </c>
      <c r="J272" s="11" t="n">
        <v>0.1</v>
      </c>
      <c r="K272" s="9">
        <f>I272*J272</f>
        <v/>
      </c>
      <c r="L272" s="9">
        <f>I272-K272</f>
        <v/>
      </c>
      <c r="M272" s="9">
        <f>F272*H272</f>
        <v/>
      </c>
      <c r="N272" s="9">
        <f>L272-M272</f>
        <v/>
      </c>
      <c r="O272" s="11">
        <f>IFERROR(N272/L272, 0)</f>
        <v/>
      </c>
      <c r="P272" s="8">
        <f>YEAR(C272)</f>
        <v/>
      </c>
      <c r="Q272" s="8">
        <f>TEXT(C272, "yyyy-mm")</f>
        <v/>
      </c>
      <c r="R272" s="8" t="inlineStr">
        <is>
          <t>Direct Web</t>
        </is>
      </c>
      <c r="S272" s="8" t="inlineStr">
        <is>
          <t>REG-APAC</t>
        </is>
      </c>
    </row>
    <row r="273">
      <c r="A273" s="8" t="inlineStr">
        <is>
          <t>DTL-0000272</t>
        </is>
      </c>
      <c r="B273" s="8" t="inlineStr">
        <is>
          <t>ORD-000128</t>
        </is>
      </c>
      <c r="C273" s="10" t="inlineStr">
        <is>
          <t>2025-07-30</t>
        </is>
      </c>
      <c r="D273" s="8" t="inlineStr">
        <is>
          <t>CUST-03272</t>
        </is>
      </c>
      <c r="E273" s="8" t="inlineStr">
        <is>
          <t>PRD-0180</t>
        </is>
      </c>
      <c r="F273" s="8" t="n">
        <v>1</v>
      </c>
      <c r="G273" s="9">
        <f>IFERROR(XLOOKUP(E273, '04_Products'!$A:$A, '04_Products'!$G:$G), 1016.03)</f>
        <v/>
      </c>
      <c r="H273" s="9">
        <f>IFERROR(XLOOKUP(E273, '04_Products'!$A:$A, '04_Products'!$F:$F), 0)</f>
        <v/>
      </c>
      <c r="I273" s="9">
        <f>F273*G273</f>
        <v/>
      </c>
      <c r="J273" s="11" t="n">
        <v>0</v>
      </c>
      <c r="K273" s="9">
        <f>I273*J273</f>
        <v/>
      </c>
      <c r="L273" s="9">
        <f>I273-K273</f>
        <v/>
      </c>
      <c r="M273" s="9">
        <f>F273*H273</f>
        <v/>
      </c>
      <c r="N273" s="9">
        <f>L273-M273</f>
        <v/>
      </c>
      <c r="O273" s="11">
        <f>IFERROR(N273/L273, 0)</f>
        <v/>
      </c>
      <c r="P273" s="8">
        <f>YEAR(C273)</f>
        <v/>
      </c>
      <c r="Q273" s="8">
        <f>TEXT(C273, "yyyy-mm")</f>
        <v/>
      </c>
      <c r="R273" s="8" t="inlineStr">
        <is>
          <t>Direct Web</t>
        </is>
      </c>
      <c r="S273" s="8" t="inlineStr">
        <is>
          <t>REG-APAC</t>
        </is>
      </c>
    </row>
    <row r="274">
      <c r="A274" s="8" t="inlineStr">
        <is>
          <t>DTL-0000273</t>
        </is>
      </c>
      <c r="B274" s="8" t="inlineStr">
        <is>
          <t>ORD-000129</t>
        </is>
      </c>
      <c r="C274" s="10" t="inlineStr">
        <is>
          <t>2023-01-24</t>
        </is>
      </c>
      <c r="D274" s="8" t="inlineStr">
        <is>
          <t>CUST-06916</t>
        </is>
      </c>
      <c r="E274" s="8" t="inlineStr">
        <is>
          <t>PRD-0236</t>
        </is>
      </c>
      <c r="F274" s="8" t="n">
        <v>1</v>
      </c>
      <c r="G274" s="9">
        <f>IFERROR(XLOOKUP(E274, '04_Products'!$A:$A, '04_Products'!$G:$G), 128.74)</f>
        <v/>
      </c>
      <c r="H274" s="9">
        <f>IFERROR(XLOOKUP(E274, '04_Products'!$A:$A, '04_Products'!$F:$F), 0)</f>
        <v/>
      </c>
      <c r="I274" s="9">
        <f>F274*G274</f>
        <v/>
      </c>
      <c r="J274" s="11" t="n">
        <v>0.05</v>
      </c>
      <c r="K274" s="9">
        <f>I274*J274</f>
        <v/>
      </c>
      <c r="L274" s="9">
        <f>I274-K274</f>
        <v/>
      </c>
      <c r="M274" s="9">
        <f>F274*H274</f>
        <v/>
      </c>
      <c r="N274" s="9">
        <f>L274-M274</f>
        <v/>
      </c>
      <c r="O274" s="11">
        <f>IFERROR(N274/L274, 0)</f>
        <v/>
      </c>
      <c r="P274" s="8">
        <f>YEAR(C274)</f>
        <v/>
      </c>
      <c r="Q274" s="8">
        <f>TEXT(C274, "yyyy-mm")</f>
        <v/>
      </c>
      <c r="R274" s="8" t="inlineStr">
        <is>
          <t>Direct Web</t>
        </is>
      </c>
      <c r="S274" s="8" t="inlineStr">
        <is>
          <t>REG-LATAM</t>
        </is>
      </c>
    </row>
    <row r="275">
      <c r="A275" s="8" t="inlineStr">
        <is>
          <t>DTL-0000274</t>
        </is>
      </c>
      <c r="B275" s="8" t="inlineStr">
        <is>
          <t>ORD-000130</t>
        </is>
      </c>
      <c r="C275" s="10" t="inlineStr">
        <is>
          <t>2025-04-02</t>
        </is>
      </c>
      <c r="D275" s="8" t="inlineStr">
        <is>
          <t>CUST-01175</t>
        </is>
      </c>
      <c r="E275" s="8" t="inlineStr">
        <is>
          <t>PRD-0213</t>
        </is>
      </c>
      <c r="F275" s="8" t="n">
        <v>2</v>
      </c>
      <c r="G275" s="9">
        <f>IFERROR(XLOOKUP(E275, '04_Products'!$A:$A, '04_Products'!$G:$G), 592.90)</f>
        <v/>
      </c>
      <c r="H275" s="9">
        <f>IFERROR(XLOOKUP(E275, '04_Products'!$A:$A, '04_Products'!$F:$F), 0)</f>
        <v/>
      </c>
      <c r="I275" s="9">
        <f>F275*G275</f>
        <v/>
      </c>
      <c r="J275" s="11" t="n">
        <v>0.15</v>
      </c>
      <c r="K275" s="9">
        <f>I275*J275</f>
        <v/>
      </c>
      <c r="L275" s="9">
        <f>I275-K275</f>
        <v/>
      </c>
      <c r="M275" s="9">
        <f>F275*H275</f>
        <v/>
      </c>
      <c r="N275" s="9">
        <f>L275-M275</f>
        <v/>
      </c>
      <c r="O275" s="11">
        <f>IFERROR(N275/L275, 0)</f>
        <v/>
      </c>
      <c r="P275" s="8">
        <f>YEAR(C275)</f>
        <v/>
      </c>
      <c r="Q275" s="8">
        <f>TEXT(C275, "yyyy-mm")</f>
        <v/>
      </c>
      <c r="R275" s="8" t="inlineStr">
        <is>
          <t>Direct Web</t>
        </is>
      </c>
      <c r="S275" s="8" t="inlineStr">
        <is>
          <t>REG-LATAM</t>
        </is>
      </c>
    </row>
    <row r="276">
      <c r="A276" s="8" t="inlineStr">
        <is>
          <t>DTL-0000275</t>
        </is>
      </c>
      <c r="B276" s="8" t="inlineStr">
        <is>
          <t>ORD-000131</t>
        </is>
      </c>
      <c r="C276" s="10" t="inlineStr">
        <is>
          <t>2025-01-15</t>
        </is>
      </c>
      <c r="D276" s="8" t="inlineStr">
        <is>
          <t>CUST-03155</t>
        </is>
      </c>
      <c r="E276" s="8" t="inlineStr">
        <is>
          <t>PRD-0223</t>
        </is>
      </c>
      <c r="F276" s="8" t="n">
        <v>1</v>
      </c>
      <c r="G276" s="9">
        <f>IFERROR(XLOOKUP(E276, '04_Products'!$A:$A, '04_Products'!$G:$G), 31.04)</f>
        <v/>
      </c>
      <c r="H276" s="9">
        <f>IFERROR(XLOOKUP(E276, '04_Products'!$A:$A, '04_Products'!$F:$F), 0)</f>
        <v/>
      </c>
      <c r="I276" s="9">
        <f>F276*G276</f>
        <v/>
      </c>
      <c r="J276" s="11" t="n">
        <v>0.2</v>
      </c>
      <c r="K276" s="9">
        <f>I276*J276</f>
        <v/>
      </c>
      <c r="L276" s="9">
        <f>I276-K276</f>
        <v/>
      </c>
      <c r="M276" s="9">
        <f>F276*H276</f>
        <v/>
      </c>
      <c r="N276" s="9">
        <f>L276-M276</f>
        <v/>
      </c>
      <c r="O276" s="11">
        <f>IFERROR(N276/L276, 0)</f>
        <v/>
      </c>
      <c r="P276" s="8">
        <f>YEAR(C276)</f>
        <v/>
      </c>
      <c r="Q276" s="8">
        <f>TEXT(C276, "yyyy-mm")</f>
        <v/>
      </c>
      <c r="R276" s="8" t="inlineStr">
        <is>
          <t>Mobile App</t>
        </is>
      </c>
      <c r="S276" s="8" t="inlineStr">
        <is>
          <t>REG-NA</t>
        </is>
      </c>
    </row>
    <row r="277">
      <c r="A277" s="8" t="inlineStr">
        <is>
          <t>DTL-0000276</t>
        </is>
      </c>
      <c r="B277" s="8" t="inlineStr">
        <is>
          <t>ORD-000132</t>
        </is>
      </c>
      <c r="C277" s="10" t="inlineStr">
        <is>
          <t>2024-08-15</t>
        </is>
      </c>
      <c r="D277" s="8" t="inlineStr">
        <is>
          <t>CUST-07838</t>
        </is>
      </c>
      <c r="E277" s="8" t="inlineStr">
        <is>
          <t>PRD-0092</t>
        </is>
      </c>
      <c r="F277" s="8" t="n">
        <v>1</v>
      </c>
      <c r="G277" s="9">
        <f>IFERROR(XLOOKUP(E277, '04_Products'!$A:$A, '04_Products'!$G:$G), 63.90)</f>
        <v/>
      </c>
      <c r="H277" s="9">
        <f>IFERROR(XLOOKUP(E277, '04_Products'!$A:$A, '04_Products'!$F:$F), 0)</f>
        <v/>
      </c>
      <c r="I277" s="9">
        <f>F277*G277</f>
        <v/>
      </c>
      <c r="J277" s="11" t="n">
        <v>0</v>
      </c>
      <c r="K277" s="9">
        <f>I277*J277</f>
        <v/>
      </c>
      <c r="L277" s="9">
        <f>I277-K277</f>
        <v/>
      </c>
      <c r="M277" s="9">
        <f>F277*H277</f>
        <v/>
      </c>
      <c r="N277" s="9">
        <f>L277-M277</f>
        <v/>
      </c>
      <c r="O277" s="11">
        <f>IFERROR(N277/L277, 0)</f>
        <v/>
      </c>
      <c r="P277" s="8">
        <f>YEAR(C277)</f>
        <v/>
      </c>
      <c r="Q277" s="8">
        <f>TEXT(C277, "yyyy-mm")</f>
        <v/>
      </c>
      <c r="R277" s="8" t="inlineStr">
        <is>
          <t>Mobile App</t>
        </is>
      </c>
      <c r="S277" s="8" t="inlineStr">
        <is>
          <t>REG-APAC</t>
        </is>
      </c>
    </row>
    <row r="278">
      <c r="A278" s="8" t="inlineStr">
        <is>
          <t>DTL-0000277</t>
        </is>
      </c>
      <c r="B278" s="8" t="inlineStr">
        <is>
          <t>ORD-000132</t>
        </is>
      </c>
      <c r="C278" s="10" t="inlineStr">
        <is>
          <t>2024-08-15</t>
        </is>
      </c>
      <c r="D278" s="8" t="inlineStr">
        <is>
          <t>CUST-07838</t>
        </is>
      </c>
      <c r="E278" s="8" t="inlineStr">
        <is>
          <t>PRD-0416</t>
        </is>
      </c>
      <c r="F278" s="8" t="n">
        <v>2</v>
      </c>
      <c r="G278" s="9">
        <f>IFERROR(XLOOKUP(E278, '04_Products'!$A:$A, '04_Products'!$G:$G), 39.54)</f>
        <v/>
      </c>
      <c r="H278" s="9">
        <f>IFERROR(XLOOKUP(E278, '04_Products'!$A:$A, '04_Products'!$F:$F), 0)</f>
        <v/>
      </c>
      <c r="I278" s="9">
        <f>F278*G278</f>
        <v/>
      </c>
      <c r="J278" s="11" t="n">
        <v>0.25</v>
      </c>
      <c r="K278" s="9">
        <f>I278*J278</f>
        <v/>
      </c>
      <c r="L278" s="9">
        <f>I278-K278</f>
        <v/>
      </c>
      <c r="M278" s="9">
        <f>F278*H278</f>
        <v/>
      </c>
      <c r="N278" s="9">
        <f>L278-M278</f>
        <v/>
      </c>
      <c r="O278" s="11">
        <f>IFERROR(N278/L278, 0)</f>
        <v/>
      </c>
      <c r="P278" s="8">
        <f>YEAR(C278)</f>
        <v/>
      </c>
      <c r="Q278" s="8">
        <f>TEXT(C278, "yyyy-mm")</f>
        <v/>
      </c>
      <c r="R278" s="8" t="inlineStr">
        <is>
          <t>Mobile App</t>
        </is>
      </c>
      <c r="S278" s="8" t="inlineStr">
        <is>
          <t>REG-APAC</t>
        </is>
      </c>
    </row>
    <row r="279">
      <c r="A279" s="8" t="inlineStr">
        <is>
          <t>DTL-0000278</t>
        </is>
      </c>
      <c r="B279" s="8" t="inlineStr">
        <is>
          <t>ORD-000133</t>
        </is>
      </c>
      <c r="C279" s="10" t="inlineStr">
        <is>
          <t>2024-01-31</t>
        </is>
      </c>
      <c r="D279" s="8" t="inlineStr">
        <is>
          <t>CUST-02830</t>
        </is>
      </c>
      <c r="E279" s="8" t="inlineStr">
        <is>
          <t>PRD-0278</t>
        </is>
      </c>
      <c r="F279" s="8" t="n">
        <v>5</v>
      </c>
      <c r="G279" s="9">
        <f>IFERROR(XLOOKUP(E279, '04_Products'!$A:$A, '04_Products'!$G:$G), 1176.56)</f>
        <v/>
      </c>
      <c r="H279" s="9">
        <f>IFERROR(XLOOKUP(E279, '04_Products'!$A:$A, '04_Products'!$F:$F), 0)</f>
        <v/>
      </c>
      <c r="I279" s="9">
        <f>F279*G279</f>
        <v/>
      </c>
      <c r="J279" s="11" t="n">
        <v>0</v>
      </c>
      <c r="K279" s="9">
        <f>I279*J279</f>
        <v/>
      </c>
      <c r="L279" s="9">
        <f>I279-K279</f>
        <v/>
      </c>
      <c r="M279" s="9">
        <f>F279*H279</f>
        <v/>
      </c>
      <c r="N279" s="9">
        <f>L279-M279</f>
        <v/>
      </c>
      <c r="O279" s="11">
        <f>IFERROR(N279/L279, 0)</f>
        <v/>
      </c>
      <c r="P279" s="8">
        <f>YEAR(C279)</f>
        <v/>
      </c>
      <c r="Q279" s="8">
        <f>TEXT(C279, "yyyy-mm")</f>
        <v/>
      </c>
      <c r="R279" s="8" t="inlineStr">
        <is>
          <t>Affiliate Partner</t>
        </is>
      </c>
      <c r="S279" s="8" t="inlineStr">
        <is>
          <t>REG-NA</t>
        </is>
      </c>
    </row>
    <row r="280">
      <c r="A280" s="8" t="inlineStr">
        <is>
          <t>DTL-0000279</t>
        </is>
      </c>
      <c r="B280" s="8" t="inlineStr">
        <is>
          <t>ORD-000133</t>
        </is>
      </c>
      <c r="C280" s="10" t="inlineStr">
        <is>
          <t>2024-01-31</t>
        </is>
      </c>
      <c r="D280" s="8" t="inlineStr">
        <is>
          <t>CUST-02830</t>
        </is>
      </c>
      <c r="E280" s="8" t="inlineStr">
        <is>
          <t>PRD-0485</t>
        </is>
      </c>
      <c r="F280" s="8" t="n">
        <v>1</v>
      </c>
      <c r="G280" s="9">
        <f>IFERROR(XLOOKUP(E280, '04_Products'!$A:$A, '04_Products'!$G:$G), 432.36)</f>
        <v/>
      </c>
      <c r="H280" s="9">
        <f>IFERROR(XLOOKUP(E280, '04_Products'!$A:$A, '04_Products'!$F:$F), 0)</f>
        <v/>
      </c>
      <c r="I280" s="9">
        <f>F280*G280</f>
        <v/>
      </c>
      <c r="J280" s="11" t="n">
        <v>0</v>
      </c>
      <c r="K280" s="9">
        <f>I280*J280</f>
        <v/>
      </c>
      <c r="L280" s="9">
        <f>I280-K280</f>
        <v/>
      </c>
      <c r="M280" s="9">
        <f>F280*H280</f>
        <v/>
      </c>
      <c r="N280" s="9">
        <f>L280-M280</f>
        <v/>
      </c>
      <c r="O280" s="11">
        <f>IFERROR(N280/L280, 0)</f>
        <v/>
      </c>
      <c r="P280" s="8">
        <f>YEAR(C280)</f>
        <v/>
      </c>
      <c r="Q280" s="8">
        <f>TEXT(C280, "yyyy-mm")</f>
        <v/>
      </c>
      <c r="R280" s="8" t="inlineStr">
        <is>
          <t>Affiliate Partner</t>
        </is>
      </c>
      <c r="S280" s="8" t="inlineStr">
        <is>
          <t>REG-NA</t>
        </is>
      </c>
    </row>
    <row r="281">
      <c r="A281" s="8" t="inlineStr">
        <is>
          <t>DTL-0000280</t>
        </is>
      </c>
      <c r="B281" s="8" t="inlineStr">
        <is>
          <t>ORD-000134</t>
        </is>
      </c>
      <c r="C281" s="10" t="inlineStr">
        <is>
          <t>2024-09-08</t>
        </is>
      </c>
      <c r="D281" s="8" t="inlineStr">
        <is>
          <t>CUST-04729</t>
        </is>
      </c>
      <c r="E281" s="8" t="inlineStr">
        <is>
          <t>PRD-0450</t>
        </is>
      </c>
      <c r="F281" s="8" t="n">
        <v>3</v>
      </c>
      <c r="G281" s="9">
        <f>IFERROR(XLOOKUP(E281, '04_Products'!$A:$A, '04_Products'!$G:$G), 646.81)</f>
        <v/>
      </c>
      <c r="H281" s="9">
        <f>IFERROR(XLOOKUP(E281, '04_Products'!$A:$A, '04_Products'!$F:$F), 0)</f>
        <v/>
      </c>
      <c r="I281" s="9">
        <f>F281*G281</f>
        <v/>
      </c>
      <c r="J281" s="11" t="n">
        <v>0</v>
      </c>
      <c r="K281" s="9">
        <f>I281*J281</f>
        <v/>
      </c>
      <c r="L281" s="9">
        <f>I281-K281</f>
        <v/>
      </c>
      <c r="M281" s="9">
        <f>F281*H281</f>
        <v/>
      </c>
      <c r="N281" s="9">
        <f>L281-M281</f>
        <v/>
      </c>
      <c r="O281" s="11">
        <f>IFERROR(N281/L281, 0)</f>
        <v/>
      </c>
      <c r="P281" s="8">
        <f>YEAR(C281)</f>
        <v/>
      </c>
      <c r="Q281" s="8">
        <f>TEXT(C281, "yyyy-mm")</f>
        <v/>
      </c>
      <c r="R281" s="8" t="inlineStr">
        <is>
          <t>Direct Web</t>
        </is>
      </c>
      <c r="S281" s="8" t="inlineStr">
        <is>
          <t>REG-NA</t>
        </is>
      </c>
    </row>
    <row r="282">
      <c r="A282" s="8" t="inlineStr">
        <is>
          <t>DTL-0000281</t>
        </is>
      </c>
      <c r="B282" s="8" t="inlineStr">
        <is>
          <t>ORD-000134</t>
        </is>
      </c>
      <c r="C282" s="10" t="inlineStr">
        <is>
          <t>2024-09-08</t>
        </is>
      </c>
      <c r="D282" s="8" t="inlineStr">
        <is>
          <t>CUST-04729</t>
        </is>
      </c>
      <c r="E282" s="8" t="inlineStr">
        <is>
          <t>PRD-0266</t>
        </is>
      </c>
      <c r="F282" s="8" t="n">
        <v>1</v>
      </c>
      <c r="G282" s="9">
        <f>IFERROR(XLOOKUP(E282, '04_Products'!$A:$A, '04_Products'!$G:$G), 170.34)</f>
        <v/>
      </c>
      <c r="H282" s="9">
        <f>IFERROR(XLOOKUP(E282, '04_Products'!$A:$A, '04_Products'!$F:$F), 0)</f>
        <v/>
      </c>
      <c r="I282" s="9">
        <f>F282*G282</f>
        <v/>
      </c>
      <c r="J282" s="11" t="n">
        <v>0.2</v>
      </c>
      <c r="K282" s="9">
        <f>I282*J282</f>
        <v/>
      </c>
      <c r="L282" s="9">
        <f>I282-K282</f>
        <v/>
      </c>
      <c r="M282" s="9">
        <f>F282*H282</f>
        <v/>
      </c>
      <c r="N282" s="9">
        <f>L282-M282</f>
        <v/>
      </c>
      <c r="O282" s="11">
        <f>IFERROR(N282/L282, 0)</f>
        <v/>
      </c>
      <c r="P282" s="8">
        <f>YEAR(C282)</f>
        <v/>
      </c>
      <c r="Q282" s="8">
        <f>TEXT(C282, "yyyy-mm")</f>
        <v/>
      </c>
      <c r="R282" s="8" t="inlineStr">
        <is>
          <t>Direct Web</t>
        </is>
      </c>
      <c r="S282" s="8" t="inlineStr">
        <is>
          <t>REG-NA</t>
        </is>
      </c>
    </row>
    <row r="283">
      <c r="A283" s="8" t="inlineStr">
        <is>
          <t>DTL-0000282</t>
        </is>
      </c>
      <c r="B283" s="8" t="inlineStr">
        <is>
          <t>ORD-000134</t>
        </is>
      </c>
      <c r="C283" s="10" t="inlineStr">
        <is>
          <t>2024-09-08</t>
        </is>
      </c>
      <c r="D283" s="8" t="inlineStr">
        <is>
          <t>CUST-04729</t>
        </is>
      </c>
      <c r="E283" s="8" t="inlineStr">
        <is>
          <t>PRD-0154</t>
        </is>
      </c>
      <c r="F283" s="8" t="n">
        <v>1</v>
      </c>
      <c r="G283" s="9">
        <f>IFERROR(XLOOKUP(E283, '04_Products'!$A:$A, '04_Products'!$G:$G), 168.94)</f>
        <v/>
      </c>
      <c r="H283" s="9">
        <f>IFERROR(XLOOKUP(E283, '04_Products'!$A:$A, '04_Products'!$F:$F), 0)</f>
        <v/>
      </c>
      <c r="I283" s="9">
        <f>F283*G283</f>
        <v/>
      </c>
      <c r="J283" s="11" t="n">
        <v>0.15</v>
      </c>
      <c r="K283" s="9">
        <f>I283*J283</f>
        <v/>
      </c>
      <c r="L283" s="9">
        <f>I283-K283</f>
        <v/>
      </c>
      <c r="M283" s="9">
        <f>F283*H283</f>
        <v/>
      </c>
      <c r="N283" s="9">
        <f>L283-M283</f>
        <v/>
      </c>
      <c r="O283" s="11">
        <f>IFERROR(N283/L283, 0)</f>
        <v/>
      </c>
      <c r="P283" s="8">
        <f>YEAR(C283)</f>
        <v/>
      </c>
      <c r="Q283" s="8">
        <f>TEXT(C283, "yyyy-mm")</f>
        <v/>
      </c>
      <c r="R283" s="8" t="inlineStr">
        <is>
          <t>Direct Web</t>
        </is>
      </c>
      <c r="S283" s="8" t="inlineStr">
        <is>
          <t>REG-NA</t>
        </is>
      </c>
    </row>
    <row r="284">
      <c r="A284" s="8" t="inlineStr">
        <is>
          <t>DTL-0000283</t>
        </is>
      </c>
      <c r="B284" s="8" t="inlineStr">
        <is>
          <t>ORD-000135</t>
        </is>
      </c>
      <c r="C284" s="10" t="inlineStr">
        <is>
          <t>2023-01-22</t>
        </is>
      </c>
      <c r="D284" s="8" t="inlineStr">
        <is>
          <t>CUST-01542</t>
        </is>
      </c>
      <c r="E284" s="8" t="inlineStr">
        <is>
          <t>PRD-0015</t>
        </is>
      </c>
      <c r="F284" s="8" t="n">
        <v>1</v>
      </c>
      <c r="G284" s="9">
        <f>IFERROR(XLOOKUP(E284, '04_Products'!$A:$A, '04_Products'!$G:$G), 141.71)</f>
        <v/>
      </c>
      <c r="H284" s="9">
        <f>IFERROR(XLOOKUP(E284, '04_Products'!$A:$A, '04_Products'!$F:$F), 0)</f>
        <v/>
      </c>
      <c r="I284" s="9">
        <f>F284*G284</f>
        <v/>
      </c>
      <c r="J284" s="11" t="n">
        <v>0</v>
      </c>
      <c r="K284" s="9">
        <f>I284*J284</f>
        <v/>
      </c>
      <c r="L284" s="9">
        <f>I284-K284</f>
        <v/>
      </c>
      <c r="M284" s="9">
        <f>F284*H284</f>
        <v/>
      </c>
      <c r="N284" s="9">
        <f>L284-M284</f>
        <v/>
      </c>
      <c r="O284" s="11">
        <f>IFERROR(N284/L284, 0)</f>
        <v/>
      </c>
      <c r="P284" s="8">
        <f>YEAR(C284)</f>
        <v/>
      </c>
      <c r="Q284" s="8">
        <f>TEXT(C284, "yyyy-mm")</f>
        <v/>
      </c>
      <c r="R284" s="8" t="inlineStr">
        <is>
          <t>Direct Web</t>
        </is>
      </c>
      <c r="S284" s="8" t="inlineStr">
        <is>
          <t>REG-EU</t>
        </is>
      </c>
    </row>
    <row r="285">
      <c r="A285" s="8" t="inlineStr">
        <is>
          <t>DTL-0000284</t>
        </is>
      </c>
      <c r="B285" s="8" t="inlineStr">
        <is>
          <t>ORD-000135</t>
        </is>
      </c>
      <c r="C285" s="10" t="inlineStr">
        <is>
          <t>2023-01-22</t>
        </is>
      </c>
      <c r="D285" s="8" t="inlineStr">
        <is>
          <t>CUST-01542</t>
        </is>
      </c>
      <c r="E285" s="8" t="inlineStr">
        <is>
          <t>PRD-0259</t>
        </is>
      </c>
      <c r="F285" s="8" t="n">
        <v>1</v>
      </c>
      <c r="G285" s="9">
        <f>IFERROR(XLOOKUP(E285, '04_Products'!$A:$A, '04_Products'!$G:$G), 427.15)</f>
        <v/>
      </c>
      <c r="H285" s="9">
        <f>IFERROR(XLOOKUP(E285, '04_Products'!$A:$A, '04_Products'!$F:$F), 0)</f>
        <v/>
      </c>
      <c r="I285" s="9">
        <f>F285*G285</f>
        <v/>
      </c>
      <c r="J285" s="11" t="n">
        <v>0</v>
      </c>
      <c r="K285" s="9">
        <f>I285*J285</f>
        <v/>
      </c>
      <c r="L285" s="9">
        <f>I285-K285</f>
        <v/>
      </c>
      <c r="M285" s="9">
        <f>F285*H285</f>
        <v/>
      </c>
      <c r="N285" s="9">
        <f>L285-M285</f>
        <v/>
      </c>
      <c r="O285" s="11">
        <f>IFERROR(N285/L285, 0)</f>
        <v/>
      </c>
      <c r="P285" s="8">
        <f>YEAR(C285)</f>
        <v/>
      </c>
      <c r="Q285" s="8">
        <f>TEXT(C285, "yyyy-mm")</f>
        <v/>
      </c>
      <c r="R285" s="8" t="inlineStr">
        <is>
          <t>Direct Web</t>
        </is>
      </c>
      <c r="S285" s="8" t="inlineStr">
        <is>
          <t>REG-EU</t>
        </is>
      </c>
    </row>
    <row r="286">
      <c r="A286" s="8" t="inlineStr">
        <is>
          <t>DTL-0000285</t>
        </is>
      </c>
      <c r="B286" s="8" t="inlineStr">
        <is>
          <t>ORD-000135</t>
        </is>
      </c>
      <c r="C286" s="10" t="inlineStr">
        <is>
          <t>2023-01-22</t>
        </is>
      </c>
      <c r="D286" s="8" t="inlineStr">
        <is>
          <t>CUST-01542</t>
        </is>
      </c>
      <c r="E286" s="8" t="inlineStr">
        <is>
          <t>PRD-0383</t>
        </is>
      </c>
      <c r="F286" s="8" t="n">
        <v>2</v>
      </c>
      <c r="G286" s="9">
        <f>IFERROR(XLOOKUP(E286, '04_Products'!$A:$A, '04_Products'!$G:$G), 752.81)</f>
        <v/>
      </c>
      <c r="H286" s="9">
        <f>IFERROR(XLOOKUP(E286, '04_Products'!$A:$A, '04_Products'!$F:$F), 0)</f>
        <v/>
      </c>
      <c r="I286" s="9">
        <f>F286*G286</f>
        <v/>
      </c>
      <c r="J286" s="11" t="n">
        <v>0</v>
      </c>
      <c r="K286" s="9">
        <f>I286*J286</f>
        <v/>
      </c>
      <c r="L286" s="9">
        <f>I286-K286</f>
        <v/>
      </c>
      <c r="M286" s="9">
        <f>F286*H286</f>
        <v/>
      </c>
      <c r="N286" s="9">
        <f>L286-M286</f>
        <v/>
      </c>
      <c r="O286" s="11">
        <f>IFERROR(N286/L286, 0)</f>
        <v/>
      </c>
      <c r="P286" s="8">
        <f>YEAR(C286)</f>
        <v/>
      </c>
      <c r="Q286" s="8">
        <f>TEXT(C286, "yyyy-mm")</f>
        <v/>
      </c>
      <c r="R286" s="8" t="inlineStr">
        <is>
          <t>Direct Web</t>
        </is>
      </c>
      <c r="S286" s="8" t="inlineStr">
        <is>
          <t>REG-EU</t>
        </is>
      </c>
    </row>
    <row r="287">
      <c r="A287" s="8" t="inlineStr">
        <is>
          <t>DTL-0000286</t>
        </is>
      </c>
      <c r="B287" s="8" t="inlineStr">
        <is>
          <t>ORD-000136</t>
        </is>
      </c>
      <c r="C287" s="10" t="inlineStr">
        <is>
          <t>2024-05-09</t>
        </is>
      </c>
      <c r="D287" s="8" t="inlineStr">
        <is>
          <t>CUST-04247</t>
        </is>
      </c>
      <c r="E287" s="8" t="inlineStr">
        <is>
          <t>PRD-0139</t>
        </is>
      </c>
      <c r="F287" s="8" t="n">
        <v>4</v>
      </c>
      <c r="G287" s="9">
        <f>IFERROR(XLOOKUP(E287, '04_Products'!$A:$A, '04_Products'!$G:$G), 402.87)</f>
        <v/>
      </c>
      <c r="H287" s="9">
        <f>IFERROR(XLOOKUP(E287, '04_Products'!$A:$A, '04_Products'!$F:$F), 0)</f>
        <v/>
      </c>
      <c r="I287" s="9">
        <f>F287*G287</f>
        <v/>
      </c>
      <c r="J287" s="11" t="n">
        <v>0.05</v>
      </c>
      <c r="K287" s="9">
        <f>I287*J287</f>
        <v/>
      </c>
      <c r="L287" s="9">
        <f>I287-K287</f>
        <v/>
      </c>
      <c r="M287" s="9">
        <f>F287*H287</f>
        <v/>
      </c>
      <c r="N287" s="9">
        <f>L287-M287</f>
        <v/>
      </c>
      <c r="O287" s="11">
        <f>IFERROR(N287/L287, 0)</f>
        <v/>
      </c>
      <c r="P287" s="8">
        <f>YEAR(C287)</f>
        <v/>
      </c>
      <c r="Q287" s="8">
        <f>TEXT(C287, "yyyy-mm")</f>
        <v/>
      </c>
      <c r="R287" s="8" t="inlineStr">
        <is>
          <t>Mobile App</t>
        </is>
      </c>
      <c r="S287" s="8" t="inlineStr">
        <is>
          <t>REG-NA</t>
        </is>
      </c>
    </row>
    <row r="288">
      <c r="A288" s="8" t="inlineStr">
        <is>
          <t>DTL-0000287</t>
        </is>
      </c>
      <c r="B288" s="8" t="inlineStr">
        <is>
          <t>ORD-000136</t>
        </is>
      </c>
      <c r="C288" s="10" t="inlineStr">
        <is>
          <t>2024-05-09</t>
        </is>
      </c>
      <c r="D288" s="8" t="inlineStr">
        <is>
          <t>CUST-04247</t>
        </is>
      </c>
      <c r="E288" s="8" t="inlineStr">
        <is>
          <t>PRD-0432</t>
        </is>
      </c>
      <c r="F288" s="8" t="n">
        <v>1</v>
      </c>
      <c r="G288" s="9">
        <f>IFERROR(XLOOKUP(E288, '04_Products'!$A:$A, '04_Products'!$G:$G), 25.28)</f>
        <v/>
      </c>
      <c r="H288" s="9">
        <f>IFERROR(XLOOKUP(E288, '04_Products'!$A:$A, '04_Products'!$F:$F), 0)</f>
        <v/>
      </c>
      <c r="I288" s="9">
        <f>F288*G288</f>
        <v/>
      </c>
      <c r="J288" s="11" t="n">
        <v>0.05</v>
      </c>
      <c r="K288" s="9">
        <f>I288*J288</f>
        <v/>
      </c>
      <c r="L288" s="9">
        <f>I288-K288</f>
        <v/>
      </c>
      <c r="M288" s="9">
        <f>F288*H288</f>
        <v/>
      </c>
      <c r="N288" s="9">
        <f>L288-M288</f>
        <v/>
      </c>
      <c r="O288" s="11">
        <f>IFERROR(N288/L288, 0)</f>
        <v/>
      </c>
      <c r="P288" s="8">
        <f>YEAR(C288)</f>
        <v/>
      </c>
      <c r="Q288" s="8">
        <f>TEXT(C288, "yyyy-mm")</f>
        <v/>
      </c>
      <c r="R288" s="8" t="inlineStr">
        <is>
          <t>Mobile App</t>
        </is>
      </c>
      <c r="S288" s="8" t="inlineStr">
        <is>
          <t>REG-NA</t>
        </is>
      </c>
    </row>
    <row r="289">
      <c r="A289" s="8" t="inlineStr">
        <is>
          <t>DTL-0000288</t>
        </is>
      </c>
      <c r="B289" s="8" t="inlineStr">
        <is>
          <t>ORD-000137</t>
        </is>
      </c>
      <c r="C289" s="10" t="inlineStr">
        <is>
          <t>2025-05-06</t>
        </is>
      </c>
      <c r="D289" s="8" t="inlineStr">
        <is>
          <t>CUST-02734</t>
        </is>
      </c>
      <c r="E289" s="8" t="inlineStr">
        <is>
          <t>PRD-0284</t>
        </is>
      </c>
      <c r="F289" s="8" t="n">
        <v>3</v>
      </c>
      <c r="G289" s="9">
        <f>IFERROR(XLOOKUP(E289, '04_Products'!$A:$A, '04_Products'!$G:$G), 621.83)</f>
        <v/>
      </c>
      <c r="H289" s="9">
        <f>IFERROR(XLOOKUP(E289, '04_Products'!$A:$A, '04_Products'!$F:$F), 0)</f>
        <v/>
      </c>
      <c r="I289" s="9">
        <f>F289*G289</f>
        <v/>
      </c>
      <c r="J289" s="11" t="n">
        <v>0.25</v>
      </c>
      <c r="K289" s="9">
        <f>I289*J289</f>
        <v/>
      </c>
      <c r="L289" s="9">
        <f>I289-K289</f>
        <v/>
      </c>
      <c r="M289" s="9">
        <f>F289*H289</f>
        <v/>
      </c>
      <c r="N289" s="9">
        <f>L289-M289</f>
        <v/>
      </c>
      <c r="O289" s="11">
        <f>IFERROR(N289/L289, 0)</f>
        <v/>
      </c>
      <c r="P289" s="8">
        <f>YEAR(C289)</f>
        <v/>
      </c>
      <c r="Q289" s="8">
        <f>TEXT(C289, "yyyy-mm")</f>
        <v/>
      </c>
      <c r="R289" s="8" t="inlineStr">
        <is>
          <t>Direct Web</t>
        </is>
      </c>
      <c r="S289" s="8" t="inlineStr">
        <is>
          <t>REG-APAC</t>
        </is>
      </c>
    </row>
    <row r="290">
      <c r="A290" s="8" t="inlineStr">
        <is>
          <t>DTL-0000289</t>
        </is>
      </c>
      <c r="B290" s="8" t="inlineStr">
        <is>
          <t>ORD-000138</t>
        </is>
      </c>
      <c r="C290" s="10" t="inlineStr">
        <is>
          <t>2024-03-14</t>
        </is>
      </c>
      <c r="D290" s="8" t="inlineStr">
        <is>
          <t>CUST-03485</t>
        </is>
      </c>
      <c r="E290" s="8" t="inlineStr">
        <is>
          <t>PRD-0217</t>
        </is>
      </c>
      <c r="F290" s="8" t="n">
        <v>2</v>
      </c>
      <c r="G290" s="9">
        <f>IFERROR(XLOOKUP(E290, '04_Products'!$A:$A, '04_Products'!$G:$G), 457.08)</f>
        <v/>
      </c>
      <c r="H290" s="9">
        <f>IFERROR(XLOOKUP(E290, '04_Products'!$A:$A, '04_Products'!$F:$F), 0)</f>
        <v/>
      </c>
      <c r="I290" s="9">
        <f>F290*G290</f>
        <v/>
      </c>
      <c r="J290" s="11" t="n">
        <v>0.15</v>
      </c>
      <c r="K290" s="9">
        <f>I290*J290</f>
        <v/>
      </c>
      <c r="L290" s="9">
        <f>I290-K290</f>
        <v/>
      </c>
      <c r="M290" s="9">
        <f>F290*H290</f>
        <v/>
      </c>
      <c r="N290" s="9">
        <f>L290-M290</f>
        <v/>
      </c>
      <c r="O290" s="11">
        <f>IFERROR(N290/L290, 0)</f>
        <v/>
      </c>
      <c r="P290" s="8">
        <f>YEAR(C290)</f>
        <v/>
      </c>
      <c r="Q290" s="8">
        <f>TEXT(C290, "yyyy-mm")</f>
        <v/>
      </c>
      <c r="R290" s="8" t="inlineStr">
        <is>
          <t>Mobile App</t>
        </is>
      </c>
      <c r="S290" s="8" t="inlineStr">
        <is>
          <t>REG-APAC</t>
        </is>
      </c>
    </row>
    <row r="291">
      <c r="A291" s="8" t="inlineStr">
        <is>
          <t>DTL-0000290</t>
        </is>
      </c>
      <c r="B291" s="8" t="inlineStr">
        <is>
          <t>ORD-000139</t>
        </is>
      </c>
      <c r="C291" s="10" t="inlineStr">
        <is>
          <t>2024-12-24</t>
        </is>
      </c>
      <c r="D291" s="8" t="inlineStr">
        <is>
          <t>CUST-03512</t>
        </is>
      </c>
      <c r="E291" s="8" t="inlineStr">
        <is>
          <t>PRD-0225</t>
        </is>
      </c>
      <c r="F291" s="8" t="n">
        <v>3</v>
      </c>
      <c r="G291" s="9">
        <f>IFERROR(XLOOKUP(E291, '04_Products'!$A:$A, '04_Products'!$G:$G), 266.58)</f>
        <v/>
      </c>
      <c r="H291" s="9">
        <f>IFERROR(XLOOKUP(E291, '04_Products'!$A:$A, '04_Products'!$F:$F), 0)</f>
        <v/>
      </c>
      <c r="I291" s="9">
        <f>F291*G291</f>
        <v/>
      </c>
      <c r="J291" s="11" t="n">
        <v>0.1</v>
      </c>
      <c r="K291" s="9">
        <f>I291*J291</f>
        <v/>
      </c>
      <c r="L291" s="9">
        <f>I291-K291</f>
        <v/>
      </c>
      <c r="M291" s="9">
        <f>F291*H291</f>
        <v/>
      </c>
      <c r="N291" s="9">
        <f>L291-M291</f>
        <v/>
      </c>
      <c r="O291" s="11">
        <f>IFERROR(N291/L291, 0)</f>
        <v/>
      </c>
      <c r="P291" s="8">
        <f>YEAR(C291)</f>
        <v/>
      </c>
      <c r="Q291" s="8">
        <f>TEXT(C291, "yyyy-mm")</f>
        <v/>
      </c>
      <c r="R291" s="8" t="inlineStr">
        <is>
          <t>Direct Web</t>
        </is>
      </c>
      <c r="S291" s="8" t="inlineStr">
        <is>
          <t>REG-EU</t>
        </is>
      </c>
    </row>
    <row r="292">
      <c r="A292" s="8" t="inlineStr">
        <is>
          <t>DTL-0000291</t>
        </is>
      </c>
      <c r="B292" s="8" t="inlineStr">
        <is>
          <t>ORD-000139</t>
        </is>
      </c>
      <c r="C292" s="10" t="inlineStr">
        <is>
          <t>2024-12-24</t>
        </is>
      </c>
      <c r="D292" s="8" t="inlineStr">
        <is>
          <t>CUST-03512</t>
        </is>
      </c>
      <c r="E292" s="8" t="inlineStr">
        <is>
          <t>PRD-0132</t>
        </is>
      </c>
      <c r="F292" s="8" t="n">
        <v>1</v>
      </c>
      <c r="G292" s="9">
        <f>IFERROR(XLOOKUP(E292, '04_Products'!$A:$A, '04_Products'!$G:$G), 792.09)</f>
        <v/>
      </c>
      <c r="H292" s="9">
        <f>IFERROR(XLOOKUP(E292, '04_Products'!$A:$A, '04_Products'!$F:$F), 0)</f>
        <v/>
      </c>
      <c r="I292" s="9">
        <f>F292*G292</f>
        <v/>
      </c>
      <c r="J292" s="11" t="n">
        <v>0.1</v>
      </c>
      <c r="K292" s="9">
        <f>I292*J292</f>
        <v/>
      </c>
      <c r="L292" s="9">
        <f>I292-K292</f>
        <v/>
      </c>
      <c r="M292" s="9">
        <f>F292*H292</f>
        <v/>
      </c>
      <c r="N292" s="9">
        <f>L292-M292</f>
        <v/>
      </c>
      <c r="O292" s="11">
        <f>IFERROR(N292/L292, 0)</f>
        <v/>
      </c>
      <c r="P292" s="8">
        <f>YEAR(C292)</f>
        <v/>
      </c>
      <c r="Q292" s="8">
        <f>TEXT(C292, "yyyy-mm")</f>
        <v/>
      </c>
      <c r="R292" s="8" t="inlineStr">
        <is>
          <t>Direct Web</t>
        </is>
      </c>
      <c r="S292" s="8" t="inlineStr">
        <is>
          <t>REG-EU</t>
        </is>
      </c>
    </row>
    <row r="293">
      <c r="A293" s="8" t="inlineStr">
        <is>
          <t>DTL-0000292</t>
        </is>
      </c>
      <c r="B293" s="8" t="inlineStr">
        <is>
          <t>ORD-000140</t>
        </is>
      </c>
      <c r="C293" s="10" t="inlineStr">
        <is>
          <t>2024-02-05</t>
        </is>
      </c>
      <c r="D293" s="8" t="inlineStr">
        <is>
          <t>CUST-06805</t>
        </is>
      </c>
      <c r="E293" s="8" t="inlineStr">
        <is>
          <t>PRD-0292</t>
        </is>
      </c>
      <c r="F293" s="8" t="n">
        <v>1</v>
      </c>
      <c r="G293" s="9">
        <f>IFERROR(XLOOKUP(E293, '04_Products'!$A:$A, '04_Products'!$G:$G), 44.76)</f>
        <v/>
      </c>
      <c r="H293" s="9">
        <f>IFERROR(XLOOKUP(E293, '04_Products'!$A:$A, '04_Products'!$F:$F), 0)</f>
        <v/>
      </c>
      <c r="I293" s="9">
        <f>F293*G293</f>
        <v/>
      </c>
      <c r="J293" s="11" t="n">
        <v>0.05</v>
      </c>
      <c r="K293" s="9">
        <f>I293*J293</f>
        <v/>
      </c>
      <c r="L293" s="9">
        <f>I293-K293</f>
        <v/>
      </c>
      <c r="M293" s="9">
        <f>F293*H293</f>
        <v/>
      </c>
      <c r="N293" s="9">
        <f>L293-M293</f>
        <v/>
      </c>
      <c r="O293" s="11">
        <f>IFERROR(N293/L293, 0)</f>
        <v/>
      </c>
      <c r="P293" s="8">
        <f>YEAR(C293)</f>
        <v/>
      </c>
      <c r="Q293" s="8">
        <f>TEXT(C293, "yyyy-mm")</f>
        <v/>
      </c>
      <c r="R293" s="8" t="inlineStr">
        <is>
          <t>Mobile App</t>
        </is>
      </c>
      <c r="S293" s="8" t="inlineStr">
        <is>
          <t>REG-NA</t>
        </is>
      </c>
    </row>
    <row r="294">
      <c r="A294" s="8" t="inlineStr">
        <is>
          <t>DTL-0000293</t>
        </is>
      </c>
      <c r="B294" s="8" t="inlineStr">
        <is>
          <t>ORD-000141</t>
        </is>
      </c>
      <c r="C294" s="10" t="inlineStr">
        <is>
          <t>2023-08-23</t>
        </is>
      </c>
      <c r="D294" s="8" t="inlineStr">
        <is>
          <t>CUST-01240</t>
        </is>
      </c>
      <c r="E294" s="8" t="inlineStr">
        <is>
          <t>PRD-0201</t>
        </is>
      </c>
      <c r="F294" s="8" t="n">
        <v>1</v>
      </c>
      <c r="G294" s="9">
        <f>IFERROR(XLOOKUP(E294, '04_Products'!$A:$A, '04_Products'!$G:$G), 522.37)</f>
        <v/>
      </c>
      <c r="H294" s="9">
        <f>IFERROR(XLOOKUP(E294, '04_Products'!$A:$A, '04_Products'!$F:$F), 0)</f>
        <v/>
      </c>
      <c r="I294" s="9">
        <f>F294*G294</f>
        <v/>
      </c>
      <c r="J294" s="11" t="n">
        <v>0</v>
      </c>
      <c r="K294" s="9">
        <f>I294*J294</f>
        <v/>
      </c>
      <c r="L294" s="9">
        <f>I294-K294</f>
        <v/>
      </c>
      <c r="M294" s="9">
        <f>F294*H294</f>
        <v/>
      </c>
      <c r="N294" s="9">
        <f>L294-M294</f>
        <v/>
      </c>
      <c r="O294" s="11">
        <f>IFERROR(N294/L294, 0)</f>
        <v/>
      </c>
      <c r="P294" s="8">
        <f>YEAR(C294)</f>
        <v/>
      </c>
      <c r="Q294" s="8">
        <f>TEXT(C294, "yyyy-mm")</f>
        <v/>
      </c>
      <c r="R294" s="8" t="inlineStr">
        <is>
          <t>Affiliate Partner</t>
        </is>
      </c>
      <c r="S294" s="8" t="inlineStr">
        <is>
          <t>REG-EU</t>
        </is>
      </c>
    </row>
    <row r="295">
      <c r="A295" s="8" t="inlineStr">
        <is>
          <t>DTL-0000294</t>
        </is>
      </c>
      <c r="B295" s="8" t="inlineStr">
        <is>
          <t>ORD-000141</t>
        </is>
      </c>
      <c r="C295" s="10" t="inlineStr">
        <is>
          <t>2023-08-23</t>
        </is>
      </c>
      <c r="D295" s="8" t="inlineStr">
        <is>
          <t>CUST-01240</t>
        </is>
      </c>
      <c r="E295" s="8" t="inlineStr">
        <is>
          <t>PRD-0391</t>
        </is>
      </c>
      <c r="F295" s="8" t="n">
        <v>1</v>
      </c>
      <c r="G295" s="9">
        <f>IFERROR(XLOOKUP(E295, '04_Products'!$A:$A, '04_Products'!$G:$G), 468.85)</f>
        <v/>
      </c>
      <c r="H295" s="9">
        <f>IFERROR(XLOOKUP(E295, '04_Products'!$A:$A, '04_Products'!$F:$F), 0)</f>
        <v/>
      </c>
      <c r="I295" s="9">
        <f>F295*G295</f>
        <v/>
      </c>
      <c r="J295" s="11" t="n">
        <v>0.1</v>
      </c>
      <c r="K295" s="9">
        <f>I295*J295</f>
        <v/>
      </c>
      <c r="L295" s="9">
        <f>I295-K295</f>
        <v/>
      </c>
      <c r="M295" s="9">
        <f>F295*H295</f>
        <v/>
      </c>
      <c r="N295" s="9">
        <f>L295-M295</f>
        <v/>
      </c>
      <c r="O295" s="11">
        <f>IFERROR(N295/L295, 0)</f>
        <v/>
      </c>
      <c r="P295" s="8">
        <f>YEAR(C295)</f>
        <v/>
      </c>
      <c r="Q295" s="8">
        <f>TEXT(C295, "yyyy-mm")</f>
        <v/>
      </c>
      <c r="R295" s="8" t="inlineStr">
        <is>
          <t>Affiliate Partner</t>
        </is>
      </c>
      <c r="S295" s="8" t="inlineStr">
        <is>
          <t>REG-EU</t>
        </is>
      </c>
    </row>
    <row r="296">
      <c r="A296" s="8" t="inlineStr">
        <is>
          <t>DTL-0000295</t>
        </is>
      </c>
      <c r="B296" s="8" t="inlineStr">
        <is>
          <t>ORD-000142</t>
        </is>
      </c>
      <c r="C296" s="10" t="inlineStr">
        <is>
          <t>2025-11-26</t>
        </is>
      </c>
      <c r="D296" s="8" t="inlineStr">
        <is>
          <t>CUST-06710</t>
        </is>
      </c>
      <c r="E296" s="8" t="inlineStr">
        <is>
          <t>PRD-0289</t>
        </is>
      </c>
      <c r="F296" s="8" t="n">
        <v>8</v>
      </c>
      <c r="G296" s="9">
        <f>IFERROR(XLOOKUP(E296, '04_Products'!$A:$A, '04_Products'!$G:$G), 579.40)</f>
        <v/>
      </c>
      <c r="H296" s="9">
        <f>IFERROR(XLOOKUP(E296, '04_Products'!$A:$A, '04_Products'!$F:$F), 0)</f>
        <v/>
      </c>
      <c r="I296" s="9">
        <f>F296*G296</f>
        <v/>
      </c>
      <c r="J296" s="11" t="n">
        <v>0.1</v>
      </c>
      <c r="K296" s="9">
        <f>I296*J296</f>
        <v/>
      </c>
      <c r="L296" s="9">
        <f>I296-K296</f>
        <v/>
      </c>
      <c r="M296" s="9">
        <f>F296*H296</f>
        <v/>
      </c>
      <c r="N296" s="9">
        <f>L296-M296</f>
        <v/>
      </c>
      <c r="O296" s="11">
        <f>IFERROR(N296/L296, 0)</f>
        <v/>
      </c>
      <c r="P296" s="8">
        <f>YEAR(C296)</f>
        <v/>
      </c>
      <c r="Q296" s="8">
        <f>TEXT(C296, "yyyy-mm")</f>
        <v/>
      </c>
      <c r="R296" s="8" t="inlineStr">
        <is>
          <t>Direct Web</t>
        </is>
      </c>
      <c r="S296" s="8" t="inlineStr">
        <is>
          <t>REG-EU</t>
        </is>
      </c>
    </row>
    <row r="297">
      <c r="A297" s="8" t="inlineStr">
        <is>
          <t>DTL-0000296</t>
        </is>
      </c>
      <c r="B297" s="8" t="inlineStr">
        <is>
          <t>ORD-000142</t>
        </is>
      </c>
      <c r="C297" s="10" t="inlineStr">
        <is>
          <t>2025-11-26</t>
        </is>
      </c>
      <c r="D297" s="8" t="inlineStr">
        <is>
          <t>CUST-06710</t>
        </is>
      </c>
      <c r="E297" s="8" t="inlineStr">
        <is>
          <t>PRD-0283</t>
        </is>
      </c>
      <c r="F297" s="8" t="n">
        <v>1</v>
      </c>
      <c r="G297" s="9">
        <f>IFERROR(XLOOKUP(E297, '04_Products'!$A:$A, '04_Products'!$G:$G), 778.89)</f>
        <v/>
      </c>
      <c r="H297" s="9">
        <f>IFERROR(XLOOKUP(E297, '04_Products'!$A:$A, '04_Products'!$F:$F), 0)</f>
        <v/>
      </c>
      <c r="I297" s="9">
        <f>F297*G297</f>
        <v/>
      </c>
      <c r="J297" s="11" t="n">
        <v>0.1</v>
      </c>
      <c r="K297" s="9">
        <f>I297*J297</f>
        <v/>
      </c>
      <c r="L297" s="9">
        <f>I297-K297</f>
        <v/>
      </c>
      <c r="M297" s="9">
        <f>F297*H297</f>
        <v/>
      </c>
      <c r="N297" s="9">
        <f>L297-M297</f>
        <v/>
      </c>
      <c r="O297" s="11">
        <f>IFERROR(N297/L297, 0)</f>
        <v/>
      </c>
      <c r="P297" s="8">
        <f>YEAR(C297)</f>
        <v/>
      </c>
      <c r="Q297" s="8">
        <f>TEXT(C297, "yyyy-mm")</f>
        <v/>
      </c>
      <c r="R297" s="8" t="inlineStr">
        <is>
          <t>Direct Web</t>
        </is>
      </c>
      <c r="S297" s="8" t="inlineStr">
        <is>
          <t>REG-EU</t>
        </is>
      </c>
    </row>
    <row r="298">
      <c r="A298" s="8" t="inlineStr">
        <is>
          <t>DTL-0000297</t>
        </is>
      </c>
      <c r="B298" s="8" t="inlineStr">
        <is>
          <t>ORD-000143</t>
        </is>
      </c>
      <c r="C298" s="10" t="inlineStr">
        <is>
          <t>2023-12-18</t>
        </is>
      </c>
      <c r="D298" s="8" t="inlineStr">
        <is>
          <t>CUST-02108</t>
        </is>
      </c>
      <c r="E298" s="8" t="inlineStr">
        <is>
          <t>PRD-0026</t>
        </is>
      </c>
      <c r="F298" s="8" t="n">
        <v>1</v>
      </c>
      <c r="G298" s="9">
        <f>IFERROR(XLOOKUP(E298, '04_Products'!$A:$A, '04_Products'!$G:$G), 469.49)</f>
        <v/>
      </c>
      <c r="H298" s="9">
        <f>IFERROR(XLOOKUP(E298, '04_Products'!$A:$A, '04_Products'!$F:$F), 0)</f>
        <v/>
      </c>
      <c r="I298" s="9">
        <f>F298*G298</f>
        <v/>
      </c>
      <c r="J298" s="11" t="n">
        <v>0.15</v>
      </c>
      <c r="K298" s="9">
        <f>I298*J298</f>
        <v/>
      </c>
      <c r="L298" s="9">
        <f>I298-K298</f>
        <v/>
      </c>
      <c r="M298" s="9">
        <f>F298*H298</f>
        <v/>
      </c>
      <c r="N298" s="9">
        <f>L298-M298</f>
        <v/>
      </c>
      <c r="O298" s="11">
        <f>IFERROR(N298/L298, 0)</f>
        <v/>
      </c>
      <c r="P298" s="8">
        <f>YEAR(C298)</f>
        <v/>
      </c>
      <c r="Q298" s="8">
        <f>TEXT(C298, "yyyy-mm")</f>
        <v/>
      </c>
      <c r="R298" s="8" t="inlineStr">
        <is>
          <t>Direct Web</t>
        </is>
      </c>
      <c r="S298" s="8" t="inlineStr">
        <is>
          <t>REG-EU</t>
        </is>
      </c>
    </row>
    <row r="299">
      <c r="A299" s="8" t="inlineStr">
        <is>
          <t>DTL-0000298</t>
        </is>
      </c>
      <c r="B299" s="8" t="inlineStr">
        <is>
          <t>ORD-000144</t>
        </is>
      </c>
      <c r="C299" s="10" t="inlineStr">
        <is>
          <t>2023-06-28</t>
        </is>
      </c>
      <c r="D299" s="8" t="inlineStr">
        <is>
          <t>CUST-03105</t>
        </is>
      </c>
      <c r="E299" s="8" t="inlineStr">
        <is>
          <t>PRD-0381</t>
        </is>
      </c>
      <c r="F299" s="8" t="n">
        <v>2</v>
      </c>
      <c r="G299" s="9">
        <f>IFERROR(XLOOKUP(E299, '04_Products'!$A:$A, '04_Products'!$G:$G), 321.45)</f>
        <v/>
      </c>
      <c r="H299" s="9">
        <f>IFERROR(XLOOKUP(E299, '04_Products'!$A:$A, '04_Products'!$F:$F), 0)</f>
        <v/>
      </c>
      <c r="I299" s="9">
        <f>F299*G299</f>
        <v/>
      </c>
      <c r="J299" s="11" t="n">
        <v>0</v>
      </c>
      <c r="K299" s="9">
        <f>I299*J299</f>
        <v/>
      </c>
      <c r="L299" s="9">
        <f>I299-K299</f>
        <v/>
      </c>
      <c r="M299" s="9">
        <f>F299*H299</f>
        <v/>
      </c>
      <c r="N299" s="9">
        <f>L299-M299</f>
        <v/>
      </c>
      <c r="O299" s="11">
        <f>IFERROR(N299/L299, 0)</f>
        <v/>
      </c>
      <c r="P299" s="8">
        <f>YEAR(C299)</f>
        <v/>
      </c>
      <c r="Q299" s="8">
        <f>TEXT(C299, "yyyy-mm")</f>
        <v/>
      </c>
      <c r="R299" s="8" t="inlineStr">
        <is>
          <t>Mobile App</t>
        </is>
      </c>
      <c r="S299" s="8" t="inlineStr">
        <is>
          <t>REG-NA</t>
        </is>
      </c>
    </row>
    <row r="300">
      <c r="A300" s="8" t="inlineStr">
        <is>
          <t>DTL-0000299</t>
        </is>
      </c>
      <c r="B300" s="8" t="inlineStr">
        <is>
          <t>ORD-000144</t>
        </is>
      </c>
      <c r="C300" s="10" t="inlineStr">
        <is>
          <t>2023-06-28</t>
        </is>
      </c>
      <c r="D300" s="8" t="inlineStr">
        <is>
          <t>CUST-03105</t>
        </is>
      </c>
      <c r="E300" s="8" t="inlineStr">
        <is>
          <t>PRD-0019</t>
        </is>
      </c>
      <c r="F300" s="8" t="n">
        <v>2</v>
      </c>
      <c r="G300" s="9">
        <f>IFERROR(XLOOKUP(E300, '04_Products'!$A:$A, '04_Products'!$G:$G), 444.46)</f>
        <v/>
      </c>
      <c r="H300" s="9">
        <f>IFERROR(XLOOKUP(E300, '04_Products'!$A:$A, '04_Products'!$F:$F), 0)</f>
        <v/>
      </c>
      <c r="I300" s="9">
        <f>F300*G300</f>
        <v/>
      </c>
      <c r="J300" s="11" t="n">
        <v>0.15</v>
      </c>
      <c r="K300" s="9">
        <f>I300*J300</f>
        <v/>
      </c>
      <c r="L300" s="9">
        <f>I300-K300</f>
        <v/>
      </c>
      <c r="M300" s="9">
        <f>F300*H300</f>
        <v/>
      </c>
      <c r="N300" s="9">
        <f>L300-M300</f>
        <v/>
      </c>
      <c r="O300" s="11">
        <f>IFERROR(N300/L300, 0)</f>
        <v/>
      </c>
      <c r="P300" s="8">
        <f>YEAR(C300)</f>
        <v/>
      </c>
      <c r="Q300" s="8">
        <f>TEXT(C300, "yyyy-mm")</f>
        <v/>
      </c>
      <c r="R300" s="8" t="inlineStr">
        <is>
          <t>Mobile App</t>
        </is>
      </c>
      <c r="S300" s="8" t="inlineStr">
        <is>
          <t>REG-NA</t>
        </is>
      </c>
    </row>
    <row r="301">
      <c r="A301" s="8" t="inlineStr">
        <is>
          <t>DTL-0000300</t>
        </is>
      </c>
      <c r="B301" s="8" t="inlineStr">
        <is>
          <t>ORD-000145</t>
        </is>
      </c>
      <c r="C301" s="10" t="inlineStr">
        <is>
          <t>2025-04-05</t>
        </is>
      </c>
      <c r="D301" s="8" t="inlineStr">
        <is>
          <t>CUST-03463</t>
        </is>
      </c>
      <c r="E301" s="8" t="inlineStr">
        <is>
          <t>PRD-0157</t>
        </is>
      </c>
      <c r="F301" s="8" t="n">
        <v>2</v>
      </c>
      <c r="G301" s="9">
        <f>IFERROR(XLOOKUP(E301, '04_Products'!$A:$A, '04_Products'!$G:$G), 227.80)</f>
        <v/>
      </c>
      <c r="H301" s="9">
        <f>IFERROR(XLOOKUP(E301, '04_Products'!$A:$A, '04_Products'!$F:$F), 0)</f>
        <v/>
      </c>
      <c r="I301" s="9">
        <f>F301*G301</f>
        <v/>
      </c>
      <c r="J301" s="11" t="n">
        <v>0</v>
      </c>
      <c r="K301" s="9">
        <f>I301*J301</f>
        <v/>
      </c>
      <c r="L301" s="9">
        <f>I301-K301</f>
        <v/>
      </c>
      <c r="M301" s="9">
        <f>F301*H301</f>
        <v/>
      </c>
      <c r="N301" s="9">
        <f>L301-M301</f>
        <v/>
      </c>
      <c r="O301" s="11">
        <f>IFERROR(N301/L301, 0)</f>
        <v/>
      </c>
      <c r="P301" s="8">
        <f>YEAR(C301)</f>
        <v/>
      </c>
      <c r="Q301" s="8">
        <f>TEXT(C301, "yyyy-mm")</f>
        <v/>
      </c>
      <c r="R301" s="8" t="inlineStr">
        <is>
          <t>Mobile App</t>
        </is>
      </c>
      <c r="S301" s="8" t="inlineStr">
        <is>
          <t>REG-APAC</t>
        </is>
      </c>
    </row>
    <row r="302">
      <c r="A302" s="8" t="inlineStr">
        <is>
          <t>DTL-0000301</t>
        </is>
      </c>
      <c r="B302" s="8" t="inlineStr">
        <is>
          <t>ORD-000146</t>
        </is>
      </c>
      <c r="C302" s="10" t="inlineStr">
        <is>
          <t>2025-04-19</t>
        </is>
      </c>
      <c r="D302" s="8" t="inlineStr">
        <is>
          <t>CUST-05897</t>
        </is>
      </c>
      <c r="E302" s="8" t="inlineStr">
        <is>
          <t>PRD-0424</t>
        </is>
      </c>
      <c r="F302" s="8" t="n">
        <v>1</v>
      </c>
      <c r="G302" s="9">
        <f>IFERROR(XLOOKUP(E302, '04_Products'!$A:$A, '04_Products'!$G:$G), 268.72)</f>
        <v/>
      </c>
      <c r="H302" s="9">
        <f>IFERROR(XLOOKUP(E302, '04_Products'!$A:$A, '04_Products'!$F:$F), 0)</f>
        <v/>
      </c>
      <c r="I302" s="9">
        <f>F302*G302</f>
        <v/>
      </c>
      <c r="J302" s="11" t="n">
        <v>0.05</v>
      </c>
      <c r="K302" s="9">
        <f>I302*J302</f>
        <v/>
      </c>
      <c r="L302" s="9">
        <f>I302-K302</f>
        <v/>
      </c>
      <c r="M302" s="9">
        <f>F302*H302</f>
        <v/>
      </c>
      <c r="N302" s="9">
        <f>L302-M302</f>
        <v/>
      </c>
      <c r="O302" s="11">
        <f>IFERROR(N302/L302, 0)</f>
        <v/>
      </c>
      <c r="P302" s="8">
        <f>YEAR(C302)</f>
        <v/>
      </c>
      <c r="Q302" s="8">
        <f>TEXT(C302, "yyyy-mm")</f>
        <v/>
      </c>
      <c r="R302" s="8" t="inlineStr">
        <is>
          <t>Mobile App</t>
        </is>
      </c>
      <c r="S302" s="8" t="inlineStr">
        <is>
          <t>REG-APAC</t>
        </is>
      </c>
    </row>
    <row r="303">
      <c r="A303" s="8" t="inlineStr">
        <is>
          <t>DTL-0000302</t>
        </is>
      </c>
      <c r="B303" s="8" t="inlineStr">
        <is>
          <t>ORD-000146</t>
        </is>
      </c>
      <c r="C303" s="10" t="inlineStr">
        <is>
          <t>2025-04-19</t>
        </is>
      </c>
      <c r="D303" s="8" t="inlineStr">
        <is>
          <t>CUST-05897</t>
        </is>
      </c>
      <c r="E303" s="8" t="inlineStr">
        <is>
          <t>PRD-0290</t>
        </is>
      </c>
      <c r="F303" s="8" t="n">
        <v>3</v>
      </c>
      <c r="G303" s="9">
        <f>IFERROR(XLOOKUP(E303, '04_Products'!$A:$A, '04_Products'!$G:$G), 404.49)</f>
        <v/>
      </c>
      <c r="H303" s="9">
        <f>IFERROR(XLOOKUP(E303, '04_Products'!$A:$A, '04_Products'!$F:$F), 0)</f>
        <v/>
      </c>
      <c r="I303" s="9">
        <f>F303*G303</f>
        <v/>
      </c>
      <c r="J303" s="11" t="n">
        <v>0</v>
      </c>
      <c r="K303" s="9">
        <f>I303*J303</f>
        <v/>
      </c>
      <c r="L303" s="9">
        <f>I303-K303</f>
        <v/>
      </c>
      <c r="M303" s="9">
        <f>F303*H303</f>
        <v/>
      </c>
      <c r="N303" s="9">
        <f>L303-M303</f>
        <v/>
      </c>
      <c r="O303" s="11">
        <f>IFERROR(N303/L303, 0)</f>
        <v/>
      </c>
      <c r="P303" s="8">
        <f>YEAR(C303)</f>
        <v/>
      </c>
      <c r="Q303" s="8">
        <f>TEXT(C303, "yyyy-mm")</f>
        <v/>
      </c>
      <c r="R303" s="8" t="inlineStr">
        <is>
          <t>Mobile App</t>
        </is>
      </c>
      <c r="S303" s="8" t="inlineStr">
        <is>
          <t>REG-APAC</t>
        </is>
      </c>
    </row>
    <row r="304">
      <c r="A304" s="8" t="inlineStr">
        <is>
          <t>DTL-0000303</t>
        </is>
      </c>
      <c r="B304" s="8" t="inlineStr">
        <is>
          <t>ORD-000147</t>
        </is>
      </c>
      <c r="C304" s="10" t="inlineStr">
        <is>
          <t>2023-01-13</t>
        </is>
      </c>
      <c r="D304" s="8" t="inlineStr">
        <is>
          <t>CUST-02345</t>
        </is>
      </c>
      <c r="E304" s="8" t="inlineStr">
        <is>
          <t>PRD-0318</t>
        </is>
      </c>
      <c r="F304" s="8" t="n">
        <v>1</v>
      </c>
      <c r="G304" s="9">
        <f>IFERROR(XLOOKUP(E304, '04_Products'!$A:$A, '04_Products'!$G:$G), 130.98)</f>
        <v/>
      </c>
      <c r="H304" s="9">
        <f>IFERROR(XLOOKUP(E304, '04_Products'!$A:$A, '04_Products'!$F:$F), 0)</f>
        <v/>
      </c>
      <c r="I304" s="9">
        <f>F304*G304</f>
        <v/>
      </c>
      <c r="J304" s="11" t="n">
        <v>0.2</v>
      </c>
      <c r="K304" s="9">
        <f>I304*J304</f>
        <v/>
      </c>
      <c r="L304" s="9">
        <f>I304-K304</f>
        <v/>
      </c>
      <c r="M304" s="9">
        <f>F304*H304</f>
        <v/>
      </c>
      <c r="N304" s="9">
        <f>L304-M304</f>
        <v/>
      </c>
      <c r="O304" s="11">
        <f>IFERROR(N304/L304, 0)</f>
        <v/>
      </c>
      <c r="P304" s="8">
        <f>YEAR(C304)</f>
        <v/>
      </c>
      <c r="Q304" s="8">
        <f>TEXT(C304, "yyyy-mm")</f>
        <v/>
      </c>
      <c r="R304" s="8" t="inlineStr">
        <is>
          <t>B2B Portal</t>
        </is>
      </c>
      <c r="S304" s="8" t="inlineStr">
        <is>
          <t>REG-NA</t>
        </is>
      </c>
    </row>
    <row r="305">
      <c r="A305" s="8" t="inlineStr">
        <is>
          <t>DTL-0000304</t>
        </is>
      </c>
      <c r="B305" s="8" t="inlineStr">
        <is>
          <t>ORD-000147</t>
        </is>
      </c>
      <c r="C305" s="10" t="inlineStr">
        <is>
          <t>2023-01-13</t>
        </is>
      </c>
      <c r="D305" s="8" t="inlineStr">
        <is>
          <t>CUST-02345</t>
        </is>
      </c>
      <c r="E305" s="8" t="inlineStr">
        <is>
          <t>PRD-0201</t>
        </is>
      </c>
      <c r="F305" s="8" t="n">
        <v>1</v>
      </c>
      <c r="G305" s="9">
        <f>IFERROR(XLOOKUP(E305, '04_Products'!$A:$A, '04_Products'!$G:$G), 522.37)</f>
        <v/>
      </c>
      <c r="H305" s="9">
        <f>IFERROR(XLOOKUP(E305, '04_Products'!$A:$A, '04_Products'!$F:$F), 0)</f>
        <v/>
      </c>
      <c r="I305" s="9">
        <f>F305*G305</f>
        <v/>
      </c>
      <c r="J305" s="11" t="n">
        <v>0</v>
      </c>
      <c r="K305" s="9">
        <f>I305*J305</f>
        <v/>
      </c>
      <c r="L305" s="9">
        <f>I305-K305</f>
        <v/>
      </c>
      <c r="M305" s="9">
        <f>F305*H305</f>
        <v/>
      </c>
      <c r="N305" s="9">
        <f>L305-M305</f>
        <v/>
      </c>
      <c r="O305" s="11">
        <f>IFERROR(N305/L305, 0)</f>
        <v/>
      </c>
      <c r="P305" s="8">
        <f>YEAR(C305)</f>
        <v/>
      </c>
      <c r="Q305" s="8">
        <f>TEXT(C305, "yyyy-mm")</f>
        <v/>
      </c>
      <c r="R305" s="8" t="inlineStr">
        <is>
          <t>B2B Portal</t>
        </is>
      </c>
      <c r="S305" s="8" t="inlineStr">
        <is>
          <t>REG-NA</t>
        </is>
      </c>
    </row>
    <row r="306">
      <c r="A306" s="8" t="inlineStr">
        <is>
          <t>DTL-0000305</t>
        </is>
      </c>
      <c r="B306" s="8" t="inlineStr">
        <is>
          <t>ORD-000148</t>
        </is>
      </c>
      <c r="C306" s="10" t="inlineStr">
        <is>
          <t>2025-12-29</t>
        </is>
      </c>
      <c r="D306" s="8" t="inlineStr">
        <is>
          <t>CUST-01001</t>
        </is>
      </c>
      <c r="E306" s="8" t="inlineStr">
        <is>
          <t>PRD-0379</t>
        </is>
      </c>
      <c r="F306" s="8" t="n">
        <v>1</v>
      </c>
      <c r="G306" s="9">
        <f>IFERROR(XLOOKUP(E306, '04_Products'!$A:$A, '04_Products'!$G:$G), 626.40)</f>
        <v/>
      </c>
      <c r="H306" s="9">
        <f>IFERROR(XLOOKUP(E306, '04_Products'!$A:$A, '04_Products'!$F:$F), 0)</f>
        <v/>
      </c>
      <c r="I306" s="9">
        <f>F306*G306</f>
        <v/>
      </c>
      <c r="J306" s="11" t="n">
        <v>0.15</v>
      </c>
      <c r="K306" s="9">
        <f>I306*J306</f>
        <v/>
      </c>
      <c r="L306" s="9">
        <f>I306-K306</f>
        <v/>
      </c>
      <c r="M306" s="9">
        <f>F306*H306</f>
        <v/>
      </c>
      <c r="N306" s="9">
        <f>L306-M306</f>
        <v/>
      </c>
      <c r="O306" s="11">
        <f>IFERROR(N306/L306, 0)</f>
        <v/>
      </c>
      <c r="P306" s="8">
        <f>YEAR(C306)</f>
        <v/>
      </c>
      <c r="Q306" s="8">
        <f>TEXT(C306, "yyyy-mm")</f>
        <v/>
      </c>
      <c r="R306" s="8" t="inlineStr">
        <is>
          <t>Mobile App</t>
        </is>
      </c>
      <c r="S306" s="8" t="inlineStr">
        <is>
          <t>REG-APAC</t>
        </is>
      </c>
    </row>
    <row r="307">
      <c r="A307" s="8" t="inlineStr">
        <is>
          <t>DTL-0000306</t>
        </is>
      </c>
      <c r="B307" s="8" t="inlineStr">
        <is>
          <t>ORD-000148</t>
        </is>
      </c>
      <c r="C307" s="10" t="inlineStr">
        <is>
          <t>2025-12-29</t>
        </is>
      </c>
      <c r="D307" s="8" t="inlineStr">
        <is>
          <t>CUST-01001</t>
        </is>
      </c>
      <c r="E307" s="8" t="inlineStr">
        <is>
          <t>PRD-0487</t>
        </is>
      </c>
      <c r="F307" s="8" t="n">
        <v>3</v>
      </c>
      <c r="G307" s="9">
        <f>IFERROR(XLOOKUP(E307, '04_Products'!$A:$A, '04_Products'!$G:$G), 183.38)</f>
        <v/>
      </c>
      <c r="H307" s="9">
        <f>IFERROR(XLOOKUP(E307, '04_Products'!$A:$A, '04_Products'!$F:$F), 0)</f>
        <v/>
      </c>
      <c r="I307" s="9">
        <f>F307*G307</f>
        <v/>
      </c>
      <c r="J307" s="11" t="n">
        <v>0.15</v>
      </c>
      <c r="K307" s="9">
        <f>I307*J307</f>
        <v/>
      </c>
      <c r="L307" s="9">
        <f>I307-K307</f>
        <v/>
      </c>
      <c r="M307" s="9">
        <f>F307*H307</f>
        <v/>
      </c>
      <c r="N307" s="9">
        <f>L307-M307</f>
        <v/>
      </c>
      <c r="O307" s="11">
        <f>IFERROR(N307/L307, 0)</f>
        <v/>
      </c>
      <c r="P307" s="8">
        <f>YEAR(C307)</f>
        <v/>
      </c>
      <c r="Q307" s="8">
        <f>TEXT(C307, "yyyy-mm")</f>
        <v/>
      </c>
      <c r="R307" s="8" t="inlineStr">
        <is>
          <t>Mobile App</t>
        </is>
      </c>
      <c r="S307" s="8" t="inlineStr">
        <is>
          <t>REG-APAC</t>
        </is>
      </c>
    </row>
    <row r="308">
      <c r="A308" s="8" t="inlineStr">
        <is>
          <t>DTL-0000307</t>
        </is>
      </c>
      <c r="B308" s="8" t="inlineStr">
        <is>
          <t>ORD-000148</t>
        </is>
      </c>
      <c r="C308" s="10" t="inlineStr">
        <is>
          <t>2025-12-29</t>
        </is>
      </c>
      <c r="D308" s="8" t="inlineStr">
        <is>
          <t>CUST-01001</t>
        </is>
      </c>
      <c r="E308" s="8" t="inlineStr">
        <is>
          <t>PRD-0305</t>
        </is>
      </c>
      <c r="F308" s="8" t="n">
        <v>3</v>
      </c>
      <c r="G308" s="9">
        <f>IFERROR(XLOOKUP(E308, '04_Products'!$A:$A, '04_Products'!$G:$G), 713.99)</f>
        <v/>
      </c>
      <c r="H308" s="9">
        <f>IFERROR(XLOOKUP(E308, '04_Products'!$A:$A, '04_Products'!$F:$F), 0)</f>
        <v/>
      </c>
      <c r="I308" s="9">
        <f>F308*G308</f>
        <v/>
      </c>
      <c r="J308" s="11" t="n">
        <v>0.1</v>
      </c>
      <c r="K308" s="9">
        <f>I308*J308</f>
        <v/>
      </c>
      <c r="L308" s="9">
        <f>I308-K308</f>
        <v/>
      </c>
      <c r="M308" s="9">
        <f>F308*H308</f>
        <v/>
      </c>
      <c r="N308" s="9">
        <f>L308-M308</f>
        <v/>
      </c>
      <c r="O308" s="11">
        <f>IFERROR(N308/L308, 0)</f>
        <v/>
      </c>
      <c r="P308" s="8">
        <f>YEAR(C308)</f>
        <v/>
      </c>
      <c r="Q308" s="8">
        <f>TEXT(C308, "yyyy-mm")</f>
        <v/>
      </c>
      <c r="R308" s="8" t="inlineStr">
        <is>
          <t>Mobile App</t>
        </is>
      </c>
      <c r="S308" s="8" t="inlineStr">
        <is>
          <t>REG-APAC</t>
        </is>
      </c>
    </row>
    <row r="309">
      <c r="A309" s="8" t="inlineStr">
        <is>
          <t>DTL-0000308</t>
        </is>
      </c>
      <c r="B309" s="8" t="inlineStr">
        <is>
          <t>ORD-000149</t>
        </is>
      </c>
      <c r="C309" s="10" t="inlineStr">
        <is>
          <t>2025-03-27</t>
        </is>
      </c>
      <c r="D309" s="8" t="inlineStr">
        <is>
          <t>CUST-01881</t>
        </is>
      </c>
      <c r="E309" s="8" t="inlineStr">
        <is>
          <t>PRD-0074</t>
        </is>
      </c>
      <c r="F309" s="8" t="n">
        <v>1</v>
      </c>
      <c r="G309" s="9">
        <f>IFERROR(XLOOKUP(E309, '04_Products'!$A:$A, '04_Products'!$G:$G), 405.95)</f>
        <v/>
      </c>
      <c r="H309" s="9">
        <f>IFERROR(XLOOKUP(E309, '04_Products'!$A:$A, '04_Products'!$F:$F), 0)</f>
        <v/>
      </c>
      <c r="I309" s="9">
        <f>F309*G309</f>
        <v/>
      </c>
      <c r="J309" s="11" t="n">
        <v>0.05</v>
      </c>
      <c r="K309" s="9">
        <f>I309*J309</f>
        <v/>
      </c>
      <c r="L309" s="9">
        <f>I309-K309</f>
        <v/>
      </c>
      <c r="M309" s="9">
        <f>F309*H309</f>
        <v/>
      </c>
      <c r="N309" s="9">
        <f>L309-M309</f>
        <v/>
      </c>
      <c r="O309" s="11">
        <f>IFERROR(N309/L309, 0)</f>
        <v/>
      </c>
      <c r="P309" s="8">
        <f>YEAR(C309)</f>
        <v/>
      </c>
      <c r="Q309" s="8">
        <f>TEXT(C309, "yyyy-mm")</f>
        <v/>
      </c>
      <c r="R309" s="8" t="inlineStr">
        <is>
          <t>Mobile App</t>
        </is>
      </c>
      <c r="S309" s="8" t="inlineStr">
        <is>
          <t>REG-EU</t>
        </is>
      </c>
    </row>
    <row r="310">
      <c r="A310" s="8" t="inlineStr">
        <is>
          <t>DTL-0000309</t>
        </is>
      </c>
      <c r="B310" s="8" t="inlineStr">
        <is>
          <t>ORD-000149</t>
        </is>
      </c>
      <c r="C310" s="10" t="inlineStr">
        <is>
          <t>2025-03-27</t>
        </is>
      </c>
      <c r="D310" s="8" t="inlineStr">
        <is>
          <t>CUST-01881</t>
        </is>
      </c>
      <c r="E310" s="8" t="inlineStr">
        <is>
          <t>PRD-0024</t>
        </is>
      </c>
      <c r="F310" s="8" t="n">
        <v>1</v>
      </c>
      <c r="G310" s="9">
        <f>IFERROR(XLOOKUP(E310, '04_Products'!$A:$A, '04_Products'!$G:$G), 45.49)</f>
        <v/>
      </c>
      <c r="H310" s="9">
        <f>IFERROR(XLOOKUP(E310, '04_Products'!$A:$A, '04_Products'!$F:$F), 0)</f>
        <v/>
      </c>
      <c r="I310" s="9">
        <f>F310*G310</f>
        <v/>
      </c>
      <c r="J310" s="11" t="n">
        <v>0.05</v>
      </c>
      <c r="K310" s="9">
        <f>I310*J310</f>
        <v/>
      </c>
      <c r="L310" s="9">
        <f>I310-K310</f>
        <v/>
      </c>
      <c r="M310" s="9">
        <f>F310*H310</f>
        <v/>
      </c>
      <c r="N310" s="9">
        <f>L310-M310</f>
        <v/>
      </c>
      <c r="O310" s="11">
        <f>IFERROR(N310/L310, 0)</f>
        <v/>
      </c>
      <c r="P310" s="8">
        <f>YEAR(C310)</f>
        <v/>
      </c>
      <c r="Q310" s="8">
        <f>TEXT(C310, "yyyy-mm")</f>
        <v/>
      </c>
      <c r="R310" s="8" t="inlineStr">
        <is>
          <t>Mobile App</t>
        </is>
      </c>
      <c r="S310" s="8" t="inlineStr">
        <is>
          <t>REG-EU</t>
        </is>
      </c>
    </row>
    <row r="311">
      <c r="A311" s="8" t="inlineStr">
        <is>
          <t>DTL-0000310</t>
        </is>
      </c>
      <c r="B311" s="8" t="inlineStr">
        <is>
          <t>ORD-000149</t>
        </is>
      </c>
      <c r="C311" s="10" t="inlineStr">
        <is>
          <t>2025-03-27</t>
        </is>
      </c>
      <c r="D311" s="8" t="inlineStr">
        <is>
          <t>CUST-01881</t>
        </is>
      </c>
      <c r="E311" s="8" t="inlineStr">
        <is>
          <t>PRD-0040</t>
        </is>
      </c>
      <c r="F311" s="8" t="n">
        <v>1</v>
      </c>
      <c r="G311" s="9">
        <f>IFERROR(XLOOKUP(E311, '04_Products'!$A:$A, '04_Products'!$G:$G), 28.56)</f>
        <v/>
      </c>
      <c r="H311" s="9">
        <f>IFERROR(XLOOKUP(E311, '04_Products'!$A:$A, '04_Products'!$F:$F), 0)</f>
        <v/>
      </c>
      <c r="I311" s="9">
        <f>F311*G311</f>
        <v/>
      </c>
      <c r="J311" s="11" t="n">
        <v>0.15</v>
      </c>
      <c r="K311" s="9">
        <f>I311*J311</f>
        <v/>
      </c>
      <c r="L311" s="9">
        <f>I311-K311</f>
        <v/>
      </c>
      <c r="M311" s="9">
        <f>F311*H311</f>
        <v/>
      </c>
      <c r="N311" s="9">
        <f>L311-M311</f>
        <v/>
      </c>
      <c r="O311" s="11">
        <f>IFERROR(N311/L311, 0)</f>
        <v/>
      </c>
      <c r="P311" s="8">
        <f>YEAR(C311)</f>
        <v/>
      </c>
      <c r="Q311" s="8">
        <f>TEXT(C311, "yyyy-mm")</f>
        <v/>
      </c>
      <c r="R311" s="8" t="inlineStr">
        <is>
          <t>Mobile App</t>
        </is>
      </c>
      <c r="S311" s="8" t="inlineStr">
        <is>
          <t>REG-EU</t>
        </is>
      </c>
    </row>
    <row r="312">
      <c r="A312" s="8" t="inlineStr">
        <is>
          <t>DTL-0000311</t>
        </is>
      </c>
      <c r="B312" s="8" t="inlineStr">
        <is>
          <t>ORD-000149</t>
        </is>
      </c>
      <c r="C312" s="10" t="inlineStr">
        <is>
          <t>2025-03-27</t>
        </is>
      </c>
      <c r="D312" s="8" t="inlineStr">
        <is>
          <t>CUST-01881</t>
        </is>
      </c>
      <c r="E312" s="8" t="inlineStr">
        <is>
          <t>PRD-0431</t>
        </is>
      </c>
      <c r="F312" s="8" t="n">
        <v>3</v>
      </c>
      <c r="G312" s="9">
        <f>IFERROR(XLOOKUP(E312, '04_Products'!$A:$A, '04_Products'!$G:$G), 205.39)</f>
        <v/>
      </c>
      <c r="H312" s="9">
        <f>IFERROR(XLOOKUP(E312, '04_Products'!$A:$A, '04_Products'!$F:$F), 0)</f>
        <v/>
      </c>
      <c r="I312" s="9">
        <f>F312*G312</f>
        <v/>
      </c>
      <c r="J312" s="11" t="n">
        <v>0.1</v>
      </c>
      <c r="K312" s="9">
        <f>I312*J312</f>
        <v/>
      </c>
      <c r="L312" s="9">
        <f>I312-K312</f>
        <v/>
      </c>
      <c r="M312" s="9">
        <f>F312*H312</f>
        <v/>
      </c>
      <c r="N312" s="9">
        <f>L312-M312</f>
        <v/>
      </c>
      <c r="O312" s="11">
        <f>IFERROR(N312/L312, 0)</f>
        <v/>
      </c>
      <c r="P312" s="8">
        <f>YEAR(C312)</f>
        <v/>
      </c>
      <c r="Q312" s="8">
        <f>TEXT(C312, "yyyy-mm")</f>
        <v/>
      </c>
      <c r="R312" s="8" t="inlineStr">
        <is>
          <t>Mobile App</t>
        </is>
      </c>
      <c r="S312" s="8" t="inlineStr">
        <is>
          <t>REG-EU</t>
        </is>
      </c>
    </row>
    <row r="313">
      <c r="A313" s="8" t="inlineStr">
        <is>
          <t>DTL-0000312</t>
        </is>
      </c>
      <c r="B313" s="8" t="inlineStr">
        <is>
          <t>ORD-000149</t>
        </is>
      </c>
      <c r="C313" s="10" t="inlineStr">
        <is>
          <t>2025-03-27</t>
        </is>
      </c>
      <c r="D313" s="8" t="inlineStr">
        <is>
          <t>CUST-01881</t>
        </is>
      </c>
      <c r="E313" s="8" t="inlineStr">
        <is>
          <t>PRD-0452</t>
        </is>
      </c>
      <c r="F313" s="8" t="n">
        <v>1</v>
      </c>
      <c r="G313" s="9">
        <f>IFERROR(XLOOKUP(E313, '04_Products'!$A:$A, '04_Products'!$G:$G), 52.31)</f>
        <v/>
      </c>
      <c r="H313" s="9">
        <f>IFERROR(XLOOKUP(E313, '04_Products'!$A:$A, '04_Products'!$F:$F), 0)</f>
        <v/>
      </c>
      <c r="I313" s="9">
        <f>F313*G313</f>
        <v/>
      </c>
      <c r="J313" s="11" t="n">
        <v>0.05</v>
      </c>
      <c r="K313" s="9">
        <f>I313*J313</f>
        <v/>
      </c>
      <c r="L313" s="9">
        <f>I313-K313</f>
        <v/>
      </c>
      <c r="M313" s="9">
        <f>F313*H313</f>
        <v/>
      </c>
      <c r="N313" s="9">
        <f>L313-M313</f>
        <v/>
      </c>
      <c r="O313" s="11">
        <f>IFERROR(N313/L313, 0)</f>
        <v/>
      </c>
      <c r="P313" s="8">
        <f>YEAR(C313)</f>
        <v/>
      </c>
      <c r="Q313" s="8">
        <f>TEXT(C313, "yyyy-mm")</f>
        <v/>
      </c>
      <c r="R313" s="8" t="inlineStr">
        <is>
          <t>Mobile App</t>
        </is>
      </c>
      <c r="S313" s="8" t="inlineStr">
        <is>
          <t>REG-EU</t>
        </is>
      </c>
    </row>
    <row r="314">
      <c r="A314" s="8" t="inlineStr">
        <is>
          <t>DTL-0000313</t>
        </is>
      </c>
      <c r="B314" s="8" t="inlineStr">
        <is>
          <t>ORD-000150</t>
        </is>
      </c>
      <c r="C314" s="10" t="inlineStr">
        <is>
          <t>2023-05-21</t>
        </is>
      </c>
      <c r="D314" s="8" t="inlineStr">
        <is>
          <t>CUST-07918</t>
        </is>
      </c>
      <c r="E314" s="8" t="inlineStr">
        <is>
          <t>PRD-0386</t>
        </is>
      </c>
      <c r="F314" s="8" t="n">
        <v>5</v>
      </c>
      <c r="G314" s="9">
        <f>IFERROR(XLOOKUP(E314, '04_Products'!$A:$A, '04_Products'!$G:$G), 339.98)</f>
        <v/>
      </c>
      <c r="H314" s="9">
        <f>IFERROR(XLOOKUP(E314, '04_Products'!$A:$A, '04_Products'!$F:$F), 0)</f>
        <v/>
      </c>
      <c r="I314" s="9">
        <f>F314*G314</f>
        <v/>
      </c>
      <c r="J314" s="11" t="n">
        <v>0.05</v>
      </c>
      <c r="K314" s="9">
        <f>I314*J314</f>
        <v/>
      </c>
      <c r="L314" s="9">
        <f>I314-K314</f>
        <v/>
      </c>
      <c r="M314" s="9">
        <f>F314*H314</f>
        <v/>
      </c>
      <c r="N314" s="9">
        <f>L314-M314</f>
        <v/>
      </c>
      <c r="O314" s="11">
        <f>IFERROR(N314/L314, 0)</f>
        <v/>
      </c>
      <c r="P314" s="8">
        <f>YEAR(C314)</f>
        <v/>
      </c>
      <c r="Q314" s="8">
        <f>TEXT(C314, "yyyy-mm")</f>
        <v/>
      </c>
      <c r="R314" s="8" t="inlineStr">
        <is>
          <t>B2B Portal</t>
        </is>
      </c>
      <c r="S314" s="8" t="inlineStr">
        <is>
          <t>REG-EU</t>
        </is>
      </c>
    </row>
    <row r="315">
      <c r="A315" s="8" t="inlineStr">
        <is>
          <t>DTL-0000314</t>
        </is>
      </c>
      <c r="B315" s="8" t="inlineStr">
        <is>
          <t>ORD-000150</t>
        </is>
      </c>
      <c r="C315" s="10" t="inlineStr">
        <is>
          <t>2023-05-21</t>
        </is>
      </c>
      <c r="D315" s="8" t="inlineStr">
        <is>
          <t>CUST-07918</t>
        </is>
      </c>
      <c r="E315" s="8" t="inlineStr">
        <is>
          <t>PRD-0246</t>
        </is>
      </c>
      <c r="F315" s="8" t="n">
        <v>1</v>
      </c>
      <c r="G315" s="9">
        <f>IFERROR(XLOOKUP(E315, '04_Products'!$A:$A, '04_Products'!$G:$G), 1238.92)</f>
        <v/>
      </c>
      <c r="H315" s="9">
        <f>IFERROR(XLOOKUP(E315, '04_Products'!$A:$A, '04_Products'!$F:$F), 0)</f>
        <v/>
      </c>
      <c r="I315" s="9">
        <f>F315*G315</f>
        <v/>
      </c>
      <c r="J315" s="11" t="n">
        <v>0.25</v>
      </c>
      <c r="K315" s="9">
        <f>I315*J315</f>
        <v/>
      </c>
      <c r="L315" s="9">
        <f>I315-K315</f>
        <v/>
      </c>
      <c r="M315" s="9">
        <f>F315*H315</f>
        <v/>
      </c>
      <c r="N315" s="9">
        <f>L315-M315</f>
        <v/>
      </c>
      <c r="O315" s="11">
        <f>IFERROR(N315/L315, 0)</f>
        <v/>
      </c>
      <c r="P315" s="8">
        <f>YEAR(C315)</f>
        <v/>
      </c>
      <c r="Q315" s="8">
        <f>TEXT(C315, "yyyy-mm")</f>
        <v/>
      </c>
      <c r="R315" s="8" t="inlineStr">
        <is>
          <t>B2B Portal</t>
        </is>
      </c>
      <c r="S315" s="8" t="inlineStr">
        <is>
          <t>REG-EU</t>
        </is>
      </c>
    </row>
    <row r="316">
      <c r="A316" s="8" t="inlineStr">
        <is>
          <t>DTL-0000315</t>
        </is>
      </c>
      <c r="B316" s="8" t="inlineStr">
        <is>
          <t>ORD-000151</t>
        </is>
      </c>
      <c r="C316" s="10" t="inlineStr">
        <is>
          <t>2024-07-28</t>
        </is>
      </c>
      <c r="D316" s="8" t="inlineStr">
        <is>
          <t>CUST-07950</t>
        </is>
      </c>
      <c r="E316" s="8" t="inlineStr">
        <is>
          <t>PRD-0028</t>
        </is>
      </c>
      <c r="F316" s="8" t="n">
        <v>1</v>
      </c>
      <c r="G316" s="9">
        <f>IFERROR(XLOOKUP(E316, '04_Products'!$A:$A, '04_Products'!$G:$G), 832.11)</f>
        <v/>
      </c>
      <c r="H316" s="9">
        <f>IFERROR(XLOOKUP(E316, '04_Products'!$A:$A, '04_Products'!$F:$F), 0)</f>
        <v/>
      </c>
      <c r="I316" s="9">
        <f>F316*G316</f>
        <v/>
      </c>
      <c r="J316" s="11" t="n">
        <v>0.1</v>
      </c>
      <c r="K316" s="9">
        <f>I316*J316</f>
        <v/>
      </c>
      <c r="L316" s="9">
        <f>I316-K316</f>
        <v/>
      </c>
      <c r="M316" s="9">
        <f>F316*H316</f>
        <v/>
      </c>
      <c r="N316" s="9">
        <f>L316-M316</f>
        <v/>
      </c>
      <c r="O316" s="11">
        <f>IFERROR(N316/L316, 0)</f>
        <v/>
      </c>
      <c r="P316" s="8">
        <f>YEAR(C316)</f>
        <v/>
      </c>
      <c r="Q316" s="8">
        <f>TEXT(C316, "yyyy-mm")</f>
        <v/>
      </c>
      <c r="R316" s="8" t="inlineStr">
        <is>
          <t>Direct Web</t>
        </is>
      </c>
      <c r="S316" s="8" t="inlineStr">
        <is>
          <t>REG-NA</t>
        </is>
      </c>
    </row>
    <row r="317">
      <c r="A317" s="8" t="inlineStr">
        <is>
          <t>DTL-0000316</t>
        </is>
      </c>
      <c r="B317" s="8" t="inlineStr">
        <is>
          <t>ORD-000152</t>
        </is>
      </c>
      <c r="C317" s="10" t="inlineStr">
        <is>
          <t>2023-12-16</t>
        </is>
      </c>
      <c r="D317" s="8" t="inlineStr">
        <is>
          <t>CUST-04082</t>
        </is>
      </c>
      <c r="E317" s="8" t="inlineStr">
        <is>
          <t>PRD-0126</t>
        </is>
      </c>
      <c r="F317" s="8" t="n">
        <v>1</v>
      </c>
      <c r="G317" s="9">
        <f>IFERROR(XLOOKUP(E317, '04_Products'!$A:$A, '04_Products'!$G:$G), 195.24)</f>
        <v/>
      </c>
      <c r="H317" s="9">
        <f>IFERROR(XLOOKUP(E317, '04_Products'!$A:$A, '04_Products'!$F:$F), 0)</f>
        <v/>
      </c>
      <c r="I317" s="9">
        <f>F317*G317</f>
        <v/>
      </c>
      <c r="J317" s="11" t="n">
        <v>0</v>
      </c>
      <c r="K317" s="9">
        <f>I317*J317</f>
        <v/>
      </c>
      <c r="L317" s="9">
        <f>I317-K317</f>
        <v/>
      </c>
      <c r="M317" s="9">
        <f>F317*H317</f>
        <v/>
      </c>
      <c r="N317" s="9">
        <f>L317-M317</f>
        <v/>
      </c>
      <c r="O317" s="11">
        <f>IFERROR(N317/L317, 0)</f>
        <v/>
      </c>
      <c r="P317" s="8">
        <f>YEAR(C317)</f>
        <v/>
      </c>
      <c r="Q317" s="8">
        <f>TEXT(C317, "yyyy-mm")</f>
        <v/>
      </c>
      <c r="R317" s="8" t="inlineStr">
        <is>
          <t>Direct Web</t>
        </is>
      </c>
      <c r="S317" s="8" t="inlineStr">
        <is>
          <t>REG-EU</t>
        </is>
      </c>
    </row>
    <row r="318">
      <c r="A318" s="8" t="inlineStr">
        <is>
          <t>DTL-0000317</t>
        </is>
      </c>
      <c r="B318" s="8" t="inlineStr">
        <is>
          <t>ORD-000152</t>
        </is>
      </c>
      <c r="C318" s="10" t="inlineStr">
        <is>
          <t>2023-12-16</t>
        </is>
      </c>
      <c r="D318" s="8" t="inlineStr">
        <is>
          <t>CUST-04082</t>
        </is>
      </c>
      <c r="E318" s="8" t="inlineStr">
        <is>
          <t>PRD-0469</t>
        </is>
      </c>
      <c r="F318" s="8" t="n">
        <v>2</v>
      </c>
      <c r="G318" s="9">
        <f>IFERROR(XLOOKUP(E318, '04_Products'!$A:$A, '04_Products'!$G:$G), 892.14)</f>
        <v/>
      </c>
      <c r="H318" s="9">
        <f>IFERROR(XLOOKUP(E318, '04_Products'!$A:$A, '04_Products'!$F:$F), 0)</f>
        <v/>
      </c>
      <c r="I318" s="9">
        <f>F318*G318</f>
        <v/>
      </c>
      <c r="J318" s="11" t="n">
        <v>0</v>
      </c>
      <c r="K318" s="9">
        <f>I318*J318</f>
        <v/>
      </c>
      <c r="L318" s="9">
        <f>I318-K318</f>
        <v/>
      </c>
      <c r="M318" s="9">
        <f>F318*H318</f>
        <v/>
      </c>
      <c r="N318" s="9">
        <f>L318-M318</f>
        <v/>
      </c>
      <c r="O318" s="11">
        <f>IFERROR(N318/L318, 0)</f>
        <v/>
      </c>
      <c r="P318" s="8">
        <f>YEAR(C318)</f>
        <v/>
      </c>
      <c r="Q318" s="8">
        <f>TEXT(C318, "yyyy-mm")</f>
        <v/>
      </c>
      <c r="R318" s="8" t="inlineStr">
        <is>
          <t>Direct Web</t>
        </is>
      </c>
      <c r="S318" s="8" t="inlineStr">
        <is>
          <t>REG-EU</t>
        </is>
      </c>
    </row>
    <row r="319">
      <c r="A319" s="8" t="inlineStr">
        <is>
          <t>DTL-0000318</t>
        </is>
      </c>
      <c r="B319" s="8" t="inlineStr">
        <is>
          <t>ORD-000152</t>
        </is>
      </c>
      <c r="C319" s="10" t="inlineStr">
        <is>
          <t>2023-12-16</t>
        </is>
      </c>
      <c r="D319" s="8" t="inlineStr">
        <is>
          <t>CUST-04082</t>
        </is>
      </c>
      <c r="E319" s="8" t="inlineStr">
        <is>
          <t>PRD-0238</t>
        </is>
      </c>
      <c r="F319" s="8" t="n">
        <v>3</v>
      </c>
      <c r="G319" s="9">
        <f>IFERROR(XLOOKUP(E319, '04_Products'!$A:$A, '04_Products'!$G:$G), 88.50)</f>
        <v/>
      </c>
      <c r="H319" s="9">
        <f>IFERROR(XLOOKUP(E319, '04_Products'!$A:$A, '04_Products'!$F:$F), 0)</f>
        <v/>
      </c>
      <c r="I319" s="9">
        <f>F319*G319</f>
        <v/>
      </c>
      <c r="J319" s="11" t="n">
        <v>0</v>
      </c>
      <c r="K319" s="9">
        <f>I319*J319</f>
        <v/>
      </c>
      <c r="L319" s="9">
        <f>I319-K319</f>
        <v/>
      </c>
      <c r="M319" s="9">
        <f>F319*H319</f>
        <v/>
      </c>
      <c r="N319" s="9">
        <f>L319-M319</f>
        <v/>
      </c>
      <c r="O319" s="11">
        <f>IFERROR(N319/L319, 0)</f>
        <v/>
      </c>
      <c r="P319" s="8">
        <f>YEAR(C319)</f>
        <v/>
      </c>
      <c r="Q319" s="8">
        <f>TEXT(C319, "yyyy-mm")</f>
        <v/>
      </c>
      <c r="R319" s="8" t="inlineStr">
        <is>
          <t>Direct Web</t>
        </is>
      </c>
      <c r="S319" s="8" t="inlineStr">
        <is>
          <t>REG-EU</t>
        </is>
      </c>
    </row>
    <row r="320">
      <c r="A320" s="8" t="inlineStr">
        <is>
          <t>DTL-0000319</t>
        </is>
      </c>
      <c r="B320" s="8" t="inlineStr">
        <is>
          <t>ORD-000152</t>
        </is>
      </c>
      <c r="C320" s="10" t="inlineStr">
        <is>
          <t>2023-12-16</t>
        </is>
      </c>
      <c r="D320" s="8" t="inlineStr">
        <is>
          <t>CUST-04082</t>
        </is>
      </c>
      <c r="E320" s="8" t="inlineStr">
        <is>
          <t>PRD-0201</t>
        </is>
      </c>
      <c r="F320" s="8" t="n">
        <v>1</v>
      </c>
      <c r="G320" s="9">
        <f>IFERROR(XLOOKUP(E320, '04_Products'!$A:$A, '04_Products'!$G:$G), 522.37)</f>
        <v/>
      </c>
      <c r="H320" s="9">
        <f>IFERROR(XLOOKUP(E320, '04_Products'!$A:$A, '04_Products'!$F:$F), 0)</f>
        <v/>
      </c>
      <c r="I320" s="9">
        <f>F320*G320</f>
        <v/>
      </c>
      <c r="J320" s="11" t="n">
        <v>0</v>
      </c>
      <c r="K320" s="9">
        <f>I320*J320</f>
        <v/>
      </c>
      <c r="L320" s="9">
        <f>I320-K320</f>
        <v/>
      </c>
      <c r="M320" s="9">
        <f>F320*H320</f>
        <v/>
      </c>
      <c r="N320" s="9">
        <f>L320-M320</f>
        <v/>
      </c>
      <c r="O320" s="11">
        <f>IFERROR(N320/L320, 0)</f>
        <v/>
      </c>
      <c r="P320" s="8">
        <f>YEAR(C320)</f>
        <v/>
      </c>
      <c r="Q320" s="8">
        <f>TEXT(C320, "yyyy-mm")</f>
        <v/>
      </c>
      <c r="R320" s="8" t="inlineStr">
        <is>
          <t>Direct Web</t>
        </is>
      </c>
      <c r="S320" s="8" t="inlineStr">
        <is>
          <t>REG-EU</t>
        </is>
      </c>
    </row>
    <row r="321">
      <c r="A321" s="8" t="inlineStr">
        <is>
          <t>DTL-0000320</t>
        </is>
      </c>
      <c r="B321" s="8" t="inlineStr">
        <is>
          <t>ORD-000153</t>
        </is>
      </c>
      <c r="C321" s="10" t="inlineStr">
        <is>
          <t>2025-08-19</t>
        </is>
      </c>
      <c r="D321" s="8" t="inlineStr">
        <is>
          <t>CUST-04109</t>
        </is>
      </c>
      <c r="E321" s="8" t="inlineStr">
        <is>
          <t>PRD-0013</t>
        </is>
      </c>
      <c r="F321" s="8" t="n">
        <v>1</v>
      </c>
      <c r="G321" s="9">
        <f>IFERROR(XLOOKUP(E321, '04_Products'!$A:$A, '04_Products'!$G:$G), 990.85)</f>
        <v/>
      </c>
      <c r="H321" s="9">
        <f>IFERROR(XLOOKUP(E321, '04_Products'!$A:$A, '04_Products'!$F:$F), 0)</f>
        <v/>
      </c>
      <c r="I321" s="9">
        <f>F321*G321</f>
        <v/>
      </c>
      <c r="J321" s="11" t="n">
        <v>0</v>
      </c>
      <c r="K321" s="9">
        <f>I321*J321</f>
        <v/>
      </c>
      <c r="L321" s="9">
        <f>I321-K321</f>
        <v/>
      </c>
      <c r="M321" s="9">
        <f>F321*H321</f>
        <v/>
      </c>
      <c r="N321" s="9">
        <f>L321-M321</f>
        <v/>
      </c>
      <c r="O321" s="11">
        <f>IFERROR(N321/L321, 0)</f>
        <v/>
      </c>
      <c r="P321" s="8">
        <f>YEAR(C321)</f>
        <v/>
      </c>
      <c r="Q321" s="8">
        <f>TEXT(C321, "yyyy-mm")</f>
        <v/>
      </c>
      <c r="R321" s="8" t="inlineStr">
        <is>
          <t>Direct Web</t>
        </is>
      </c>
      <c r="S321" s="8" t="inlineStr">
        <is>
          <t>REG-EU</t>
        </is>
      </c>
    </row>
    <row r="322">
      <c r="A322" s="8" t="inlineStr">
        <is>
          <t>DTL-0000321</t>
        </is>
      </c>
      <c r="B322" s="8" t="inlineStr">
        <is>
          <t>ORD-000154</t>
        </is>
      </c>
      <c r="C322" s="10" t="inlineStr">
        <is>
          <t>2025-01-31</t>
        </is>
      </c>
      <c r="D322" s="8" t="inlineStr">
        <is>
          <t>CUST-07231</t>
        </is>
      </c>
      <c r="E322" s="8" t="inlineStr">
        <is>
          <t>PRD-0358</t>
        </is>
      </c>
      <c r="F322" s="8" t="n">
        <v>1</v>
      </c>
      <c r="G322" s="9">
        <f>IFERROR(XLOOKUP(E322, '04_Products'!$A:$A, '04_Products'!$G:$G), 795.41)</f>
        <v/>
      </c>
      <c r="H322" s="9">
        <f>IFERROR(XLOOKUP(E322, '04_Products'!$A:$A, '04_Products'!$F:$F), 0)</f>
        <v/>
      </c>
      <c r="I322" s="9">
        <f>F322*G322</f>
        <v/>
      </c>
      <c r="J322" s="11" t="n">
        <v>0</v>
      </c>
      <c r="K322" s="9">
        <f>I322*J322</f>
        <v/>
      </c>
      <c r="L322" s="9">
        <f>I322-K322</f>
        <v/>
      </c>
      <c r="M322" s="9">
        <f>F322*H322</f>
        <v/>
      </c>
      <c r="N322" s="9">
        <f>L322-M322</f>
        <v/>
      </c>
      <c r="O322" s="11">
        <f>IFERROR(N322/L322, 0)</f>
        <v/>
      </c>
      <c r="P322" s="8">
        <f>YEAR(C322)</f>
        <v/>
      </c>
      <c r="Q322" s="8">
        <f>TEXT(C322, "yyyy-mm")</f>
        <v/>
      </c>
      <c r="R322" s="8" t="inlineStr">
        <is>
          <t>Direct Web</t>
        </is>
      </c>
      <c r="S322" s="8" t="inlineStr">
        <is>
          <t>REG-EU</t>
        </is>
      </c>
    </row>
    <row r="323">
      <c r="A323" s="8" t="inlineStr">
        <is>
          <t>DTL-0000322</t>
        </is>
      </c>
      <c r="B323" s="8" t="inlineStr">
        <is>
          <t>ORD-000154</t>
        </is>
      </c>
      <c r="C323" s="10" t="inlineStr">
        <is>
          <t>2025-01-31</t>
        </is>
      </c>
      <c r="D323" s="8" t="inlineStr">
        <is>
          <t>CUST-07231</t>
        </is>
      </c>
      <c r="E323" s="8" t="inlineStr">
        <is>
          <t>PRD-0243</t>
        </is>
      </c>
      <c r="F323" s="8" t="n">
        <v>2</v>
      </c>
      <c r="G323" s="9">
        <f>IFERROR(XLOOKUP(E323, '04_Products'!$A:$A, '04_Products'!$G:$G), 510.81)</f>
        <v/>
      </c>
      <c r="H323" s="9">
        <f>IFERROR(XLOOKUP(E323, '04_Products'!$A:$A, '04_Products'!$F:$F), 0)</f>
        <v/>
      </c>
      <c r="I323" s="9">
        <f>F323*G323</f>
        <v/>
      </c>
      <c r="J323" s="11" t="n">
        <v>0.15</v>
      </c>
      <c r="K323" s="9">
        <f>I323*J323</f>
        <v/>
      </c>
      <c r="L323" s="9">
        <f>I323-K323</f>
        <v/>
      </c>
      <c r="M323" s="9">
        <f>F323*H323</f>
        <v/>
      </c>
      <c r="N323" s="9">
        <f>L323-M323</f>
        <v/>
      </c>
      <c r="O323" s="11">
        <f>IFERROR(N323/L323, 0)</f>
        <v/>
      </c>
      <c r="P323" s="8">
        <f>YEAR(C323)</f>
        <v/>
      </c>
      <c r="Q323" s="8">
        <f>TEXT(C323, "yyyy-mm")</f>
        <v/>
      </c>
      <c r="R323" s="8" t="inlineStr">
        <is>
          <t>Direct Web</t>
        </is>
      </c>
      <c r="S323" s="8" t="inlineStr">
        <is>
          <t>REG-EU</t>
        </is>
      </c>
    </row>
    <row r="324">
      <c r="A324" s="8" t="inlineStr">
        <is>
          <t>DTL-0000323</t>
        </is>
      </c>
      <c r="B324" s="8" t="inlineStr">
        <is>
          <t>ORD-000154</t>
        </is>
      </c>
      <c r="C324" s="10" t="inlineStr">
        <is>
          <t>2025-01-31</t>
        </is>
      </c>
      <c r="D324" s="8" t="inlineStr">
        <is>
          <t>CUST-07231</t>
        </is>
      </c>
      <c r="E324" s="8" t="inlineStr">
        <is>
          <t>PRD-0088</t>
        </is>
      </c>
      <c r="F324" s="8" t="n">
        <v>2</v>
      </c>
      <c r="G324" s="9">
        <f>IFERROR(XLOOKUP(E324, '04_Products'!$A:$A, '04_Products'!$G:$G), 952.03)</f>
        <v/>
      </c>
      <c r="H324" s="9">
        <f>IFERROR(XLOOKUP(E324, '04_Products'!$A:$A, '04_Products'!$F:$F), 0)</f>
        <v/>
      </c>
      <c r="I324" s="9">
        <f>F324*G324</f>
        <v/>
      </c>
      <c r="J324" s="11" t="n">
        <v>0.15</v>
      </c>
      <c r="K324" s="9">
        <f>I324*J324</f>
        <v/>
      </c>
      <c r="L324" s="9">
        <f>I324-K324</f>
        <v/>
      </c>
      <c r="M324" s="9">
        <f>F324*H324</f>
        <v/>
      </c>
      <c r="N324" s="9">
        <f>L324-M324</f>
        <v/>
      </c>
      <c r="O324" s="11">
        <f>IFERROR(N324/L324, 0)</f>
        <v/>
      </c>
      <c r="P324" s="8">
        <f>YEAR(C324)</f>
        <v/>
      </c>
      <c r="Q324" s="8">
        <f>TEXT(C324, "yyyy-mm")</f>
        <v/>
      </c>
      <c r="R324" s="8" t="inlineStr">
        <is>
          <t>Direct Web</t>
        </is>
      </c>
      <c r="S324" s="8" t="inlineStr">
        <is>
          <t>REG-EU</t>
        </is>
      </c>
    </row>
    <row r="325">
      <c r="A325" s="8" t="inlineStr">
        <is>
          <t>DTL-0000324</t>
        </is>
      </c>
      <c r="B325" s="8" t="inlineStr">
        <is>
          <t>ORD-000155</t>
        </is>
      </c>
      <c r="C325" s="10" t="inlineStr">
        <is>
          <t>2024-11-18</t>
        </is>
      </c>
      <c r="D325" s="8" t="inlineStr">
        <is>
          <t>CUST-03511</t>
        </is>
      </c>
      <c r="E325" s="8" t="inlineStr">
        <is>
          <t>PRD-0223</t>
        </is>
      </c>
      <c r="F325" s="8" t="n">
        <v>1</v>
      </c>
      <c r="G325" s="9">
        <f>IFERROR(XLOOKUP(E325, '04_Products'!$A:$A, '04_Products'!$G:$G), 31.04)</f>
        <v/>
      </c>
      <c r="H325" s="9">
        <f>IFERROR(XLOOKUP(E325, '04_Products'!$A:$A, '04_Products'!$F:$F), 0)</f>
        <v/>
      </c>
      <c r="I325" s="9">
        <f>F325*G325</f>
        <v/>
      </c>
      <c r="J325" s="11" t="n">
        <v>0.05</v>
      </c>
      <c r="K325" s="9">
        <f>I325*J325</f>
        <v/>
      </c>
      <c r="L325" s="9">
        <f>I325-K325</f>
        <v/>
      </c>
      <c r="M325" s="9">
        <f>F325*H325</f>
        <v/>
      </c>
      <c r="N325" s="9">
        <f>L325-M325</f>
        <v/>
      </c>
      <c r="O325" s="11">
        <f>IFERROR(N325/L325, 0)</f>
        <v/>
      </c>
      <c r="P325" s="8">
        <f>YEAR(C325)</f>
        <v/>
      </c>
      <c r="Q325" s="8">
        <f>TEXT(C325, "yyyy-mm")</f>
        <v/>
      </c>
      <c r="R325" s="8" t="inlineStr">
        <is>
          <t>Mobile App</t>
        </is>
      </c>
      <c r="S325" s="8" t="inlineStr">
        <is>
          <t>REG-APAC</t>
        </is>
      </c>
    </row>
    <row r="326">
      <c r="A326" s="8" t="inlineStr">
        <is>
          <t>DTL-0000325</t>
        </is>
      </c>
      <c r="B326" s="8" t="inlineStr">
        <is>
          <t>ORD-000155</t>
        </is>
      </c>
      <c r="C326" s="10" t="inlineStr">
        <is>
          <t>2024-11-18</t>
        </is>
      </c>
      <c r="D326" s="8" t="inlineStr">
        <is>
          <t>CUST-03511</t>
        </is>
      </c>
      <c r="E326" s="8" t="inlineStr">
        <is>
          <t>PRD-0451</t>
        </is>
      </c>
      <c r="F326" s="8" t="n">
        <v>1</v>
      </c>
      <c r="G326" s="9">
        <f>IFERROR(XLOOKUP(E326, '04_Products'!$A:$A, '04_Products'!$G:$G), 664.94)</f>
        <v/>
      </c>
      <c r="H326" s="9">
        <f>IFERROR(XLOOKUP(E326, '04_Products'!$A:$A, '04_Products'!$F:$F), 0)</f>
        <v/>
      </c>
      <c r="I326" s="9">
        <f>F326*G326</f>
        <v/>
      </c>
      <c r="J326" s="11" t="n">
        <v>0.05</v>
      </c>
      <c r="K326" s="9">
        <f>I326*J326</f>
        <v/>
      </c>
      <c r="L326" s="9">
        <f>I326-K326</f>
        <v/>
      </c>
      <c r="M326" s="9">
        <f>F326*H326</f>
        <v/>
      </c>
      <c r="N326" s="9">
        <f>L326-M326</f>
        <v/>
      </c>
      <c r="O326" s="11">
        <f>IFERROR(N326/L326, 0)</f>
        <v/>
      </c>
      <c r="P326" s="8">
        <f>YEAR(C326)</f>
        <v/>
      </c>
      <c r="Q326" s="8">
        <f>TEXT(C326, "yyyy-mm")</f>
        <v/>
      </c>
      <c r="R326" s="8" t="inlineStr">
        <is>
          <t>Mobile App</t>
        </is>
      </c>
      <c r="S326" s="8" t="inlineStr">
        <is>
          <t>REG-APAC</t>
        </is>
      </c>
    </row>
    <row r="327">
      <c r="A327" s="8" t="inlineStr">
        <is>
          <t>DTL-0000326</t>
        </is>
      </c>
      <c r="B327" s="8" t="inlineStr">
        <is>
          <t>ORD-000155</t>
        </is>
      </c>
      <c r="C327" s="10" t="inlineStr">
        <is>
          <t>2024-11-18</t>
        </is>
      </c>
      <c r="D327" s="8" t="inlineStr">
        <is>
          <t>CUST-03511</t>
        </is>
      </c>
      <c r="E327" s="8" t="inlineStr">
        <is>
          <t>PRD-0255</t>
        </is>
      </c>
      <c r="F327" s="8" t="n">
        <v>1</v>
      </c>
      <c r="G327" s="9">
        <f>IFERROR(XLOOKUP(E327, '04_Products'!$A:$A, '04_Products'!$G:$G), 151.28)</f>
        <v/>
      </c>
      <c r="H327" s="9">
        <f>IFERROR(XLOOKUP(E327, '04_Products'!$A:$A, '04_Products'!$F:$F), 0)</f>
        <v/>
      </c>
      <c r="I327" s="9">
        <f>F327*G327</f>
        <v/>
      </c>
      <c r="J327" s="11" t="n">
        <v>0.05</v>
      </c>
      <c r="K327" s="9">
        <f>I327*J327</f>
        <v/>
      </c>
      <c r="L327" s="9">
        <f>I327-K327</f>
        <v/>
      </c>
      <c r="M327" s="9">
        <f>F327*H327</f>
        <v/>
      </c>
      <c r="N327" s="9">
        <f>L327-M327</f>
        <v/>
      </c>
      <c r="O327" s="11">
        <f>IFERROR(N327/L327, 0)</f>
        <v/>
      </c>
      <c r="P327" s="8">
        <f>YEAR(C327)</f>
        <v/>
      </c>
      <c r="Q327" s="8">
        <f>TEXT(C327, "yyyy-mm")</f>
        <v/>
      </c>
      <c r="R327" s="8" t="inlineStr">
        <is>
          <t>Mobile App</t>
        </is>
      </c>
      <c r="S327" s="8" t="inlineStr">
        <is>
          <t>REG-APAC</t>
        </is>
      </c>
    </row>
    <row r="328">
      <c r="A328" s="8" t="inlineStr">
        <is>
          <t>DTL-0000327</t>
        </is>
      </c>
      <c r="B328" s="8" t="inlineStr">
        <is>
          <t>ORD-000156</t>
        </is>
      </c>
      <c r="C328" s="10" t="inlineStr">
        <is>
          <t>2024-04-14</t>
        </is>
      </c>
      <c r="D328" s="8" t="inlineStr">
        <is>
          <t>CUST-05395</t>
        </is>
      </c>
      <c r="E328" s="8" t="inlineStr">
        <is>
          <t>PRD-0364</t>
        </is>
      </c>
      <c r="F328" s="8" t="n">
        <v>2</v>
      </c>
      <c r="G328" s="9">
        <f>IFERROR(XLOOKUP(E328, '04_Products'!$A:$A, '04_Products'!$G:$G), 1083.88)</f>
        <v/>
      </c>
      <c r="H328" s="9">
        <f>IFERROR(XLOOKUP(E328, '04_Products'!$A:$A, '04_Products'!$F:$F), 0)</f>
        <v/>
      </c>
      <c r="I328" s="9">
        <f>F328*G328</f>
        <v/>
      </c>
      <c r="J328" s="11" t="n">
        <v>0.2</v>
      </c>
      <c r="K328" s="9">
        <f>I328*J328</f>
        <v/>
      </c>
      <c r="L328" s="9">
        <f>I328-K328</f>
        <v/>
      </c>
      <c r="M328" s="9">
        <f>F328*H328</f>
        <v/>
      </c>
      <c r="N328" s="9">
        <f>L328-M328</f>
        <v/>
      </c>
      <c r="O328" s="11">
        <f>IFERROR(N328/L328, 0)</f>
        <v/>
      </c>
      <c r="P328" s="8">
        <f>YEAR(C328)</f>
        <v/>
      </c>
      <c r="Q328" s="8">
        <f>TEXT(C328, "yyyy-mm")</f>
        <v/>
      </c>
      <c r="R328" s="8" t="inlineStr">
        <is>
          <t>Mobile App</t>
        </is>
      </c>
      <c r="S328" s="8" t="inlineStr">
        <is>
          <t>REG-APAC</t>
        </is>
      </c>
    </row>
    <row r="329">
      <c r="A329" s="8" t="inlineStr">
        <is>
          <t>DTL-0000328</t>
        </is>
      </c>
      <c r="B329" s="8" t="inlineStr">
        <is>
          <t>ORD-000156</t>
        </is>
      </c>
      <c r="C329" s="10" t="inlineStr">
        <is>
          <t>2024-04-14</t>
        </is>
      </c>
      <c r="D329" s="8" t="inlineStr">
        <is>
          <t>CUST-05395</t>
        </is>
      </c>
      <c r="E329" s="8" t="inlineStr">
        <is>
          <t>PRD-0164</t>
        </is>
      </c>
      <c r="F329" s="8" t="n">
        <v>2</v>
      </c>
      <c r="G329" s="9">
        <f>IFERROR(XLOOKUP(E329, '04_Products'!$A:$A, '04_Products'!$G:$G), 729.88)</f>
        <v/>
      </c>
      <c r="H329" s="9">
        <f>IFERROR(XLOOKUP(E329, '04_Products'!$A:$A, '04_Products'!$F:$F), 0)</f>
        <v/>
      </c>
      <c r="I329" s="9">
        <f>F329*G329</f>
        <v/>
      </c>
      <c r="J329" s="11" t="n">
        <v>0.15</v>
      </c>
      <c r="K329" s="9">
        <f>I329*J329</f>
        <v/>
      </c>
      <c r="L329" s="9">
        <f>I329-K329</f>
        <v/>
      </c>
      <c r="M329" s="9">
        <f>F329*H329</f>
        <v/>
      </c>
      <c r="N329" s="9">
        <f>L329-M329</f>
        <v/>
      </c>
      <c r="O329" s="11">
        <f>IFERROR(N329/L329, 0)</f>
        <v/>
      </c>
      <c r="P329" s="8">
        <f>YEAR(C329)</f>
        <v/>
      </c>
      <c r="Q329" s="8">
        <f>TEXT(C329, "yyyy-mm")</f>
        <v/>
      </c>
      <c r="R329" s="8" t="inlineStr">
        <is>
          <t>Mobile App</t>
        </is>
      </c>
      <c r="S329" s="8" t="inlineStr">
        <is>
          <t>REG-APAC</t>
        </is>
      </c>
    </row>
    <row r="330">
      <c r="A330" s="8" t="inlineStr">
        <is>
          <t>DTL-0000329</t>
        </is>
      </c>
      <c r="B330" s="8" t="inlineStr">
        <is>
          <t>ORD-000156</t>
        </is>
      </c>
      <c r="C330" s="10" t="inlineStr">
        <is>
          <t>2024-04-14</t>
        </is>
      </c>
      <c r="D330" s="8" t="inlineStr">
        <is>
          <t>CUST-05395</t>
        </is>
      </c>
      <c r="E330" s="8" t="inlineStr">
        <is>
          <t>PRD-0384</t>
        </is>
      </c>
      <c r="F330" s="8" t="n">
        <v>2</v>
      </c>
      <c r="G330" s="9">
        <f>IFERROR(XLOOKUP(E330, '04_Products'!$A:$A, '04_Products'!$G:$G), 68.18)</f>
        <v/>
      </c>
      <c r="H330" s="9">
        <f>IFERROR(XLOOKUP(E330, '04_Products'!$A:$A, '04_Products'!$F:$F), 0)</f>
        <v/>
      </c>
      <c r="I330" s="9">
        <f>F330*G330</f>
        <v/>
      </c>
      <c r="J330" s="11" t="n">
        <v>0.05</v>
      </c>
      <c r="K330" s="9">
        <f>I330*J330</f>
        <v/>
      </c>
      <c r="L330" s="9">
        <f>I330-K330</f>
        <v/>
      </c>
      <c r="M330" s="9">
        <f>F330*H330</f>
        <v/>
      </c>
      <c r="N330" s="9">
        <f>L330-M330</f>
        <v/>
      </c>
      <c r="O330" s="11">
        <f>IFERROR(N330/L330, 0)</f>
        <v/>
      </c>
      <c r="P330" s="8">
        <f>YEAR(C330)</f>
        <v/>
      </c>
      <c r="Q330" s="8">
        <f>TEXT(C330, "yyyy-mm")</f>
        <v/>
      </c>
      <c r="R330" s="8" t="inlineStr">
        <is>
          <t>Mobile App</t>
        </is>
      </c>
      <c r="S330" s="8" t="inlineStr">
        <is>
          <t>REG-APAC</t>
        </is>
      </c>
    </row>
    <row r="331">
      <c r="A331" s="8" t="inlineStr">
        <is>
          <t>DTL-0000330</t>
        </is>
      </c>
      <c r="B331" s="8" t="inlineStr">
        <is>
          <t>ORD-000157</t>
        </is>
      </c>
      <c r="C331" s="10" t="inlineStr">
        <is>
          <t>2024-04-05</t>
        </is>
      </c>
      <c r="D331" s="8" t="inlineStr">
        <is>
          <t>CUST-01481</t>
        </is>
      </c>
      <c r="E331" s="8" t="inlineStr">
        <is>
          <t>PRD-0292</t>
        </is>
      </c>
      <c r="F331" s="8" t="n">
        <v>1</v>
      </c>
      <c r="G331" s="9">
        <f>IFERROR(XLOOKUP(E331, '04_Products'!$A:$A, '04_Products'!$G:$G), 44.76)</f>
        <v/>
      </c>
      <c r="H331" s="9">
        <f>IFERROR(XLOOKUP(E331, '04_Products'!$A:$A, '04_Products'!$F:$F), 0)</f>
        <v/>
      </c>
      <c r="I331" s="9">
        <f>F331*G331</f>
        <v/>
      </c>
      <c r="J331" s="11" t="n">
        <v>0.05</v>
      </c>
      <c r="K331" s="9">
        <f>I331*J331</f>
        <v/>
      </c>
      <c r="L331" s="9">
        <f>I331-K331</f>
        <v/>
      </c>
      <c r="M331" s="9">
        <f>F331*H331</f>
        <v/>
      </c>
      <c r="N331" s="9">
        <f>L331-M331</f>
        <v/>
      </c>
      <c r="O331" s="11">
        <f>IFERROR(N331/L331, 0)</f>
        <v/>
      </c>
      <c r="P331" s="8">
        <f>YEAR(C331)</f>
        <v/>
      </c>
      <c r="Q331" s="8">
        <f>TEXT(C331, "yyyy-mm")</f>
        <v/>
      </c>
      <c r="R331" s="8" t="inlineStr">
        <is>
          <t>Direct Web</t>
        </is>
      </c>
      <c r="S331" s="8" t="inlineStr">
        <is>
          <t>REG-APAC</t>
        </is>
      </c>
    </row>
    <row r="332">
      <c r="A332" s="8" t="inlineStr">
        <is>
          <t>DTL-0000331</t>
        </is>
      </c>
      <c r="B332" s="8" t="inlineStr">
        <is>
          <t>ORD-000158</t>
        </is>
      </c>
      <c r="C332" s="10" t="inlineStr">
        <is>
          <t>2024-05-01</t>
        </is>
      </c>
      <c r="D332" s="8" t="inlineStr">
        <is>
          <t>CUST-00023</t>
        </is>
      </c>
      <c r="E332" s="8" t="inlineStr">
        <is>
          <t>PRD-0146</t>
        </is>
      </c>
      <c r="F332" s="8" t="n">
        <v>1</v>
      </c>
      <c r="G332" s="9">
        <f>IFERROR(XLOOKUP(E332, '04_Products'!$A:$A, '04_Products'!$G:$G), 195.73)</f>
        <v/>
      </c>
      <c r="H332" s="9">
        <f>IFERROR(XLOOKUP(E332, '04_Products'!$A:$A, '04_Products'!$F:$F), 0)</f>
        <v/>
      </c>
      <c r="I332" s="9">
        <f>F332*G332</f>
        <v/>
      </c>
      <c r="J332" s="11" t="n">
        <v>0</v>
      </c>
      <c r="K332" s="9">
        <f>I332*J332</f>
        <v/>
      </c>
      <c r="L332" s="9">
        <f>I332-K332</f>
        <v/>
      </c>
      <c r="M332" s="9">
        <f>F332*H332</f>
        <v/>
      </c>
      <c r="N332" s="9">
        <f>L332-M332</f>
        <v/>
      </c>
      <c r="O332" s="11">
        <f>IFERROR(N332/L332, 0)</f>
        <v/>
      </c>
      <c r="P332" s="8">
        <f>YEAR(C332)</f>
        <v/>
      </c>
      <c r="Q332" s="8">
        <f>TEXT(C332, "yyyy-mm")</f>
        <v/>
      </c>
      <c r="R332" s="8" t="inlineStr">
        <is>
          <t>Mobile App</t>
        </is>
      </c>
      <c r="S332" s="8" t="inlineStr">
        <is>
          <t>REG-NA</t>
        </is>
      </c>
    </row>
    <row r="333">
      <c r="A333" s="8" t="inlineStr">
        <is>
          <t>DTL-0000332</t>
        </is>
      </c>
      <c r="B333" s="8" t="inlineStr">
        <is>
          <t>ORD-000159</t>
        </is>
      </c>
      <c r="C333" s="10" t="inlineStr">
        <is>
          <t>2025-08-30</t>
        </is>
      </c>
      <c r="D333" s="8" t="inlineStr">
        <is>
          <t>CUST-05275</t>
        </is>
      </c>
      <c r="E333" s="8" t="inlineStr">
        <is>
          <t>PRD-0312</t>
        </is>
      </c>
      <c r="F333" s="8" t="n">
        <v>1</v>
      </c>
      <c r="G333" s="9">
        <f>IFERROR(XLOOKUP(E333, '04_Products'!$A:$A, '04_Products'!$G:$G), 59.31)</f>
        <v/>
      </c>
      <c r="H333" s="9">
        <f>IFERROR(XLOOKUP(E333, '04_Products'!$A:$A, '04_Products'!$F:$F), 0)</f>
        <v/>
      </c>
      <c r="I333" s="9">
        <f>F333*G333</f>
        <v/>
      </c>
      <c r="J333" s="11" t="n">
        <v>0.1</v>
      </c>
      <c r="K333" s="9">
        <f>I333*J333</f>
        <v/>
      </c>
      <c r="L333" s="9">
        <f>I333-K333</f>
        <v/>
      </c>
      <c r="M333" s="9">
        <f>F333*H333</f>
        <v/>
      </c>
      <c r="N333" s="9">
        <f>L333-M333</f>
        <v/>
      </c>
      <c r="O333" s="11">
        <f>IFERROR(N333/L333, 0)</f>
        <v/>
      </c>
      <c r="P333" s="8">
        <f>YEAR(C333)</f>
        <v/>
      </c>
      <c r="Q333" s="8">
        <f>TEXT(C333, "yyyy-mm")</f>
        <v/>
      </c>
      <c r="R333" s="8" t="inlineStr">
        <is>
          <t>Direct Web</t>
        </is>
      </c>
      <c r="S333" s="8" t="inlineStr">
        <is>
          <t>REG-NA</t>
        </is>
      </c>
    </row>
    <row r="334">
      <c r="A334" s="8" t="inlineStr">
        <is>
          <t>DTL-0000333</t>
        </is>
      </c>
      <c r="B334" s="8" t="inlineStr">
        <is>
          <t>ORD-000160</t>
        </is>
      </c>
      <c r="C334" s="10" t="inlineStr">
        <is>
          <t>2025-03-19</t>
        </is>
      </c>
      <c r="D334" s="8" t="inlineStr">
        <is>
          <t>CUST-02855</t>
        </is>
      </c>
      <c r="E334" s="8" t="inlineStr">
        <is>
          <t>PRD-0087</t>
        </is>
      </c>
      <c r="F334" s="8" t="n">
        <v>1</v>
      </c>
      <c r="G334" s="9">
        <f>IFERROR(XLOOKUP(E334, '04_Products'!$A:$A, '04_Products'!$G:$G), 1103.24)</f>
        <v/>
      </c>
      <c r="H334" s="9">
        <f>IFERROR(XLOOKUP(E334, '04_Products'!$A:$A, '04_Products'!$F:$F), 0)</f>
        <v/>
      </c>
      <c r="I334" s="9">
        <f>F334*G334</f>
        <v/>
      </c>
      <c r="J334" s="11" t="n">
        <v>0.05</v>
      </c>
      <c r="K334" s="9">
        <f>I334*J334</f>
        <v/>
      </c>
      <c r="L334" s="9">
        <f>I334-K334</f>
        <v/>
      </c>
      <c r="M334" s="9">
        <f>F334*H334</f>
        <v/>
      </c>
      <c r="N334" s="9">
        <f>L334-M334</f>
        <v/>
      </c>
      <c r="O334" s="11">
        <f>IFERROR(N334/L334, 0)</f>
        <v/>
      </c>
      <c r="P334" s="8">
        <f>YEAR(C334)</f>
        <v/>
      </c>
      <c r="Q334" s="8">
        <f>TEXT(C334, "yyyy-mm")</f>
        <v/>
      </c>
      <c r="R334" s="8" t="inlineStr">
        <is>
          <t>Mobile App</t>
        </is>
      </c>
      <c r="S334" s="8" t="inlineStr">
        <is>
          <t>REG-EU</t>
        </is>
      </c>
    </row>
    <row r="335">
      <c r="A335" s="8" t="inlineStr">
        <is>
          <t>DTL-0000334</t>
        </is>
      </c>
      <c r="B335" s="8" t="inlineStr">
        <is>
          <t>ORD-000160</t>
        </is>
      </c>
      <c r="C335" s="10" t="inlineStr">
        <is>
          <t>2025-03-19</t>
        </is>
      </c>
      <c r="D335" s="8" t="inlineStr">
        <is>
          <t>CUST-02855</t>
        </is>
      </c>
      <c r="E335" s="8" t="inlineStr">
        <is>
          <t>PRD-0450</t>
        </is>
      </c>
      <c r="F335" s="8" t="n">
        <v>1</v>
      </c>
      <c r="G335" s="9">
        <f>IFERROR(XLOOKUP(E335, '04_Products'!$A:$A, '04_Products'!$G:$G), 646.81)</f>
        <v/>
      </c>
      <c r="H335" s="9">
        <f>IFERROR(XLOOKUP(E335, '04_Products'!$A:$A, '04_Products'!$F:$F), 0)</f>
        <v/>
      </c>
      <c r="I335" s="9">
        <f>F335*G335</f>
        <v/>
      </c>
      <c r="J335" s="11" t="n">
        <v>0.05</v>
      </c>
      <c r="K335" s="9">
        <f>I335*J335</f>
        <v/>
      </c>
      <c r="L335" s="9">
        <f>I335-K335</f>
        <v/>
      </c>
      <c r="M335" s="9">
        <f>F335*H335</f>
        <v/>
      </c>
      <c r="N335" s="9">
        <f>L335-M335</f>
        <v/>
      </c>
      <c r="O335" s="11">
        <f>IFERROR(N335/L335, 0)</f>
        <v/>
      </c>
      <c r="P335" s="8">
        <f>YEAR(C335)</f>
        <v/>
      </c>
      <c r="Q335" s="8">
        <f>TEXT(C335, "yyyy-mm")</f>
        <v/>
      </c>
      <c r="R335" s="8" t="inlineStr">
        <is>
          <t>Mobile App</t>
        </is>
      </c>
      <c r="S335" s="8" t="inlineStr">
        <is>
          <t>REG-EU</t>
        </is>
      </c>
    </row>
    <row r="336">
      <c r="A336" s="8" t="inlineStr">
        <is>
          <t>DTL-0000335</t>
        </is>
      </c>
      <c r="B336" s="8" t="inlineStr">
        <is>
          <t>ORD-000161</t>
        </is>
      </c>
      <c r="C336" s="10" t="inlineStr">
        <is>
          <t>2023-11-05</t>
        </is>
      </c>
      <c r="D336" s="8" t="inlineStr">
        <is>
          <t>CUST-07509</t>
        </is>
      </c>
      <c r="E336" s="8" t="inlineStr">
        <is>
          <t>PRD-0132</t>
        </is>
      </c>
      <c r="F336" s="8" t="n">
        <v>1</v>
      </c>
      <c r="G336" s="9">
        <f>IFERROR(XLOOKUP(E336, '04_Products'!$A:$A, '04_Products'!$G:$G), 792.09)</f>
        <v/>
      </c>
      <c r="H336" s="9">
        <f>IFERROR(XLOOKUP(E336, '04_Products'!$A:$A, '04_Products'!$F:$F), 0)</f>
        <v/>
      </c>
      <c r="I336" s="9">
        <f>F336*G336</f>
        <v/>
      </c>
      <c r="J336" s="11" t="n">
        <v>0.15</v>
      </c>
      <c r="K336" s="9">
        <f>I336*J336</f>
        <v/>
      </c>
      <c r="L336" s="9">
        <f>I336-K336</f>
        <v/>
      </c>
      <c r="M336" s="9">
        <f>F336*H336</f>
        <v/>
      </c>
      <c r="N336" s="9">
        <f>L336-M336</f>
        <v/>
      </c>
      <c r="O336" s="11">
        <f>IFERROR(N336/L336, 0)</f>
        <v/>
      </c>
      <c r="P336" s="8">
        <f>YEAR(C336)</f>
        <v/>
      </c>
      <c r="Q336" s="8">
        <f>TEXT(C336, "yyyy-mm")</f>
        <v/>
      </c>
      <c r="R336" s="8" t="inlineStr">
        <is>
          <t>B2B Portal</t>
        </is>
      </c>
      <c r="S336" s="8" t="inlineStr">
        <is>
          <t>REG-NA</t>
        </is>
      </c>
    </row>
    <row r="337">
      <c r="A337" s="8" t="inlineStr">
        <is>
          <t>DTL-0000336</t>
        </is>
      </c>
      <c r="B337" s="8" t="inlineStr">
        <is>
          <t>ORD-000161</t>
        </is>
      </c>
      <c r="C337" s="10" t="inlineStr">
        <is>
          <t>2023-11-05</t>
        </is>
      </c>
      <c r="D337" s="8" t="inlineStr">
        <is>
          <t>CUST-07509</t>
        </is>
      </c>
      <c r="E337" s="8" t="inlineStr">
        <is>
          <t>PRD-0185</t>
        </is>
      </c>
      <c r="F337" s="8" t="n">
        <v>4</v>
      </c>
      <c r="G337" s="9">
        <f>IFERROR(XLOOKUP(E337, '04_Products'!$A:$A, '04_Products'!$G:$G), 1296.57)</f>
        <v/>
      </c>
      <c r="H337" s="9">
        <f>IFERROR(XLOOKUP(E337, '04_Products'!$A:$A, '04_Products'!$F:$F), 0)</f>
        <v/>
      </c>
      <c r="I337" s="9">
        <f>F337*G337</f>
        <v/>
      </c>
      <c r="J337" s="11" t="n">
        <v>0.05</v>
      </c>
      <c r="K337" s="9">
        <f>I337*J337</f>
        <v/>
      </c>
      <c r="L337" s="9">
        <f>I337-K337</f>
        <v/>
      </c>
      <c r="M337" s="9">
        <f>F337*H337</f>
        <v/>
      </c>
      <c r="N337" s="9">
        <f>L337-M337</f>
        <v/>
      </c>
      <c r="O337" s="11">
        <f>IFERROR(N337/L337, 0)</f>
        <v/>
      </c>
      <c r="P337" s="8">
        <f>YEAR(C337)</f>
        <v/>
      </c>
      <c r="Q337" s="8">
        <f>TEXT(C337, "yyyy-mm")</f>
        <v/>
      </c>
      <c r="R337" s="8" t="inlineStr">
        <is>
          <t>B2B Portal</t>
        </is>
      </c>
      <c r="S337" s="8" t="inlineStr">
        <is>
          <t>REG-NA</t>
        </is>
      </c>
    </row>
    <row r="338">
      <c r="A338" s="8" t="inlineStr">
        <is>
          <t>DTL-0000337</t>
        </is>
      </c>
      <c r="B338" s="8" t="inlineStr">
        <is>
          <t>ORD-000162</t>
        </is>
      </c>
      <c r="C338" s="10" t="inlineStr">
        <is>
          <t>2025-06-04</t>
        </is>
      </c>
      <c r="D338" s="8" t="inlineStr">
        <is>
          <t>CUST-01392</t>
        </is>
      </c>
      <c r="E338" s="8" t="inlineStr">
        <is>
          <t>PRD-0227</t>
        </is>
      </c>
      <c r="F338" s="8" t="n">
        <v>4</v>
      </c>
      <c r="G338" s="9">
        <f>IFERROR(XLOOKUP(E338, '04_Products'!$A:$A, '04_Products'!$G:$G), 56.13)</f>
        <v/>
      </c>
      <c r="H338" s="9">
        <f>IFERROR(XLOOKUP(E338, '04_Products'!$A:$A, '04_Products'!$F:$F), 0)</f>
        <v/>
      </c>
      <c r="I338" s="9">
        <f>F338*G338</f>
        <v/>
      </c>
      <c r="J338" s="11" t="n">
        <v>0</v>
      </c>
      <c r="K338" s="9">
        <f>I338*J338</f>
        <v/>
      </c>
      <c r="L338" s="9">
        <f>I338-K338</f>
        <v/>
      </c>
      <c r="M338" s="9">
        <f>F338*H338</f>
        <v/>
      </c>
      <c r="N338" s="9">
        <f>L338-M338</f>
        <v/>
      </c>
      <c r="O338" s="11">
        <f>IFERROR(N338/L338, 0)</f>
        <v/>
      </c>
      <c r="P338" s="8">
        <f>YEAR(C338)</f>
        <v/>
      </c>
      <c r="Q338" s="8">
        <f>TEXT(C338, "yyyy-mm")</f>
        <v/>
      </c>
      <c r="R338" s="8" t="inlineStr">
        <is>
          <t>Direct Web</t>
        </is>
      </c>
      <c r="S338" s="8" t="inlineStr">
        <is>
          <t>REG-NA</t>
        </is>
      </c>
    </row>
    <row r="339">
      <c r="A339" s="8" t="inlineStr">
        <is>
          <t>DTL-0000338</t>
        </is>
      </c>
      <c r="B339" s="8" t="inlineStr">
        <is>
          <t>ORD-000163</t>
        </is>
      </c>
      <c r="C339" s="10" t="inlineStr">
        <is>
          <t>2023-01-25</t>
        </is>
      </c>
      <c r="D339" s="8" t="inlineStr">
        <is>
          <t>CUST-07043</t>
        </is>
      </c>
      <c r="E339" s="8" t="inlineStr">
        <is>
          <t>PRD-0289</t>
        </is>
      </c>
      <c r="F339" s="8" t="n">
        <v>1</v>
      </c>
      <c r="G339" s="9">
        <f>IFERROR(XLOOKUP(E339, '04_Products'!$A:$A, '04_Products'!$G:$G), 579.40)</f>
        <v/>
      </c>
      <c r="H339" s="9">
        <f>IFERROR(XLOOKUP(E339, '04_Products'!$A:$A, '04_Products'!$F:$F), 0)</f>
        <v/>
      </c>
      <c r="I339" s="9">
        <f>F339*G339</f>
        <v/>
      </c>
      <c r="J339" s="11" t="n">
        <v>0</v>
      </c>
      <c r="K339" s="9">
        <f>I339*J339</f>
        <v/>
      </c>
      <c r="L339" s="9">
        <f>I339-K339</f>
        <v/>
      </c>
      <c r="M339" s="9">
        <f>F339*H339</f>
        <v/>
      </c>
      <c r="N339" s="9">
        <f>L339-M339</f>
        <v/>
      </c>
      <c r="O339" s="11">
        <f>IFERROR(N339/L339, 0)</f>
        <v/>
      </c>
      <c r="P339" s="8">
        <f>YEAR(C339)</f>
        <v/>
      </c>
      <c r="Q339" s="8">
        <f>TEXT(C339, "yyyy-mm")</f>
        <v/>
      </c>
      <c r="R339" s="8" t="inlineStr">
        <is>
          <t>Mobile App</t>
        </is>
      </c>
      <c r="S339" s="8" t="inlineStr">
        <is>
          <t>REG-NA</t>
        </is>
      </c>
    </row>
    <row r="340">
      <c r="A340" s="8" t="inlineStr">
        <is>
          <t>DTL-0000339</t>
        </is>
      </c>
      <c r="B340" s="8" t="inlineStr">
        <is>
          <t>ORD-000164</t>
        </is>
      </c>
      <c r="C340" s="10" t="inlineStr">
        <is>
          <t>2023-03-14</t>
        </is>
      </c>
      <c r="D340" s="8" t="inlineStr">
        <is>
          <t>CUST-00714</t>
        </is>
      </c>
      <c r="E340" s="8" t="inlineStr">
        <is>
          <t>PRD-0104</t>
        </is>
      </c>
      <c r="F340" s="8" t="n">
        <v>1</v>
      </c>
      <c r="G340" s="9">
        <f>IFERROR(XLOOKUP(E340, '04_Products'!$A:$A, '04_Products'!$G:$G), 17.28)</f>
        <v/>
      </c>
      <c r="H340" s="9">
        <f>IFERROR(XLOOKUP(E340, '04_Products'!$A:$A, '04_Products'!$F:$F), 0)</f>
        <v/>
      </c>
      <c r="I340" s="9">
        <f>F340*G340</f>
        <v/>
      </c>
      <c r="J340" s="11" t="n">
        <v>0</v>
      </c>
      <c r="K340" s="9">
        <f>I340*J340</f>
        <v/>
      </c>
      <c r="L340" s="9">
        <f>I340-K340</f>
        <v/>
      </c>
      <c r="M340" s="9">
        <f>F340*H340</f>
        <v/>
      </c>
      <c r="N340" s="9">
        <f>L340-M340</f>
        <v/>
      </c>
      <c r="O340" s="11">
        <f>IFERROR(N340/L340, 0)</f>
        <v/>
      </c>
      <c r="P340" s="8">
        <f>YEAR(C340)</f>
        <v/>
      </c>
      <c r="Q340" s="8">
        <f>TEXT(C340, "yyyy-mm")</f>
        <v/>
      </c>
      <c r="R340" s="8" t="inlineStr">
        <is>
          <t>Direct Web</t>
        </is>
      </c>
      <c r="S340" s="8" t="inlineStr">
        <is>
          <t>REG-NA</t>
        </is>
      </c>
    </row>
    <row r="341">
      <c r="A341" s="8" t="inlineStr">
        <is>
          <t>DTL-0000340</t>
        </is>
      </c>
      <c r="B341" s="8" t="inlineStr">
        <is>
          <t>ORD-000164</t>
        </is>
      </c>
      <c r="C341" s="10" t="inlineStr">
        <is>
          <t>2023-03-14</t>
        </is>
      </c>
      <c r="D341" s="8" t="inlineStr">
        <is>
          <t>CUST-00714</t>
        </is>
      </c>
      <c r="E341" s="8" t="inlineStr">
        <is>
          <t>PRD-0125</t>
        </is>
      </c>
      <c r="F341" s="8" t="n">
        <v>4</v>
      </c>
      <c r="G341" s="9">
        <f>IFERROR(XLOOKUP(E341, '04_Products'!$A:$A, '04_Products'!$G:$G), 1389.75)</f>
        <v/>
      </c>
      <c r="H341" s="9">
        <f>IFERROR(XLOOKUP(E341, '04_Products'!$A:$A, '04_Products'!$F:$F), 0)</f>
        <v/>
      </c>
      <c r="I341" s="9">
        <f>F341*G341</f>
        <v/>
      </c>
      <c r="J341" s="11" t="n">
        <v>0.1</v>
      </c>
      <c r="K341" s="9">
        <f>I341*J341</f>
        <v/>
      </c>
      <c r="L341" s="9">
        <f>I341-K341</f>
        <v/>
      </c>
      <c r="M341" s="9">
        <f>F341*H341</f>
        <v/>
      </c>
      <c r="N341" s="9">
        <f>L341-M341</f>
        <v/>
      </c>
      <c r="O341" s="11">
        <f>IFERROR(N341/L341, 0)</f>
        <v/>
      </c>
      <c r="P341" s="8">
        <f>YEAR(C341)</f>
        <v/>
      </c>
      <c r="Q341" s="8">
        <f>TEXT(C341, "yyyy-mm")</f>
        <v/>
      </c>
      <c r="R341" s="8" t="inlineStr">
        <is>
          <t>Direct Web</t>
        </is>
      </c>
      <c r="S341" s="8" t="inlineStr">
        <is>
          <t>REG-NA</t>
        </is>
      </c>
    </row>
    <row r="342">
      <c r="A342" s="8" t="inlineStr">
        <is>
          <t>DTL-0000341</t>
        </is>
      </c>
      <c r="B342" s="8" t="inlineStr">
        <is>
          <t>ORD-000164</t>
        </is>
      </c>
      <c r="C342" s="10" t="inlineStr">
        <is>
          <t>2023-03-14</t>
        </is>
      </c>
      <c r="D342" s="8" t="inlineStr">
        <is>
          <t>CUST-00714</t>
        </is>
      </c>
      <c r="E342" s="8" t="inlineStr">
        <is>
          <t>PRD-0098</t>
        </is>
      </c>
      <c r="F342" s="8" t="n">
        <v>3</v>
      </c>
      <c r="G342" s="9">
        <f>IFERROR(XLOOKUP(E342, '04_Products'!$A:$A, '04_Products'!$G:$G), 100.75)</f>
        <v/>
      </c>
      <c r="H342" s="9">
        <f>IFERROR(XLOOKUP(E342, '04_Products'!$A:$A, '04_Products'!$F:$F), 0)</f>
        <v/>
      </c>
      <c r="I342" s="9">
        <f>F342*G342</f>
        <v/>
      </c>
      <c r="J342" s="11" t="n">
        <v>0.05</v>
      </c>
      <c r="K342" s="9">
        <f>I342*J342</f>
        <v/>
      </c>
      <c r="L342" s="9">
        <f>I342-K342</f>
        <v/>
      </c>
      <c r="M342" s="9">
        <f>F342*H342</f>
        <v/>
      </c>
      <c r="N342" s="9">
        <f>L342-M342</f>
        <v/>
      </c>
      <c r="O342" s="11">
        <f>IFERROR(N342/L342, 0)</f>
        <v/>
      </c>
      <c r="P342" s="8">
        <f>YEAR(C342)</f>
        <v/>
      </c>
      <c r="Q342" s="8">
        <f>TEXT(C342, "yyyy-mm")</f>
        <v/>
      </c>
      <c r="R342" s="8" t="inlineStr">
        <is>
          <t>Direct Web</t>
        </is>
      </c>
      <c r="S342" s="8" t="inlineStr">
        <is>
          <t>REG-NA</t>
        </is>
      </c>
    </row>
    <row r="343">
      <c r="A343" s="8" t="inlineStr">
        <is>
          <t>DTL-0000342</t>
        </is>
      </c>
      <c r="B343" s="8" t="inlineStr">
        <is>
          <t>ORD-000165</t>
        </is>
      </c>
      <c r="C343" s="10" t="inlineStr">
        <is>
          <t>2023-05-20</t>
        </is>
      </c>
      <c r="D343" s="8" t="inlineStr">
        <is>
          <t>CUST-07173</t>
        </is>
      </c>
      <c r="E343" s="8" t="inlineStr">
        <is>
          <t>PRD-0211</t>
        </is>
      </c>
      <c r="F343" s="8" t="n">
        <v>2</v>
      </c>
      <c r="G343" s="9">
        <f>IFERROR(XLOOKUP(E343, '04_Products'!$A:$A, '04_Products'!$G:$G), 28.20)</f>
        <v/>
      </c>
      <c r="H343" s="9">
        <f>IFERROR(XLOOKUP(E343, '04_Products'!$A:$A, '04_Products'!$F:$F), 0)</f>
        <v/>
      </c>
      <c r="I343" s="9">
        <f>F343*G343</f>
        <v/>
      </c>
      <c r="J343" s="11" t="n">
        <v>0</v>
      </c>
      <c r="K343" s="9">
        <f>I343*J343</f>
        <v/>
      </c>
      <c r="L343" s="9">
        <f>I343-K343</f>
        <v/>
      </c>
      <c r="M343" s="9">
        <f>F343*H343</f>
        <v/>
      </c>
      <c r="N343" s="9">
        <f>L343-M343</f>
        <v/>
      </c>
      <c r="O343" s="11">
        <f>IFERROR(N343/L343, 0)</f>
        <v/>
      </c>
      <c r="P343" s="8">
        <f>YEAR(C343)</f>
        <v/>
      </c>
      <c r="Q343" s="8">
        <f>TEXT(C343, "yyyy-mm")</f>
        <v/>
      </c>
      <c r="R343" s="8" t="inlineStr">
        <is>
          <t>Mobile App</t>
        </is>
      </c>
      <c r="S343" s="8" t="inlineStr">
        <is>
          <t>REG-EU</t>
        </is>
      </c>
    </row>
    <row r="344">
      <c r="A344" s="8" t="inlineStr">
        <is>
          <t>DTL-0000343</t>
        </is>
      </c>
      <c r="B344" s="8" t="inlineStr">
        <is>
          <t>ORD-000165</t>
        </is>
      </c>
      <c r="C344" s="10" t="inlineStr">
        <is>
          <t>2023-05-20</t>
        </is>
      </c>
      <c r="D344" s="8" t="inlineStr">
        <is>
          <t>CUST-07173</t>
        </is>
      </c>
      <c r="E344" s="8" t="inlineStr">
        <is>
          <t>PRD-0199</t>
        </is>
      </c>
      <c r="F344" s="8" t="n">
        <v>1</v>
      </c>
      <c r="G344" s="9">
        <f>IFERROR(XLOOKUP(E344, '04_Products'!$A:$A, '04_Products'!$G:$G), 484.59)</f>
        <v/>
      </c>
      <c r="H344" s="9">
        <f>IFERROR(XLOOKUP(E344, '04_Products'!$A:$A, '04_Products'!$F:$F), 0)</f>
        <v/>
      </c>
      <c r="I344" s="9">
        <f>F344*G344</f>
        <v/>
      </c>
      <c r="J344" s="11" t="n">
        <v>0.15</v>
      </c>
      <c r="K344" s="9">
        <f>I344*J344</f>
        <v/>
      </c>
      <c r="L344" s="9">
        <f>I344-K344</f>
        <v/>
      </c>
      <c r="M344" s="9">
        <f>F344*H344</f>
        <v/>
      </c>
      <c r="N344" s="9">
        <f>L344-M344</f>
        <v/>
      </c>
      <c r="O344" s="11">
        <f>IFERROR(N344/L344, 0)</f>
        <v/>
      </c>
      <c r="P344" s="8">
        <f>YEAR(C344)</f>
        <v/>
      </c>
      <c r="Q344" s="8">
        <f>TEXT(C344, "yyyy-mm")</f>
        <v/>
      </c>
      <c r="R344" s="8" t="inlineStr">
        <is>
          <t>Mobile App</t>
        </is>
      </c>
      <c r="S344" s="8" t="inlineStr">
        <is>
          <t>REG-EU</t>
        </is>
      </c>
    </row>
    <row r="345">
      <c r="A345" s="8" t="inlineStr">
        <is>
          <t>DTL-0000344</t>
        </is>
      </c>
      <c r="B345" s="8" t="inlineStr">
        <is>
          <t>ORD-000166</t>
        </is>
      </c>
      <c r="C345" s="10" t="inlineStr">
        <is>
          <t>2023-07-02</t>
        </is>
      </c>
      <c r="D345" s="8" t="inlineStr">
        <is>
          <t>CUST-04556</t>
        </is>
      </c>
      <c r="E345" s="8" t="inlineStr">
        <is>
          <t>PRD-0016</t>
        </is>
      </c>
      <c r="F345" s="8" t="n">
        <v>2</v>
      </c>
      <c r="G345" s="9">
        <f>IFERROR(XLOOKUP(E345, '04_Products'!$A:$A, '04_Products'!$G:$G), 160.40)</f>
        <v/>
      </c>
      <c r="H345" s="9">
        <f>IFERROR(XLOOKUP(E345, '04_Products'!$A:$A, '04_Products'!$F:$F), 0)</f>
        <v/>
      </c>
      <c r="I345" s="9">
        <f>F345*G345</f>
        <v/>
      </c>
      <c r="J345" s="11" t="n">
        <v>0</v>
      </c>
      <c r="K345" s="9">
        <f>I345*J345</f>
        <v/>
      </c>
      <c r="L345" s="9">
        <f>I345-K345</f>
        <v/>
      </c>
      <c r="M345" s="9">
        <f>F345*H345</f>
        <v/>
      </c>
      <c r="N345" s="9">
        <f>L345-M345</f>
        <v/>
      </c>
      <c r="O345" s="11">
        <f>IFERROR(N345/L345, 0)</f>
        <v/>
      </c>
      <c r="P345" s="8">
        <f>YEAR(C345)</f>
        <v/>
      </c>
      <c r="Q345" s="8">
        <f>TEXT(C345, "yyyy-mm")</f>
        <v/>
      </c>
      <c r="R345" s="8" t="inlineStr">
        <is>
          <t>Direct Web</t>
        </is>
      </c>
      <c r="S345" s="8" t="inlineStr">
        <is>
          <t>REG-NA</t>
        </is>
      </c>
    </row>
    <row r="346">
      <c r="A346" s="8" t="inlineStr">
        <is>
          <t>DTL-0000345</t>
        </is>
      </c>
      <c r="B346" s="8" t="inlineStr">
        <is>
          <t>ORD-000166</t>
        </is>
      </c>
      <c r="C346" s="10" t="inlineStr">
        <is>
          <t>2023-07-02</t>
        </is>
      </c>
      <c r="D346" s="8" t="inlineStr">
        <is>
          <t>CUST-04556</t>
        </is>
      </c>
      <c r="E346" s="8" t="inlineStr">
        <is>
          <t>PRD-0465</t>
        </is>
      </c>
      <c r="F346" s="8" t="n">
        <v>1</v>
      </c>
      <c r="G346" s="9">
        <f>IFERROR(XLOOKUP(E346, '04_Products'!$A:$A, '04_Products'!$G:$G), 36.72)</f>
        <v/>
      </c>
      <c r="H346" s="9">
        <f>IFERROR(XLOOKUP(E346, '04_Products'!$A:$A, '04_Products'!$F:$F), 0)</f>
        <v/>
      </c>
      <c r="I346" s="9">
        <f>F346*G346</f>
        <v/>
      </c>
      <c r="J346" s="11" t="n">
        <v>0.1</v>
      </c>
      <c r="K346" s="9">
        <f>I346*J346</f>
        <v/>
      </c>
      <c r="L346" s="9">
        <f>I346-K346</f>
        <v/>
      </c>
      <c r="M346" s="9">
        <f>F346*H346</f>
        <v/>
      </c>
      <c r="N346" s="9">
        <f>L346-M346</f>
        <v/>
      </c>
      <c r="O346" s="11">
        <f>IFERROR(N346/L346, 0)</f>
        <v/>
      </c>
      <c r="P346" s="8">
        <f>YEAR(C346)</f>
        <v/>
      </c>
      <c r="Q346" s="8">
        <f>TEXT(C346, "yyyy-mm")</f>
        <v/>
      </c>
      <c r="R346" s="8" t="inlineStr">
        <is>
          <t>Direct Web</t>
        </is>
      </c>
      <c r="S346" s="8" t="inlineStr">
        <is>
          <t>REG-NA</t>
        </is>
      </c>
    </row>
    <row r="347">
      <c r="A347" s="8" t="inlineStr">
        <is>
          <t>DTL-0000346</t>
        </is>
      </c>
      <c r="B347" s="8" t="inlineStr">
        <is>
          <t>ORD-000166</t>
        </is>
      </c>
      <c r="C347" s="10" t="inlineStr">
        <is>
          <t>2023-07-02</t>
        </is>
      </c>
      <c r="D347" s="8" t="inlineStr">
        <is>
          <t>CUST-04556</t>
        </is>
      </c>
      <c r="E347" s="8" t="inlineStr">
        <is>
          <t>PRD-0315</t>
        </is>
      </c>
      <c r="F347" s="8" t="n">
        <v>1</v>
      </c>
      <c r="G347" s="9">
        <f>IFERROR(XLOOKUP(E347, '04_Products'!$A:$A, '04_Products'!$G:$G), 916.00)</f>
        <v/>
      </c>
      <c r="H347" s="9">
        <f>IFERROR(XLOOKUP(E347, '04_Products'!$A:$A, '04_Products'!$F:$F), 0)</f>
        <v/>
      </c>
      <c r="I347" s="9">
        <f>F347*G347</f>
        <v/>
      </c>
      <c r="J347" s="11" t="n">
        <v>0</v>
      </c>
      <c r="K347" s="9">
        <f>I347*J347</f>
        <v/>
      </c>
      <c r="L347" s="9">
        <f>I347-K347</f>
        <v/>
      </c>
      <c r="M347" s="9">
        <f>F347*H347</f>
        <v/>
      </c>
      <c r="N347" s="9">
        <f>L347-M347</f>
        <v/>
      </c>
      <c r="O347" s="11">
        <f>IFERROR(N347/L347, 0)</f>
        <v/>
      </c>
      <c r="P347" s="8">
        <f>YEAR(C347)</f>
        <v/>
      </c>
      <c r="Q347" s="8">
        <f>TEXT(C347, "yyyy-mm")</f>
        <v/>
      </c>
      <c r="R347" s="8" t="inlineStr">
        <is>
          <t>Direct Web</t>
        </is>
      </c>
      <c r="S347" s="8" t="inlineStr">
        <is>
          <t>REG-NA</t>
        </is>
      </c>
    </row>
    <row r="348">
      <c r="A348" s="8" t="inlineStr">
        <is>
          <t>DTL-0000347</t>
        </is>
      </c>
      <c r="B348" s="8" t="inlineStr">
        <is>
          <t>ORD-000166</t>
        </is>
      </c>
      <c r="C348" s="10" t="inlineStr">
        <is>
          <t>2023-07-02</t>
        </is>
      </c>
      <c r="D348" s="8" t="inlineStr">
        <is>
          <t>CUST-04556</t>
        </is>
      </c>
      <c r="E348" s="8" t="inlineStr">
        <is>
          <t>PRD-0407</t>
        </is>
      </c>
      <c r="F348" s="8" t="n">
        <v>1</v>
      </c>
      <c r="G348" s="9">
        <f>IFERROR(XLOOKUP(E348, '04_Products'!$A:$A, '04_Products'!$G:$G), 515.93)</f>
        <v/>
      </c>
      <c r="H348" s="9">
        <f>IFERROR(XLOOKUP(E348, '04_Products'!$A:$A, '04_Products'!$F:$F), 0)</f>
        <v/>
      </c>
      <c r="I348" s="9">
        <f>F348*G348</f>
        <v/>
      </c>
      <c r="J348" s="11" t="n">
        <v>0.15</v>
      </c>
      <c r="K348" s="9">
        <f>I348*J348</f>
        <v/>
      </c>
      <c r="L348" s="9">
        <f>I348-K348</f>
        <v/>
      </c>
      <c r="M348" s="9">
        <f>F348*H348</f>
        <v/>
      </c>
      <c r="N348" s="9">
        <f>L348-M348</f>
        <v/>
      </c>
      <c r="O348" s="11">
        <f>IFERROR(N348/L348, 0)</f>
        <v/>
      </c>
      <c r="P348" s="8">
        <f>YEAR(C348)</f>
        <v/>
      </c>
      <c r="Q348" s="8">
        <f>TEXT(C348, "yyyy-mm")</f>
        <v/>
      </c>
      <c r="R348" s="8" t="inlineStr">
        <is>
          <t>Direct Web</t>
        </is>
      </c>
      <c r="S348" s="8" t="inlineStr">
        <is>
          <t>REG-NA</t>
        </is>
      </c>
    </row>
    <row r="349">
      <c r="A349" s="8" t="inlineStr">
        <is>
          <t>DTL-0000348</t>
        </is>
      </c>
      <c r="B349" s="8" t="inlineStr">
        <is>
          <t>ORD-000167</t>
        </is>
      </c>
      <c r="C349" s="10" t="inlineStr">
        <is>
          <t>2025-09-06</t>
        </is>
      </c>
      <c r="D349" s="8" t="inlineStr">
        <is>
          <t>CUST-06119</t>
        </is>
      </c>
      <c r="E349" s="8" t="inlineStr">
        <is>
          <t>PRD-0278</t>
        </is>
      </c>
      <c r="F349" s="8" t="n">
        <v>1</v>
      </c>
      <c r="G349" s="9">
        <f>IFERROR(XLOOKUP(E349, '04_Products'!$A:$A, '04_Products'!$G:$G), 1176.56)</f>
        <v/>
      </c>
      <c r="H349" s="9">
        <f>IFERROR(XLOOKUP(E349, '04_Products'!$A:$A, '04_Products'!$F:$F), 0)</f>
        <v/>
      </c>
      <c r="I349" s="9">
        <f>F349*G349</f>
        <v/>
      </c>
      <c r="J349" s="11" t="n">
        <v>0.1</v>
      </c>
      <c r="K349" s="9">
        <f>I349*J349</f>
        <v/>
      </c>
      <c r="L349" s="9">
        <f>I349-K349</f>
        <v/>
      </c>
      <c r="M349" s="9">
        <f>F349*H349</f>
        <v/>
      </c>
      <c r="N349" s="9">
        <f>L349-M349</f>
        <v/>
      </c>
      <c r="O349" s="11">
        <f>IFERROR(N349/L349, 0)</f>
        <v/>
      </c>
      <c r="P349" s="8">
        <f>YEAR(C349)</f>
        <v/>
      </c>
      <c r="Q349" s="8">
        <f>TEXT(C349, "yyyy-mm")</f>
        <v/>
      </c>
      <c r="R349" s="8" t="inlineStr">
        <is>
          <t>Mobile App</t>
        </is>
      </c>
      <c r="S349" s="8" t="inlineStr">
        <is>
          <t>REG-EU</t>
        </is>
      </c>
    </row>
    <row r="350">
      <c r="A350" s="8" t="inlineStr">
        <is>
          <t>DTL-0000349</t>
        </is>
      </c>
      <c r="B350" s="8" t="inlineStr">
        <is>
          <t>ORD-000168</t>
        </is>
      </c>
      <c r="C350" s="10" t="inlineStr">
        <is>
          <t>2025-08-22</t>
        </is>
      </c>
      <c r="D350" s="8" t="inlineStr">
        <is>
          <t>CUST-05981</t>
        </is>
      </c>
      <c r="E350" s="8" t="inlineStr">
        <is>
          <t>PRD-0051</t>
        </is>
      </c>
      <c r="F350" s="8" t="n">
        <v>1</v>
      </c>
      <c r="G350" s="9">
        <f>IFERROR(XLOOKUP(E350, '04_Products'!$A:$A, '04_Products'!$G:$G), 896.46)</f>
        <v/>
      </c>
      <c r="H350" s="9">
        <f>IFERROR(XLOOKUP(E350, '04_Products'!$A:$A, '04_Products'!$F:$F), 0)</f>
        <v/>
      </c>
      <c r="I350" s="9">
        <f>F350*G350</f>
        <v/>
      </c>
      <c r="J350" s="11" t="n">
        <v>0.15</v>
      </c>
      <c r="K350" s="9">
        <f>I350*J350</f>
        <v/>
      </c>
      <c r="L350" s="9">
        <f>I350-K350</f>
        <v/>
      </c>
      <c r="M350" s="9">
        <f>F350*H350</f>
        <v/>
      </c>
      <c r="N350" s="9">
        <f>L350-M350</f>
        <v/>
      </c>
      <c r="O350" s="11">
        <f>IFERROR(N350/L350, 0)</f>
        <v/>
      </c>
      <c r="P350" s="8">
        <f>YEAR(C350)</f>
        <v/>
      </c>
      <c r="Q350" s="8">
        <f>TEXT(C350, "yyyy-mm")</f>
        <v/>
      </c>
      <c r="R350" s="8" t="inlineStr">
        <is>
          <t>B2B Portal</t>
        </is>
      </c>
      <c r="S350" s="8" t="inlineStr">
        <is>
          <t>REG-NA</t>
        </is>
      </c>
    </row>
    <row r="351">
      <c r="A351" s="8" t="inlineStr">
        <is>
          <t>DTL-0000350</t>
        </is>
      </c>
      <c r="B351" s="8" t="inlineStr">
        <is>
          <t>ORD-000169</t>
        </is>
      </c>
      <c r="C351" s="10" t="inlineStr">
        <is>
          <t>2025-09-11</t>
        </is>
      </c>
      <c r="D351" s="8" t="inlineStr">
        <is>
          <t>CUST-02091</t>
        </is>
      </c>
      <c r="E351" s="8" t="inlineStr">
        <is>
          <t>PRD-0285</t>
        </is>
      </c>
      <c r="F351" s="8" t="n">
        <v>1</v>
      </c>
      <c r="G351" s="9">
        <f>IFERROR(XLOOKUP(E351, '04_Products'!$A:$A, '04_Products'!$G:$G), 269.59)</f>
        <v/>
      </c>
      <c r="H351" s="9">
        <f>IFERROR(XLOOKUP(E351, '04_Products'!$A:$A, '04_Products'!$F:$F), 0)</f>
        <v/>
      </c>
      <c r="I351" s="9">
        <f>F351*G351</f>
        <v/>
      </c>
      <c r="J351" s="11" t="n">
        <v>0.15</v>
      </c>
      <c r="K351" s="9">
        <f>I351*J351</f>
        <v/>
      </c>
      <c r="L351" s="9">
        <f>I351-K351</f>
        <v/>
      </c>
      <c r="M351" s="9">
        <f>F351*H351</f>
        <v/>
      </c>
      <c r="N351" s="9">
        <f>L351-M351</f>
        <v/>
      </c>
      <c r="O351" s="11">
        <f>IFERROR(N351/L351, 0)</f>
        <v/>
      </c>
      <c r="P351" s="8">
        <f>YEAR(C351)</f>
        <v/>
      </c>
      <c r="Q351" s="8">
        <f>TEXT(C351, "yyyy-mm")</f>
        <v/>
      </c>
      <c r="R351" s="8" t="inlineStr">
        <is>
          <t>Mobile App</t>
        </is>
      </c>
      <c r="S351" s="8" t="inlineStr">
        <is>
          <t>REG-EU</t>
        </is>
      </c>
    </row>
    <row r="352">
      <c r="A352" s="8" t="inlineStr">
        <is>
          <t>DTL-0000351</t>
        </is>
      </c>
      <c r="B352" s="8" t="inlineStr">
        <is>
          <t>ORD-000169</t>
        </is>
      </c>
      <c r="C352" s="10" t="inlineStr">
        <is>
          <t>2025-09-11</t>
        </is>
      </c>
      <c r="D352" s="8" t="inlineStr">
        <is>
          <t>CUST-02091</t>
        </is>
      </c>
      <c r="E352" s="8" t="inlineStr">
        <is>
          <t>PRD-0341</t>
        </is>
      </c>
      <c r="F352" s="8" t="n">
        <v>8</v>
      </c>
      <c r="G352" s="9">
        <f>IFERROR(XLOOKUP(E352, '04_Products'!$A:$A, '04_Products'!$G:$G), 26.88)</f>
        <v/>
      </c>
      <c r="H352" s="9">
        <f>IFERROR(XLOOKUP(E352, '04_Products'!$A:$A, '04_Products'!$F:$F), 0)</f>
        <v/>
      </c>
      <c r="I352" s="9">
        <f>F352*G352</f>
        <v/>
      </c>
      <c r="J352" s="11" t="n">
        <v>0.15</v>
      </c>
      <c r="K352" s="9">
        <f>I352*J352</f>
        <v/>
      </c>
      <c r="L352" s="9">
        <f>I352-K352</f>
        <v/>
      </c>
      <c r="M352" s="9">
        <f>F352*H352</f>
        <v/>
      </c>
      <c r="N352" s="9">
        <f>L352-M352</f>
        <v/>
      </c>
      <c r="O352" s="11">
        <f>IFERROR(N352/L352, 0)</f>
        <v/>
      </c>
      <c r="P352" s="8">
        <f>YEAR(C352)</f>
        <v/>
      </c>
      <c r="Q352" s="8">
        <f>TEXT(C352, "yyyy-mm")</f>
        <v/>
      </c>
      <c r="R352" s="8" t="inlineStr">
        <is>
          <t>Mobile App</t>
        </is>
      </c>
      <c r="S352" s="8" t="inlineStr">
        <is>
          <t>REG-EU</t>
        </is>
      </c>
    </row>
    <row r="353">
      <c r="A353" s="8" t="inlineStr">
        <is>
          <t>DTL-0000352</t>
        </is>
      </c>
      <c r="B353" s="8" t="inlineStr">
        <is>
          <t>ORD-000169</t>
        </is>
      </c>
      <c r="C353" s="10" t="inlineStr">
        <is>
          <t>2025-09-11</t>
        </is>
      </c>
      <c r="D353" s="8" t="inlineStr">
        <is>
          <t>CUST-02091</t>
        </is>
      </c>
      <c r="E353" s="8" t="inlineStr">
        <is>
          <t>PRD-0264</t>
        </is>
      </c>
      <c r="F353" s="8" t="n">
        <v>1</v>
      </c>
      <c r="G353" s="9">
        <f>IFERROR(XLOOKUP(E353, '04_Products'!$A:$A, '04_Products'!$G:$G), 705.08)</f>
        <v/>
      </c>
      <c r="H353" s="9">
        <f>IFERROR(XLOOKUP(E353, '04_Products'!$A:$A, '04_Products'!$F:$F), 0)</f>
        <v/>
      </c>
      <c r="I353" s="9">
        <f>F353*G353</f>
        <v/>
      </c>
      <c r="J353" s="11" t="n">
        <v>0</v>
      </c>
      <c r="K353" s="9">
        <f>I353*J353</f>
        <v/>
      </c>
      <c r="L353" s="9">
        <f>I353-K353</f>
        <v/>
      </c>
      <c r="M353" s="9">
        <f>F353*H353</f>
        <v/>
      </c>
      <c r="N353" s="9">
        <f>L353-M353</f>
        <v/>
      </c>
      <c r="O353" s="11">
        <f>IFERROR(N353/L353, 0)</f>
        <v/>
      </c>
      <c r="P353" s="8">
        <f>YEAR(C353)</f>
        <v/>
      </c>
      <c r="Q353" s="8">
        <f>TEXT(C353, "yyyy-mm")</f>
        <v/>
      </c>
      <c r="R353" s="8" t="inlineStr">
        <is>
          <t>Mobile App</t>
        </is>
      </c>
      <c r="S353" s="8" t="inlineStr">
        <is>
          <t>REG-EU</t>
        </is>
      </c>
    </row>
    <row r="354">
      <c r="A354" s="8" t="inlineStr">
        <is>
          <t>DTL-0000353</t>
        </is>
      </c>
      <c r="B354" s="8" t="inlineStr">
        <is>
          <t>ORD-000169</t>
        </is>
      </c>
      <c r="C354" s="10" t="inlineStr">
        <is>
          <t>2025-09-11</t>
        </is>
      </c>
      <c r="D354" s="8" t="inlineStr">
        <is>
          <t>CUST-02091</t>
        </is>
      </c>
      <c r="E354" s="8" t="inlineStr">
        <is>
          <t>PRD-0452</t>
        </is>
      </c>
      <c r="F354" s="8" t="n">
        <v>3</v>
      </c>
      <c r="G354" s="9">
        <f>IFERROR(XLOOKUP(E354, '04_Products'!$A:$A, '04_Products'!$G:$G), 52.31)</f>
        <v/>
      </c>
      <c r="H354" s="9">
        <f>IFERROR(XLOOKUP(E354, '04_Products'!$A:$A, '04_Products'!$F:$F), 0)</f>
        <v/>
      </c>
      <c r="I354" s="9">
        <f>F354*G354</f>
        <v/>
      </c>
      <c r="J354" s="11" t="n">
        <v>0.2</v>
      </c>
      <c r="K354" s="9">
        <f>I354*J354</f>
        <v/>
      </c>
      <c r="L354" s="9">
        <f>I354-K354</f>
        <v/>
      </c>
      <c r="M354" s="9">
        <f>F354*H354</f>
        <v/>
      </c>
      <c r="N354" s="9">
        <f>L354-M354</f>
        <v/>
      </c>
      <c r="O354" s="11">
        <f>IFERROR(N354/L354, 0)</f>
        <v/>
      </c>
      <c r="P354" s="8">
        <f>YEAR(C354)</f>
        <v/>
      </c>
      <c r="Q354" s="8">
        <f>TEXT(C354, "yyyy-mm")</f>
        <v/>
      </c>
      <c r="R354" s="8" t="inlineStr">
        <is>
          <t>Mobile App</t>
        </is>
      </c>
      <c r="S354" s="8" t="inlineStr">
        <is>
          <t>REG-EU</t>
        </is>
      </c>
    </row>
    <row r="355">
      <c r="A355" s="8" t="inlineStr">
        <is>
          <t>DTL-0000354</t>
        </is>
      </c>
      <c r="B355" s="8" t="inlineStr">
        <is>
          <t>ORD-000169</t>
        </is>
      </c>
      <c r="C355" s="10" t="inlineStr">
        <is>
          <t>2025-09-11</t>
        </is>
      </c>
      <c r="D355" s="8" t="inlineStr">
        <is>
          <t>CUST-02091</t>
        </is>
      </c>
      <c r="E355" s="8" t="inlineStr">
        <is>
          <t>PRD-0407</t>
        </is>
      </c>
      <c r="F355" s="8" t="n">
        <v>2</v>
      </c>
      <c r="G355" s="9">
        <f>IFERROR(XLOOKUP(E355, '04_Products'!$A:$A, '04_Products'!$G:$G), 515.93)</f>
        <v/>
      </c>
      <c r="H355" s="9">
        <f>IFERROR(XLOOKUP(E355, '04_Products'!$A:$A, '04_Products'!$F:$F), 0)</f>
        <v/>
      </c>
      <c r="I355" s="9">
        <f>F355*G355</f>
        <v/>
      </c>
      <c r="J355" s="11" t="n">
        <v>0</v>
      </c>
      <c r="K355" s="9">
        <f>I355*J355</f>
        <v/>
      </c>
      <c r="L355" s="9">
        <f>I355-K355</f>
        <v/>
      </c>
      <c r="M355" s="9">
        <f>F355*H355</f>
        <v/>
      </c>
      <c r="N355" s="9">
        <f>L355-M355</f>
        <v/>
      </c>
      <c r="O355" s="11">
        <f>IFERROR(N355/L355, 0)</f>
        <v/>
      </c>
      <c r="P355" s="8">
        <f>YEAR(C355)</f>
        <v/>
      </c>
      <c r="Q355" s="8">
        <f>TEXT(C355, "yyyy-mm")</f>
        <v/>
      </c>
      <c r="R355" s="8" t="inlineStr">
        <is>
          <t>Mobile App</t>
        </is>
      </c>
      <c r="S355" s="8" t="inlineStr">
        <is>
          <t>REG-EU</t>
        </is>
      </c>
    </row>
    <row r="356">
      <c r="A356" s="8" t="inlineStr">
        <is>
          <t>DTL-0000355</t>
        </is>
      </c>
      <c r="B356" s="8" t="inlineStr">
        <is>
          <t>ORD-000170</t>
        </is>
      </c>
      <c r="C356" s="10" t="inlineStr">
        <is>
          <t>2025-04-15</t>
        </is>
      </c>
      <c r="D356" s="8" t="inlineStr">
        <is>
          <t>CUST-06997</t>
        </is>
      </c>
      <c r="E356" s="8" t="inlineStr">
        <is>
          <t>PRD-0454</t>
        </is>
      </c>
      <c r="F356" s="8" t="n">
        <v>3</v>
      </c>
      <c r="G356" s="9">
        <f>IFERROR(XLOOKUP(E356, '04_Products'!$A:$A, '04_Products'!$G:$G), 745.94)</f>
        <v/>
      </c>
      <c r="H356" s="9">
        <f>IFERROR(XLOOKUP(E356, '04_Products'!$A:$A, '04_Products'!$F:$F), 0)</f>
        <v/>
      </c>
      <c r="I356" s="9">
        <f>F356*G356</f>
        <v/>
      </c>
      <c r="J356" s="11" t="n">
        <v>0.1</v>
      </c>
      <c r="K356" s="9">
        <f>I356*J356</f>
        <v/>
      </c>
      <c r="L356" s="9">
        <f>I356-K356</f>
        <v/>
      </c>
      <c r="M356" s="9">
        <f>F356*H356</f>
        <v/>
      </c>
      <c r="N356" s="9">
        <f>L356-M356</f>
        <v/>
      </c>
      <c r="O356" s="11">
        <f>IFERROR(N356/L356, 0)</f>
        <v/>
      </c>
      <c r="P356" s="8">
        <f>YEAR(C356)</f>
        <v/>
      </c>
      <c r="Q356" s="8">
        <f>TEXT(C356, "yyyy-mm")</f>
        <v/>
      </c>
      <c r="R356" s="8" t="inlineStr">
        <is>
          <t>Mobile App</t>
        </is>
      </c>
      <c r="S356" s="8" t="inlineStr">
        <is>
          <t>REG-APAC</t>
        </is>
      </c>
    </row>
    <row r="357">
      <c r="A357" s="8" t="inlineStr">
        <is>
          <t>DTL-0000356</t>
        </is>
      </c>
      <c r="B357" s="8" t="inlineStr">
        <is>
          <t>ORD-000171</t>
        </is>
      </c>
      <c r="C357" s="10" t="inlineStr">
        <is>
          <t>2024-08-08</t>
        </is>
      </c>
      <c r="D357" s="8" t="inlineStr">
        <is>
          <t>CUST-06623</t>
        </is>
      </c>
      <c r="E357" s="8" t="inlineStr">
        <is>
          <t>PRD-0302</t>
        </is>
      </c>
      <c r="F357" s="8" t="n">
        <v>1</v>
      </c>
      <c r="G357" s="9">
        <f>IFERROR(XLOOKUP(E357, '04_Products'!$A:$A, '04_Products'!$G:$G), 51.82)</f>
        <v/>
      </c>
      <c r="H357" s="9">
        <f>IFERROR(XLOOKUP(E357, '04_Products'!$A:$A, '04_Products'!$F:$F), 0)</f>
        <v/>
      </c>
      <c r="I357" s="9">
        <f>F357*G357</f>
        <v/>
      </c>
      <c r="J357" s="11" t="n">
        <v>0</v>
      </c>
      <c r="K357" s="9">
        <f>I357*J357</f>
        <v/>
      </c>
      <c r="L357" s="9">
        <f>I357-K357</f>
        <v/>
      </c>
      <c r="M357" s="9">
        <f>F357*H357</f>
        <v/>
      </c>
      <c r="N357" s="9">
        <f>L357-M357</f>
        <v/>
      </c>
      <c r="O357" s="11">
        <f>IFERROR(N357/L357, 0)</f>
        <v/>
      </c>
      <c r="P357" s="8">
        <f>YEAR(C357)</f>
        <v/>
      </c>
      <c r="Q357" s="8">
        <f>TEXT(C357, "yyyy-mm")</f>
        <v/>
      </c>
      <c r="R357" s="8" t="inlineStr">
        <is>
          <t>B2B Portal</t>
        </is>
      </c>
      <c r="S357" s="8" t="inlineStr">
        <is>
          <t>REG-NA</t>
        </is>
      </c>
    </row>
    <row r="358">
      <c r="A358" s="8" t="inlineStr">
        <is>
          <t>DTL-0000357</t>
        </is>
      </c>
      <c r="B358" s="8" t="inlineStr">
        <is>
          <t>ORD-000172</t>
        </is>
      </c>
      <c r="C358" s="10" t="inlineStr">
        <is>
          <t>2023-12-31</t>
        </is>
      </c>
      <c r="D358" s="8" t="inlineStr">
        <is>
          <t>CUST-00236</t>
        </is>
      </c>
      <c r="E358" s="8" t="inlineStr">
        <is>
          <t>PRD-0051</t>
        </is>
      </c>
      <c r="F358" s="8" t="n">
        <v>3</v>
      </c>
      <c r="G358" s="9">
        <f>IFERROR(XLOOKUP(E358, '04_Products'!$A:$A, '04_Products'!$G:$G), 896.46)</f>
        <v/>
      </c>
      <c r="H358" s="9">
        <f>IFERROR(XLOOKUP(E358, '04_Products'!$A:$A, '04_Products'!$F:$F), 0)</f>
        <v/>
      </c>
      <c r="I358" s="9">
        <f>F358*G358</f>
        <v/>
      </c>
      <c r="J358" s="11" t="n">
        <v>0.1</v>
      </c>
      <c r="K358" s="9">
        <f>I358*J358</f>
        <v/>
      </c>
      <c r="L358" s="9">
        <f>I358-K358</f>
        <v/>
      </c>
      <c r="M358" s="9">
        <f>F358*H358</f>
        <v/>
      </c>
      <c r="N358" s="9">
        <f>L358-M358</f>
        <v/>
      </c>
      <c r="O358" s="11">
        <f>IFERROR(N358/L358, 0)</f>
        <v/>
      </c>
      <c r="P358" s="8">
        <f>YEAR(C358)</f>
        <v/>
      </c>
      <c r="Q358" s="8">
        <f>TEXT(C358, "yyyy-mm")</f>
        <v/>
      </c>
      <c r="R358" s="8" t="inlineStr">
        <is>
          <t>Direct Web</t>
        </is>
      </c>
      <c r="S358" s="8" t="inlineStr">
        <is>
          <t>REG-NA</t>
        </is>
      </c>
    </row>
    <row r="359">
      <c r="A359" s="8" t="inlineStr">
        <is>
          <t>DTL-0000358</t>
        </is>
      </c>
      <c r="B359" s="8" t="inlineStr">
        <is>
          <t>ORD-000172</t>
        </is>
      </c>
      <c r="C359" s="10" t="inlineStr">
        <is>
          <t>2023-12-31</t>
        </is>
      </c>
      <c r="D359" s="8" t="inlineStr">
        <is>
          <t>CUST-00236</t>
        </is>
      </c>
      <c r="E359" s="8" t="inlineStr">
        <is>
          <t>PRD-0187</t>
        </is>
      </c>
      <c r="F359" s="8" t="n">
        <v>1</v>
      </c>
      <c r="G359" s="9">
        <f>IFERROR(XLOOKUP(E359, '04_Products'!$A:$A, '04_Products'!$G:$G), 777.18)</f>
        <v/>
      </c>
      <c r="H359" s="9">
        <f>IFERROR(XLOOKUP(E359, '04_Products'!$A:$A, '04_Products'!$F:$F), 0)</f>
        <v/>
      </c>
      <c r="I359" s="9">
        <f>F359*G359</f>
        <v/>
      </c>
      <c r="J359" s="11" t="n">
        <v>0.1</v>
      </c>
      <c r="K359" s="9">
        <f>I359*J359</f>
        <v/>
      </c>
      <c r="L359" s="9">
        <f>I359-K359</f>
        <v/>
      </c>
      <c r="M359" s="9">
        <f>F359*H359</f>
        <v/>
      </c>
      <c r="N359" s="9">
        <f>L359-M359</f>
        <v/>
      </c>
      <c r="O359" s="11">
        <f>IFERROR(N359/L359, 0)</f>
        <v/>
      </c>
      <c r="P359" s="8">
        <f>YEAR(C359)</f>
        <v/>
      </c>
      <c r="Q359" s="8">
        <f>TEXT(C359, "yyyy-mm")</f>
        <v/>
      </c>
      <c r="R359" s="8" t="inlineStr">
        <is>
          <t>Direct Web</t>
        </is>
      </c>
      <c r="S359" s="8" t="inlineStr">
        <is>
          <t>REG-NA</t>
        </is>
      </c>
    </row>
    <row r="360">
      <c r="A360" s="8" t="inlineStr">
        <is>
          <t>DTL-0000359</t>
        </is>
      </c>
      <c r="B360" s="8" t="inlineStr">
        <is>
          <t>ORD-000172</t>
        </is>
      </c>
      <c r="C360" s="10" t="inlineStr">
        <is>
          <t>2023-12-31</t>
        </is>
      </c>
      <c r="D360" s="8" t="inlineStr">
        <is>
          <t>CUST-00236</t>
        </is>
      </c>
      <c r="E360" s="8" t="inlineStr">
        <is>
          <t>PRD-0107</t>
        </is>
      </c>
      <c r="F360" s="8" t="n">
        <v>1</v>
      </c>
      <c r="G360" s="9">
        <f>IFERROR(XLOOKUP(E360, '04_Products'!$A:$A, '04_Products'!$G:$G), 754.95)</f>
        <v/>
      </c>
      <c r="H360" s="9">
        <f>IFERROR(XLOOKUP(E360, '04_Products'!$A:$A, '04_Products'!$F:$F), 0)</f>
        <v/>
      </c>
      <c r="I360" s="9">
        <f>F360*G360</f>
        <v/>
      </c>
      <c r="J360" s="11" t="n">
        <v>0</v>
      </c>
      <c r="K360" s="9">
        <f>I360*J360</f>
        <v/>
      </c>
      <c r="L360" s="9">
        <f>I360-K360</f>
        <v/>
      </c>
      <c r="M360" s="9">
        <f>F360*H360</f>
        <v/>
      </c>
      <c r="N360" s="9">
        <f>L360-M360</f>
        <v/>
      </c>
      <c r="O360" s="11">
        <f>IFERROR(N360/L360, 0)</f>
        <v/>
      </c>
      <c r="P360" s="8">
        <f>YEAR(C360)</f>
        <v/>
      </c>
      <c r="Q360" s="8">
        <f>TEXT(C360, "yyyy-mm")</f>
        <v/>
      </c>
      <c r="R360" s="8" t="inlineStr">
        <is>
          <t>Direct Web</t>
        </is>
      </c>
      <c r="S360" s="8" t="inlineStr">
        <is>
          <t>REG-NA</t>
        </is>
      </c>
    </row>
    <row r="361">
      <c r="A361" s="8" t="inlineStr">
        <is>
          <t>DTL-0000360</t>
        </is>
      </c>
      <c r="B361" s="8" t="inlineStr">
        <is>
          <t>ORD-000173</t>
        </is>
      </c>
      <c r="C361" s="10" t="inlineStr">
        <is>
          <t>2025-07-04</t>
        </is>
      </c>
      <c r="D361" s="8" t="inlineStr">
        <is>
          <t>CUST-04275</t>
        </is>
      </c>
      <c r="E361" s="8" t="inlineStr">
        <is>
          <t>PRD-0151</t>
        </is>
      </c>
      <c r="F361" s="8" t="n">
        <v>1</v>
      </c>
      <c r="G361" s="9">
        <f>IFERROR(XLOOKUP(E361, '04_Products'!$A:$A, '04_Products'!$G:$G), 643.51)</f>
        <v/>
      </c>
      <c r="H361" s="9">
        <f>IFERROR(XLOOKUP(E361, '04_Products'!$A:$A, '04_Products'!$F:$F), 0)</f>
        <v/>
      </c>
      <c r="I361" s="9">
        <f>F361*G361</f>
        <v/>
      </c>
      <c r="J361" s="11" t="n">
        <v>0</v>
      </c>
      <c r="K361" s="9">
        <f>I361*J361</f>
        <v/>
      </c>
      <c r="L361" s="9">
        <f>I361-K361</f>
        <v/>
      </c>
      <c r="M361" s="9">
        <f>F361*H361</f>
        <v/>
      </c>
      <c r="N361" s="9">
        <f>L361-M361</f>
        <v/>
      </c>
      <c r="O361" s="11">
        <f>IFERROR(N361/L361, 0)</f>
        <v/>
      </c>
      <c r="P361" s="8">
        <f>YEAR(C361)</f>
        <v/>
      </c>
      <c r="Q361" s="8">
        <f>TEXT(C361, "yyyy-mm")</f>
        <v/>
      </c>
      <c r="R361" s="8" t="inlineStr">
        <is>
          <t>Affiliate Partner</t>
        </is>
      </c>
      <c r="S361" s="8" t="inlineStr">
        <is>
          <t>REG-LATAM</t>
        </is>
      </c>
    </row>
    <row r="362">
      <c r="A362" s="8" t="inlineStr">
        <is>
          <t>DTL-0000361</t>
        </is>
      </c>
      <c r="B362" s="8" t="inlineStr">
        <is>
          <t>ORD-000173</t>
        </is>
      </c>
      <c r="C362" s="10" t="inlineStr">
        <is>
          <t>2025-07-04</t>
        </is>
      </c>
      <c r="D362" s="8" t="inlineStr">
        <is>
          <t>CUST-04275</t>
        </is>
      </c>
      <c r="E362" s="8" t="inlineStr">
        <is>
          <t>PRD-0453</t>
        </is>
      </c>
      <c r="F362" s="8" t="n">
        <v>1</v>
      </c>
      <c r="G362" s="9">
        <f>IFERROR(XLOOKUP(E362, '04_Products'!$A:$A, '04_Products'!$G:$G), 54.92)</f>
        <v/>
      </c>
      <c r="H362" s="9">
        <f>IFERROR(XLOOKUP(E362, '04_Products'!$A:$A, '04_Products'!$F:$F), 0)</f>
        <v/>
      </c>
      <c r="I362" s="9">
        <f>F362*G362</f>
        <v/>
      </c>
      <c r="J362" s="11" t="n">
        <v>0.25</v>
      </c>
      <c r="K362" s="9">
        <f>I362*J362</f>
        <v/>
      </c>
      <c r="L362" s="9">
        <f>I362-K362</f>
        <v/>
      </c>
      <c r="M362" s="9">
        <f>F362*H362</f>
        <v/>
      </c>
      <c r="N362" s="9">
        <f>L362-M362</f>
        <v/>
      </c>
      <c r="O362" s="11">
        <f>IFERROR(N362/L362, 0)</f>
        <v/>
      </c>
      <c r="P362" s="8">
        <f>YEAR(C362)</f>
        <v/>
      </c>
      <c r="Q362" s="8">
        <f>TEXT(C362, "yyyy-mm")</f>
        <v/>
      </c>
      <c r="R362" s="8" t="inlineStr">
        <is>
          <t>Affiliate Partner</t>
        </is>
      </c>
      <c r="S362" s="8" t="inlineStr">
        <is>
          <t>REG-LATAM</t>
        </is>
      </c>
    </row>
    <row r="363">
      <c r="A363" s="8" t="inlineStr">
        <is>
          <t>DTL-0000362</t>
        </is>
      </c>
      <c r="B363" s="8" t="inlineStr">
        <is>
          <t>ORD-000174</t>
        </is>
      </c>
      <c r="C363" s="10" t="inlineStr">
        <is>
          <t>2025-12-09</t>
        </is>
      </c>
      <c r="D363" s="8" t="inlineStr">
        <is>
          <t>CUST-04260</t>
        </is>
      </c>
      <c r="E363" s="8" t="inlineStr">
        <is>
          <t>PRD-0132</t>
        </is>
      </c>
      <c r="F363" s="8" t="n">
        <v>2</v>
      </c>
      <c r="G363" s="9">
        <f>IFERROR(XLOOKUP(E363, '04_Products'!$A:$A, '04_Products'!$G:$G), 792.09)</f>
        <v/>
      </c>
      <c r="H363" s="9">
        <f>IFERROR(XLOOKUP(E363, '04_Products'!$A:$A, '04_Products'!$F:$F), 0)</f>
        <v/>
      </c>
      <c r="I363" s="9">
        <f>F363*G363</f>
        <v/>
      </c>
      <c r="J363" s="11" t="n">
        <v>0</v>
      </c>
      <c r="K363" s="9">
        <f>I363*J363</f>
        <v/>
      </c>
      <c r="L363" s="9">
        <f>I363-K363</f>
        <v/>
      </c>
      <c r="M363" s="9">
        <f>F363*H363</f>
        <v/>
      </c>
      <c r="N363" s="9">
        <f>L363-M363</f>
        <v/>
      </c>
      <c r="O363" s="11">
        <f>IFERROR(N363/L363, 0)</f>
        <v/>
      </c>
      <c r="P363" s="8">
        <f>YEAR(C363)</f>
        <v/>
      </c>
      <c r="Q363" s="8">
        <f>TEXT(C363, "yyyy-mm")</f>
        <v/>
      </c>
      <c r="R363" s="8" t="inlineStr">
        <is>
          <t>B2B Portal</t>
        </is>
      </c>
      <c r="S363" s="8" t="inlineStr">
        <is>
          <t>REG-NA</t>
        </is>
      </c>
    </row>
    <row r="364">
      <c r="A364" s="8" t="inlineStr">
        <is>
          <t>DTL-0000363</t>
        </is>
      </c>
      <c r="B364" s="8" t="inlineStr">
        <is>
          <t>ORD-000174</t>
        </is>
      </c>
      <c r="C364" s="10" t="inlineStr">
        <is>
          <t>2025-12-09</t>
        </is>
      </c>
      <c r="D364" s="8" t="inlineStr">
        <is>
          <t>CUST-04260</t>
        </is>
      </c>
      <c r="E364" s="8" t="inlineStr">
        <is>
          <t>PRD-0042</t>
        </is>
      </c>
      <c r="F364" s="8" t="n">
        <v>1</v>
      </c>
      <c r="G364" s="9">
        <f>IFERROR(XLOOKUP(E364, '04_Products'!$A:$A, '04_Products'!$G:$G), 758.99)</f>
        <v/>
      </c>
      <c r="H364" s="9">
        <f>IFERROR(XLOOKUP(E364, '04_Products'!$A:$A, '04_Products'!$F:$F), 0)</f>
        <v/>
      </c>
      <c r="I364" s="9">
        <f>F364*G364</f>
        <v/>
      </c>
      <c r="J364" s="11" t="n">
        <v>0.1</v>
      </c>
      <c r="K364" s="9">
        <f>I364*J364</f>
        <v/>
      </c>
      <c r="L364" s="9">
        <f>I364-K364</f>
        <v/>
      </c>
      <c r="M364" s="9">
        <f>F364*H364</f>
        <v/>
      </c>
      <c r="N364" s="9">
        <f>L364-M364</f>
        <v/>
      </c>
      <c r="O364" s="11">
        <f>IFERROR(N364/L364, 0)</f>
        <v/>
      </c>
      <c r="P364" s="8">
        <f>YEAR(C364)</f>
        <v/>
      </c>
      <c r="Q364" s="8">
        <f>TEXT(C364, "yyyy-mm")</f>
        <v/>
      </c>
      <c r="R364" s="8" t="inlineStr">
        <is>
          <t>B2B Portal</t>
        </is>
      </c>
      <c r="S364" s="8" t="inlineStr">
        <is>
          <t>REG-NA</t>
        </is>
      </c>
    </row>
    <row r="365">
      <c r="A365" s="8" t="inlineStr">
        <is>
          <t>DTL-0000364</t>
        </is>
      </c>
      <c r="B365" s="8" t="inlineStr">
        <is>
          <t>ORD-000175</t>
        </is>
      </c>
      <c r="C365" s="10" t="inlineStr">
        <is>
          <t>2023-07-16</t>
        </is>
      </c>
      <c r="D365" s="8" t="inlineStr">
        <is>
          <t>CUST-06161</t>
        </is>
      </c>
      <c r="E365" s="8" t="inlineStr">
        <is>
          <t>PRD-0197</t>
        </is>
      </c>
      <c r="F365" s="8" t="n">
        <v>1</v>
      </c>
      <c r="G365" s="9">
        <f>IFERROR(XLOOKUP(E365, '04_Products'!$A:$A, '04_Products'!$G:$G), 810.85)</f>
        <v/>
      </c>
      <c r="H365" s="9">
        <f>IFERROR(XLOOKUP(E365, '04_Products'!$A:$A, '04_Products'!$F:$F), 0)</f>
        <v/>
      </c>
      <c r="I365" s="9">
        <f>F365*G365</f>
        <v/>
      </c>
      <c r="J365" s="11" t="n">
        <v>0.05</v>
      </c>
      <c r="K365" s="9">
        <f>I365*J365</f>
        <v/>
      </c>
      <c r="L365" s="9">
        <f>I365-K365</f>
        <v/>
      </c>
      <c r="M365" s="9">
        <f>F365*H365</f>
        <v/>
      </c>
      <c r="N365" s="9">
        <f>L365-M365</f>
        <v/>
      </c>
      <c r="O365" s="11">
        <f>IFERROR(N365/L365, 0)</f>
        <v/>
      </c>
      <c r="P365" s="8">
        <f>YEAR(C365)</f>
        <v/>
      </c>
      <c r="Q365" s="8">
        <f>TEXT(C365, "yyyy-mm")</f>
        <v/>
      </c>
      <c r="R365" s="8" t="inlineStr">
        <is>
          <t>Affiliate Partner</t>
        </is>
      </c>
      <c r="S365" s="8" t="inlineStr">
        <is>
          <t>REG-NA</t>
        </is>
      </c>
    </row>
    <row r="366">
      <c r="A366" s="8" t="inlineStr">
        <is>
          <t>DTL-0000365</t>
        </is>
      </c>
      <c r="B366" s="8" t="inlineStr">
        <is>
          <t>ORD-000175</t>
        </is>
      </c>
      <c r="C366" s="10" t="inlineStr">
        <is>
          <t>2023-07-16</t>
        </is>
      </c>
      <c r="D366" s="8" t="inlineStr">
        <is>
          <t>CUST-06161</t>
        </is>
      </c>
      <c r="E366" s="8" t="inlineStr">
        <is>
          <t>PRD-0007</t>
        </is>
      </c>
      <c r="F366" s="8" t="n">
        <v>1</v>
      </c>
      <c r="G366" s="9">
        <f>IFERROR(XLOOKUP(E366, '04_Products'!$A:$A, '04_Products'!$G:$G), 254.43)</f>
        <v/>
      </c>
      <c r="H366" s="9">
        <f>IFERROR(XLOOKUP(E366, '04_Products'!$A:$A, '04_Products'!$F:$F), 0)</f>
        <v/>
      </c>
      <c r="I366" s="9">
        <f>F366*G366</f>
        <v/>
      </c>
      <c r="J366" s="11" t="n">
        <v>0.05</v>
      </c>
      <c r="K366" s="9">
        <f>I366*J366</f>
        <v/>
      </c>
      <c r="L366" s="9">
        <f>I366-K366</f>
        <v/>
      </c>
      <c r="M366" s="9">
        <f>F366*H366</f>
        <v/>
      </c>
      <c r="N366" s="9">
        <f>L366-M366</f>
        <v/>
      </c>
      <c r="O366" s="11">
        <f>IFERROR(N366/L366, 0)</f>
        <v/>
      </c>
      <c r="P366" s="8">
        <f>YEAR(C366)</f>
        <v/>
      </c>
      <c r="Q366" s="8">
        <f>TEXT(C366, "yyyy-mm")</f>
        <v/>
      </c>
      <c r="R366" s="8" t="inlineStr">
        <is>
          <t>Affiliate Partner</t>
        </is>
      </c>
      <c r="S366" s="8" t="inlineStr">
        <is>
          <t>REG-NA</t>
        </is>
      </c>
    </row>
    <row r="367">
      <c r="A367" s="8" t="inlineStr">
        <is>
          <t>DTL-0000366</t>
        </is>
      </c>
      <c r="B367" s="8" t="inlineStr">
        <is>
          <t>ORD-000176</t>
        </is>
      </c>
      <c r="C367" s="10" t="inlineStr">
        <is>
          <t>2025-11-15</t>
        </is>
      </c>
      <c r="D367" s="8" t="inlineStr">
        <is>
          <t>CUST-02793</t>
        </is>
      </c>
      <c r="E367" s="8" t="inlineStr">
        <is>
          <t>PRD-0312</t>
        </is>
      </c>
      <c r="F367" s="8" t="n">
        <v>2</v>
      </c>
      <c r="G367" s="9">
        <f>IFERROR(XLOOKUP(E367, '04_Products'!$A:$A, '04_Products'!$G:$G), 59.31)</f>
        <v/>
      </c>
      <c r="H367" s="9">
        <f>IFERROR(XLOOKUP(E367, '04_Products'!$A:$A, '04_Products'!$F:$F), 0)</f>
        <v/>
      </c>
      <c r="I367" s="9">
        <f>F367*G367</f>
        <v/>
      </c>
      <c r="J367" s="11" t="n">
        <v>0.15</v>
      </c>
      <c r="K367" s="9">
        <f>I367*J367</f>
        <v/>
      </c>
      <c r="L367" s="9">
        <f>I367-K367</f>
        <v/>
      </c>
      <c r="M367" s="9">
        <f>F367*H367</f>
        <v/>
      </c>
      <c r="N367" s="9">
        <f>L367-M367</f>
        <v/>
      </c>
      <c r="O367" s="11">
        <f>IFERROR(N367/L367, 0)</f>
        <v/>
      </c>
      <c r="P367" s="8">
        <f>YEAR(C367)</f>
        <v/>
      </c>
      <c r="Q367" s="8">
        <f>TEXT(C367, "yyyy-mm")</f>
        <v/>
      </c>
      <c r="R367" s="8" t="inlineStr">
        <is>
          <t>Mobile App</t>
        </is>
      </c>
      <c r="S367" s="8" t="inlineStr">
        <is>
          <t>REG-NA</t>
        </is>
      </c>
    </row>
    <row r="368">
      <c r="A368" s="8" t="inlineStr">
        <is>
          <t>DTL-0000367</t>
        </is>
      </c>
      <c r="B368" s="8" t="inlineStr">
        <is>
          <t>ORD-000177</t>
        </is>
      </c>
      <c r="C368" s="10" t="inlineStr">
        <is>
          <t>2024-07-03</t>
        </is>
      </c>
      <c r="D368" s="8" t="inlineStr">
        <is>
          <t>CUST-02412</t>
        </is>
      </c>
      <c r="E368" s="8" t="inlineStr">
        <is>
          <t>PRD-0398</t>
        </is>
      </c>
      <c r="F368" s="8" t="n">
        <v>1</v>
      </c>
      <c r="G368" s="9">
        <f>IFERROR(XLOOKUP(E368, '04_Products'!$A:$A, '04_Products'!$G:$G), 28.76)</f>
        <v/>
      </c>
      <c r="H368" s="9">
        <f>IFERROR(XLOOKUP(E368, '04_Products'!$A:$A, '04_Products'!$F:$F), 0)</f>
        <v/>
      </c>
      <c r="I368" s="9">
        <f>F368*G368</f>
        <v/>
      </c>
      <c r="J368" s="11" t="n">
        <v>0</v>
      </c>
      <c r="K368" s="9">
        <f>I368*J368</f>
        <v/>
      </c>
      <c r="L368" s="9">
        <f>I368-K368</f>
        <v/>
      </c>
      <c r="M368" s="9">
        <f>F368*H368</f>
        <v/>
      </c>
      <c r="N368" s="9">
        <f>L368-M368</f>
        <v/>
      </c>
      <c r="O368" s="11">
        <f>IFERROR(N368/L368, 0)</f>
        <v/>
      </c>
      <c r="P368" s="8">
        <f>YEAR(C368)</f>
        <v/>
      </c>
      <c r="Q368" s="8">
        <f>TEXT(C368, "yyyy-mm")</f>
        <v/>
      </c>
      <c r="R368" s="8" t="inlineStr">
        <is>
          <t>Direct Web</t>
        </is>
      </c>
      <c r="S368" s="8" t="inlineStr">
        <is>
          <t>REG-NA</t>
        </is>
      </c>
    </row>
    <row r="369">
      <c r="A369" s="8" t="inlineStr">
        <is>
          <t>DTL-0000368</t>
        </is>
      </c>
      <c r="B369" s="8" t="inlineStr">
        <is>
          <t>ORD-000177</t>
        </is>
      </c>
      <c r="C369" s="10" t="inlineStr">
        <is>
          <t>2024-07-03</t>
        </is>
      </c>
      <c r="D369" s="8" t="inlineStr">
        <is>
          <t>CUST-02412</t>
        </is>
      </c>
      <c r="E369" s="8" t="inlineStr">
        <is>
          <t>PRD-0089</t>
        </is>
      </c>
      <c r="F369" s="8" t="n">
        <v>2</v>
      </c>
      <c r="G369" s="9">
        <f>IFERROR(XLOOKUP(E369, '04_Products'!$A:$A, '04_Products'!$G:$G), 638.52)</f>
        <v/>
      </c>
      <c r="H369" s="9">
        <f>IFERROR(XLOOKUP(E369, '04_Products'!$A:$A, '04_Products'!$F:$F), 0)</f>
        <v/>
      </c>
      <c r="I369" s="9">
        <f>F369*G369</f>
        <v/>
      </c>
      <c r="J369" s="11" t="n">
        <v>0.05</v>
      </c>
      <c r="K369" s="9">
        <f>I369*J369</f>
        <v/>
      </c>
      <c r="L369" s="9">
        <f>I369-K369</f>
        <v/>
      </c>
      <c r="M369" s="9">
        <f>F369*H369</f>
        <v/>
      </c>
      <c r="N369" s="9">
        <f>L369-M369</f>
        <v/>
      </c>
      <c r="O369" s="11">
        <f>IFERROR(N369/L369, 0)</f>
        <v/>
      </c>
      <c r="P369" s="8">
        <f>YEAR(C369)</f>
        <v/>
      </c>
      <c r="Q369" s="8">
        <f>TEXT(C369, "yyyy-mm")</f>
        <v/>
      </c>
      <c r="R369" s="8" t="inlineStr">
        <is>
          <t>Direct Web</t>
        </is>
      </c>
      <c r="S369" s="8" t="inlineStr">
        <is>
          <t>REG-NA</t>
        </is>
      </c>
    </row>
    <row r="370">
      <c r="A370" s="8" t="inlineStr">
        <is>
          <t>DTL-0000369</t>
        </is>
      </c>
      <c r="B370" s="8" t="inlineStr">
        <is>
          <t>ORD-000178</t>
        </is>
      </c>
      <c r="C370" s="10" t="inlineStr">
        <is>
          <t>2023-11-18</t>
        </is>
      </c>
      <c r="D370" s="8" t="inlineStr">
        <is>
          <t>CUST-02240</t>
        </is>
      </c>
      <c r="E370" s="8" t="inlineStr">
        <is>
          <t>PRD-0160</t>
        </is>
      </c>
      <c r="F370" s="8" t="n">
        <v>3</v>
      </c>
      <c r="G370" s="9">
        <f>IFERROR(XLOOKUP(E370, '04_Products'!$A:$A, '04_Products'!$G:$G), 1076.82)</f>
        <v/>
      </c>
      <c r="H370" s="9">
        <f>IFERROR(XLOOKUP(E370, '04_Products'!$A:$A, '04_Products'!$F:$F), 0)</f>
        <v/>
      </c>
      <c r="I370" s="9">
        <f>F370*G370</f>
        <v/>
      </c>
      <c r="J370" s="11" t="n">
        <v>0.15</v>
      </c>
      <c r="K370" s="9">
        <f>I370*J370</f>
        <v/>
      </c>
      <c r="L370" s="9">
        <f>I370-K370</f>
        <v/>
      </c>
      <c r="M370" s="9">
        <f>F370*H370</f>
        <v/>
      </c>
      <c r="N370" s="9">
        <f>L370-M370</f>
        <v/>
      </c>
      <c r="O370" s="11">
        <f>IFERROR(N370/L370, 0)</f>
        <v/>
      </c>
      <c r="P370" s="8">
        <f>YEAR(C370)</f>
        <v/>
      </c>
      <c r="Q370" s="8">
        <f>TEXT(C370, "yyyy-mm")</f>
        <v/>
      </c>
      <c r="R370" s="8" t="inlineStr">
        <is>
          <t>Direct Web</t>
        </is>
      </c>
      <c r="S370" s="8" t="inlineStr">
        <is>
          <t>REG-APAC</t>
        </is>
      </c>
    </row>
    <row r="371">
      <c r="A371" s="8" t="inlineStr">
        <is>
          <t>DTL-0000370</t>
        </is>
      </c>
      <c r="B371" s="8" t="inlineStr">
        <is>
          <t>ORD-000179</t>
        </is>
      </c>
      <c r="C371" s="10" t="inlineStr">
        <is>
          <t>2025-11-15</t>
        </is>
      </c>
      <c r="D371" s="8" t="inlineStr">
        <is>
          <t>CUST-00001</t>
        </is>
      </c>
      <c r="E371" s="8" t="inlineStr">
        <is>
          <t>PRD-0414</t>
        </is>
      </c>
      <c r="F371" s="8" t="n">
        <v>3</v>
      </c>
      <c r="G371" s="9">
        <f>IFERROR(XLOOKUP(E371, '04_Products'!$A:$A, '04_Products'!$G:$G), 101.77)</f>
        <v/>
      </c>
      <c r="H371" s="9">
        <f>IFERROR(XLOOKUP(E371, '04_Products'!$A:$A, '04_Products'!$F:$F), 0)</f>
        <v/>
      </c>
      <c r="I371" s="9">
        <f>F371*G371</f>
        <v/>
      </c>
      <c r="J371" s="11" t="n">
        <v>0</v>
      </c>
      <c r="K371" s="9">
        <f>I371*J371</f>
        <v/>
      </c>
      <c r="L371" s="9">
        <f>I371-K371</f>
        <v/>
      </c>
      <c r="M371" s="9">
        <f>F371*H371</f>
        <v/>
      </c>
      <c r="N371" s="9">
        <f>L371-M371</f>
        <v/>
      </c>
      <c r="O371" s="11">
        <f>IFERROR(N371/L371, 0)</f>
        <v/>
      </c>
      <c r="P371" s="8">
        <f>YEAR(C371)</f>
        <v/>
      </c>
      <c r="Q371" s="8">
        <f>TEXT(C371, "yyyy-mm")</f>
        <v/>
      </c>
      <c r="R371" s="8" t="inlineStr">
        <is>
          <t>Direct Web</t>
        </is>
      </c>
      <c r="S371" s="8" t="inlineStr">
        <is>
          <t>REG-APAC</t>
        </is>
      </c>
    </row>
    <row r="372">
      <c r="A372" s="8" t="inlineStr">
        <is>
          <t>DTL-0000371</t>
        </is>
      </c>
      <c r="B372" s="8" t="inlineStr">
        <is>
          <t>ORD-000180</t>
        </is>
      </c>
      <c r="C372" s="10" t="inlineStr">
        <is>
          <t>2024-12-13</t>
        </is>
      </c>
      <c r="D372" s="8" t="inlineStr">
        <is>
          <t>CUST-02141</t>
        </is>
      </c>
      <c r="E372" s="8" t="inlineStr">
        <is>
          <t>PRD-0167</t>
        </is>
      </c>
      <c r="F372" s="8" t="n">
        <v>4</v>
      </c>
      <c r="G372" s="9">
        <f>IFERROR(XLOOKUP(E372, '04_Products'!$A:$A, '04_Products'!$G:$G), 606.81)</f>
        <v/>
      </c>
      <c r="H372" s="9">
        <f>IFERROR(XLOOKUP(E372, '04_Products'!$A:$A, '04_Products'!$F:$F), 0)</f>
        <v/>
      </c>
      <c r="I372" s="9">
        <f>F372*G372</f>
        <v/>
      </c>
      <c r="J372" s="11" t="n">
        <v>0</v>
      </c>
      <c r="K372" s="9">
        <f>I372*J372</f>
        <v/>
      </c>
      <c r="L372" s="9">
        <f>I372-K372</f>
        <v/>
      </c>
      <c r="M372" s="9">
        <f>F372*H372</f>
        <v/>
      </c>
      <c r="N372" s="9">
        <f>L372-M372</f>
        <v/>
      </c>
      <c r="O372" s="11">
        <f>IFERROR(N372/L372, 0)</f>
        <v/>
      </c>
      <c r="P372" s="8">
        <f>YEAR(C372)</f>
        <v/>
      </c>
      <c r="Q372" s="8">
        <f>TEXT(C372, "yyyy-mm")</f>
        <v/>
      </c>
      <c r="R372" s="8" t="inlineStr">
        <is>
          <t>Affiliate Partner</t>
        </is>
      </c>
      <c r="S372" s="8" t="inlineStr">
        <is>
          <t>REG-EU</t>
        </is>
      </c>
    </row>
    <row r="373">
      <c r="A373" s="8" t="inlineStr">
        <is>
          <t>DTL-0000372</t>
        </is>
      </c>
      <c r="B373" s="8" t="inlineStr">
        <is>
          <t>ORD-000180</t>
        </is>
      </c>
      <c r="C373" s="10" t="inlineStr">
        <is>
          <t>2024-12-13</t>
        </is>
      </c>
      <c r="D373" s="8" t="inlineStr">
        <is>
          <t>CUST-02141</t>
        </is>
      </c>
      <c r="E373" s="8" t="inlineStr">
        <is>
          <t>PRD-0429</t>
        </is>
      </c>
      <c r="F373" s="8" t="n">
        <v>1</v>
      </c>
      <c r="G373" s="9">
        <f>IFERROR(XLOOKUP(E373, '04_Products'!$A:$A, '04_Products'!$G:$G), 790.21)</f>
        <v/>
      </c>
      <c r="H373" s="9">
        <f>IFERROR(XLOOKUP(E373, '04_Products'!$A:$A, '04_Products'!$F:$F), 0)</f>
        <v/>
      </c>
      <c r="I373" s="9">
        <f>F373*G373</f>
        <v/>
      </c>
      <c r="J373" s="11" t="n">
        <v>0.25</v>
      </c>
      <c r="K373" s="9">
        <f>I373*J373</f>
        <v/>
      </c>
      <c r="L373" s="9">
        <f>I373-K373</f>
        <v/>
      </c>
      <c r="M373" s="9">
        <f>F373*H373</f>
        <v/>
      </c>
      <c r="N373" s="9">
        <f>L373-M373</f>
        <v/>
      </c>
      <c r="O373" s="11">
        <f>IFERROR(N373/L373, 0)</f>
        <v/>
      </c>
      <c r="P373" s="8">
        <f>YEAR(C373)</f>
        <v/>
      </c>
      <c r="Q373" s="8">
        <f>TEXT(C373, "yyyy-mm")</f>
        <v/>
      </c>
      <c r="R373" s="8" t="inlineStr">
        <is>
          <t>Affiliate Partner</t>
        </is>
      </c>
      <c r="S373" s="8" t="inlineStr">
        <is>
          <t>REG-EU</t>
        </is>
      </c>
    </row>
    <row r="374">
      <c r="A374" s="8" t="inlineStr">
        <is>
          <t>DTL-0000373</t>
        </is>
      </c>
      <c r="B374" s="8" t="inlineStr">
        <is>
          <t>ORD-000181</t>
        </is>
      </c>
      <c r="C374" s="10" t="inlineStr">
        <is>
          <t>2023-03-26</t>
        </is>
      </c>
      <c r="D374" s="8" t="inlineStr">
        <is>
          <t>CUST-01219</t>
        </is>
      </c>
      <c r="E374" s="8" t="inlineStr">
        <is>
          <t>PRD-0151</t>
        </is>
      </c>
      <c r="F374" s="8" t="n">
        <v>2</v>
      </c>
      <c r="G374" s="9">
        <f>IFERROR(XLOOKUP(E374, '04_Products'!$A:$A, '04_Products'!$G:$G), 643.51)</f>
        <v/>
      </c>
      <c r="H374" s="9">
        <f>IFERROR(XLOOKUP(E374, '04_Products'!$A:$A, '04_Products'!$F:$F), 0)</f>
        <v/>
      </c>
      <c r="I374" s="9">
        <f>F374*G374</f>
        <v/>
      </c>
      <c r="J374" s="11" t="n">
        <v>0</v>
      </c>
      <c r="K374" s="9">
        <f>I374*J374</f>
        <v/>
      </c>
      <c r="L374" s="9">
        <f>I374-K374</f>
        <v/>
      </c>
      <c r="M374" s="9">
        <f>F374*H374</f>
        <v/>
      </c>
      <c r="N374" s="9">
        <f>L374-M374</f>
        <v/>
      </c>
      <c r="O374" s="11">
        <f>IFERROR(N374/L374, 0)</f>
        <v/>
      </c>
      <c r="P374" s="8">
        <f>YEAR(C374)</f>
        <v/>
      </c>
      <c r="Q374" s="8">
        <f>TEXT(C374, "yyyy-mm")</f>
        <v/>
      </c>
      <c r="R374" s="8" t="inlineStr">
        <is>
          <t>Affiliate Partner</t>
        </is>
      </c>
      <c r="S374" s="8" t="inlineStr">
        <is>
          <t>REG-NA</t>
        </is>
      </c>
    </row>
    <row r="375">
      <c r="A375" s="8" t="inlineStr">
        <is>
          <t>DTL-0000374</t>
        </is>
      </c>
      <c r="B375" s="8" t="inlineStr">
        <is>
          <t>ORD-000181</t>
        </is>
      </c>
      <c r="C375" s="10" t="inlineStr">
        <is>
          <t>2023-03-26</t>
        </is>
      </c>
      <c r="D375" s="8" t="inlineStr">
        <is>
          <t>CUST-01219</t>
        </is>
      </c>
      <c r="E375" s="8" t="inlineStr">
        <is>
          <t>PRD-0051</t>
        </is>
      </c>
      <c r="F375" s="8" t="n">
        <v>1</v>
      </c>
      <c r="G375" s="9">
        <f>IFERROR(XLOOKUP(E375, '04_Products'!$A:$A, '04_Products'!$G:$G), 896.46)</f>
        <v/>
      </c>
      <c r="H375" s="9">
        <f>IFERROR(XLOOKUP(E375, '04_Products'!$A:$A, '04_Products'!$F:$F), 0)</f>
        <v/>
      </c>
      <c r="I375" s="9">
        <f>F375*G375</f>
        <v/>
      </c>
      <c r="J375" s="11" t="n">
        <v>0.1</v>
      </c>
      <c r="K375" s="9">
        <f>I375*J375</f>
        <v/>
      </c>
      <c r="L375" s="9">
        <f>I375-K375</f>
        <v/>
      </c>
      <c r="M375" s="9">
        <f>F375*H375</f>
        <v/>
      </c>
      <c r="N375" s="9">
        <f>L375-M375</f>
        <v/>
      </c>
      <c r="O375" s="11">
        <f>IFERROR(N375/L375, 0)</f>
        <v/>
      </c>
      <c r="P375" s="8">
        <f>YEAR(C375)</f>
        <v/>
      </c>
      <c r="Q375" s="8">
        <f>TEXT(C375, "yyyy-mm")</f>
        <v/>
      </c>
      <c r="R375" s="8" t="inlineStr">
        <is>
          <t>Affiliate Partner</t>
        </is>
      </c>
      <c r="S375" s="8" t="inlineStr">
        <is>
          <t>REG-NA</t>
        </is>
      </c>
    </row>
    <row r="376">
      <c r="A376" s="8" t="inlineStr">
        <is>
          <t>DTL-0000375</t>
        </is>
      </c>
      <c r="B376" s="8" t="inlineStr">
        <is>
          <t>ORD-000181</t>
        </is>
      </c>
      <c r="C376" s="10" t="inlineStr">
        <is>
          <t>2023-03-26</t>
        </is>
      </c>
      <c r="D376" s="8" t="inlineStr">
        <is>
          <t>CUST-01219</t>
        </is>
      </c>
      <c r="E376" s="8" t="inlineStr">
        <is>
          <t>PRD-0090</t>
        </is>
      </c>
      <c r="F376" s="8" t="n">
        <v>1</v>
      </c>
      <c r="G376" s="9">
        <f>IFERROR(XLOOKUP(E376, '04_Products'!$A:$A, '04_Products'!$G:$G), 761.86)</f>
        <v/>
      </c>
      <c r="H376" s="9">
        <f>IFERROR(XLOOKUP(E376, '04_Products'!$A:$A, '04_Products'!$F:$F), 0)</f>
        <v/>
      </c>
      <c r="I376" s="9">
        <f>F376*G376</f>
        <v/>
      </c>
      <c r="J376" s="11" t="n">
        <v>0</v>
      </c>
      <c r="K376" s="9">
        <f>I376*J376</f>
        <v/>
      </c>
      <c r="L376" s="9">
        <f>I376-K376</f>
        <v/>
      </c>
      <c r="M376" s="9">
        <f>F376*H376</f>
        <v/>
      </c>
      <c r="N376" s="9">
        <f>L376-M376</f>
        <v/>
      </c>
      <c r="O376" s="11">
        <f>IFERROR(N376/L376, 0)</f>
        <v/>
      </c>
      <c r="P376" s="8">
        <f>YEAR(C376)</f>
        <v/>
      </c>
      <c r="Q376" s="8">
        <f>TEXT(C376, "yyyy-mm")</f>
        <v/>
      </c>
      <c r="R376" s="8" t="inlineStr">
        <is>
          <t>Affiliate Partner</t>
        </is>
      </c>
      <c r="S376" s="8" t="inlineStr">
        <is>
          <t>REG-NA</t>
        </is>
      </c>
    </row>
    <row r="377">
      <c r="A377" s="8" t="inlineStr">
        <is>
          <t>DTL-0000376</t>
        </is>
      </c>
      <c r="B377" s="8" t="inlineStr">
        <is>
          <t>ORD-000181</t>
        </is>
      </c>
      <c r="C377" s="10" t="inlineStr">
        <is>
          <t>2023-03-26</t>
        </is>
      </c>
      <c r="D377" s="8" t="inlineStr">
        <is>
          <t>CUST-01219</t>
        </is>
      </c>
      <c r="E377" s="8" t="inlineStr">
        <is>
          <t>PRD-0474</t>
        </is>
      </c>
      <c r="F377" s="8" t="n">
        <v>1</v>
      </c>
      <c r="G377" s="9">
        <f>IFERROR(XLOOKUP(E377, '04_Products'!$A:$A, '04_Products'!$G:$G), 86.79)</f>
        <v/>
      </c>
      <c r="H377" s="9">
        <f>IFERROR(XLOOKUP(E377, '04_Products'!$A:$A, '04_Products'!$F:$F), 0)</f>
        <v/>
      </c>
      <c r="I377" s="9">
        <f>F377*G377</f>
        <v/>
      </c>
      <c r="J377" s="11" t="n">
        <v>0</v>
      </c>
      <c r="K377" s="9">
        <f>I377*J377</f>
        <v/>
      </c>
      <c r="L377" s="9">
        <f>I377-K377</f>
        <v/>
      </c>
      <c r="M377" s="9">
        <f>F377*H377</f>
        <v/>
      </c>
      <c r="N377" s="9">
        <f>L377-M377</f>
        <v/>
      </c>
      <c r="O377" s="11">
        <f>IFERROR(N377/L377, 0)</f>
        <v/>
      </c>
      <c r="P377" s="8">
        <f>YEAR(C377)</f>
        <v/>
      </c>
      <c r="Q377" s="8">
        <f>TEXT(C377, "yyyy-mm")</f>
        <v/>
      </c>
      <c r="R377" s="8" t="inlineStr">
        <is>
          <t>Affiliate Partner</t>
        </is>
      </c>
      <c r="S377" s="8" t="inlineStr">
        <is>
          <t>REG-NA</t>
        </is>
      </c>
    </row>
    <row r="378">
      <c r="A378" s="8" t="inlineStr">
        <is>
          <t>DTL-0000377</t>
        </is>
      </c>
      <c r="B378" s="8" t="inlineStr">
        <is>
          <t>ORD-000182</t>
        </is>
      </c>
      <c r="C378" s="10" t="inlineStr">
        <is>
          <t>2025-11-16</t>
        </is>
      </c>
      <c r="D378" s="8" t="inlineStr">
        <is>
          <t>CUST-06677</t>
        </is>
      </c>
      <c r="E378" s="8" t="inlineStr">
        <is>
          <t>PRD-0381</t>
        </is>
      </c>
      <c r="F378" s="8" t="n">
        <v>2</v>
      </c>
      <c r="G378" s="9">
        <f>IFERROR(XLOOKUP(E378, '04_Products'!$A:$A, '04_Products'!$G:$G), 321.45)</f>
        <v/>
      </c>
      <c r="H378" s="9">
        <f>IFERROR(XLOOKUP(E378, '04_Products'!$A:$A, '04_Products'!$F:$F), 0)</f>
        <v/>
      </c>
      <c r="I378" s="9">
        <f>F378*G378</f>
        <v/>
      </c>
      <c r="J378" s="11" t="n">
        <v>0.1</v>
      </c>
      <c r="K378" s="9">
        <f>I378*J378</f>
        <v/>
      </c>
      <c r="L378" s="9">
        <f>I378-K378</f>
        <v/>
      </c>
      <c r="M378" s="9">
        <f>F378*H378</f>
        <v/>
      </c>
      <c r="N378" s="9">
        <f>L378-M378</f>
        <v/>
      </c>
      <c r="O378" s="11">
        <f>IFERROR(N378/L378, 0)</f>
        <v/>
      </c>
      <c r="P378" s="8">
        <f>YEAR(C378)</f>
        <v/>
      </c>
      <c r="Q378" s="8">
        <f>TEXT(C378, "yyyy-mm")</f>
        <v/>
      </c>
      <c r="R378" s="8" t="inlineStr">
        <is>
          <t>Direct Web</t>
        </is>
      </c>
      <c r="S378" s="8" t="inlineStr">
        <is>
          <t>REG-NA</t>
        </is>
      </c>
    </row>
    <row r="379">
      <c r="A379" s="8" t="inlineStr">
        <is>
          <t>DTL-0000378</t>
        </is>
      </c>
      <c r="B379" s="8" t="inlineStr">
        <is>
          <t>ORD-000183</t>
        </is>
      </c>
      <c r="C379" s="10" t="inlineStr">
        <is>
          <t>2024-11-24</t>
        </is>
      </c>
      <c r="D379" s="8" t="inlineStr">
        <is>
          <t>CUST-07797</t>
        </is>
      </c>
      <c r="E379" s="8" t="inlineStr">
        <is>
          <t>PRD-0012</t>
        </is>
      </c>
      <c r="F379" s="8" t="n">
        <v>1</v>
      </c>
      <c r="G379" s="9">
        <f>IFERROR(XLOOKUP(E379, '04_Products'!$A:$A, '04_Products'!$G:$G), 583.31)</f>
        <v/>
      </c>
      <c r="H379" s="9">
        <f>IFERROR(XLOOKUP(E379, '04_Products'!$A:$A, '04_Products'!$F:$F), 0)</f>
        <v/>
      </c>
      <c r="I379" s="9">
        <f>F379*G379</f>
        <v/>
      </c>
      <c r="J379" s="11" t="n">
        <v>0</v>
      </c>
      <c r="K379" s="9">
        <f>I379*J379</f>
        <v/>
      </c>
      <c r="L379" s="9">
        <f>I379-K379</f>
        <v/>
      </c>
      <c r="M379" s="9">
        <f>F379*H379</f>
        <v/>
      </c>
      <c r="N379" s="9">
        <f>L379-M379</f>
        <v/>
      </c>
      <c r="O379" s="11">
        <f>IFERROR(N379/L379, 0)</f>
        <v/>
      </c>
      <c r="P379" s="8">
        <f>YEAR(C379)</f>
        <v/>
      </c>
      <c r="Q379" s="8">
        <f>TEXT(C379, "yyyy-mm")</f>
        <v/>
      </c>
      <c r="R379" s="8" t="inlineStr">
        <is>
          <t>Direct Web</t>
        </is>
      </c>
      <c r="S379" s="8" t="inlineStr">
        <is>
          <t>REG-LATAM</t>
        </is>
      </c>
    </row>
    <row r="380">
      <c r="A380" s="8" t="inlineStr">
        <is>
          <t>DTL-0000379</t>
        </is>
      </c>
      <c r="B380" s="8" t="inlineStr">
        <is>
          <t>ORD-000184</t>
        </is>
      </c>
      <c r="C380" s="10" t="inlineStr">
        <is>
          <t>2024-09-11</t>
        </is>
      </c>
      <c r="D380" s="8" t="inlineStr">
        <is>
          <t>CUST-00006</t>
        </is>
      </c>
      <c r="E380" s="8" t="inlineStr">
        <is>
          <t>PRD-0296</t>
        </is>
      </c>
      <c r="F380" s="8" t="n">
        <v>1</v>
      </c>
      <c r="G380" s="9">
        <f>IFERROR(XLOOKUP(E380, '04_Products'!$A:$A, '04_Products'!$G:$G), 52.93)</f>
        <v/>
      </c>
      <c r="H380" s="9">
        <f>IFERROR(XLOOKUP(E380, '04_Products'!$A:$A, '04_Products'!$F:$F), 0)</f>
        <v/>
      </c>
      <c r="I380" s="9">
        <f>F380*G380</f>
        <v/>
      </c>
      <c r="J380" s="11" t="n">
        <v>0</v>
      </c>
      <c r="K380" s="9">
        <f>I380*J380</f>
        <v/>
      </c>
      <c r="L380" s="9">
        <f>I380-K380</f>
        <v/>
      </c>
      <c r="M380" s="9">
        <f>F380*H380</f>
        <v/>
      </c>
      <c r="N380" s="9">
        <f>L380-M380</f>
        <v/>
      </c>
      <c r="O380" s="11">
        <f>IFERROR(N380/L380, 0)</f>
        <v/>
      </c>
      <c r="P380" s="8">
        <f>YEAR(C380)</f>
        <v/>
      </c>
      <c r="Q380" s="8">
        <f>TEXT(C380, "yyyy-mm")</f>
        <v/>
      </c>
      <c r="R380" s="8" t="inlineStr">
        <is>
          <t>Direct Web</t>
        </is>
      </c>
      <c r="S380" s="8" t="inlineStr">
        <is>
          <t>REG-NA</t>
        </is>
      </c>
    </row>
    <row r="381">
      <c r="A381" s="8" t="inlineStr">
        <is>
          <t>DTL-0000380</t>
        </is>
      </c>
      <c r="B381" s="8" t="inlineStr">
        <is>
          <t>ORD-000185</t>
        </is>
      </c>
      <c r="C381" s="10" t="inlineStr">
        <is>
          <t>2025-03-02</t>
        </is>
      </c>
      <c r="D381" s="8" t="inlineStr">
        <is>
          <t>CUST-07198</t>
        </is>
      </c>
      <c r="E381" s="8" t="inlineStr">
        <is>
          <t>PRD-0118</t>
        </is>
      </c>
      <c r="F381" s="8" t="n">
        <v>1</v>
      </c>
      <c r="G381" s="9">
        <f>IFERROR(XLOOKUP(E381, '04_Products'!$A:$A, '04_Products'!$G:$G), 513.16)</f>
        <v/>
      </c>
      <c r="H381" s="9">
        <f>IFERROR(XLOOKUP(E381, '04_Products'!$A:$A, '04_Products'!$F:$F), 0)</f>
        <v/>
      </c>
      <c r="I381" s="9">
        <f>F381*G381</f>
        <v/>
      </c>
      <c r="J381" s="11" t="n">
        <v>0</v>
      </c>
      <c r="K381" s="9">
        <f>I381*J381</f>
        <v/>
      </c>
      <c r="L381" s="9">
        <f>I381-K381</f>
        <v/>
      </c>
      <c r="M381" s="9">
        <f>F381*H381</f>
        <v/>
      </c>
      <c r="N381" s="9">
        <f>L381-M381</f>
        <v/>
      </c>
      <c r="O381" s="11">
        <f>IFERROR(N381/L381, 0)</f>
        <v/>
      </c>
      <c r="P381" s="8">
        <f>YEAR(C381)</f>
        <v/>
      </c>
      <c r="Q381" s="8">
        <f>TEXT(C381, "yyyy-mm")</f>
        <v/>
      </c>
      <c r="R381" s="8" t="inlineStr">
        <is>
          <t>Direct Web</t>
        </is>
      </c>
      <c r="S381" s="8" t="inlineStr">
        <is>
          <t>REG-LATAM</t>
        </is>
      </c>
    </row>
    <row r="382">
      <c r="A382" s="8" t="inlineStr">
        <is>
          <t>DTL-0000381</t>
        </is>
      </c>
      <c r="B382" s="8" t="inlineStr">
        <is>
          <t>ORD-000185</t>
        </is>
      </c>
      <c r="C382" s="10" t="inlineStr">
        <is>
          <t>2025-03-02</t>
        </is>
      </c>
      <c r="D382" s="8" t="inlineStr">
        <is>
          <t>CUST-07198</t>
        </is>
      </c>
      <c r="E382" s="8" t="inlineStr">
        <is>
          <t>PRD-0426</t>
        </is>
      </c>
      <c r="F382" s="8" t="n">
        <v>2</v>
      </c>
      <c r="G382" s="9">
        <f>IFERROR(XLOOKUP(E382, '04_Products'!$A:$A, '04_Products'!$G:$G), 51.71)</f>
        <v/>
      </c>
      <c r="H382" s="9">
        <f>IFERROR(XLOOKUP(E382, '04_Products'!$A:$A, '04_Products'!$F:$F), 0)</f>
        <v/>
      </c>
      <c r="I382" s="9">
        <f>F382*G382</f>
        <v/>
      </c>
      <c r="J382" s="11" t="n">
        <v>0.25</v>
      </c>
      <c r="K382" s="9">
        <f>I382*J382</f>
        <v/>
      </c>
      <c r="L382" s="9">
        <f>I382-K382</f>
        <v/>
      </c>
      <c r="M382" s="9">
        <f>F382*H382</f>
        <v/>
      </c>
      <c r="N382" s="9">
        <f>L382-M382</f>
        <v/>
      </c>
      <c r="O382" s="11">
        <f>IFERROR(N382/L382, 0)</f>
        <v/>
      </c>
      <c r="P382" s="8">
        <f>YEAR(C382)</f>
        <v/>
      </c>
      <c r="Q382" s="8">
        <f>TEXT(C382, "yyyy-mm")</f>
        <v/>
      </c>
      <c r="R382" s="8" t="inlineStr">
        <is>
          <t>Direct Web</t>
        </is>
      </c>
      <c r="S382" s="8" t="inlineStr">
        <is>
          <t>REG-LATAM</t>
        </is>
      </c>
    </row>
    <row r="383">
      <c r="A383" s="8" t="inlineStr">
        <is>
          <t>DTL-0000382</t>
        </is>
      </c>
      <c r="B383" s="8" t="inlineStr">
        <is>
          <t>ORD-000185</t>
        </is>
      </c>
      <c r="C383" s="10" t="inlineStr">
        <is>
          <t>2025-03-02</t>
        </is>
      </c>
      <c r="D383" s="8" t="inlineStr">
        <is>
          <t>CUST-07198</t>
        </is>
      </c>
      <c r="E383" s="8" t="inlineStr">
        <is>
          <t>PRD-0493</t>
        </is>
      </c>
      <c r="F383" s="8" t="n">
        <v>2</v>
      </c>
      <c r="G383" s="9">
        <f>IFERROR(XLOOKUP(E383, '04_Products'!$A:$A, '04_Products'!$G:$G), 502.97)</f>
        <v/>
      </c>
      <c r="H383" s="9">
        <f>IFERROR(XLOOKUP(E383, '04_Products'!$A:$A, '04_Products'!$F:$F), 0)</f>
        <v/>
      </c>
      <c r="I383" s="9">
        <f>F383*G383</f>
        <v/>
      </c>
      <c r="J383" s="11" t="n">
        <v>0</v>
      </c>
      <c r="K383" s="9">
        <f>I383*J383</f>
        <v/>
      </c>
      <c r="L383" s="9">
        <f>I383-K383</f>
        <v/>
      </c>
      <c r="M383" s="9">
        <f>F383*H383</f>
        <v/>
      </c>
      <c r="N383" s="9">
        <f>L383-M383</f>
        <v/>
      </c>
      <c r="O383" s="11">
        <f>IFERROR(N383/L383, 0)</f>
        <v/>
      </c>
      <c r="P383" s="8">
        <f>YEAR(C383)</f>
        <v/>
      </c>
      <c r="Q383" s="8">
        <f>TEXT(C383, "yyyy-mm")</f>
        <v/>
      </c>
      <c r="R383" s="8" t="inlineStr">
        <is>
          <t>Direct Web</t>
        </is>
      </c>
      <c r="S383" s="8" t="inlineStr">
        <is>
          <t>REG-LATAM</t>
        </is>
      </c>
    </row>
    <row r="384">
      <c r="A384" s="8" t="inlineStr">
        <is>
          <t>DTL-0000383</t>
        </is>
      </c>
      <c r="B384" s="8" t="inlineStr">
        <is>
          <t>ORD-000185</t>
        </is>
      </c>
      <c r="C384" s="10" t="inlineStr">
        <is>
          <t>2025-03-02</t>
        </is>
      </c>
      <c r="D384" s="8" t="inlineStr">
        <is>
          <t>CUST-07198</t>
        </is>
      </c>
      <c r="E384" s="8" t="inlineStr">
        <is>
          <t>PRD-0279</t>
        </is>
      </c>
      <c r="F384" s="8" t="n">
        <v>2</v>
      </c>
      <c r="G384" s="9">
        <f>IFERROR(XLOOKUP(E384, '04_Products'!$A:$A, '04_Products'!$G:$G), 783.46)</f>
        <v/>
      </c>
      <c r="H384" s="9">
        <f>IFERROR(XLOOKUP(E384, '04_Products'!$A:$A, '04_Products'!$F:$F), 0)</f>
        <v/>
      </c>
      <c r="I384" s="9">
        <f>F384*G384</f>
        <v/>
      </c>
      <c r="J384" s="11" t="n">
        <v>0.05</v>
      </c>
      <c r="K384" s="9">
        <f>I384*J384</f>
        <v/>
      </c>
      <c r="L384" s="9">
        <f>I384-K384</f>
        <v/>
      </c>
      <c r="M384" s="9">
        <f>F384*H384</f>
        <v/>
      </c>
      <c r="N384" s="9">
        <f>L384-M384</f>
        <v/>
      </c>
      <c r="O384" s="11">
        <f>IFERROR(N384/L384, 0)</f>
        <v/>
      </c>
      <c r="P384" s="8">
        <f>YEAR(C384)</f>
        <v/>
      </c>
      <c r="Q384" s="8">
        <f>TEXT(C384, "yyyy-mm")</f>
        <v/>
      </c>
      <c r="R384" s="8" t="inlineStr">
        <is>
          <t>Direct Web</t>
        </is>
      </c>
      <c r="S384" s="8" t="inlineStr">
        <is>
          <t>REG-LATAM</t>
        </is>
      </c>
    </row>
    <row r="385">
      <c r="A385" s="8" t="inlineStr">
        <is>
          <t>DTL-0000384</t>
        </is>
      </c>
      <c r="B385" s="8" t="inlineStr">
        <is>
          <t>ORD-000186</t>
        </is>
      </c>
      <c r="C385" s="10" t="inlineStr">
        <is>
          <t>2025-03-28</t>
        </is>
      </c>
      <c r="D385" s="8" t="inlineStr">
        <is>
          <t>CUST-04697</t>
        </is>
      </c>
      <c r="E385" s="8" t="inlineStr">
        <is>
          <t>PRD-0178</t>
        </is>
      </c>
      <c r="F385" s="8" t="n">
        <v>1</v>
      </c>
      <c r="G385" s="9">
        <f>IFERROR(XLOOKUP(E385, '04_Products'!$A:$A, '04_Products'!$G:$G), 9.07)</f>
        <v/>
      </c>
      <c r="H385" s="9">
        <f>IFERROR(XLOOKUP(E385, '04_Products'!$A:$A, '04_Products'!$F:$F), 0)</f>
        <v/>
      </c>
      <c r="I385" s="9">
        <f>F385*G385</f>
        <v/>
      </c>
      <c r="J385" s="11" t="n">
        <v>0</v>
      </c>
      <c r="K385" s="9">
        <f>I385*J385</f>
        <v/>
      </c>
      <c r="L385" s="9">
        <f>I385-K385</f>
        <v/>
      </c>
      <c r="M385" s="9">
        <f>F385*H385</f>
        <v/>
      </c>
      <c r="N385" s="9">
        <f>L385-M385</f>
        <v/>
      </c>
      <c r="O385" s="11">
        <f>IFERROR(N385/L385, 0)</f>
        <v/>
      </c>
      <c r="P385" s="8">
        <f>YEAR(C385)</f>
        <v/>
      </c>
      <c r="Q385" s="8">
        <f>TEXT(C385, "yyyy-mm")</f>
        <v/>
      </c>
      <c r="R385" s="8" t="inlineStr">
        <is>
          <t>Direct Web</t>
        </is>
      </c>
      <c r="S385" s="8" t="inlineStr">
        <is>
          <t>REG-EU</t>
        </is>
      </c>
    </row>
    <row r="386">
      <c r="A386" s="8" t="inlineStr">
        <is>
          <t>DTL-0000385</t>
        </is>
      </c>
      <c r="B386" s="8" t="inlineStr">
        <is>
          <t>ORD-000187</t>
        </is>
      </c>
      <c r="C386" s="10" t="inlineStr">
        <is>
          <t>2023-05-25</t>
        </is>
      </c>
      <c r="D386" s="8" t="inlineStr">
        <is>
          <t>CUST-03519</t>
        </is>
      </c>
      <c r="E386" s="8" t="inlineStr">
        <is>
          <t>PRD-0005</t>
        </is>
      </c>
      <c r="F386" s="8" t="n">
        <v>3</v>
      </c>
      <c r="G386" s="9">
        <f>IFERROR(XLOOKUP(E386, '04_Products'!$A:$A, '04_Products'!$G:$G), 148.59)</f>
        <v/>
      </c>
      <c r="H386" s="9">
        <f>IFERROR(XLOOKUP(E386, '04_Products'!$A:$A, '04_Products'!$F:$F), 0)</f>
        <v/>
      </c>
      <c r="I386" s="9">
        <f>F386*G386</f>
        <v/>
      </c>
      <c r="J386" s="11" t="n">
        <v>0.15</v>
      </c>
      <c r="K386" s="9">
        <f>I386*J386</f>
        <v/>
      </c>
      <c r="L386" s="9">
        <f>I386-K386</f>
        <v/>
      </c>
      <c r="M386" s="9">
        <f>F386*H386</f>
        <v/>
      </c>
      <c r="N386" s="9">
        <f>L386-M386</f>
        <v/>
      </c>
      <c r="O386" s="11">
        <f>IFERROR(N386/L386, 0)</f>
        <v/>
      </c>
      <c r="P386" s="8">
        <f>YEAR(C386)</f>
        <v/>
      </c>
      <c r="Q386" s="8">
        <f>TEXT(C386, "yyyy-mm")</f>
        <v/>
      </c>
      <c r="R386" s="8" t="inlineStr">
        <is>
          <t>Mobile App</t>
        </is>
      </c>
      <c r="S386" s="8" t="inlineStr">
        <is>
          <t>REG-NA</t>
        </is>
      </c>
    </row>
    <row r="387">
      <c r="A387" s="8" t="inlineStr">
        <is>
          <t>DTL-0000386</t>
        </is>
      </c>
      <c r="B387" s="8" t="inlineStr">
        <is>
          <t>ORD-000187</t>
        </is>
      </c>
      <c r="C387" s="10" t="inlineStr">
        <is>
          <t>2023-05-25</t>
        </is>
      </c>
      <c r="D387" s="8" t="inlineStr">
        <is>
          <t>CUST-03519</t>
        </is>
      </c>
      <c r="E387" s="8" t="inlineStr">
        <is>
          <t>PRD-0270</t>
        </is>
      </c>
      <c r="F387" s="8" t="n">
        <v>1</v>
      </c>
      <c r="G387" s="9">
        <f>IFERROR(XLOOKUP(E387, '04_Products'!$A:$A, '04_Products'!$G:$G), 137.10)</f>
        <v/>
      </c>
      <c r="H387" s="9">
        <f>IFERROR(XLOOKUP(E387, '04_Products'!$A:$A, '04_Products'!$F:$F), 0)</f>
        <v/>
      </c>
      <c r="I387" s="9">
        <f>F387*G387</f>
        <v/>
      </c>
      <c r="J387" s="11" t="n">
        <v>0.05</v>
      </c>
      <c r="K387" s="9">
        <f>I387*J387</f>
        <v/>
      </c>
      <c r="L387" s="9">
        <f>I387-K387</f>
        <v/>
      </c>
      <c r="M387" s="9">
        <f>F387*H387</f>
        <v/>
      </c>
      <c r="N387" s="9">
        <f>L387-M387</f>
        <v/>
      </c>
      <c r="O387" s="11">
        <f>IFERROR(N387/L387, 0)</f>
        <v/>
      </c>
      <c r="P387" s="8">
        <f>YEAR(C387)</f>
        <v/>
      </c>
      <c r="Q387" s="8">
        <f>TEXT(C387, "yyyy-mm")</f>
        <v/>
      </c>
      <c r="R387" s="8" t="inlineStr">
        <is>
          <t>Mobile App</t>
        </is>
      </c>
      <c r="S387" s="8" t="inlineStr">
        <is>
          <t>REG-NA</t>
        </is>
      </c>
    </row>
    <row r="388">
      <c r="A388" s="8" t="inlineStr">
        <is>
          <t>DTL-0000387</t>
        </is>
      </c>
      <c r="B388" s="8" t="inlineStr">
        <is>
          <t>ORD-000188</t>
        </is>
      </c>
      <c r="C388" s="10" t="inlineStr">
        <is>
          <t>2023-08-29</t>
        </is>
      </c>
      <c r="D388" s="8" t="inlineStr">
        <is>
          <t>CUST-05274</t>
        </is>
      </c>
      <c r="E388" s="8" t="inlineStr">
        <is>
          <t>PRD-0030</t>
        </is>
      </c>
      <c r="F388" s="8" t="n">
        <v>2</v>
      </c>
      <c r="G388" s="9">
        <f>IFERROR(XLOOKUP(E388, '04_Products'!$A:$A, '04_Products'!$G:$G), 298.29)</f>
        <v/>
      </c>
      <c r="H388" s="9">
        <f>IFERROR(XLOOKUP(E388, '04_Products'!$A:$A, '04_Products'!$F:$F), 0)</f>
        <v/>
      </c>
      <c r="I388" s="9">
        <f>F388*G388</f>
        <v/>
      </c>
      <c r="J388" s="11" t="n">
        <v>0.15</v>
      </c>
      <c r="K388" s="9">
        <f>I388*J388</f>
        <v/>
      </c>
      <c r="L388" s="9">
        <f>I388-K388</f>
        <v/>
      </c>
      <c r="M388" s="9">
        <f>F388*H388</f>
        <v/>
      </c>
      <c r="N388" s="9">
        <f>L388-M388</f>
        <v/>
      </c>
      <c r="O388" s="11">
        <f>IFERROR(N388/L388, 0)</f>
        <v/>
      </c>
      <c r="P388" s="8">
        <f>YEAR(C388)</f>
        <v/>
      </c>
      <c r="Q388" s="8">
        <f>TEXT(C388, "yyyy-mm")</f>
        <v/>
      </c>
      <c r="R388" s="8" t="inlineStr">
        <is>
          <t>Mobile App</t>
        </is>
      </c>
      <c r="S388" s="8" t="inlineStr">
        <is>
          <t>REG-NA</t>
        </is>
      </c>
    </row>
    <row r="389">
      <c r="A389" s="8" t="inlineStr">
        <is>
          <t>DTL-0000388</t>
        </is>
      </c>
      <c r="B389" s="8" t="inlineStr">
        <is>
          <t>ORD-000189</t>
        </is>
      </c>
      <c r="C389" s="10" t="inlineStr">
        <is>
          <t>2025-02-10</t>
        </is>
      </c>
      <c r="D389" s="8" t="inlineStr">
        <is>
          <t>CUST-05395</t>
        </is>
      </c>
      <c r="E389" s="8" t="inlineStr">
        <is>
          <t>PRD-0025</t>
        </is>
      </c>
      <c r="F389" s="8" t="n">
        <v>2</v>
      </c>
      <c r="G389" s="9">
        <f>IFERROR(XLOOKUP(E389, '04_Products'!$A:$A, '04_Products'!$G:$G), 537.57)</f>
        <v/>
      </c>
      <c r="H389" s="9">
        <f>IFERROR(XLOOKUP(E389, '04_Products'!$A:$A, '04_Products'!$F:$F), 0)</f>
        <v/>
      </c>
      <c r="I389" s="9">
        <f>F389*G389</f>
        <v/>
      </c>
      <c r="J389" s="11" t="n">
        <v>0.1</v>
      </c>
      <c r="K389" s="9">
        <f>I389*J389</f>
        <v/>
      </c>
      <c r="L389" s="9">
        <f>I389-K389</f>
        <v/>
      </c>
      <c r="M389" s="9">
        <f>F389*H389</f>
        <v/>
      </c>
      <c r="N389" s="9">
        <f>L389-M389</f>
        <v/>
      </c>
      <c r="O389" s="11">
        <f>IFERROR(N389/L389, 0)</f>
        <v/>
      </c>
      <c r="P389" s="8">
        <f>YEAR(C389)</f>
        <v/>
      </c>
      <c r="Q389" s="8">
        <f>TEXT(C389, "yyyy-mm")</f>
        <v/>
      </c>
      <c r="R389" s="8" t="inlineStr">
        <is>
          <t>B2B Portal</t>
        </is>
      </c>
      <c r="S389" s="8" t="inlineStr">
        <is>
          <t>REG-APAC</t>
        </is>
      </c>
    </row>
    <row r="390">
      <c r="A390" s="8" t="inlineStr">
        <is>
          <t>DTL-0000389</t>
        </is>
      </c>
      <c r="B390" s="8" t="inlineStr">
        <is>
          <t>ORD-000189</t>
        </is>
      </c>
      <c r="C390" s="10" t="inlineStr">
        <is>
          <t>2025-02-10</t>
        </is>
      </c>
      <c r="D390" s="8" t="inlineStr">
        <is>
          <t>CUST-05395</t>
        </is>
      </c>
      <c r="E390" s="8" t="inlineStr">
        <is>
          <t>PRD-0332</t>
        </is>
      </c>
      <c r="F390" s="8" t="n">
        <v>1</v>
      </c>
      <c r="G390" s="9">
        <f>IFERROR(XLOOKUP(E390, '04_Products'!$A:$A, '04_Products'!$G:$G), 82.03)</f>
        <v/>
      </c>
      <c r="H390" s="9">
        <f>IFERROR(XLOOKUP(E390, '04_Products'!$A:$A, '04_Products'!$F:$F), 0)</f>
        <v/>
      </c>
      <c r="I390" s="9">
        <f>F390*G390</f>
        <v/>
      </c>
      <c r="J390" s="11" t="n">
        <v>0.15</v>
      </c>
      <c r="K390" s="9">
        <f>I390*J390</f>
        <v/>
      </c>
      <c r="L390" s="9">
        <f>I390-K390</f>
        <v/>
      </c>
      <c r="M390" s="9">
        <f>F390*H390</f>
        <v/>
      </c>
      <c r="N390" s="9">
        <f>L390-M390</f>
        <v/>
      </c>
      <c r="O390" s="11">
        <f>IFERROR(N390/L390, 0)</f>
        <v/>
      </c>
      <c r="P390" s="8">
        <f>YEAR(C390)</f>
        <v/>
      </c>
      <c r="Q390" s="8">
        <f>TEXT(C390, "yyyy-mm")</f>
        <v/>
      </c>
      <c r="R390" s="8" t="inlineStr">
        <is>
          <t>B2B Portal</t>
        </is>
      </c>
      <c r="S390" s="8" t="inlineStr">
        <is>
          <t>REG-APAC</t>
        </is>
      </c>
    </row>
    <row r="391">
      <c r="A391" s="8" t="inlineStr">
        <is>
          <t>DTL-0000390</t>
        </is>
      </c>
      <c r="B391" s="8" t="inlineStr">
        <is>
          <t>ORD-000189</t>
        </is>
      </c>
      <c r="C391" s="10" t="inlineStr">
        <is>
          <t>2025-02-10</t>
        </is>
      </c>
      <c r="D391" s="8" t="inlineStr">
        <is>
          <t>CUST-05395</t>
        </is>
      </c>
      <c r="E391" s="8" t="inlineStr">
        <is>
          <t>PRD-0267</t>
        </is>
      </c>
      <c r="F391" s="8" t="n">
        <v>1</v>
      </c>
      <c r="G391" s="9">
        <f>IFERROR(XLOOKUP(E391, '04_Products'!$A:$A, '04_Products'!$G:$G), 187.70)</f>
        <v/>
      </c>
      <c r="H391" s="9">
        <f>IFERROR(XLOOKUP(E391, '04_Products'!$A:$A, '04_Products'!$F:$F), 0)</f>
        <v/>
      </c>
      <c r="I391" s="9">
        <f>F391*G391</f>
        <v/>
      </c>
      <c r="J391" s="11" t="n">
        <v>0.2</v>
      </c>
      <c r="K391" s="9">
        <f>I391*J391</f>
        <v/>
      </c>
      <c r="L391" s="9">
        <f>I391-K391</f>
        <v/>
      </c>
      <c r="M391" s="9">
        <f>F391*H391</f>
        <v/>
      </c>
      <c r="N391" s="9">
        <f>L391-M391</f>
        <v/>
      </c>
      <c r="O391" s="11">
        <f>IFERROR(N391/L391, 0)</f>
        <v/>
      </c>
      <c r="P391" s="8">
        <f>YEAR(C391)</f>
        <v/>
      </c>
      <c r="Q391" s="8">
        <f>TEXT(C391, "yyyy-mm")</f>
        <v/>
      </c>
      <c r="R391" s="8" t="inlineStr">
        <is>
          <t>B2B Portal</t>
        </is>
      </c>
      <c r="S391" s="8" t="inlineStr">
        <is>
          <t>REG-APAC</t>
        </is>
      </c>
    </row>
    <row r="392">
      <c r="A392" s="8" t="inlineStr">
        <is>
          <t>DTL-0000391</t>
        </is>
      </c>
      <c r="B392" s="8" t="inlineStr">
        <is>
          <t>ORD-000189</t>
        </is>
      </c>
      <c r="C392" s="10" t="inlineStr">
        <is>
          <t>2025-02-10</t>
        </is>
      </c>
      <c r="D392" s="8" t="inlineStr">
        <is>
          <t>CUST-05395</t>
        </is>
      </c>
      <c r="E392" s="8" t="inlineStr">
        <is>
          <t>PRD-0424</t>
        </is>
      </c>
      <c r="F392" s="8" t="n">
        <v>1</v>
      </c>
      <c r="G392" s="9">
        <f>IFERROR(XLOOKUP(E392, '04_Products'!$A:$A, '04_Products'!$G:$G), 268.72)</f>
        <v/>
      </c>
      <c r="H392" s="9">
        <f>IFERROR(XLOOKUP(E392, '04_Products'!$A:$A, '04_Products'!$F:$F), 0)</f>
        <v/>
      </c>
      <c r="I392" s="9">
        <f>F392*G392</f>
        <v/>
      </c>
      <c r="J392" s="11" t="n">
        <v>0.1</v>
      </c>
      <c r="K392" s="9">
        <f>I392*J392</f>
        <v/>
      </c>
      <c r="L392" s="9">
        <f>I392-K392</f>
        <v/>
      </c>
      <c r="M392" s="9">
        <f>F392*H392</f>
        <v/>
      </c>
      <c r="N392" s="9">
        <f>L392-M392</f>
        <v/>
      </c>
      <c r="O392" s="11">
        <f>IFERROR(N392/L392, 0)</f>
        <v/>
      </c>
      <c r="P392" s="8">
        <f>YEAR(C392)</f>
        <v/>
      </c>
      <c r="Q392" s="8">
        <f>TEXT(C392, "yyyy-mm")</f>
        <v/>
      </c>
      <c r="R392" s="8" t="inlineStr">
        <is>
          <t>B2B Portal</t>
        </is>
      </c>
      <c r="S392" s="8" t="inlineStr">
        <is>
          <t>REG-APAC</t>
        </is>
      </c>
    </row>
    <row r="393">
      <c r="A393" s="8" t="inlineStr">
        <is>
          <t>DTL-0000392</t>
        </is>
      </c>
      <c r="B393" s="8" t="inlineStr">
        <is>
          <t>ORD-000189</t>
        </is>
      </c>
      <c r="C393" s="10" t="inlineStr">
        <is>
          <t>2025-02-10</t>
        </is>
      </c>
      <c r="D393" s="8" t="inlineStr">
        <is>
          <t>CUST-05395</t>
        </is>
      </c>
      <c r="E393" s="8" t="inlineStr">
        <is>
          <t>PRD-0167</t>
        </is>
      </c>
      <c r="F393" s="8" t="n">
        <v>1</v>
      </c>
      <c r="G393" s="9">
        <f>IFERROR(XLOOKUP(E393, '04_Products'!$A:$A, '04_Products'!$G:$G), 606.81)</f>
        <v/>
      </c>
      <c r="H393" s="9">
        <f>IFERROR(XLOOKUP(E393, '04_Products'!$A:$A, '04_Products'!$F:$F), 0)</f>
        <v/>
      </c>
      <c r="I393" s="9">
        <f>F393*G393</f>
        <v/>
      </c>
      <c r="J393" s="11" t="n">
        <v>0.15</v>
      </c>
      <c r="K393" s="9">
        <f>I393*J393</f>
        <v/>
      </c>
      <c r="L393" s="9">
        <f>I393-K393</f>
        <v/>
      </c>
      <c r="M393" s="9">
        <f>F393*H393</f>
        <v/>
      </c>
      <c r="N393" s="9">
        <f>L393-M393</f>
        <v/>
      </c>
      <c r="O393" s="11">
        <f>IFERROR(N393/L393, 0)</f>
        <v/>
      </c>
      <c r="P393" s="8">
        <f>YEAR(C393)</f>
        <v/>
      </c>
      <c r="Q393" s="8">
        <f>TEXT(C393, "yyyy-mm")</f>
        <v/>
      </c>
      <c r="R393" s="8" t="inlineStr">
        <is>
          <t>B2B Portal</t>
        </is>
      </c>
      <c r="S393" s="8" t="inlineStr">
        <is>
          <t>REG-APAC</t>
        </is>
      </c>
    </row>
    <row r="394">
      <c r="A394" s="8" t="inlineStr">
        <is>
          <t>DTL-0000393</t>
        </is>
      </c>
      <c r="B394" s="8" t="inlineStr">
        <is>
          <t>ORD-000190</t>
        </is>
      </c>
      <c r="C394" s="10" t="inlineStr">
        <is>
          <t>2024-12-20</t>
        </is>
      </c>
      <c r="D394" s="8" t="inlineStr">
        <is>
          <t>CUST-04793</t>
        </is>
      </c>
      <c r="E394" s="8" t="inlineStr">
        <is>
          <t>PRD-0094</t>
        </is>
      </c>
      <c r="F394" s="8" t="n">
        <v>10</v>
      </c>
      <c r="G394" s="9">
        <f>IFERROR(XLOOKUP(E394, '04_Products'!$A:$A, '04_Products'!$G:$G), 282.30)</f>
        <v/>
      </c>
      <c r="H394" s="9">
        <f>IFERROR(XLOOKUP(E394, '04_Products'!$A:$A, '04_Products'!$F:$F), 0)</f>
        <v/>
      </c>
      <c r="I394" s="9">
        <f>F394*G394</f>
        <v/>
      </c>
      <c r="J394" s="11" t="n">
        <v>0.05</v>
      </c>
      <c r="K394" s="9">
        <f>I394*J394</f>
        <v/>
      </c>
      <c r="L394" s="9">
        <f>I394-K394</f>
        <v/>
      </c>
      <c r="M394" s="9">
        <f>F394*H394</f>
        <v/>
      </c>
      <c r="N394" s="9">
        <f>L394-M394</f>
        <v/>
      </c>
      <c r="O394" s="11">
        <f>IFERROR(N394/L394, 0)</f>
        <v/>
      </c>
      <c r="P394" s="8">
        <f>YEAR(C394)</f>
        <v/>
      </c>
      <c r="Q394" s="8">
        <f>TEXT(C394, "yyyy-mm")</f>
        <v/>
      </c>
      <c r="R394" s="8" t="inlineStr">
        <is>
          <t>Direct Web</t>
        </is>
      </c>
      <c r="S394" s="8" t="inlineStr">
        <is>
          <t>REG-NA</t>
        </is>
      </c>
    </row>
    <row r="395">
      <c r="A395" s="8" t="inlineStr">
        <is>
          <t>DTL-0000394</t>
        </is>
      </c>
      <c r="B395" s="8" t="inlineStr">
        <is>
          <t>ORD-000190</t>
        </is>
      </c>
      <c r="C395" s="10" t="inlineStr">
        <is>
          <t>2024-12-20</t>
        </is>
      </c>
      <c r="D395" s="8" t="inlineStr">
        <is>
          <t>CUST-04793</t>
        </is>
      </c>
      <c r="E395" s="8" t="inlineStr">
        <is>
          <t>PRD-0220</t>
        </is>
      </c>
      <c r="F395" s="8" t="n">
        <v>1</v>
      </c>
      <c r="G395" s="9">
        <f>IFERROR(XLOOKUP(E395, '04_Products'!$A:$A, '04_Products'!$G:$G), 472.50)</f>
        <v/>
      </c>
      <c r="H395" s="9">
        <f>IFERROR(XLOOKUP(E395, '04_Products'!$A:$A, '04_Products'!$F:$F), 0)</f>
        <v/>
      </c>
      <c r="I395" s="9">
        <f>F395*G395</f>
        <v/>
      </c>
      <c r="J395" s="11" t="n">
        <v>0.15</v>
      </c>
      <c r="K395" s="9">
        <f>I395*J395</f>
        <v/>
      </c>
      <c r="L395" s="9">
        <f>I395-K395</f>
        <v/>
      </c>
      <c r="M395" s="9">
        <f>F395*H395</f>
        <v/>
      </c>
      <c r="N395" s="9">
        <f>L395-M395</f>
        <v/>
      </c>
      <c r="O395" s="11">
        <f>IFERROR(N395/L395, 0)</f>
        <v/>
      </c>
      <c r="P395" s="8">
        <f>YEAR(C395)</f>
        <v/>
      </c>
      <c r="Q395" s="8">
        <f>TEXT(C395, "yyyy-mm")</f>
        <v/>
      </c>
      <c r="R395" s="8" t="inlineStr">
        <is>
          <t>Direct Web</t>
        </is>
      </c>
      <c r="S395" s="8" t="inlineStr">
        <is>
          <t>REG-NA</t>
        </is>
      </c>
    </row>
    <row r="396">
      <c r="A396" s="8" t="inlineStr">
        <is>
          <t>DTL-0000395</t>
        </is>
      </c>
      <c r="B396" s="8" t="inlineStr">
        <is>
          <t>ORD-000191</t>
        </is>
      </c>
      <c r="C396" s="10" t="inlineStr">
        <is>
          <t>2023-09-19</t>
        </is>
      </c>
      <c r="D396" s="8" t="inlineStr">
        <is>
          <t>CUST-05166</t>
        </is>
      </c>
      <c r="E396" s="8" t="inlineStr">
        <is>
          <t>PRD-0107</t>
        </is>
      </c>
      <c r="F396" s="8" t="n">
        <v>3</v>
      </c>
      <c r="G396" s="9">
        <f>IFERROR(XLOOKUP(E396, '04_Products'!$A:$A, '04_Products'!$G:$G), 754.95)</f>
        <v/>
      </c>
      <c r="H396" s="9">
        <f>IFERROR(XLOOKUP(E396, '04_Products'!$A:$A, '04_Products'!$F:$F), 0)</f>
        <v/>
      </c>
      <c r="I396" s="9">
        <f>F396*G396</f>
        <v/>
      </c>
      <c r="J396" s="11" t="n">
        <v>0</v>
      </c>
      <c r="K396" s="9">
        <f>I396*J396</f>
        <v/>
      </c>
      <c r="L396" s="9">
        <f>I396-K396</f>
        <v/>
      </c>
      <c r="M396" s="9">
        <f>F396*H396</f>
        <v/>
      </c>
      <c r="N396" s="9">
        <f>L396-M396</f>
        <v/>
      </c>
      <c r="O396" s="11">
        <f>IFERROR(N396/L396, 0)</f>
        <v/>
      </c>
      <c r="P396" s="8">
        <f>YEAR(C396)</f>
        <v/>
      </c>
      <c r="Q396" s="8">
        <f>TEXT(C396, "yyyy-mm")</f>
        <v/>
      </c>
      <c r="R396" s="8" t="inlineStr">
        <is>
          <t>Mobile App</t>
        </is>
      </c>
      <c r="S396" s="8" t="inlineStr">
        <is>
          <t>REG-LATAM</t>
        </is>
      </c>
    </row>
    <row r="397">
      <c r="A397" s="8" t="inlineStr">
        <is>
          <t>DTL-0000396</t>
        </is>
      </c>
      <c r="B397" s="8" t="inlineStr">
        <is>
          <t>ORD-000191</t>
        </is>
      </c>
      <c r="C397" s="10" t="inlineStr">
        <is>
          <t>2023-09-19</t>
        </is>
      </c>
      <c r="D397" s="8" t="inlineStr">
        <is>
          <t>CUST-05166</t>
        </is>
      </c>
      <c r="E397" s="8" t="inlineStr">
        <is>
          <t>PRD-0486</t>
        </is>
      </c>
      <c r="F397" s="8" t="n">
        <v>2</v>
      </c>
      <c r="G397" s="9">
        <f>IFERROR(XLOOKUP(E397, '04_Products'!$A:$A, '04_Products'!$G:$G), 499.02)</f>
        <v/>
      </c>
      <c r="H397" s="9">
        <f>IFERROR(XLOOKUP(E397, '04_Products'!$A:$A, '04_Products'!$F:$F), 0)</f>
        <v/>
      </c>
      <c r="I397" s="9">
        <f>F397*G397</f>
        <v/>
      </c>
      <c r="J397" s="11" t="n">
        <v>0</v>
      </c>
      <c r="K397" s="9">
        <f>I397*J397</f>
        <v/>
      </c>
      <c r="L397" s="9">
        <f>I397-K397</f>
        <v/>
      </c>
      <c r="M397" s="9">
        <f>F397*H397</f>
        <v/>
      </c>
      <c r="N397" s="9">
        <f>L397-M397</f>
        <v/>
      </c>
      <c r="O397" s="11">
        <f>IFERROR(N397/L397, 0)</f>
        <v/>
      </c>
      <c r="P397" s="8">
        <f>YEAR(C397)</f>
        <v/>
      </c>
      <c r="Q397" s="8">
        <f>TEXT(C397, "yyyy-mm")</f>
        <v/>
      </c>
      <c r="R397" s="8" t="inlineStr">
        <is>
          <t>Mobile App</t>
        </is>
      </c>
      <c r="S397" s="8" t="inlineStr">
        <is>
          <t>REG-LATAM</t>
        </is>
      </c>
    </row>
    <row r="398">
      <c r="A398" s="8" t="inlineStr">
        <is>
          <t>DTL-0000397</t>
        </is>
      </c>
      <c r="B398" s="8" t="inlineStr">
        <is>
          <t>ORD-000192</t>
        </is>
      </c>
      <c r="C398" s="10" t="inlineStr">
        <is>
          <t>2023-03-04</t>
        </is>
      </c>
      <c r="D398" s="8" t="inlineStr">
        <is>
          <t>CUST-01186</t>
        </is>
      </c>
      <c r="E398" s="8" t="inlineStr">
        <is>
          <t>PRD-0109</t>
        </is>
      </c>
      <c r="F398" s="8" t="n">
        <v>1</v>
      </c>
      <c r="G398" s="9">
        <f>IFERROR(XLOOKUP(E398, '04_Products'!$A:$A, '04_Products'!$G:$G), 53.86)</f>
        <v/>
      </c>
      <c r="H398" s="9">
        <f>IFERROR(XLOOKUP(E398, '04_Products'!$A:$A, '04_Products'!$F:$F), 0)</f>
        <v/>
      </c>
      <c r="I398" s="9">
        <f>F398*G398</f>
        <v/>
      </c>
      <c r="J398" s="11" t="n">
        <v>0.1</v>
      </c>
      <c r="K398" s="9">
        <f>I398*J398</f>
        <v/>
      </c>
      <c r="L398" s="9">
        <f>I398-K398</f>
        <v/>
      </c>
      <c r="M398" s="9">
        <f>F398*H398</f>
        <v/>
      </c>
      <c r="N398" s="9">
        <f>L398-M398</f>
        <v/>
      </c>
      <c r="O398" s="11">
        <f>IFERROR(N398/L398, 0)</f>
        <v/>
      </c>
      <c r="P398" s="8">
        <f>YEAR(C398)</f>
        <v/>
      </c>
      <c r="Q398" s="8">
        <f>TEXT(C398, "yyyy-mm")</f>
        <v/>
      </c>
      <c r="R398" s="8" t="inlineStr">
        <is>
          <t>Mobile App</t>
        </is>
      </c>
      <c r="S398" s="8" t="inlineStr">
        <is>
          <t>REG-LATAM</t>
        </is>
      </c>
    </row>
    <row r="399">
      <c r="A399" s="8" t="inlineStr">
        <is>
          <t>DTL-0000398</t>
        </is>
      </c>
      <c r="B399" s="8" t="inlineStr">
        <is>
          <t>ORD-000193</t>
        </is>
      </c>
      <c r="C399" s="10" t="inlineStr">
        <is>
          <t>2023-06-28</t>
        </is>
      </c>
      <c r="D399" s="8" t="inlineStr">
        <is>
          <t>CUST-02999</t>
        </is>
      </c>
      <c r="E399" s="8" t="inlineStr">
        <is>
          <t>PRD-0072</t>
        </is>
      </c>
      <c r="F399" s="8" t="n">
        <v>10</v>
      </c>
      <c r="G399" s="9">
        <f>IFERROR(XLOOKUP(E399, '04_Products'!$A:$A, '04_Products'!$G:$G), 548.35)</f>
        <v/>
      </c>
      <c r="H399" s="9">
        <f>IFERROR(XLOOKUP(E399, '04_Products'!$A:$A, '04_Products'!$F:$F), 0)</f>
        <v/>
      </c>
      <c r="I399" s="9">
        <f>F399*G399</f>
        <v/>
      </c>
      <c r="J399" s="11" t="n">
        <v>0.05</v>
      </c>
      <c r="K399" s="9">
        <f>I399*J399</f>
        <v/>
      </c>
      <c r="L399" s="9">
        <f>I399-K399</f>
        <v/>
      </c>
      <c r="M399" s="9">
        <f>F399*H399</f>
        <v/>
      </c>
      <c r="N399" s="9">
        <f>L399-M399</f>
        <v/>
      </c>
      <c r="O399" s="11">
        <f>IFERROR(N399/L399, 0)</f>
        <v/>
      </c>
      <c r="P399" s="8">
        <f>YEAR(C399)</f>
        <v/>
      </c>
      <c r="Q399" s="8">
        <f>TEXT(C399, "yyyy-mm")</f>
        <v/>
      </c>
      <c r="R399" s="8" t="inlineStr">
        <is>
          <t>Direct Web</t>
        </is>
      </c>
      <c r="S399" s="8" t="inlineStr">
        <is>
          <t>REG-EU</t>
        </is>
      </c>
    </row>
    <row r="400">
      <c r="A400" s="8" t="inlineStr">
        <is>
          <t>DTL-0000399</t>
        </is>
      </c>
      <c r="B400" s="8" t="inlineStr">
        <is>
          <t>ORD-000194</t>
        </is>
      </c>
      <c r="C400" s="10" t="inlineStr">
        <is>
          <t>2023-11-20</t>
        </is>
      </c>
      <c r="D400" s="8" t="inlineStr">
        <is>
          <t>CUST-02632</t>
        </is>
      </c>
      <c r="E400" s="8" t="inlineStr">
        <is>
          <t>PRD-0387</t>
        </is>
      </c>
      <c r="F400" s="8" t="n">
        <v>2</v>
      </c>
      <c r="G400" s="9">
        <f>IFERROR(XLOOKUP(E400, '04_Products'!$A:$A, '04_Products'!$G:$G), 123.30)</f>
        <v/>
      </c>
      <c r="H400" s="9">
        <f>IFERROR(XLOOKUP(E400, '04_Products'!$A:$A, '04_Products'!$F:$F), 0)</f>
        <v/>
      </c>
      <c r="I400" s="9">
        <f>F400*G400</f>
        <v/>
      </c>
      <c r="J400" s="11" t="n">
        <v>0.15</v>
      </c>
      <c r="K400" s="9">
        <f>I400*J400</f>
        <v/>
      </c>
      <c r="L400" s="9">
        <f>I400-K400</f>
        <v/>
      </c>
      <c r="M400" s="9">
        <f>F400*H400</f>
        <v/>
      </c>
      <c r="N400" s="9">
        <f>L400-M400</f>
        <v/>
      </c>
      <c r="O400" s="11">
        <f>IFERROR(N400/L400, 0)</f>
        <v/>
      </c>
      <c r="P400" s="8">
        <f>YEAR(C400)</f>
        <v/>
      </c>
      <c r="Q400" s="8">
        <f>TEXT(C400, "yyyy-mm")</f>
        <v/>
      </c>
      <c r="R400" s="8" t="inlineStr">
        <is>
          <t>Mobile App</t>
        </is>
      </c>
      <c r="S400" s="8" t="inlineStr">
        <is>
          <t>REG-APAC</t>
        </is>
      </c>
    </row>
    <row r="401">
      <c r="A401" s="8" t="inlineStr">
        <is>
          <t>DTL-0000400</t>
        </is>
      </c>
      <c r="B401" s="8" t="inlineStr">
        <is>
          <t>ORD-000194</t>
        </is>
      </c>
      <c r="C401" s="10" t="inlineStr">
        <is>
          <t>2023-11-20</t>
        </is>
      </c>
      <c r="D401" s="8" t="inlineStr">
        <is>
          <t>CUST-02632</t>
        </is>
      </c>
      <c r="E401" s="8" t="inlineStr">
        <is>
          <t>PRD-0113</t>
        </is>
      </c>
      <c r="F401" s="8" t="n">
        <v>1</v>
      </c>
      <c r="G401" s="9">
        <f>IFERROR(XLOOKUP(E401, '04_Products'!$A:$A, '04_Products'!$G:$G), 70.09)</f>
        <v/>
      </c>
      <c r="H401" s="9">
        <f>IFERROR(XLOOKUP(E401, '04_Products'!$A:$A, '04_Products'!$F:$F), 0)</f>
        <v/>
      </c>
      <c r="I401" s="9">
        <f>F401*G401</f>
        <v/>
      </c>
      <c r="J401" s="11" t="n">
        <v>0.3</v>
      </c>
      <c r="K401" s="9">
        <f>I401*J401</f>
        <v/>
      </c>
      <c r="L401" s="9">
        <f>I401-K401</f>
        <v/>
      </c>
      <c r="M401" s="9">
        <f>F401*H401</f>
        <v/>
      </c>
      <c r="N401" s="9">
        <f>L401-M401</f>
        <v/>
      </c>
      <c r="O401" s="11">
        <f>IFERROR(N401/L401, 0)</f>
        <v/>
      </c>
      <c r="P401" s="8">
        <f>YEAR(C401)</f>
        <v/>
      </c>
      <c r="Q401" s="8">
        <f>TEXT(C401, "yyyy-mm")</f>
        <v/>
      </c>
      <c r="R401" s="8" t="inlineStr">
        <is>
          <t>Mobile App</t>
        </is>
      </c>
      <c r="S401" s="8" t="inlineStr">
        <is>
          <t>REG-APAC</t>
        </is>
      </c>
    </row>
    <row r="402">
      <c r="A402" s="8" t="inlineStr">
        <is>
          <t>DTL-0000401</t>
        </is>
      </c>
      <c r="B402" s="8" t="inlineStr">
        <is>
          <t>ORD-000195</t>
        </is>
      </c>
      <c r="C402" s="10" t="inlineStr">
        <is>
          <t>2025-06-12</t>
        </is>
      </c>
      <c r="D402" s="8" t="inlineStr">
        <is>
          <t>CUST-07327</t>
        </is>
      </c>
      <c r="E402" s="8" t="inlineStr">
        <is>
          <t>PRD-0126</t>
        </is>
      </c>
      <c r="F402" s="8" t="n">
        <v>1</v>
      </c>
      <c r="G402" s="9">
        <f>IFERROR(XLOOKUP(E402, '04_Products'!$A:$A, '04_Products'!$G:$G), 195.24)</f>
        <v/>
      </c>
      <c r="H402" s="9">
        <f>IFERROR(XLOOKUP(E402, '04_Products'!$A:$A, '04_Products'!$F:$F), 0)</f>
        <v/>
      </c>
      <c r="I402" s="9">
        <f>F402*G402</f>
        <v/>
      </c>
      <c r="J402" s="11" t="n">
        <v>0</v>
      </c>
      <c r="K402" s="9">
        <f>I402*J402</f>
        <v/>
      </c>
      <c r="L402" s="9">
        <f>I402-K402</f>
        <v/>
      </c>
      <c r="M402" s="9">
        <f>F402*H402</f>
        <v/>
      </c>
      <c r="N402" s="9">
        <f>L402-M402</f>
        <v/>
      </c>
      <c r="O402" s="11">
        <f>IFERROR(N402/L402, 0)</f>
        <v/>
      </c>
      <c r="P402" s="8">
        <f>YEAR(C402)</f>
        <v/>
      </c>
      <c r="Q402" s="8">
        <f>TEXT(C402, "yyyy-mm")</f>
        <v/>
      </c>
      <c r="R402" s="8" t="inlineStr">
        <is>
          <t>Mobile App</t>
        </is>
      </c>
      <c r="S402" s="8" t="inlineStr">
        <is>
          <t>REG-APAC</t>
        </is>
      </c>
    </row>
    <row r="403">
      <c r="A403" s="8" t="inlineStr">
        <is>
          <t>DTL-0000402</t>
        </is>
      </c>
      <c r="B403" s="8" t="inlineStr">
        <is>
          <t>ORD-000196</t>
        </is>
      </c>
      <c r="C403" s="10" t="inlineStr">
        <is>
          <t>2023-11-18</t>
        </is>
      </c>
      <c r="D403" s="8" t="inlineStr">
        <is>
          <t>CUST-04031</t>
        </is>
      </c>
      <c r="E403" s="8" t="inlineStr">
        <is>
          <t>PRD-0316</t>
        </is>
      </c>
      <c r="F403" s="8" t="n">
        <v>1</v>
      </c>
      <c r="G403" s="9">
        <f>IFERROR(XLOOKUP(E403, '04_Products'!$A:$A, '04_Products'!$G:$G), 575.96)</f>
        <v/>
      </c>
      <c r="H403" s="9">
        <f>IFERROR(XLOOKUP(E403, '04_Products'!$A:$A, '04_Products'!$F:$F), 0)</f>
        <v/>
      </c>
      <c r="I403" s="9">
        <f>F403*G403</f>
        <v/>
      </c>
      <c r="J403" s="11" t="n">
        <v>0</v>
      </c>
      <c r="K403" s="9">
        <f>I403*J403</f>
        <v/>
      </c>
      <c r="L403" s="9">
        <f>I403-K403</f>
        <v/>
      </c>
      <c r="M403" s="9">
        <f>F403*H403</f>
        <v/>
      </c>
      <c r="N403" s="9">
        <f>L403-M403</f>
        <v/>
      </c>
      <c r="O403" s="11">
        <f>IFERROR(N403/L403, 0)</f>
        <v/>
      </c>
      <c r="P403" s="8">
        <f>YEAR(C403)</f>
        <v/>
      </c>
      <c r="Q403" s="8">
        <f>TEXT(C403, "yyyy-mm")</f>
        <v/>
      </c>
      <c r="R403" s="8" t="inlineStr">
        <is>
          <t>Direct Web</t>
        </is>
      </c>
      <c r="S403" s="8" t="inlineStr">
        <is>
          <t>REG-LATAM</t>
        </is>
      </c>
    </row>
    <row r="404">
      <c r="A404" s="8" t="inlineStr">
        <is>
          <t>DTL-0000403</t>
        </is>
      </c>
      <c r="B404" s="8" t="inlineStr">
        <is>
          <t>ORD-000196</t>
        </is>
      </c>
      <c r="C404" s="10" t="inlineStr">
        <is>
          <t>2023-11-18</t>
        </is>
      </c>
      <c r="D404" s="8" t="inlineStr">
        <is>
          <t>CUST-04031</t>
        </is>
      </c>
      <c r="E404" s="8" t="inlineStr">
        <is>
          <t>PRD-0037</t>
        </is>
      </c>
      <c r="F404" s="8" t="n">
        <v>1</v>
      </c>
      <c r="G404" s="9">
        <f>IFERROR(XLOOKUP(E404, '04_Products'!$A:$A, '04_Products'!$G:$G), 499.93)</f>
        <v/>
      </c>
      <c r="H404" s="9">
        <f>IFERROR(XLOOKUP(E404, '04_Products'!$A:$A, '04_Products'!$F:$F), 0)</f>
        <v/>
      </c>
      <c r="I404" s="9">
        <f>F404*G404</f>
        <v/>
      </c>
      <c r="J404" s="11" t="n">
        <v>0.1</v>
      </c>
      <c r="K404" s="9">
        <f>I404*J404</f>
        <v/>
      </c>
      <c r="L404" s="9">
        <f>I404-K404</f>
        <v/>
      </c>
      <c r="M404" s="9">
        <f>F404*H404</f>
        <v/>
      </c>
      <c r="N404" s="9">
        <f>L404-M404</f>
        <v/>
      </c>
      <c r="O404" s="11">
        <f>IFERROR(N404/L404, 0)</f>
        <v/>
      </c>
      <c r="P404" s="8">
        <f>YEAR(C404)</f>
        <v/>
      </c>
      <c r="Q404" s="8">
        <f>TEXT(C404, "yyyy-mm")</f>
        <v/>
      </c>
      <c r="R404" s="8" t="inlineStr">
        <is>
          <t>Direct Web</t>
        </is>
      </c>
      <c r="S404" s="8" t="inlineStr">
        <is>
          <t>REG-LATAM</t>
        </is>
      </c>
    </row>
    <row r="405">
      <c r="A405" s="8" t="inlineStr">
        <is>
          <t>DTL-0000404</t>
        </is>
      </c>
      <c r="B405" s="8" t="inlineStr">
        <is>
          <t>ORD-000196</t>
        </is>
      </c>
      <c r="C405" s="10" t="inlineStr">
        <is>
          <t>2023-11-18</t>
        </is>
      </c>
      <c r="D405" s="8" t="inlineStr">
        <is>
          <t>CUST-04031</t>
        </is>
      </c>
      <c r="E405" s="8" t="inlineStr">
        <is>
          <t>PRD-0441</t>
        </is>
      </c>
      <c r="F405" s="8" t="n">
        <v>1</v>
      </c>
      <c r="G405" s="9">
        <f>IFERROR(XLOOKUP(E405, '04_Products'!$A:$A, '04_Products'!$G:$G), 1128.16)</f>
        <v/>
      </c>
      <c r="H405" s="9">
        <f>IFERROR(XLOOKUP(E405, '04_Products'!$A:$A, '04_Products'!$F:$F), 0)</f>
        <v/>
      </c>
      <c r="I405" s="9">
        <f>F405*G405</f>
        <v/>
      </c>
      <c r="J405" s="11" t="n">
        <v>0.2</v>
      </c>
      <c r="K405" s="9">
        <f>I405*J405</f>
        <v/>
      </c>
      <c r="L405" s="9">
        <f>I405-K405</f>
        <v/>
      </c>
      <c r="M405" s="9">
        <f>F405*H405</f>
        <v/>
      </c>
      <c r="N405" s="9">
        <f>L405-M405</f>
        <v/>
      </c>
      <c r="O405" s="11">
        <f>IFERROR(N405/L405, 0)</f>
        <v/>
      </c>
      <c r="P405" s="8">
        <f>YEAR(C405)</f>
        <v/>
      </c>
      <c r="Q405" s="8">
        <f>TEXT(C405, "yyyy-mm")</f>
        <v/>
      </c>
      <c r="R405" s="8" t="inlineStr">
        <is>
          <t>Direct Web</t>
        </is>
      </c>
      <c r="S405" s="8" t="inlineStr">
        <is>
          <t>REG-LATAM</t>
        </is>
      </c>
    </row>
    <row r="406">
      <c r="A406" s="8" t="inlineStr">
        <is>
          <t>DTL-0000405</t>
        </is>
      </c>
      <c r="B406" s="8" t="inlineStr">
        <is>
          <t>ORD-000196</t>
        </is>
      </c>
      <c r="C406" s="10" t="inlineStr">
        <is>
          <t>2023-11-18</t>
        </is>
      </c>
      <c r="D406" s="8" t="inlineStr">
        <is>
          <t>CUST-04031</t>
        </is>
      </c>
      <c r="E406" s="8" t="inlineStr">
        <is>
          <t>PRD-0208</t>
        </is>
      </c>
      <c r="F406" s="8" t="n">
        <v>4</v>
      </c>
      <c r="G406" s="9">
        <f>IFERROR(XLOOKUP(E406, '04_Products'!$A:$A, '04_Products'!$G:$G), 47.15)</f>
        <v/>
      </c>
      <c r="H406" s="9">
        <f>IFERROR(XLOOKUP(E406, '04_Products'!$A:$A, '04_Products'!$F:$F), 0)</f>
        <v/>
      </c>
      <c r="I406" s="9">
        <f>F406*G406</f>
        <v/>
      </c>
      <c r="J406" s="11" t="n">
        <v>0.15</v>
      </c>
      <c r="K406" s="9">
        <f>I406*J406</f>
        <v/>
      </c>
      <c r="L406" s="9">
        <f>I406-K406</f>
        <v/>
      </c>
      <c r="M406" s="9">
        <f>F406*H406</f>
        <v/>
      </c>
      <c r="N406" s="9">
        <f>L406-M406</f>
        <v/>
      </c>
      <c r="O406" s="11">
        <f>IFERROR(N406/L406, 0)</f>
        <v/>
      </c>
      <c r="P406" s="8">
        <f>YEAR(C406)</f>
        <v/>
      </c>
      <c r="Q406" s="8">
        <f>TEXT(C406, "yyyy-mm")</f>
        <v/>
      </c>
      <c r="R406" s="8" t="inlineStr">
        <is>
          <t>Direct Web</t>
        </is>
      </c>
      <c r="S406" s="8" t="inlineStr">
        <is>
          <t>REG-LATAM</t>
        </is>
      </c>
    </row>
    <row r="407">
      <c r="A407" s="8" t="inlineStr">
        <is>
          <t>DTL-0000406</t>
        </is>
      </c>
      <c r="B407" s="8" t="inlineStr">
        <is>
          <t>ORD-000196</t>
        </is>
      </c>
      <c r="C407" s="10" t="inlineStr">
        <is>
          <t>2023-11-18</t>
        </is>
      </c>
      <c r="D407" s="8" t="inlineStr">
        <is>
          <t>CUST-04031</t>
        </is>
      </c>
      <c r="E407" s="8" t="inlineStr">
        <is>
          <t>PRD-0165</t>
        </is>
      </c>
      <c r="F407" s="8" t="n">
        <v>2</v>
      </c>
      <c r="G407" s="9">
        <f>IFERROR(XLOOKUP(E407, '04_Products'!$A:$A, '04_Products'!$G:$G), 37.40)</f>
        <v/>
      </c>
      <c r="H407" s="9">
        <f>IFERROR(XLOOKUP(E407, '04_Products'!$A:$A, '04_Products'!$F:$F), 0)</f>
        <v/>
      </c>
      <c r="I407" s="9">
        <f>F407*G407</f>
        <v/>
      </c>
      <c r="J407" s="11" t="n">
        <v>0.1</v>
      </c>
      <c r="K407" s="9">
        <f>I407*J407</f>
        <v/>
      </c>
      <c r="L407" s="9">
        <f>I407-K407</f>
        <v/>
      </c>
      <c r="M407" s="9">
        <f>F407*H407</f>
        <v/>
      </c>
      <c r="N407" s="9">
        <f>L407-M407</f>
        <v/>
      </c>
      <c r="O407" s="11">
        <f>IFERROR(N407/L407, 0)</f>
        <v/>
      </c>
      <c r="P407" s="8">
        <f>YEAR(C407)</f>
        <v/>
      </c>
      <c r="Q407" s="8">
        <f>TEXT(C407, "yyyy-mm")</f>
        <v/>
      </c>
      <c r="R407" s="8" t="inlineStr">
        <is>
          <t>Direct Web</t>
        </is>
      </c>
      <c r="S407" s="8" t="inlineStr">
        <is>
          <t>REG-LATAM</t>
        </is>
      </c>
    </row>
    <row r="408">
      <c r="A408" s="8" t="inlineStr">
        <is>
          <t>DTL-0000407</t>
        </is>
      </c>
      <c r="B408" s="8" t="inlineStr">
        <is>
          <t>ORD-000197</t>
        </is>
      </c>
      <c r="C408" s="10" t="inlineStr">
        <is>
          <t>2025-08-26</t>
        </is>
      </c>
      <c r="D408" s="8" t="inlineStr">
        <is>
          <t>CUST-07135</t>
        </is>
      </c>
      <c r="E408" s="8" t="inlineStr">
        <is>
          <t>PRD-0247</t>
        </is>
      </c>
      <c r="F408" s="8" t="n">
        <v>1</v>
      </c>
      <c r="G408" s="9">
        <f>IFERROR(XLOOKUP(E408, '04_Products'!$A:$A, '04_Products'!$G:$G), 878.40)</f>
        <v/>
      </c>
      <c r="H408" s="9">
        <f>IFERROR(XLOOKUP(E408, '04_Products'!$A:$A, '04_Products'!$F:$F), 0)</f>
        <v/>
      </c>
      <c r="I408" s="9">
        <f>F408*G408</f>
        <v/>
      </c>
      <c r="J408" s="11" t="n">
        <v>0.2</v>
      </c>
      <c r="K408" s="9">
        <f>I408*J408</f>
        <v/>
      </c>
      <c r="L408" s="9">
        <f>I408-K408</f>
        <v/>
      </c>
      <c r="M408" s="9">
        <f>F408*H408</f>
        <v/>
      </c>
      <c r="N408" s="9">
        <f>L408-M408</f>
        <v/>
      </c>
      <c r="O408" s="11">
        <f>IFERROR(N408/L408, 0)</f>
        <v/>
      </c>
      <c r="P408" s="8">
        <f>YEAR(C408)</f>
        <v/>
      </c>
      <c r="Q408" s="8">
        <f>TEXT(C408, "yyyy-mm")</f>
        <v/>
      </c>
      <c r="R408" s="8" t="inlineStr">
        <is>
          <t>Direct Web</t>
        </is>
      </c>
      <c r="S408" s="8" t="inlineStr">
        <is>
          <t>REG-NA</t>
        </is>
      </c>
    </row>
    <row r="409">
      <c r="A409" s="8" t="inlineStr">
        <is>
          <t>DTL-0000408</t>
        </is>
      </c>
      <c r="B409" s="8" t="inlineStr">
        <is>
          <t>ORD-000197</t>
        </is>
      </c>
      <c r="C409" s="10" t="inlineStr">
        <is>
          <t>2025-08-26</t>
        </is>
      </c>
      <c r="D409" s="8" t="inlineStr">
        <is>
          <t>CUST-07135</t>
        </is>
      </c>
      <c r="E409" s="8" t="inlineStr">
        <is>
          <t>PRD-0360</t>
        </is>
      </c>
      <c r="F409" s="8" t="n">
        <v>1</v>
      </c>
      <c r="G409" s="9">
        <f>IFERROR(XLOOKUP(E409, '04_Products'!$A:$A, '04_Products'!$G:$G), 465.92)</f>
        <v/>
      </c>
      <c r="H409" s="9">
        <f>IFERROR(XLOOKUP(E409, '04_Products'!$A:$A, '04_Products'!$F:$F), 0)</f>
        <v/>
      </c>
      <c r="I409" s="9">
        <f>F409*G409</f>
        <v/>
      </c>
      <c r="J409" s="11" t="n">
        <v>0.2</v>
      </c>
      <c r="K409" s="9">
        <f>I409*J409</f>
        <v/>
      </c>
      <c r="L409" s="9">
        <f>I409-K409</f>
        <v/>
      </c>
      <c r="M409" s="9">
        <f>F409*H409</f>
        <v/>
      </c>
      <c r="N409" s="9">
        <f>L409-M409</f>
        <v/>
      </c>
      <c r="O409" s="11">
        <f>IFERROR(N409/L409, 0)</f>
        <v/>
      </c>
      <c r="P409" s="8">
        <f>YEAR(C409)</f>
        <v/>
      </c>
      <c r="Q409" s="8">
        <f>TEXT(C409, "yyyy-mm")</f>
        <v/>
      </c>
      <c r="R409" s="8" t="inlineStr">
        <is>
          <t>Direct Web</t>
        </is>
      </c>
      <c r="S409" s="8" t="inlineStr">
        <is>
          <t>REG-NA</t>
        </is>
      </c>
    </row>
    <row r="410">
      <c r="A410" s="8" t="inlineStr">
        <is>
          <t>DTL-0000409</t>
        </is>
      </c>
      <c r="B410" s="8" t="inlineStr">
        <is>
          <t>ORD-000198</t>
        </is>
      </c>
      <c r="C410" s="10" t="inlineStr">
        <is>
          <t>2023-09-27</t>
        </is>
      </c>
      <c r="D410" s="8" t="inlineStr">
        <is>
          <t>CUST-07482</t>
        </is>
      </c>
      <c r="E410" s="8" t="inlineStr">
        <is>
          <t>PRD-0353</t>
        </is>
      </c>
      <c r="F410" s="8" t="n">
        <v>1</v>
      </c>
      <c r="G410" s="9">
        <f>IFERROR(XLOOKUP(E410, '04_Products'!$A:$A, '04_Products'!$G:$G), 438.24)</f>
        <v/>
      </c>
      <c r="H410" s="9">
        <f>IFERROR(XLOOKUP(E410, '04_Products'!$A:$A, '04_Products'!$F:$F), 0)</f>
        <v/>
      </c>
      <c r="I410" s="9">
        <f>F410*G410</f>
        <v/>
      </c>
      <c r="J410" s="11" t="n">
        <v>0.1</v>
      </c>
      <c r="K410" s="9">
        <f>I410*J410</f>
        <v/>
      </c>
      <c r="L410" s="9">
        <f>I410-K410</f>
        <v/>
      </c>
      <c r="M410" s="9">
        <f>F410*H410</f>
        <v/>
      </c>
      <c r="N410" s="9">
        <f>L410-M410</f>
        <v/>
      </c>
      <c r="O410" s="11">
        <f>IFERROR(N410/L410, 0)</f>
        <v/>
      </c>
      <c r="P410" s="8">
        <f>YEAR(C410)</f>
        <v/>
      </c>
      <c r="Q410" s="8">
        <f>TEXT(C410, "yyyy-mm")</f>
        <v/>
      </c>
      <c r="R410" s="8" t="inlineStr">
        <is>
          <t>B2B Portal</t>
        </is>
      </c>
      <c r="S410" s="8" t="inlineStr">
        <is>
          <t>REG-NA</t>
        </is>
      </c>
    </row>
    <row r="411">
      <c r="A411" s="8" t="inlineStr">
        <is>
          <t>DTL-0000410</t>
        </is>
      </c>
      <c r="B411" s="8" t="inlineStr">
        <is>
          <t>ORD-000199</t>
        </is>
      </c>
      <c r="C411" s="10" t="inlineStr">
        <is>
          <t>2023-02-17</t>
        </is>
      </c>
      <c r="D411" s="8" t="inlineStr">
        <is>
          <t>CUST-04013</t>
        </is>
      </c>
      <c r="E411" s="8" t="inlineStr">
        <is>
          <t>PRD-0014</t>
        </is>
      </c>
      <c r="F411" s="8" t="n">
        <v>1</v>
      </c>
      <c r="G411" s="9">
        <f>IFERROR(XLOOKUP(E411, '04_Products'!$A:$A, '04_Products'!$G:$G), 958.87)</f>
        <v/>
      </c>
      <c r="H411" s="9">
        <f>IFERROR(XLOOKUP(E411, '04_Products'!$A:$A, '04_Products'!$F:$F), 0)</f>
        <v/>
      </c>
      <c r="I411" s="9">
        <f>F411*G411</f>
        <v/>
      </c>
      <c r="J411" s="11" t="n">
        <v>0.25</v>
      </c>
      <c r="K411" s="9">
        <f>I411*J411</f>
        <v/>
      </c>
      <c r="L411" s="9">
        <f>I411-K411</f>
        <v/>
      </c>
      <c r="M411" s="9">
        <f>F411*H411</f>
        <v/>
      </c>
      <c r="N411" s="9">
        <f>L411-M411</f>
        <v/>
      </c>
      <c r="O411" s="11">
        <f>IFERROR(N411/L411, 0)</f>
        <v/>
      </c>
      <c r="P411" s="8">
        <f>YEAR(C411)</f>
        <v/>
      </c>
      <c r="Q411" s="8">
        <f>TEXT(C411, "yyyy-mm")</f>
        <v/>
      </c>
      <c r="R411" s="8" t="inlineStr">
        <is>
          <t>Mobile App</t>
        </is>
      </c>
      <c r="S411" s="8" t="inlineStr">
        <is>
          <t>REG-NA</t>
        </is>
      </c>
    </row>
    <row r="412">
      <c r="A412" s="8" t="inlineStr">
        <is>
          <t>DTL-0000411</t>
        </is>
      </c>
      <c r="B412" s="8" t="inlineStr">
        <is>
          <t>ORD-000200</t>
        </is>
      </c>
      <c r="C412" s="10" t="inlineStr">
        <is>
          <t>2023-10-08</t>
        </is>
      </c>
      <c r="D412" s="8" t="inlineStr">
        <is>
          <t>CUST-06273</t>
        </is>
      </c>
      <c r="E412" s="8" t="inlineStr">
        <is>
          <t>PRD-0042</t>
        </is>
      </c>
      <c r="F412" s="8" t="n">
        <v>1</v>
      </c>
      <c r="G412" s="9">
        <f>IFERROR(XLOOKUP(E412, '04_Products'!$A:$A, '04_Products'!$G:$G), 758.99)</f>
        <v/>
      </c>
      <c r="H412" s="9">
        <f>IFERROR(XLOOKUP(E412, '04_Products'!$A:$A, '04_Products'!$F:$F), 0)</f>
        <v/>
      </c>
      <c r="I412" s="9">
        <f>F412*G412</f>
        <v/>
      </c>
      <c r="J412" s="11" t="n">
        <v>0</v>
      </c>
      <c r="K412" s="9">
        <f>I412*J412</f>
        <v/>
      </c>
      <c r="L412" s="9">
        <f>I412-K412</f>
        <v/>
      </c>
      <c r="M412" s="9">
        <f>F412*H412</f>
        <v/>
      </c>
      <c r="N412" s="9">
        <f>L412-M412</f>
        <v/>
      </c>
      <c r="O412" s="11">
        <f>IFERROR(N412/L412, 0)</f>
        <v/>
      </c>
      <c r="P412" s="8">
        <f>YEAR(C412)</f>
        <v/>
      </c>
      <c r="Q412" s="8">
        <f>TEXT(C412, "yyyy-mm")</f>
        <v/>
      </c>
      <c r="R412" s="8" t="inlineStr">
        <is>
          <t>Direct Web</t>
        </is>
      </c>
      <c r="S412" s="8" t="inlineStr">
        <is>
          <t>REG-NA</t>
        </is>
      </c>
    </row>
    <row r="413">
      <c r="A413" s="8" t="inlineStr">
        <is>
          <t>DTL-0000412</t>
        </is>
      </c>
      <c r="B413" s="8" t="inlineStr">
        <is>
          <t>ORD-000200</t>
        </is>
      </c>
      <c r="C413" s="10" t="inlineStr">
        <is>
          <t>2023-10-08</t>
        </is>
      </c>
      <c r="D413" s="8" t="inlineStr">
        <is>
          <t>CUST-06273</t>
        </is>
      </c>
      <c r="E413" s="8" t="inlineStr">
        <is>
          <t>PRD-0229</t>
        </is>
      </c>
      <c r="F413" s="8" t="n">
        <v>1</v>
      </c>
      <c r="G413" s="9">
        <f>IFERROR(XLOOKUP(E413, '04_Products'!$A:$A, '04_Products'!$G:$G), 31.96)</f>
        <v/>
      </c>
      <c r="H413" s="9">
        <f>IFERROR(XLOOKUP(E413, '04_Products'!$A:$A, '04_Products'!$F:$F), 0)</f>
        <v/>
      </c>
      <c r="I413" s="9">
        <f>F413*G413</f>
        <v/>
      </c>
      <c r="J413" s="11" t="n">
        <v>0.1</v>
      </c>
      <c r="K413" s="9">
        <f>I413*J413</f>
        <v/>
      </c>
      <c r="L413" s="9">
        <f>I413-K413</f>
        <v/>
      </c>
      <c r="M413" s="9">
        <f>F413*H413</f>
        <v/>
      </c>
      <c r="N413" s="9">
        <f>L413-M413</f>
        <v/>
      </c>
      <c r="O413" s="11">
        <f>IFERROR(N413/L413, 0)</f>
        <v/>
      </c>
      <c r="P413" s="8">
        <f>YEAR(C413)</f>
        <v/>
      </c>
      <c r="Q413" s="8">
        <f>TEXT(C413, "yyyy-mm")</f>
        <v/>
      </c>
      <c r="R413" s="8" t="inlineStr">
        <is>
          <t>Direct Web</t>
        </is>
      </c>
      <c r="S413" s="8" t="inlineStr">
        <is>
          <t>REG-NA</t>
        </is>
      </c>
    </row>
    <row r="414">
      <c r="A414" s="8" t="inlineStr">
        <is>
          <t>DTL-0000413</t>
        </is>
      </c>
      <c r="B414" s="8" t="inlineStr">
        <is>
          <t>ORD-000200</t>
        </is>
      </c>
      <c r="C414" s="10" t="inlineStr">
        <is>
          <t>2023-10-08</t>
        </is>
      </c>
      <c r="D414" s="8" t="inlineStr">
        <is>
          <t>CUST-06273</t>
        </is>
      </c>
      <c r="E414" s="8" t="inlineStr">
        <is>
          <t>PRD-0423</t>
        </is>
      </c>
      <c r="F414" s="8" t="n">
        <v>1</v>
      </c>
      <c r="G414" s="9">
        <f>IFERROR(XLOOKUP(E414, '04_Products'!$A:$A, '04_Products'!$G:$G), 922.78)</f>
        <v/>
      </c>
      <c r="H414" s="9">
        <f>IFERROR(XLOOKUP(E414, '04_Products'!$A:$A, '04_Products'!$F:$F), 0)</f>
        <v/>
      </c>
      <c r="I414" s="9">
        <f>F414*G414</f>
        <v/>
      </c>
      <c r="J414" s="11" t="n">
        <v>0.05</v>
      </c>
      <c r="K414" s="9">
        <f>I414*J414</f>
        <v/>
      </c>
      <c r="L414" s="9">
        <f>I414-K414</f>
        <v/>
      </c>
      <c r="M414" s="9">
        <f>F414*H414</f>
        <v/>
      </c>
      <c r="N414" s="9">
        <f>L414-M414</f>
        <v/>
      </c>
      <c r="O414" s="11">
        <f>IFERROR(N414/L414, 0)</f>
        <v/>
      </c>
      <c r="P414" s="8">
        <f>YEAR(C414)</f>
        <v/>
      </c>
      <c r="Q414" s="8">
        <f>TEXT(C414, "yyyy-mm")</f>
        <v/>
      </c>
      <c r="R414" s="8" t="inlineStr">
        <is>
          <t>Direct Web</t>
        </is>
      </c>
      <c r="S414" s="8" t="inlineStr">
        <is>
          <t>REG-NA</t>
        </is>
      </c>
    </row>
    <row r="415">
      <c r="A415" s="8" t="inlineStr">
        <is>
          <t>DTL-0000414</t>
        </is>
      </c>
      <c r="B415" s="8" t="inlineStr">
        <is>
          <t>ORD-000201</t>
        </is>
      </c>
      <c r="C415" s="10" t="inlineStr">
        <is>
          <t>2025-06-21</t>
        </is>
      </c>
      <c r="D415" s="8" t="inlineStr">
        <is>
          <t>CUST-03573</t>
        </is>
      </c>
      <c r="E415" s="8" t="inlineStr">
        <is>
          <t>PRD-0497</t>
        </is>
      </c>
      <c r="F415" s="8" t="n">
        <v>8</v>
      </c>
      <c r="G415" s="9">
        <f>IFERROR(XLOOKUP(E415, '04_Products'!$A:$A, '04_Products'!$G:$G), 620.15)</f>
        <v/>
      </c>
      <c r="H415" s="9">
        <f>IFERROR(XLOOKUP(E415, '04_Products'!$A:$A, '04_Products'!$F:$F), 0)</f>
        <v/>
      </c>
      <c r="I415" s="9">
        <f>F415*G415</f>
        <v/>
      </c>
      <c r="J415" s="11" t="n">
        <v>0.05</v>
      </c>
      <c r="K415" s="9">
        <f>I415*J415</f>
        <v/>
      </c>
      <c r="L415" s="9">
        <f>I415-K415</f>
        <v/>
      </c>
      <c r="M415" s="9">
        <f>F415*H415</f>
        <v/>
      </c>
      <c r="N415" s="9">
        <f>L415-M415</f>
        <v/>
      </c>
      <c r="O415" s="11">
        <f>IFERROR(N415/L415, 0)</f>
        <v/>
      </c>
      <c r="P415" s="8">
        <f>YEAR(C415)</f>
        <v/>
      </c>
      <c r="Q415" s="8">
        <f>TEXT(C415, "yyyy-mm")</f>
        <v/>
      </c>
      <c r="R415" s="8" t="inlineStr">
        <is>
          <t>Mobile App</t>
        </is>
      </c>
      <c r="S415" s="8" t="inlineStr">
        <is>
          <t>REG-LATAM</t>
        </is>
      </c>
    </row>
    <row r="416">
      <c r="A416" s="8" t="inlineStr">
        <is>
          <t>DTL-0000415</t>
        </is>
      </c>
      <c r="B416" s="8" t="inlineStr">
        <is>
          <t>ORD-000202</t>
        </is>
      </c>
      <c r="C416" s="10" t="inlineStr">
        <is>
          <t>2024-01-07</t>
        </is>
      </c>
      <c r="D416" s="8" t="inlineStr">
        <is>
          <t>CUST-00933</t>
        </is>
      </c>
      <c r="E416" s="8" t="inlineStr">
        <is>
          <t>PRD-0374</t>
        </is>
      </c>
      <c r="F416" s="8" t="n">
        <v>1</v>
      </c>
      <c r="G416" s="9">
        <f>IFERROR(XLOOKUP(E416, '04_Products'!$A:$A, '04_Products'!$G:$G), 549.09)</f>
        <v/>
      </c>
      <c r="H416" s="9">
        <f>IFERROR(XLOOKUP(E416, '04_Products'!$A:$A, '04_Products'!$F:$F), 0)</f>
        <v/>
      </c>
      <c r="I416" s="9">
        <f>F416*G416</f>
        <v/>
      </c>
      <c r="J416" s="11" t="n">
        <v>0.1</v>
      </c>
      <c r="K416" s="9">
        <f>I416*J416</f>
        <v/>
      </c>
      <c r="L416" s="9">
        <f>I416-K416</f>
        <v/>
      </c>
      <c r="M416" s="9">
        <f>F416*H416</f>
        <v/>
      </c>
      <c r="N416" s="9">
        <f>L416-M416</f>
        <v/>
      </c>
      <c r="O416" s="11">
        <f>IFERROR(N416/L416, 0)</f>
        <v/>
      </c>
      <c r="P416" s="8">
        <f>YEAR(C416)</f>
        <v/>
      </c>
      <c r="Q416" s="8">
        <f>TEXT(C416, "yyyy-mm")</f>
        <v/>
      </c>
      <c r="R416" s="8" t="inlineStr">
        <is>
          <t>Mobile App</t>
        </is>
      </c>
      <c r="S416" s="8" t="inlineStr">
        <is>
          <t>REG-NA</t>
        </is>
      </c>
    </row>
    <row r="417">
      <c r="A417" s="8" t="inlineStr">
        <is>
          <t>DTL-0000416</t>
        </is>
      </c>
      <c r="B417" s="8" t="inlineStr">
        <is>
          <t>ORD-000203</t>
        </is>
      </c>
      <c r="C417" s="10" t="inlineStr">
        <is>
          <t>2023-11-14</t>
        </is>
      </c>
      <c r="D417" s="8" t="inlineStr">
        <is>
          <t>CUST-03384</t>
        </is>
      </c>
      <c r="E417" s="8" t="inlineStr">
        <is>
          <t>PRD-0176</t>
        </is>
      </c>
      <c r="F417" s="8" t="n">
        <v>1</v>
      </c>
      <c r="G417" s="9">
        <f>IFERROR(XLOOKUP(E417, '04_Products'!$A:$A, '04_Products'!$G:$G), 18.25)</f>
        <v/>
      </c>
      <c r="H417" s="9">
        <f>IFERROR(XLOOKUP(E417, '04_Products'!$A:$A, '04_Products'!$F:$F), 0)</f>
        <v/>
      </c>
      <c r="I417" s="9">
        <f>F417*G417</f>
        <v/>
      </c>
      <c r="J417" s="11" t="n">
        <v>0.1</v>
      </c>
      <c r="K417" s="9">
        <f>I417*J417</f>
        <v/>
      </c>
      <c r="L417" s="9">
        <f>I417-K417</f>
        <v/>
      </c>
      <c r="M417" s="9">
        <f>F417*H417</f>
        <v/>
      </c>
      <c r="N417" s="9">
        <f>L417-M417</f>
        <v/>
      </c>
      <c r="O417" s="11">
        <f>IFERROR(N417/L417, 0)</f>
        <v/>
      </c>
      <c r="P417" s="8">
        <f>YEAR(C417)</f>
        <v/>
      </c>
      <c r="Q417" s="8">
        <f>TEXT(C417, "yyyy-mm")</f>
        <v/>
      </c>
      <c r="R417" s="8" t="inlineStr">
        <is>
          <t>B2B Portal</t>
        </is>
      </c>
      <c r="S417" s="8" t="inlineStr">
        <is>
          <t>REG-LATAM</t>
        </is>
      </c>
    </row>
    <row r="418">
      <c r="A418" s="8" t="inlineStr">
        <is>
          <t>DTL-0000417</t>
        </is>
      </c>
      <c r="B418" s="8" t="inlineStr">
        <is>
          <t>ORD-000203</t>
        </is>
      </c>
      <c r="C418" s="10" t="inlineStr">
        <is>
          <t>2023-11-14</t>
        </is>
      </c>
      <c r="D418" s="8" t="inlineStr">
        <is>
          <t>CUST-03384</t>
        </is>
      </c>
      <c r="E418" s="8" t="inlineStr">
        <is>
          <t>PRD-0258</t>
        </is>
      </c>
      <c r="F418" s="8" t="n">
        <v>1</v>
      </c>
      <c r="G418" s="9">
        <f>IFERROR(XLOOKUP(E418, '04_Products'!$A:$A, '04_Products'!$G:$G), 636.27)</f>
        <v/>
      </c>
      <c r="H418" s="9">
        <f>IFERROR(XLOOKUP(E418, '04_Products'!$A:$A, '04_Products'!$F:$F), 0)</f>
        <v/>
      </c>
      <c r="I418" s="9">
        <f>F418*G418</f>
        <v/>
      </c>
      <c r="J418" s="11" t="n">
        <v>0</v>
      </c>
      <c r="K418" s="9">
        <f>I418*J418</f>
        <v/>
      </c>
      <c r="L418" s="9">
        <f>I418-K418</f>
        <v/>
      </c>
      <c r="M418" s="9">
        <f>F418*H418</f>
        <v/>
      </c>
      <c r="N418" s="9">
        <f>L418-M418</f>
        <v/>
      </c>
      <c r="O418" s="11">
        <f>IFERROR(N418/L418, 0)</f>
        <v/>
      </c>
      <c r="P418" s="8">
        <f>YEAR(C418)</f>
        <v/>
      </c>
      <c r="Q418" s="8">
        <f>TEXT(C418, "yyyy-mm")</f>
        <v/>
      </c>
      <c r="R418" s="8" t="inlineStr">
        <is>
          <t>B2B Portal</t>
        </is>
      </c>
      <c r="S418" s="8" t="inlineStr">
        <is>
          <t>REG-LATAM</t>
        </is>
      </c>
    </row>
    <row r="419">
      <c r="A419" s="8" t="inlineStr">
        <is>
          <t>DTL-0000418</t>
        </is>
      </c>
      <c r="B419" s="8" t="inlineStr">
        <is>
          <t>ORD-000204</t>
        </is>
      </c>
      <c r="C419" s="10" t="inlineStr">
        <is>
          <t>2024-12-21</t>
        </is>
      </c>
      <c r="D419" s="8" t="inlineStr">
        <is>
          <t>CUST-03548</t>
        </is>
      </c>
      <c r="E419" s="8" t="inlineStr">
        <is>
          <t>PRD-0416</t>
        </is>
      </c>
      <c r="F419" s="8" t="n">
        <v>2</v>
      </c>
      <c r="G419" s="9">
        <f>IFERROR(XLOOKUP(E419, '04_Products'!$A:$A, '04_Products'!$G:$G), 39.54)</f>
        <v/>
      </c>
      <c r="H419" s="9">
        <f>IFERROR(XLOOKUP(E419, '04_Products'!$A:$A, '04_Products'!$F:$F), 0)</f>
        <v/>
      </c>
      <c r="I419" s="9">
        <f>F419*G419</f>
        <v/>
      </c>
      <c r="J419" s="11" t="n">
        <v>0</v>
      </c>
      <c r="K419" s="9">
        <f>I419*J419</f>
        <v/>
      </c>
      <c r="L419" s="9">
        <f>I419-K419</f>
        <v/>
      </c>
      <c r="M419" s="9">
        <f>F419*H419</f>
        <v/>
      </c>
      <c r="N419" s="9">
        <f>L419-M419</f>
        <v/>
      </c>
      <c r="O419" s="11">
        <f>IFERROR(N419/L419, 0)</f>
        <v/>
      </c>
      <c r="P419" s="8">
        <f>YEAR(C419)</f>
        <v/>
      </c>
      <c r="Q419" s="8">
        <f>TEXT(C419, "yyyy-mm")</f>
        <v/>
      </c>
      <c r="R419" s="8" t="inlineStr">
        <is>
          <t>Mobile App</t>
        </is>
      </c>
      <c r="S419" s="8" t="inlineStr">
        <is>
          <t>REG-LATAM</t>
        </is>
      </c>
    </row>
    <row r="420">
      <c r="A420" s="8" t="inlineStr">
        <is>
          <t>DTL-0000419</t>
        </is>
      </c>
      <c r="B420" s="8" t="inlineStr">
        <is>
          <t>ORD-000205</t>
        </is>
      </c>
      <c r="C420" s="10" t="inlineStr">
        <is>
          <t>2024-02-13</t>
        </is>
      </c>
      <c r="D420" s="8" t="inlineStr">
        <is>
          <t>CUST-04208</t>
        </is>
      </c>
      <c r="E420" s="8" t="inlineStr">
        <is>
          <t>PRD-0226</t>
        </is>
      </c>
      <c r="F420" s="8" t="n">
        <v>1</v>
      </c>
      <c r="G420" s="9">
        <f>IFERROR(XLOOKUP(E420, '04_Products'!$A:$A, '04_Products'!$G:$G), 849.36)</f>
        <v/>
      </c>
      <c r="H420" s="9">
        <f>IFERROR(XLOOKUP(E420, '04_Products'!$A:$A, '04_Products'!$F:$F), 0)</f>
        <v/>
      </c>
      <c r="I420" s="9">
        <f>F420*G420</f>
        <v/>
      </c>
      <c r="J420" s="11" t="n">
        <v>0.05</v>
      </c>
      <c r="K420" s="9">
        <f>I420*J420</f>
        <v/>
      </c>
      <c r="L420" s="9">
        <f>I420-K420</f>
        <v/>
      </c>
      <c r="M420" s="9">
        <f>F420*H420</f>
        <v/>
      </c>
      <c r="N420" s="9">
        <f>L420-M420</f>
        <v/>
      </c>
      <c r="O420" s="11">
        <f>IFERROR(N420/L420, 0)</f>
        <v/>
      </c>
      <c r="P420" s="8">
        <f>YEAR(C420)</f>
        <v/>
      </c>
      <c r="Q420" s="8">
        <f>TEXT(C420, "yyyy-mm")</f>
        <v/>
      </c>
      <c r="R420" s="8" t="inlineStr">
        <is>
          <t>Affiliate Partner</t>
        </is>
      </c>
      <c r="S420" s="8" t="inlineStr">
        <is>
          <t>REG-NA</t>
        </is>
      </c>
    </row>
    <row r="421">
      <c r="A421" s="8" t="inlineStr">
        <is>
          <t>DTL-0000420</t>
        </is>
      </c>
      <c r="B421" s="8" t="inlineStr">
        <is>
          <t>ORD-000205</t>
        </is>
      </c>
      <c r="C421" s="10" t="inlineStr">
        <is>
          <t>2024-02-13</t>
        </is>
      </c>
      <c r="D421" s="8" t="inlineStr">
        <is>
          <t>CUST-04208</t>
        </is>
      </c>
      <c r="E421" s="8" t="inlineStr">
        <is>
          <t>PRD-0303</t>
        </is>
      </c>
      <c r="F421" s="8" t="n">
        <v>1</v>
      </c>
      <c r="G421" s="9">
        <f>IFERROR(XLOOKUP(E421, '04_Products'!$A:$A, '04_Products'!$G:$G), 61.92)</f>
        <v/>
      </c>
      <c r="H421" s="9">
        <f>IFERROR(XLOOKUP(E421, '04_Products'!$A:$A, '04_Products'!$F:$F), 0)</f>
        <v/>
      </c>
      <c r="I421" s="9">
        <f>F421*G421</f>
        <v/>
      </c>
      <c r="J421" s="11" t="n">
        <v>0.1</v>
      </c>
      <c r="K421" s="9">
        <f>I421*J421</f>
        <v/>
      </c>
      <c r="L421" s="9">
        <f>I421-K421</f>
        <v/>
      </c>
      <c r="M421" s="9">
        <f>F421*H421</f>
        <v/>
      </c>
      <c r="N421" s="9">
        <f>L421-M421</f>
        <v/>
      </c>
      <c r="O421" s="11">
        <f>IFERROR(N421/L421, 0)</f>
        <v/>
      </c>
      <c r="P421" s="8">
        <f>YEAR(C421)</f>
        <v/>
      </c>
      <c r="Q421" s="8">
        <f>TEXT(C421, "yyyy-mm")</f>
        <v/>
      </c>
      <c r="R421" s="8" t="inlineStr">
        <is>
          <t>Affiliate Partner</t>
        </is>
      </c>
      <c r="S421" s="8" t="inlineStr">
        <is>
          <t>REG-NA</t>
        </is>
      </c>
    </row>
    <row r="422">
      <c r="A422" s="8" t="inlineStr">
        <is>
          <t>DTL-0000423</t>
        </is>
      </c>
      <c r="B422" s="8" t="inlineStr">
        <is>
          <t>ORD-000207</t>
        </is>
      </c>
      <c r="C422" s="10" t="inlineStr">
        <is>
          <t>2025-02-23</t>
        </is>
      </c>
      <c r="D422" s="8" t="inlineStr">
        <is>
          <t>CUST-05650</t>
        </is>
      </c>
      <c r="E422" s="8" t="inlineStr">
        <is>
          <t>PRD-0336</t>
        </is>
      </c>
      <c r="F422" s="8" t="n">
        <v>1</v>
      </c>
      <c r="G422" s="9">
        <f>IFERROR(XLOOKUP(E422, '04_Products'!$A:$A, '04_Products'!$G:$G), 216.76)</f>
        <v/>
      </c>
      <c r="H422" s="9">
        <f>IFERROR(XLOOKUP(E422, '04_Products'!$A:$A, '04_Products'!$F:$F), 0)</f>
        <v/>
      </c>
      <c r="I422" s="9">
        <f>F422*G422</f>
        <v/>
      </c>
      <c r="J422" s="11" t="n">
        <v>0.15</v>
      </c>
      <c r="K422" s="9">
        <f>I422*J422</f>
        <v/>
      </c>
      <c r="L422" s="9">
        <f>I422-K422</f>
        <v/>
      </c>
      <c r="M422" s="9">
        <f>F422*H422</f>
        <v/>
      </c>
      <c r="N422" s="9">
        <f>L422-M422</f>
        <v/>
      </c>
      <c r="O422" s="11">
        <f>IFERROR(N422/L422, 0)</f>
        <v/>
      </c>
      <c r="P422" s="8">
        <f>YEAR(C422)</f>
        <v/>
      </c>
      <c r="Q422" s="8">
        <f>TEXT(C422, "yyyy-mm")</f>
        <v/>
      </c>
      <c r="R422" s="8" t="inlineStr">
        <is>
          <t>Direct Web</t>
        </is>
      </c>
      <c r="S422" s="8" t="inlineStr">
        <is>
          <t>REG-EU</t>
        </is>
      </c>
    </row>
    <row r="423">
      <c r="A423" s="8" t="inlineStr">
        <is>
          <t>DTL-0000424</t>
        </is>
      </c>
      <c r="B423" s="8" t="inlineStr">
        <is>
          <t>ORD-000208</t>
        </is>
      </c>
      <c r="C423" s="10" t="inlineStr">
        <is>
          <t>2025-11-19</t>
        </is>
      </c>
      <c r="D423" s="8" t="inlineStr">
        <is>
          <t>CUST-06484</t>
        </is>
      </c>
      <c r="E423" s="8" t="inlineStr">
        <is>
          <t>PRD-0372</t>
        </is>
      </c>
      <c r="F423" s="8" t="n">
        <v>1</v>
      </c>
      <c r="G423" s="9">
        <f>IFERROR(XLOOKUP(E423, '04_Products'!$A:$A, '04_Products'!$G:$G), 519.61)</f>
        <v/>
      </c>
      <c r="H423" s="9">
        <f>IFERROR(XLOOKUP(E423, '04_Products'!$A:$A, '04_Products'!$F:$F), 0)</f>
        <v/>
      </c>
      <c r="I423" s="9">
        <f>F423*G423</f>
        <v/>
      </c>
      <c r="J423" s="11" t="n">
        <v>0.25</v>
      </c>
      <c r="K423" s="9">
        <f>I423*J423</f>
        <v/>
      </c>
      <c r="L423" s="9">
        <f>I423-K423</f>
        <v/>
      </c>
      <c r="M423" s="9">
        <f>F423*H423</f>
        <v/>
      </c>
      <c r="N423" s="9">
        <f>L423-M423</f>
        <v/>
      </c>
      <c r="O423" s="11">
        <f>IFERROR(N423/L423, 0)</f>
        <v/>
      </c>
      <c r="P423" s="8">
        <f>YEAR(C423)</f>
        <v/>
      </c>
      <c r="Q423" s="8">
        <f>TEXT(C423, "yyyy-mm")</f>
        <v/>
      </c>
      <c r="R423" s="8" t="inlineStr">
        <is>
          <t>Direct Web</t>
        </is>
      </c>
      <c r="S423" s="8" t="inlineStr">
        <is>
          <t>REG-EU</t>
        </is>
      </c>
    </row>
    <row r="424">
      <c r="A424" s="8" t="inlineStr">
        <is>
          <t>DTL-0000425</t>
        </is>
      </c>
      <c r="B424" s="8" t="inlineStr">
        <is>
          <t>ORD-000209</t>
        </is>
      </c>
      <c r="C424" s="10" t="inlineStr">
        <is>
          <t>2024-05-26</t>
        </is>
      </c>
      <c r="D424" s="8" t="inlineStr">
        <is>
          <t>CUST-01252</t>
        </is>
      </c>
      <c r="E424" s="8" t="inlineStr">
        <is>
          <t>PRD-0305</t>
        </is>
      </c>
      <c r="F424" s="8" t="n">
        <v>1</v>
      </c>
      <c r="G424" s="9">
        <f>IFERROR(XLOOKUP(E424, '04_Products'!$A:$A, '04_Products'!$G:$G), 713.99)</f>
        <v/>
      </c>
      <c r="H424" s="9">
        <f>IFERROR(XLOOKUP(E424, '04_Products'!$A:$A, '04_Products'!$F:$F), 0)</f>
        <v/>
      </c>
      <c r="I424" s="9">
        <f>F424*G424</f>
        <v/>
      </c>
      <c r="J424" s="11" t="n">
        <v>0</v>
      </c>
      <c r="K424" s="9">
        <f>I424*J424</f>
        <v/>
      </c>
      <c r="L424" s="9">
        <f>I424-K424</f>
        <v/>
      </c>
      <c r="M424" s="9">
        <f>F424*H424</f>
        <v/>
      </c>
      <c r="N424" s="9">
        <f>L424-M424</f>
        <v/>
      </c>
      <c r="O424" s="11">
        <f>IFERROR(N424/L424, 0)</f>
        <v/>
      </c>
      <c r="P424" s="8">
        <f>YEAR(C424)</f>
        <v/>
      </c>
      <c r="Q424" s="8">
        <f>TEXT(C424, "yyyy-mm")</f>
        <v/>
      </c>
      <c r="R424" s="8" t="inlineStr">
        <is>
          <t>Direct Web</t>
        </is>
      </c>
      <c r="S424" s="8" t="inlineStr">
        <is>
          <t>REG-APAC</t>
        </is>
      </c>
    </row>
    <row r="425">
      <c r="A425" s="8" t="inlineStr">
        <is>
          <t>DTL-0000426</t>
        </is>
      </c>
      <c r="B425" s="8" t="inlineStr">
        <is>
          <t>ORD-000209</t>
        </is>
      </c>
      <c r="C425" s="10" t="inlineStr">
        <is>
          <t>2024-05-26</t>
        </is>
      </c>
      <c r="D425" s="8" t="inlineStr">
        <is>
          <t>CUST-01252</t>
        </is>
      </c>
      <c r="E425" s="8" t="inlineStr">
        <is>
          <t>PRD-0346</t>
        </is>
      </c>
      <c r="F425" s="8" t="n">
        <v>1</v>
      </c>
      <c r="G425" s="9">
        <f>IFERROR(XLOOKUP(E425, '04_Products'!$A:$A, '04_Products'!$G:$G), 61.49)</f>
        <v/>
      </c>
      <c r="H425" s="9">
        <f>IFERROR(XLOOKUP(E425, '04_Products'!$A:$A, '04_Products'!$F:$F), 0)</f>
        <v/>
      </c>
      <c r="I425" s="9">
        <f>F425*G425</f>
        <v/>
      </c>
      <c r="J425" s="11" t="n">
        <v>0</v>
      </c>
      <c r="K425" s="9">
        <f>I425*J425</f>
        <v/>
      </c>
      <c r="L425" s="9">
        <f>I425-K425</f>
        <v/>
      </c>
      <c r="M425" s="9">
        <f>F425*H425</f>
        <v/>
      </c>
      <c r="N425" s="9">
        <f>L425-M425</f>
        <v/>
      </c>
      <c r="O425" s="11">
        <f>IFERROR(N425/L425, 0)</f>
        <v/>
      </c>
      <c r="P425" s="8">
        <f>YEAR(C425)</f>
        <v/>
      </c>
      <c r="Q425" s="8">
        <f>TEXT(C425, "yyyy-mm")</f>
        <v/>
      </c>
      <c r="R425" s="8" t="inlineStr">
        <is>
          <t>Direct Web</t>
        </is>
      </c>
      <c r="S425" s="8" t="inlineStr">
        <is>
          <t>REG-APAC</t>
        </is>
      </c>
    </row>
    <row r="426">
      <c r="A426" s="8" t="inlineStr">
        <is>
          <t>DTL-0000431</t>
        </is>
      </c>
      <c r="B426" s="8" t="inlineStr">
        <is>
          <t>ORD-000211</t>
        </is>
      </c>
      <c r="C426" s="10" t="inlineStr">
        <is>
          <t>2025-11-01</t>
        </is>
      </c>
      <c r="D426" s="8" t="inlineStr">
        <is>
          <t>CUST-01869</t>
        </is>
      </c>
      <c r="E426" s="8" t="inlineStr">
        <is>
          <t>PRD-0418</t>
        </is>
      </c>
      <c r="F426" s="8" t="n">
        <v>1</v>
      </c>
      <c r="G426" s="9">
        <f>IFERROR(XLOOKUP(E426, '04_Products'!$A:$A, '04_Products'!$G:$G), 287.35)</f>
        <v/>
      </c>
      <c r="H426" s="9">
        <f>IFERROR(XLOOKUP(E426, '04_Products'!$A:$A, '04_Products'!$F:$F), 0)</f>
        <v/>
      </c>
      <c r="I426" s="9">
        <f>F426*G426</f>
        <v/>
      </c>
      <c r="J426" s="11" t="n">
        <v>0.2</v>
      </c>
      <c r="K426" s="9">
        <f>I426*J426</f>
        <v/>
      </c>
      <c r="L426" s="9">
        <f>I426-K426</f>
        <v/>
      </c>
      <c r="M426" s="9">
        <f>F426*H426</f>
        <v/>
      </c>
      <c r="N426" s="9">
        <f>L426-M426</f>
        <v/>
      </c>
      <c r="O426" s="11">
        <f>IFERROR(N426/L426, 0)</f>
        <v/>
      </c>
      <c r="P426" s="8">
        <f>YEAR(C426)</f>
        <v/>
      </c>
      <c r="Q426" s="8">
        <f>TEXT(C426, "yyyy-mm")</f>
        <v/>
      </c>
      <c r="R426" s="8" t="inlineStr">
        <is>
          <t>Mobile App</t>
        </is>
      </c>
      <c r="S426" s="8" t="inlineStr">
        <is>
          <t>REG-NA</t>
        </is>
      </c>
    </row>
    <row r="427">
      <c r="A427" s="8" t="inlineStr">
        <is>
          <t>DTL-0000432</t>
        </is>
      </c>
      <c r="B427" s="8" t="inlineStr">
        <is>
          <t>ORD-000211</t>
        </is>
      </c>
      <c r="C427" s="10" t="inlineStr">
        <is>
          <t>2025-11-01</t>
        </is>
      </c>
      <c r="D427" s="8" t="inlineStr">
        <is>
          <t>CUST-01869</t>
        </is>
      </c>
      <c r="E427" s="8" t="inlineStr">
        <is>
          <t>PRD-0376</t>
        </is>
      </c>
      <c r="F427" s="8" t="n">
        <v>2</v>
      </c>
      <c r="G427" s="9">
        <f>IFERROR(XLOOKUP(E427, '04_Products'!$A:$A, '04_Products'!$G:$G), 219.88)</f>
        <v/>
      </c>
      <c r="H427" s="9">
        <f>IFERROR(XLOOKUP(E427, '04_Products'!$A:$A, '04_Products'!$F:$F), 0)</f>
        <v/>
      </c>
      <c r="I427" s="9">
        <f>F427*G427</f>
        <v/>
      </c>
      <c r="J427" s="11" t="n">
        <v>0</v>
      </c>
      <c r="K427" s="9">
        <f>I427*J427</f>
        <v/>
      </c>
      <c r="L427" s="9">
        <f>I427-K427</f>
        <v/>
      </c>
      <c r="M427" s="9">
        <f>F427*H427</f>
        <v/>
      </c>
      <c r="N427" s="9">
        <f>L427-M427</f>
        <v/>
      </c>
      <c r="O427" s="11">
        <f>IFERROR(N427/L427, 0)</f>
        <v/>
      </c>
      <c r="P427" s="8">
        <f>YEAR(C427)</f>
        <v/>
      </c>
      <c r="Q427" s="8">
        <f>TEXT(C427, "yyyy-mm")</f>
        <v/>
      </c>
      <c r="R427" s="8" t="inlineStr">
        <is>
          <t>Mobile App</t>
        </is>
      </c>
      <c r="S427" s="8" t="inlineStr">
        <is>
          <t>REG-NA</t>
        </is>
      </c>
    </row>
    <row r="428">
      <c r="A428" s="8" t="inlineStr">
        <is>
          <t>DTL-0000433</t>
        </is>
      </c>
      <c r="B428" s="8" t="inlineStr">
        <is>
          <t>ORD-000211</t>
        </is>
      </c>
      <c r="C428" s="10" t="inlineStr">
        <is>
          <t>2025-11-01</t>
        </is>
      </c>
      <c r="D428" s="8" t="inlineStr">
        <is>
          <t>CUST-01869</t>
        </is>
      </c>
      <c r="E428" s="8" t="inlineStr">
        <is>
          <t>PRD-0294</t>
        </is>
      </c>
      <c r="F428" s="8" t="n">
        <v>2</v>
      </c>
      <c r="G428" s="9">
        <f>IFERROR(XLOOKUP(E428, '04_Products'!$A:$A, '04_Products'!$G:$G), 159.21)</f>
        <v/>
      </c>
      <c r="H428" s="9">
        <f>IFERROR(XLOOKUP(E428, '04_Products'!$A:$A, '04_Products'!$F:$F), 0)</f>
        <v/>
      </c>
      <c r="I428" s="9">
        <f>F428*G428</f>
        <v/>
      </c>
      <c r="J428" s="11" t="n">
        <v>0.05</v>
      </c>
      <c r="K428" s="9">
        <f>I428*J428</f>
        <v/>
      </c>
      <c r="L428" s="9">
        <f>I428-K428</f>
        <v/>
      </c>
      <c r="M428" s="9">
        <f>F428*H428</f>
        <v/>
      </c>
      <c r="N428" s="9">
        <f>L428-M428</f>
        <v/>
      </c>
      <c r="O428" s="11">
        <f>IFERROR(N428/L428, 0)</f>
        <v/>
      </c>
      <c r="P428" s="8">
        <f>YEAR(C428)</f>
        <v/>
      </c>
      <c r="Q428" s="8">
        <f>TEXT(C428, "yyyy-mm")</f>
        <v/>
      </c>
      <c r="R428" s="8" t="inlineStr">
        <is>
          <t>Mobile App</t>
        </is>
      </c>
      <c r="S428" s="8" t="inlineStr">
        <is>
          <t>REG-NA</t>
        </is>
      </c>
    </row>
    <row r="429">
      <c r="A429" s="8" t="inlineStr">
        <is>
          <t>DTL-0000434</t>
        </is>
      </c>
      <c r="B429" s="8" t="inlineStr">
        <is>
          <t>ORD-000212</t>
        </is>
      </c>
      <c r="C429" s="10" t="inlineStr">
        <is>
          <t>2023-08-04</t>
        </is>
      </c>
      <c r="D429" s="8" t="inlineStr">
        <is>
          <t>CUST-01367</t>
        </is>
      </c>
      <c r="E429" s="8" t="inlineStr">
        <is>
          <t>PRD-0171</t>
        </is>
      </c>
      <c r="F429" s="8" t="n">
        <v>1</v>
      </c>
      <c r="G429" s="9">
        <f>IFERROR(XLOOKUP(E429, '04_Products'!$A:$A, '04_Products'!$G:$G), 143.61)</f>
        <v/>
      </c>
      <c r="H429" s="9">
        <f>IFERROR(XLOOKUP(E429, '04_Products'!$A:$A, '04_Products'!$F:$F), 0)</f>
        <v/>
      </c>
      <c r="I429" s="9">
        <f>F429*G429</f>
        <v/>
      </c>
      <c r="J429" s="11" t="n">
        <v>0</v>
      </c>
      <c r="K429" s="9">
        <f>I429*J429</f>
        <v/>
      </c>
      <c r="L429" s="9">
        <f>I429-K429</f>
        <v/>
      </c>
      <c r="M429" s="9">
        <f>F429*H429</f>
        <v/>
      </c>
      <c r="N429" s="9">
        <f>L429-M429</f>
        <v/>
      </c>
      <c r="O429" s="11">
        <f>IFERROR(N429/L429, 0)</f>
        <v/>
      </c>
      <c r="P429" s="8">
        <f>YEAR(C429)</f>
        <v/>
      </c>
      <c r="Q429" s="8">
        <f>TEXT(C429, "yyyy-mm")</f>
        <v/>
      </c>
      <c r="R429" s="8" t="inlineStr">
        <is>
          <t>Affiliate Partner</t>
        </is>
      </c>
      <c r="S429" s="8" t="inlineStr">
        <is>
          <t>REG-APAC</t>
        </is>
      </c>
    </row>
    <row r="430">
      <c r="A430" s="8" t="inlineStr">
        <is>
          <t>DTL-0000435</t>
        </is>
      </c>
      <c r="B430" s="8" t="inlineStr">
        <is>
          <t>ORD-000213</t>
        </is>
      </c>
      <c r="C430" s="10" t="inlineStr">
        <is>
          <t>2024-11-12</t>
        </is>
      </c>
      <c r="D430" s="8" t="inlineStr">
        <is>
          <t>CUST-07855</t>
        </is>
      </c>
      <c r="E430" s="8" t="inlineStr">
        <is>
          <t>PRD-0258</t>
        </is>
      </c>
      <c r="F430" s="8" t="n">
        <v>1</v>
      </c>
      <c r="G430" s="9">
        <f>IFERROR(XLOOKUP(E430, '04_Products'!$A:$A, '04_Products'!$G:$G), 636.27)</f>
        <v/>
      </c>
      <c r="H430" s="9">
        <f>IFERROR(XLOOKUP(E430, '04_Products'!$A:$A, '04_Products'!$F:$F), 0)</f>
        <v/>
      </c>
      <c r="I430" s="9">
        <f>F430*G430</f>
        <v/>
      </c>
      <c r="J430" s="11" t="n">
        <v>0.25</v>
      </c>
      <c r="K430" s="9">
        <f>I430*J430</f>
        <v/>
      </c>
      <c r="L430" s="9">
        <f>I430-K430</f>
        <v/>
      </c>
      <c r="M430" s="9">
        <f>F430*H430</f>
        <v/>
      </c>
      <c r="N430" s="9">
        <f>L430-M430</f>
        <v/>
      </c>
      <c r="O430" s="11">
        <f>IFERROR(N430/L430, 0)</f>
        <v/>
      </c>
      <c r="P430" s="8">
        <f>YEAR(C430)</f>
        <v/>
      </c>
      <c r="Q430" s="8">
        <f>TEXT(C430, "yyyy-mm")</f>
        <v/>
      </c>
      <c r="R430" s="8" t="inlineStr">
        <is>
          <t>Direct Web</t>
        </is>
      </c>
      <c r="S430" s="8" t="inlineStr">
        <is>
          <t>REG-NA</t>
        </is>
      </c>
    </row>
    <row r="431">
      <c r="A431" s="8" t="inlineStr">
        <is>
          <t>DTL-0000436</t>
        </is>
      </c>
      <c r="B431" s="8" t="inlineStr">
        <is>
          <t>ORD-000213</t>
        </is>
      </c>
      <c r="C431" s="10" t="inlineStr">
        <is>
          <t>2024-11-12</t>
        </is>
      </c>
      <c r="D431" s="8" t="inlineStr">
        <is>
          <t>CUST-07855</t>
        </is>
      </c>
      <c r="E431" s="8" t="inlineStr">
        <is>
          <t>PRD-0222</t>
        </is>
      </c>
      <c r="F431" s="8" t="n">
        <v>1</v>
      </c>
      <c r="G431" s="9">
        <f>IFERROR(XLOOKUP(E431, '04_Products'!$A:$A, '04_Products'!$G:$G), 748.03)</f>
        <v/>
      </c>
      <c r="H431" s="9">
        <f>IFERROR(XLOOKUP(E431, '04_Products'!$A:$A, '04_Products'!$F:$F), 0)</f>
        <v/>
      </c>
      <c r="I431" s="9">
        <f>F431*G431</f>
        <v/>
      </c>
      <c r="J431" s="11" t="n">
        <v>0.05</v>
      </c>
      <c r="K431" s="9">
        <f>I431*J431</f>
        <v/>
      </c>
      <c r="L431" s="9">
        <f>I431-K431</f>
        <v/>
      </c>
      <c r="M431" s="9">
        <f>F431*H431</f>
        <v/>
      </c>
      <c r="N431" s="9">
        <f>L431-M431</f>
        <v/>
      </c>
      <c r="O431" s="11">
        <f>IFERROR(N431/L431, 0)</f>
        <v/>
      </c>
      <c r="P431" s="8">
        <f>YEAR(C431)</f>
        <v/>
      </c>
      <c r="Q431" s="8">
        <f>TEXT(C431, "yyyy-mm")</f>
        <v/>
      </c>
      <c r="R431" s="8" t="inlineStr">
        <is>
          <t>Direct Web</t>
        </is>
      </c>
      <c r="S431" s="8" t="inlineStr">
        <is>
          <t>REG-NA</t>
        </is>
      </c>
    </row>
    <row r="432">
      <c r="A432" s="8" t="inlineStr">
        <is>
          <t>DTL-0000437</t>
        </is>
      </c>
      <c r="B432" s="8" t="inlineStr">
        <is>
          <t>ORD-000214</t>
        </is>
      </c>
      <c r="C432" s="10" t="inlineStr">
        <is>
          <t>2025-12-30</t>
        </is>
      </c>
      <c r="D432" s="8" t="inlineStr">
        <is>
          <t>CUST-00969</t>
        </is>
      </c>
      <c r="E432" s="8" t="inlineStr">
        <is>
          <t>PRD-0044</t>
        </is>
      </c>
      <c r="F432" s="8" t="n">
        <v>2</v>
      </c>
      <c r="G432" s="9">
        <f>IFERROR(XLOOKUP(E432, '04_Products'!$A:$A, '04_Products'!$G:$G), 24.94)</f>
        <v/>
      </c>
      <c r="H432" s="9">
        <f>IFERROR(XLOOKUP(E432, '04_Products'!$A:$A, '04_Products'!$F:$F), 0)</f>
        <v/>
      </c>
      <c r="I432" s="9">
        <f>F432*G432</f>
        <v/>
      </c>
      <c r="J432" s="11" t="n">
        <v>0</v>
      </c>
      <c r="K432" s="9">
        <f>I432*J432</f>
        <v/>
      </c>
      <c r="L432" s="9">
        <f>I432-K432</f>
        <v/>
      </c>
      <c r="M432" s="9">
        <f>F432*H432</f>
        <v/>
      </c>
      <c r="N432" s="9">
        <f>L432-M432</f>
        <v/>
      </c>
      <c r="O432" s="11">
        <f>IFERROR(N432/L432, 0)</f>
        <v/>
      </c>
      <c r="P432" s="8">
        <f>YEAR(C432)</f>
        <v/>
      </c>
      <c r="Q432" s="8">
        <f>TEXT(C432, "yyyy-mm")</f>
        <v/>
      </c>
      <c r="R432" s="8" t="inlineStr">
        <is>
          <t>Mobile App</t>
        </is>
      </c>
      <c r="S432" s="8" t="inlineStr">
        <is>
          <t>REG-NA</t>
        </is>
      </c>
    </row>
    <row r="433">
      <c r="A433" s="8" t="inlineStr">
        <is>
          <t>DTL-0000438</t>
        </is>
      </c>
      <c r="B433" s="8" t="inlineStr">
        <is>
          <t>ORD-000214</t>
        </is>
      </c>
      <c r="C433" s="10" t="inlineStr">
        <is>
          <t>2025-12-30</t>
        </is>
      </c>
      <c r="D433" s="8" t="inlineStr">
        <is>
          <t>CUST-00969</t>
        </is>
      </c>
      <c r="E433" s="8" t="inlineStr">
        <is>
          <t>PRD-0066</t>
        </is>
      </c>
      <c r="F433" s="8" t="n">
        <v>1</v>
      </c>
      <c r="G433" s="9">
        <f>IFERROR(XLOOKUP(E433, '04_Products'!$A:$A, '04_Products'!$G:$G), 976.53)</f>
        <v/>
      </c>
      <c r="H433" s="9">
        <f>IFERROR(XLOOKUP(E433, '04_Products'!$A:$A, '04_Products'!$F:$F), 0)</f>
        <v/>
      </c>
      <c r="I433" s="9">
        <f>F433*G433</f>
        <v/>
      </c>
      <c r="J433" s="11" t="n">
        <v>0</v>
      </c>
      <c r="K433" s="9">
        <f>I433*J433</f>
        <v/>
      </c>
      <c r="L433" s="9">
        <f>I433-K433</f>
        <v/>
      </c>
      <c r="M433" s="9">
        <f>F433*H433</f>
        <v/>
      </c>
      <c r="N433" s="9">
        <f>L433-M433</f>
        <v/>
      </c>
      <c r="O433" s="11">
        <f>IFERROR(N433/L433, 0)</f>
        <v/>
      </c>
      <c r="P433" s="8">
        <f>YEAR(C433)</f>
        <v/>
      </c>
      <c r="Q433" s="8">
        <f>TEXT(C433, "yyyy-mm")</f>
        <v/>
      </c>
      <c r="R433" s="8" t="inlineStr">
        <is>
          <t>Mobile App</t>
        </is>
      </c>
      <c r="S433" s="8" t="inlineStr">
        <is>
          <t>REG-NA</t>
        </is>
      </c>
    </row>
    <row r="434">
      <c r="A434" s="8" t="inlineStr">
        <is>
          <t>DTL-0000439</t>
        </is>
      </c>
      <c r="B434" s="8" t="inlineStr">
        <is>
          <t>ORD-000214</t>
        </is>
      </c>
      <c r="C434" s="10" t="inlineStr">
        <is>
          <t>2025-12-30</t>
        </is>
      </c>
      <c r="D434" s="8" t="inlineStr">
        <is>
          <t>CUST-00969</t>
        </is>
      </c>
      <c r="E434" s="8" t="inlineStr">
        <is>
          <t>PRD-0499</t>
        </is>
      </c>
      <c r="F434" s="8" t="n">
        <v>1</v>
      </c>
      <c r="G434" s="9">
        <f>IFERROR(XLOOKUP(E434, '04_Products'!$A:$A, '04_Products'!$G:$G), 1089.27)</f>
        <v/>
      </c>
      <c r="H434" s="9">
        <f>IFERROR(XLOOKUP(E434, '04_Products'!$A:$A, '04_Products'!$F:$F), 0)</f>
        <v/>
      </c>
      <c r="I434" s="9">
        <f>F434*G434</f>
        <v/>
      </c>
      <c r="J434" s="11" t="n">
        <v>0.15</v>
      </c>
      <c r="K434" s="9">
        <f>I434*J434</f>
        <v/>
      </c>
      <c r="L434" s="9">
        <f>I434-K434</f>
        <v/>
      </c>
      <c r="M434" s="9">
        <f>F434*H434</f>
        <v/>
      </c>
      <c r="N434" s="9">
        <f>L434-M434</f>
        <v/>
      </c>
      <c r="O434" s="11">
        <f>IFERROR(N434/L434, 0)</f>
        <v/>
      </c>
      <c r="P434" s="8">
        <f>YEAR(C434)</f>
        <v/>
      </c>
      <c r="Q434" s="8">
        <f>TEXT(C434, "yyyy-mm")</f>
        <v/>
      </c>
      <c r="R434" s="8" t="inlineStr">
        <is>
          <t>Mobile App</t>
        </is>
      </c>
      <c r="S434" s="8" t="inlineStr">
        <is>
          <t>REG-NA</t>
        </is>
      </c>
    </row>
    <row r="435">
      <c r="A435" s="8" t="inlineStr">
        <is>
          <t>DTL-0000440</t>
        </is>
      </c>
      <c r="B435" s="8" t="inlineStr">
        <is>
          <t>ORD-000214</t>
        </is>
      </c>
      <c r="C435" s="10" t="inlineStr">
        <is>
          <t>2025-12-30</t>
        </is>
      </c>
      <c r="D435" s="8" t="inlineStr">
        <is>
          <t>CUST-00969</t>
        </is>
      </c>
      <c r="E435" s="8" t="inlineStr">
        <is>
          <t>PRD-0068</t>
        </is>
      </c>
      <c r="F435" s="8" t="n">
        <v>1</v>
      </c>
      <c r="G435" s="9">
        <f>IFERROR(XLOOKUP(E435, '04_Products'!$A:$A, '04_Products'!$G:$G), 1340.27)</f>
        <v/>
      </c>
      <c r="H435" s="9">
        <f>IFERROR(XLOOKUP(E435, '04_Products'!$A:$A, '04_Products'!$F:$F), 0)</f>
        <v/>
      </c>
      <c r="I435" s="9">
        <f>F435*G435</f>
        <v/>
      </c>
      <c r="J435" s="11" t="n">
        <v>0</v>
      </c>
      <c r="K435" s="9">
        <f>I435*J435</f>
        <v/>
      </c>
      <c r="L435" s="9">
        <f>I435-K435</f>
        <v/>
      </c>
      <c r="M435" s="9">
        <f>F435*H435</f>
        <v/>
      </c>
      <c r="N435" s="9">
        <f>L435-M435</f>
        <v/>
      </c>
      <c r="O435" s="11">
        <f>IFERROR(N435/L435, 0)</f>
        <v/>
      </c>
      <c r="P435" s="8">
        <f>YEAR(C435)</f>
        <v/>
      </c>
      <c r="Q435" s="8">
        <f>TEXT(C435, "yyyy-mm")</f>
        <v/>
      </c>
      <c r="R435" s="8" t="inlineStr">
        <is>
          <t>Mobile App</t>
        </is>
      </c>
      <c r="S435" s="8" t="inlineStr">
        <is>
          <t>REG-NA</t>
        </is>
      </c>
    </row>
    <row r="436">
      <c r="A436" s="8" t="inlineStr">
        <is>
          <t>DTL-0000441</t>
        </is>
      </c>
      <c r="B436" s="8" t="inlineStr">
        <is>
          <t>ORD-000214</t>
        </is>
      </c>
      <c r="C436" s="10" t="inlineStr">
        <is>
          <t>2025-12-30</t>
        </is>
      </c>
      <c r="D436" s="8" t="inlineStr">
        <is>
          <t>CUST-00969</t>
        </is>
      </c>
      <c r="E436" s="8" t="inlineStr">
        <is>
          <t>PRD-0167</t>
        </is>
      </c>
      <c r="F436" s="8" t="n">
        <v>2</v>
      </c>
      <c r="G436" s="9">
        <f>IFERROR(XLOOKUP(E436, '04_Products'!$A:$A, '04_Products'!$G:$G), 606.81)</f>
        <v/>
      </c>
      <c r="H436" s="9">
        <f>IFERROR(XLOOKUP(E436, '04_Products'!$A:$A, '04_Products'!$F:$F), 0)</f>
        <v/>
      </c>
      <c r="I436" s="9">
        <f>F436*G436</f>
        <v/>
      </c>
      <c r="J436" s="11" t="n">
        <v>0</v>
      </c>
      <c r="K436" s="9">
        <f>I436*J436</f>
        <v/>
      </c>
      <c r="L436" s="9">
        <f>I436-K436</f>
        <v/>
      </c>
      <c r="M436" s="9">
        <f>F436*H436</f>
        <v/>
      </c>
      <c r="N436" s="9">
        <f>L436-M436</f>
        <v/>
      </c>
      <c r="O436" s="11">
        <f>IFERROR(N436/L436, 0)</f>
        <v/>
      </c>
      <c r="P436" s="8">
        <f>YEAR(C436)</f>
        <v/>
      </c>
      <c r="Q436" s="8">
        <f>TEXT(C436, "yyyy-mm")</f>
        <v/>
      </c>
      <c r="R436" s="8" t="inlineStr">
        <is>
          <t>Mobile App</t>
        </is>
      </c>
      <c r="S436" s="8" t="inlineStr">
        <is>
          <t>REG-NA</t>
        </is>
      </c>
    </row>
    <row r="437">
      <c r="A437" s="8" t="inlineStr">
        <is>
          <t>DTL-0000442</t>
        </is>
      </c>
      <c r="B437" s="8" t="inlineStr">
        <is>
          <t>ORD-000215</t>
        </is>
      </c>
      <c r="C437" s="10" t="inlineStr">
        <is>
          <t>2023-08-18</t>
        </is>
      </c>
      <c r="D437" s="8" t="inlineStr">
        <is>
          <t>CUST-07558</t>
        </is>
      </c>
      <c r="E437" s="8" t="inlineStr">
        <is>
          <t>PRD-0167</t>
        </is>
      </c>
      <c r="F437" s="8" t="n">
        <v>1</v>
      </c>
      <c r="G437" s="9">
        <f>IFERROR(XLOOKUP(E437, '04_Products'!$A:$A, '04_Products'!$G:$G), 606.81)</f>
        <v/>
      </c>
      <c r="H437" s="9">
        <f>IFERROR(XLOOKUP(E437, '04_Products'!$A:$A, '04_Products'!$F:$F), 0)</f>
        <v/>
      </c>
      <c r="I437" s="9">
        <f>F437*G437</f>
        <v/>
      </c>
      <c r="J437" s="11" t="n">
        <v>0.2</v>
      </c>
      <c r="K437" s="9">
        <f>I437*J437</f>
        <v/>
      </c>
      <c r="L437" s="9">
        <f>I437-K437</f>
        <v/>
      </c>
      <c r="M437" s="9">
        <f>F437*H437</f>
        <v/>
      </c>
      <c r="N437" s="9">
        <f>L437-M437</f>
        <v/>
      </c>
      <c r="O437" s="11">
        <f>IFERROR(N437/L437, 0)</f>
        <v/>
      </c>
      <c r="P437" s="8">
        <f>YEAR(C437)</f>
        <v/>
      </c>
      <c r="Q437" s="8">
        <f>TEXT(C437, "yyyy-mm")</f>
        <v/>
      </c>
      <c r="R437" s="8" t="inlineStr">
        <is>
          <t>Direct Web</t>
        </is>
      </c>
      <c r="S437" s="8" t="inlineStr">
        <is>
          <t>REG-NA</t>
        </is>
      </c>
    </row>
    <row r="438">
      <c r="A438" s="8" t="inlineStr">
        <is>
          <t>DTL-0000443</t>
        </is>
      </c>
      <c r="B438" s="8" t="inlineStr">
        <is>
          <t>ORD-000216</t>
        </is>
      </c>
      <c r="C438" s="10" t="inlineStr">
        <is>
          <t>2023-10-22</t>
        </is>
      </c>
      <c r="D438" s="8" t="inlineStr">
        <is>
          <t>CUST-05587</t>
        </is>
      </c>
      <c r="E438" s="8" t="inlineStr">
        <is>
          <t>PRD-0167</t>
        </is>
      </c>
      <c r="F438" s="8" t="n">
        <v>3</v>
      </c>
      <c r="G438" s="9">
        <f>IFERROR(XLOOKUP(E438, '04_Products'!$A:$A, '04_Products'!$G:$G), 606.81)</f>
        <v/>
      </c>
      <c r="H438" s="9">
        <f>IFERROR(XLOOKUP(E438, '04_Products'!$A:$A, '04_Products'!$F:$F), 0)</f>
        <v/>
      </c>
      <c r="I438" s="9">
        <f>F438*G438</f>
        <v/>
      </c>
      <c r="J438" s="11" t="n">
        <v>0</v>
      </c>
      <c r="K438" s="9">
        <f>I438*J438</f>
        <v/>
      </c>
      <c r="L438" s="9">
        <f>I438-K438</f>
        <v/>
      </c>
      <c r="M438" s="9">
        <f>F438*H438</f>
        <v/>
      </c>
      <c r="N438" s="9">
        <f>L438-M438</f>
        <v/>
      </c>
      <c r="O438" s="11">
        <f>IFERROR(N438/L438, 0)</f>
        <v/>
      </c>
      <c r="P438" s="8">
        <f>YEAR(C438)</f>
        <v/>
      </c>
      <c r="Q438" s="8">
        <f>TEXT(C438, "yyyy-mm")</f>
        <v/>
      </c>
      <c r="R438" s="8" t="inlineStr">
        <is>
          <t>Direct Web</t>
        </is>
      </c>
      <c r="S438" s="8" t="inlineStr">
        <is>
          <t>REG-EU</t>
        </is>
      </c>
    </row>
    <row r="439">
      <c r="A439" s="8" t="inlineStr">
        <is>
          <t>DTL-0000444</t>
        </is>
      </c>
      <c r="B439" s="8" t="inlineStr">
        <is>
          <t>ORD-000216</t>
        </is>
      </c>
      <c r="C439" s="10" t="inlineStr">
        <is>
          <t>2023-10-22</t>
        </is>
      </c>
      <c r="D439" s="8" t="inlineStr">
        <is>
          <t>CUST-05587</t>
        </is>
      </c>
      <c r="E439" s="8" t="inlineStr">
        <is>
          <t>PRD-0298</t>
        </is>
      </c>
      <c r="F439" s="8" t="n">
        <v>1</v>
      </c>
      <c r="G439" s="9">
        <f>IFERROR(XLOOKUP(E439, '04_Products'!$A:$A, '04_Products'!$G:$G), 1013.11)</f>
        <v/>
      </c>
      <c r="H439" s="9">
        <f>IFERROR(XLOOKUP(E439, '04_Products'!$A:$A, '04_Products'!$F:$F), 0)</f>
        <v/>
      </c>
      <c r="I439" s="9">
        <f>F439*G439</f>
        <v/>
      </c>
      <c r="J439" s="11" t="n">
        <v>0</v>
      </c>
      <c r="K439" s="9">
        <f>I439*J439</f>
        <v/>
      </c>
      <c r="L439" s="9">
        <f>I439-K439</f>
        <v/>
      </c>
      <c r="M439" s="9">
        <f>F439*H439</f>
        <v/>
      </c>
      <c r="N439" s="9">
        <f>L439-M439</f>
        <v/>
      </c>
      <c r="O439" s="11">
        <f>IFERROR(N439/L439, 0)</f>
        <v/>
      </c>
      <c r="P439" s="8">
        <f>YEAR(C439)</f>
        <v/>
      </c>
      <c r="Q439" s="8">
        <f>TEXT(C439, "yyyy-mm")</f>
        <v/>
      </c>
      <c r="R439" s="8" t="inlineStr">
        <is>
          <t>Direct Web</t>
        </is>
      </c>
      <c r="S439" s="8" t="inlineStr">
        <is>
          <t>REG-EU</t>
        </is>
      </c>
    </row>
    <row r="440">
      <c r="A440" s="8" t="inlineStr">
        <is>
          <t>DTL-0000445</t>
        </is>
      </c>
      <c r="B440" s="8" t="inlineStr">
        <is>
          <t>ORD-000216</t>
        </is>
      </c>
      <c r="C440" s="10" t="inlineStr">
        <is>
          <t>2023-10-22</t>
        </is>
      </c>
      <c r="D440" s="8" t="inlineStr">
        <is>
          <t>CUST-05587</t>
        </is>
      </c>
      <c r="E440" s="8" t="inlineStr">
        <is>
          <t>PRD-0162</t>
        </is>
      </c>
      <c r="F440" s="8" t="n">
        <v>2</v>
      </c>
      <c r="G440" s="9">
        <f>IFERROR(XLOOKUP(E440, '04_Products'!$A:$A, '04_Products'!$G:$G), 192.43)</f>
        <v/>
      </c>
      <c r="H440" s="9">
        <f>IFERROR(XLOOKUP(E440, '04_Products'!$A:$A, '04_Products'!$F:$F), 0)</f>
        <v/>
      </c>
      <c r="I440" s="9">
        <f>F440*G440</f>
        <v/>
      </c>
      <c r="J440" s="11" t="n">
        <v>0</v>
      </c>
      <c r="K440" s="9">
        <f>I440*J440</f>
        <v/>
      </c>
      <c r="L440" s="9">
        <f>I440-K440</f>
        <v/>
      </c>
      <c r="M440" s="9">
        <f>F440*H440</f>
        <v/>
      </c>
      <c r="N440" s="9">
        <f>L440-M440</f>
        <v/>
      </c>
      <c r="O440" s="11">
        <f>IFERROR(N440/L440, 0)</f>
        <v/>
      </c>
      <c r="P440" s="8">
        <f>YEAR(C440)</f>
        <v/>
      </c>
      <c r="Q440" s="8">
        <f>TEXT(C440, "yyyy-mm")</f>
        <v/>
      </c>
      <c r="R440" s="8" t="inlineStr">
        <is>
          <t>Direct Web</t>
        </is>
      </c>
      <c r="S440" s="8" t="inlineStr">
        <is>
          <t>REG-EU</t>
        </is>
      </c>
    </row>
    <row r="441">
      <c r="A441" s="8" t="inlineStr">
        <is>
          <t>DTL-0000446</t>
        </is>
      </c>
      <c r="B441" s="8" t="inlineStr">
        <is>
          <t>ORD-000216</t>
        </is>
      </c>
      <c r="C441" s="10" t="inlineStr">
        <is>
          <t>2023-10-22</t>
        </is>
      </c>
      <c r="D441" s="8" t="inlineStr">
        <is>
          <t>CUST-05587</t>
        </is>
      </c>
      <c r="E441" s="8" t="inlineStr">
        <is>
          <t>PRD-0054</t>
        </is>
      </c>
      <c r="F441" s="8" t="n">
        <v>1</v>
      </c>
      <c r="G441" s="9">
        <f>IFERROR(XLOOKUP(E441, '04_Products'!$A:$A, '04_Products'!$G:$G), 873.80)</f>
        <v/>
      </c>
      <c r="H441" s="9">
        <f>IFERROR(XLOOKUP(E441, '04_Products'!$A:$A, '04_Products'!$F:$F), 0)</f>
        <v/>
      </c>
      <c r="I441" s="9">
        <f>F441*G441</f>
        <v/>
      </c>
      <c r="J441" s="11" t="n">
        <v>0</v>
      </c>
      <c r="K441" s="9">
        <f>I441*J441</f>
        <v/>
      </c>
      <c r="L441" s="9">
        <f>I441-K441</f>
        <v/>
      </c>
      <c r="M441" s="9">
        <f>F441*H441</f>
        <v/>
      </c>
      <c r="N441" s="9">
        <f>L441-M441</f>
        <v/>
      </c>
      <c r="O441" s="11">
        <f>IFERROR(N441/L441, 0)</f>
        <v/>
      </c>
      <c r="P441" s="8">
        <f>YEAR(C441)</f>
        <v/>
      </c>
      <c r="Q441" s="8">
        <f>TEXT(C441, "yyyy-mm")</f>
        <v/>
      </c>
      <c r="R441" s="8" t="inlineStr">
        <is>
          <t>Direct Web</t>
        </is>
      </c>
      <c r="S441" s="8" t="inlineStr">
        <is>
          <t>REG-EU</t>
        </is>
      </c>
    </row>
    <row r="442">
      <c r="A442" s="8" t="inlineStr">
        <is>
          <t>DTL-0000447</t>
        </is>
      </c>
      <c r="B442" s="8" t="inlineStr">
        <is>
          <t>ORD-000217</t>
        </is>
      </c>
      <c r="C442" s="10" t="inlineStr">
        <is>
          <t>2024-10-04</t>
        </is>
      </c>
      <c r="D442" s="8" t="inlineStr">
        <is>
          <t>CUST-05228</t>
        </is>
      </c>
      <c r="E442" s="8" t="inlineStr">
        <is>
          <t>PRD-0341</t>
        </is>
      </c>
      <c r="F442" s="8" t="n">
        <v>1</v>
      </c>
      <c r="G442" s="9">
        <f>IFERROR(XLOOKUP(E442, '04_Products'!$A:$A, '04_Products'!$G:$G), 26.88)</f>
        <v/>
      </c>
      <c r="H442" s="9">
        <f>IFERROR(XLOOKUP(E442, '04_Products'!$A:$A, '04_Products'!$F:$F), 0)</f>
        <v/>
      </c>
      <c r="I442" s="9">
        <f>F442*G442</f>
        <v/>
      </c>
      <c r="J442" s="11" t="n">
        <v>0.1</v>
      </c>
      <c r="K442" s="9">
        <f>I442*J442</f>
        <v/>
      </c>
      <c r="L442" s="9">
        <f>I442-K442</f>
        <v/>
      </c>
      <c r="M442" s="9">
        <f>F442*H442</f>
        <v/>
      </c>
      <c r="N442" s="9">
        <f>L442-M442</f>
        <v/>
      </c>
      <c r="O442" s="11">
        <f>IFERROR(N442/L442, 0)</f>
        <v/>
      </c>
      <c r="P442" s="8">
        <f>YEAR(C442)</f>
        <v/>
      </c>
      <c r="Q442" s="8">
        <f>TEXT(C442, "yyyy-mm")</f>
        <v/>
      </c>
      <c r="R442" s="8" t="inlineStr">
        <is>
          <t>Mobile App</t>
        </is>
      </c>
      <c r="S442" s="8" t="inlineStr">
        <is>
          <t>REG-NA</t>
        </is>
      </c>
    </row>
    <row r="443">
      <c r="A443" s="8" t="inlineStr">
        <is>
          <t>DTL-0000448</t>
        </is>
      </c>
      <c r="B443" s="8" t="inlineStr">
        <is>
          <t>ORD-000217</t>
        </is>
      </c>
      <c r="C443" s="10" t="inlineStr">
        <is>
          <t>2024-10-04</t>
        </is>
      </c>
      <c r="D443" s="8" t="inlineStr">
        <is>
          <t>CUST-05228</t>
        </is>
      </c>
      <c r="E443" s="8" t="inlineStr">
        <is>
          <t>PRD-0365</t>
        </is>
      </c>
      <c r="F443" s="8" t="n">
        <v>1</v>
      </c>
      <c r="G443" s="9">
        <f>IFERROR(XLOOKUP(E443, '04_Products'!$A:$A, '04_Products'!$G:$G), 81.70)</f>
        <v/>
      </c>
      <c r="H443" s="9">
        <f>IFERROR(XLOOKUP(E443, '04_Products'!$A:$A, '04_Products'!$F:$F), 0)</f>
        <v/>
      </c>
      <c r="I443" s="9">
        <f>F443*G443</f>
        <v/>
      </c>
      <c r="J443" s="11" t="n">
        <v>0</v>
      </c>
      <c r="K443" s="9">
        <f>I443*J443</f>
        <v/>
      </c>
      <c r="L443" s="9">
        <f>I443-K443</f>
        <v/>
      </c>
      <c r="M443" s="9">
        <f>F443*H443</f>
        <v/>
      </c>
      <c r="N443" s="9">
        <f>L443-M443</f>
        <v/>
      </c>
      <c r="O443" s="11">
        <f>IFERROR(N443/L443, 0)</f>
        <v/>
      </c>
      <c r="P443" s="8">
        <f>YEAR(C443)</f>
        <v/>
      </c>
      <c r="Q443" s="8">
        <f>TEXT(C443, "yyyy-mm")</f>
        <v/>
      </c>
      <c r="R443" s="8" t="inlineStr">
        <is>
          <t>Mobile App</t>
        </is>
      </c>
      <c r="S443" s="8" t="inlineStr">
        <is>
          <t>REG-NA</t>
        </is>
      </c>
    </row>
    <row r="444">
      <c r="A444" s="8" t="inlineStr">
        <is>
          <t>DTL-0000449</t>
        </is>
      </c>
      <c r="B444" s="8" t="inlineStr">
        <is>
          <t>ORD-000218</t>
        </is>
      </c>
      <c r="C444" s="10" t="inlineStr">
        <is>
          <t>2025-03-07</t>
        </is>
      </c>
      <c r="D444" s="8" t="inlineStr">
        <is>
          <t>CUST-01195</t>
        </is>
      </c>
      <c r="E444" s="8" t="inlineStr">
        <is>
          <t>PRD-0241</t>
        </is>
      </c>
      <c r="F444" s="8" t="n">
        <v>1</v>
      </c>
      <c r="G444" s="9">
        <f>IFERROR(XLOOKUP(E444, '04_Products'!$A:$A, '04_Products'!$G:$G), 91.47)</f>
        <v/>
      </c>
      <c r="H444" s="9">
        <f>IFERROR(XLOOKUP(E444, '04_Products'!$A:$A, '04_Products'!$F:$F), 0)</f>
        <v/>
      </c>
      <c r="I444" s="9">
        <f>F444*G444</f>
        <v/>
      </c>
      <c r="J444" s="11" t="n">
        <v>0.1</v>
      </c>
      <c r="K444" s="9">
        <f>I444*J444</f>
        <v/>
      </c>
      <c r="L444" s="9">
        <f>I444-K444</f>
        <v/>
      </c>
      <c r="M444" s="9">
        <f>F444*H444</f>
        <v/>
      </c>
      <c r="N444" s="9">
        <f>L444-M444</f>
        <v/>
      </c>
      <c r="O444" s="11">
        <f>IFERROR(N444/L444, 0)</f>
        <v/>
      </c>
      <c r="P444" s="8">
        <f>YEAR(C444)</f>
        <v/>
      </c>
      <c r="Q444" s="8">
        <f>TEXT(C444, "yyyy-mm")</f>
        <v/>
      </c>
      <c r="R444" s="8" t="inlineStr">
        <is>
          <t>B2B Portal</t>
        </is>
      </c>
      <c r="S444" s="8" t="inlineStr">
        <is>
          <t>REG-NA</t>
        </is>
      </c>
    </row>
    <row r="445">
      <c r="A445" s="8" t="inlineStr">
        <is>
          <t>DTL-0000450</t>
        </is>
      </c>
      <c r="B445" s="8" t="inlineStr">
        <is>
          <t>ORD-000219</t>
        </is>
      </c>
      <c r="C445" s="10" t="inlineStr">
        <is>
          <t>2025-01-11</t>
        </is>
      </c>
      <c r="D445" s="8" t="inlineStr">
        <is>
          <t>CUST-01940</t>
        </is>
      </c>
      <c r="E445" s="8" t="inlineStr">
        <is>
          <t>PRD-0189</t>
        </is>
      </c>
      <c r="F445" s="8" t="n">
        <v>1</v>
      </c>
      <c r="G445" s="9">
        <f>IFERROR(XLOOKUP(E445, '04_Products'!$A:$A, '04_Products'!$G:$G), 526.66)</f>
        <v/>
      </c>
      <c r="H445" s="9">
        <f>IFERROR(XLOOKUP(E445, '04_Products'!$A:$A, '04_Products'!$F:$F), 0)</f>
        <v/>
      </c>
      <c r="I445" s="9">
        <f>F445*G445</f>
        <v/>
      </c>
      <c r="J445" s="11" t="n">
        <v>0.15</v>
      </c>
      <c r="K445" s="9">
        <f>I445*J445</f>
        <v/>
      </c>
      <c r="L445" s="9">
        <f>I445-K445</f>
        <v/>
      </c>
      <c r="M445" s="9">
        <f>F445*H445</f>
        <v/>
      </c>
      <c r="N445" s="9">
        <f>L445-M445</f>
        <v/>
      </c>
      <c r="O445" s="11">
        <f>IFERROR(N445/L445, 0)</f>
        <v/>
      </c>
      <c r="P445" s="8">
        <f>YEAR(C445)</f>
        <v/>
      </c>
      <c r="Q445" s="8">
        <f>TEXT(C445, "yyyy-mm")</f>
        <v/>
      </c>
      <c r="R445" s="8" t="inlineStr">
        <is>
          <t>Mobile App</t>
        </is>
      </c>
      <c r="S445" s="8" t="inlineStr">
        <is>
          <t>REG-APAC</t>
        </is>
      </c>
    </row>
    <row r="446">
      <c r="A446" s="8" t="inlineStr">
        <is>
          <t>DTL-0000451</t>
        </is>
      </c>
      <c r="B446" s="8" t="inlineStr">
        <is>
          <t>ORD-000219</t>
        </is>
      </c>
      <c r="C446" s="10" t="inlineStr">
        <is>
          <t>2025-01-11</t>
        </is>
      </c>
      <c r="D446" s="8" t="inlineStr">
        <is>
          <t>CUST-01940</t>
        </is>
      </c>
      <c r="E446" s="8" t="inlineStr">
        <is>
          <t>PRD-0179</t>
        </is>
      </c>
      <c r="F446" s="8" t="n">
        <v>1</v>
      </c>
      <c r="G446" s="9">
        <f>IFERROR(XLOOKUP(E446, '04_Products'!$A:$A, '04_Products'!$G:$G), 409.29)</f>
        <v/>
      </c>
      <c r="H446" s="9">
        <f>IFERROR(XLOOKUP(E446, '04_Products'!$A:$A, '04_Products'!$F:$F), 0)</f>
        <v/>
      </c>
      <c r="I446" s="9">
        <f>F446*G446</f>
        <v/>
      </c>
      <c r="J446" s="11" t="n">
        <v>0.05</v>
      </c>
      <c r="K446" s="9">
        <f>I446*J446</f>
        <v/>
      </c>
      <c r="L446" s="9">
        <f>I446-K446</f>
        <v/>
      </c>
      <c r="M446" s="9">
        <f>F446*H446</f>
        <v/>
      </c>
      <c r="N446" s="9">
        <f>L446-M446</f>
        <v/>
      </c>
      <c r="O446" s="11">
        <f>IFERROR(N446/L446, 0)</f>
        <v/>
      </c>
      <c r="P446" s="8">
        <f>YEAR(C446)</f>
        <v/>
      </c>
      <c r="Q446" s="8">
        <f>TEXT(C446, "yyyy-mm")</f>
        <v/>
      </c>
      <c r="R446" s="8" t="inlineStr">
        <is>
          <t>Mobile App</t>
        </is>
      </c>
      <c r="S446" s="8" t="inlineStr">
        <is>
          <t>REG-APAC</t>
        </is>
      </c>
    </row>
    <row r="447">
      <c r="A447" s="8" t="inlineStr">
        <is>
          <t>DTL-0000452</t>
        </is>
      </c>
      <c r="B447" s="8" t="inlineStr">
        <is>
          <t>ORD-000219</t>
        </is>
      </c>
      <c r="C447" s="10" t="inlineStr">
        <is>
          <t>2025-01-11</t>
        </is>
      </c>
      <c r="D447" s="8" t="inlineStr">
        <is>
          <t>CUST-01940</t>
        </is>
      </c>
      <c r="E447" s="8" t="inlineStr">
        <is>
          <t>PRD-0189</t>
        </is>
      </c>
      <c r="F447" s="8" t="n">
        <v>1</v>
      </c>
      <c r="G447" s="9">
        <f>IFERROR(XLOOKUP(E447, '04_Products'!$A:$A, '04_Products'!$G:$G), 526.66)</f>
        <v/>
      </c>
      <c r="H447" s="9">
        <f>IFERROR(XLOOKUP(E447, '04_Products'!$A:$A, '04_Products'!$F:$F), 0)</f>
        <v/>
      </c>
      <c r="I447" s="9">
        <f>F447*G447</f>
        <v/>
      </c>
      <c r="J447" s="11" t="n">
        <v>0</v>
      </c>
      <c r="K447" s="9">
        <f>I447*J447</f>
        <v/>
      </c>
      <c r="L447" s="9">
        <f>I447-K447</f>
        <v/>
      </c>
      <c r="M447" s="9">
        <f>F447*H447</f>
        <v/>
      </c>
      <c r="N447" s="9">
        <f>L447-M447</f>
        <v/>
      </c>
      <c r="O447" s="11">
        <f>IFERROR(N447/L447, 0)</f>
        <v/>
      </c>
      <c r="P447" s="8">
        <f>YEAR(C447)</f>
        <v/>
      </c>
      <c r="Q447" s="8">
        <f>TEXT(C447, "yyyy-mm")</f>
        <v/>
      </c>
      <c r="R447" s="8" t="inlineStr">
        <is>
          <t>Mobile App</t>
        </is>
      </c>
      <c r="S447" s="8" t="inlineStr">
        <is>
          <t>REG-APAC</t>
        </is>
      </c>
    </row>
    <row r="448">
      <c r="A448" s="8" t="inlineStr">
        <is>
          <t>DTL-0000453</t>
        </is>
      </c>
      <c r="B448" s="8" t="inlineStr">
        <is>
          <t>ORD-000219</t>
        </is>
      </c>
      <c r="C448" s="10" t="inlineStr">
        <is>
          <t>2025-01-11</t>
        </is>
      </c>
      <c r="D448" s="8" t="inlineStr">
        <is>
          <t>CUST-01940</t>
        </is>
      </c>
      <c r="E448" s="8" t="inlineStr">
        <is>
          <t>PRD-0410</t>
        </is>
      </c>
      <c r="F448" s="8" t="n">
        <v>1</v>
      </c>
      <c r="G448" s="9">
        <f>IFERROR(XLOOKUP(E448, '04_Products'!$A:$A, '04_Products'!$G:$G), 13.14)</f>
        <v/>
      </c>
      <c r="H448" s="9">
        <f>IFERROR(XLOOKUP(E448, '04_Products'!$A:$A, '04_Products'!$F:$F), 0)</f>
        <v/>
      </c>
      <c r="I448" s="9">
        <f>F448*G448</f>
        <v/>
      </c>
      <c r="J448" s="11" t="n">
        <v>0.1</v>
      </c>
      <c r="K448" s="9">
        <f>I448*J448</f>
        <v/>
      </c>
      <c r="L448" s="9">
        <f>I448-K448</f>
        <v/>
      </c>
      <c r="M448" s="9">
        <f>F448*H448</f>
        <v/>
      </c>
      <c r="N448" s="9">
        <f>L448-M448</f>
        <v/>
      </c>
      <c r="O448" s="11">
        <f>IFERROR(N448/L448, 0)</f>
        <v/>
      </c>
      <c r="P448" s="8">
        <f>YEAR(C448)</f>
        <v/>
      </c>
      <c r="Q448" s="8">
        <f>TEXT(C448, "yyyy-mm")</f>
        <v/>
      </c>
      <c r="R448" s="8" t="inlineStr">
        <is>
          <t>Mobile App</t>
        </is>
      </c>
      <c r="S448" s="8" t="inlineStr">
        <is>
          <t>REG-APAC</t>
        </is>
      </c>
    </row>
    <row r="449">
      <c r="A449" s="8" t="inlineStr">
        <is>
          <t>DTL-0000454</t>
        </is>
      </c>
      <c r="B449" s="8" t="inlineStr">
        <is>
          <t>ORD-000220</t>
        </is>
      </c>
      <c r="C449" s="10" t="inlineStr">
        <is>
          <t>2024-11-08</t>
        </is>
      </c>
      <c r="D449" s="8" t="inlineStr">
        <is>
          <t>CUST-03292</t>
        </is>
      </c>
      <c r="E449" s="8" t="inlineStr">
        <is>
          <t>PRD-0344</t>
        </is>
      </c>
      <c r="F449" s="8" t="n">
        <v>5</v>
      </c>
      <c r="G449" s="9">
        <f>IFERROR(XLOOKUP(E449, '04_Products'!$A:$A, '04_Products'!$G:$G), 337.02)</f>
        <v/>
      </c>
      <c r="H449" s="9">
        <f>IFERROR(XLOOKUP(E449, '04_Products'!$A:$A, '04_Products'!$F:$F), 0)</f>
        <v/>
      </c>
      <c r="I449" s="9">
        <f>F449*G449</f>
        <v/>
      </c>
      <c r="J449" s="11" t="n">
        <v>0</v>
      </c>
      <c r="K449" s="9">
        <f>I449*J449</f>
        <v/>
      </c>
      <c r="L449" s="9">
        <f>I449-K449</f>
        <v/>
      </c>
      <c r="M449" s="9">
        <f>F449*H449</f>
        <v/>
      </c>
      <c r="N449" s="9">
        <f>L449-M449</f>
        <v/>
      </c>
      <c r="O449" s="11">
        <f>IFERROR(N449/L449, 0)</f>
        <v/>
      </c>
      <c r="P449" s="8">
        <f>YEAR(C449)</f>
        <v/>
      </c>
      <c r="Q449" s="8">
        <f>TEXT(C449, "yyyy-mm")</f>
        <v/>
      </c>
      <c r="R449" s="8" t="inlineStr">
        <is>
          <t>B2B Portal</t>
        </is>
      </c>
      <c r="S449" s="8" t="inlineStr">
        <is>
          <t>REG-EU</t>
        </is>
      </c>
    </row>
    <row r="450">
      <c r="A450" s="8" t="inlineStr">
        <is>
          <t>DTL-0000455</t>
        </is>
      </c>
      <c r="B450" s="8" t="inlineStr">
        <is>
          <t>ORD-000220</t>
        </is>
      </c>
      <c r="C450" s="10" t="inlineStr">
        <is>
          <t>2024-11-08</t>
        </is>
      </c>
      <c r="D450" s="8" t="inlineStr">
        <is>
          <t>CUST-03292</t>
        </is>
      </c>
      <c r="E450" s="8" t="inlineStr">
        <is>
          <t>PRD-0444</t>
        </is>
      </c>
      <c r="F450" s="8" t="n">
        <v>10</v>
      </c>
      <c r="G450" s="9">
        <f>IFERROR(XLOOKUP(E450, '04_Products'!$A:$A, '04_Products'!$G:$G), 11.24)</f>
        <v/>
      </c>
      <c r="H450" s="9">
        <f>IFERROR(XLOOKUP(E450, '04_Products'!$A:$A, '04_Products'!$F:$F), 0)</f>
        <v/>
      </c>
      <c r="I450" s="9">
        <f>F450*G450</f>
        <v/>
      </c>
      <c r="J450" s="11" t="n">
        <v>0.05</v>
      </c>
      <c r="K450" s="9">
        <f>I450*J450</f>
        <v/>
      </c>
      <c r="L450" s="9">
        <f>I450-K450</f>
        <v/>
      </c>
      <c r="M450" s="9">
        <f>F450*H450</f>
        <v/>
      </c>
      <c r="N450" s="9">
        <f>L450-M450</f>
        <v/>
      </c>
      <c r="O450" s="11">
        <f>IFERROR(N450/L450, 0)</f>
        <v/>
      </c>
      <c r="P450" s="8">
        <f>YEAR(C450)</f>
        <v/>
      </c>
      <c r="Q450" s="8">
        <f>TEXT(C450, "yyyy-mm")</f>
        <v/>
      </c>
      <c r="R450" s="8" t="inlineStr">
        <is>
          <t>B2B Portal</t>
        </is>
      </c>
      <c r="S450" s="8" t="inlineStr">
        <is>
          <t>REG-EU</t>
        </is>
      </c>
    </row>
    <row r="451">
      <c r="A451" s="8" t="inlineStr">
        <is>
          <t>DTL-0000456</t>
        </is>
      </c>
      <c r="B451" s="8" t="inlineStr">
        <is>
          <t>ORD-000221</t>
        </is>
      </c>
      <c r="C451" s="10" t="inlineStr">
        <is>
          <t>2025-05-05</t>
        </is>
      </c>
      <c r="D451" s="8" t="inlineStr">
        <is>
          <t>CUST-05007</t>
        </is>
      </c>
      <c r="E451" s="8" t="inlineStr">
        <is>
          <t>PRD-0491</t>
        </is>
      </c>
      <c r="F451" s="8" t="n">
        <v>2</v>
      </c>
      <c r="G451" s="9">
        <f>IFERROR(XLOOKUP(E451, '04_Products'!$A:$A, '04_Products'!$G:$G), 39.93)</f>
        <v/>
      </c>
      <c r="H451" s="9">
        <f>IFERROR(XLOOKUP(E451, '04_Products'!$A:$A, '04_Products'!$F:$F), 0)</f>
        <v/>
      </c>
      <c r="I451" s="9">
        <f>F451*G451</f>
        <v/>
      </c>
      <c r="J451" s="11" t="n">
        <v>0.05</v>
      </c>
      <c r="K451" s="9">
        <f>I451*J451</f>
        <v/>
      </c>
      <c r="L451" s="9">
        <f>I451-K451</f>
        <v/>
      </c>
      <c r="M451" s="9">
        <f>F451*H451</f>
        <v/>
      </c>
      <c r="N451" s="9">
        <f>L451-M451</f>
        <v/>
      </c>
      <c r="O451" s="11">
        <f>IFERROR(N451/L451, 0)</f>
        <v/>
      </c>
      <c r="P451" s="8">
        <f>YEAR(C451)</f>
        <v/>
      </c>
      <c r="Q451" s="8">
        <f>TEXT(C451, "yyyy-mm")</f>
        <v/>
      </c>
      <c r="R451" s="8" t="inlineStr">
        <is>
          <t>Affiliate Partner</t>
        </is>
      </c>
      <c r="S451" s="8" t="inlineStr">
        <is>
          <t>REG-EU</t>
        </is>
      </c>
    </row>
    <row r="452">
      <c r="A452" s="8" t="inlineStr">
        <is>
          <t>DTL-0000457</t>
        </is>
      </c>
      <c r="B452" s="8" t="inlineStr">
        <is>
          <t>ORD-000221</t>
        </is>
      </c>
      <c r="C452" s="10" t="inlineStr">
        <is>
          <t>2025-05-05</t>
        </is>
      </c>
      <c r="D452" s="8" t="inlineStr">
        <is>
          <t>CUST-05007</t>
        </is>
      </c>
      <c r="E452" s="8" t="inlineStr">
        <is>
          <t>PRD-0234</t>
        </is>
      </c>
      <c r="F452" s="8" t="n">
        <v>2</v>
      </c>
      <c r="G452" s="9">
        <f>IFERROR(XLOOKUP(E452, '04_Products'!$A:$A, '04_Products'!$G:$G), 608.75)</f>
        <v/>
      </c>
      <c r="H452" s="9">
        <f>IFERROR(XLOOKUP(E452, '04_Products'!$A:$A, '04_Products'!$F:$F), 0)</f>
        <v/>
      </c>
      <c r="I452" s="9">
        <f>F452*G452</f>
        <v/>
      </c>
      <c r="J452" s="11" t="n">
        <v>0</v>
      </c>
      <c r="K452" s="9">
        <f>I452*J452</f>
        <v/>
      </c>
      <c r="L452" s="9">
        <f>I452-K452</f>
        <v/>
      </c>
      <c r="M452" s="9">
        <f>F452*H452</f>
        <v/>
      </c>
      <c r="N452" s="9">
        <f>L452-M452</f>
        <v/>
      </c>
      <c r="O452" s="11">
        <f>IFERROR(N452/L452, 0)</f>
        <v/>
      </c>
      <c r="P452" s="8">
        <f>YEAR(C452)</f>
        <v/>
      </c>
      <c r="Q452" s="8">
        <f>TEXT(C452, "yyyy-mm")</f>
        <v/>
      </c>
      <c r="R452" s="8" t="inlineStr">
        <is>
          <t>Affiliate Partner</t>
        </is>
      </c>
      <c r="S452" s="8" t="inlineStr">
        <is>
          <t>REG-EU</t>
        </is>
      </c>
    </row>
    <row r="453">
      <c r="A453" s="8" t="inlineStr">
        <is>
          <t>DTL-0000458</t>
        </is>
      </c>
      <c r="B453" s="8" t="inlineStr">
        <is>
          <t>ORD-000222</t>
        </is>
      </c>
      <c r="C453" s="10" t="inlineStr">
        <is>
          <t>2023-09-21</t>
        </is>
      </c>
      <c r="D453" s="8" t="inlineStr">
        <is>
          <t>CUST-06510</t>
        </is>
      </c>
      <c r="E453" s="8" t="inlineStr">
        <is>
          <t>PRD-0017</t>
        </is>
      </c>
      <c r="F453" s="8" t="n">
        <v>1</v>
      </c>
      <c r="G453" s="9">
        <f>IFERROR(XLOOKUP(E453, '04_Products'!$A:$A, '04_Products'!$G:$G), 931.16)</f>
        <v/>
      </c>
      <c r="H453" s="9">
        <f>IFERROR(XLOOKUP(E453, '04_Products'!$A:$A, '04_Products'!$F:$F), 0)</f>
        <v/>
      </c>
      <c r="I453" s="9">
        <f>F453*G453</f>
        <v/>
      </c>
      <c r="J453" s="11" t="n">
        <v>0</v>
      </c>
      <c r="K453" s="9">
        <f>I453*J453</f>
        <v/>
      </c>
      <c r="L453" s="9">
        <f>I453-K453</f>
        <v/>
      </c>
      <c r="M453" s="9">
        <f>F453*H453</f>
        <v/>
      </c>
      <c r="N453" s="9">
        <f>L453-M453</f>
        <v/>
      </c>
      <c r="O453" s="11">
        <f>IFERROR(N453/L453, 0)</f>
        <v/>
      </c>
      <c r="P453" s="8">
        <f>YEAR(C453)</f>
        <v/>
      </c>
      <c r="Q453" s="8">
        <f>TEXT(C453, "yyyy-mm")</f>
        <v/>
      </c>
      <c r="R453" s="8" t="inlineStr">
        <is>
          <t>Direct Web</t>
        </is>
      </c>
      <c r="S453" s="8" t="inlineStr">
        <is>
          <t>REG-LATAM</t>
        </is>
      </c>
    </row>
    <row r="454">
      <c r="A454" s="8" t="inlineStr">
        <is>
          <t>DTL-0000459</t>
        </is>
      </c>
      <c r="B454" s="8" t="inlineStr">
        <is>
          <t>ORD-000223</t>
        </is>
      </c>
      <c r="C454" s="10" t="inlineStr">
        <is>
          <t>2025-12-22</t>
        </is>
      </c>
      <c r="D454" s="8" t="inlineStr">
        <is>
          <t>CUST-00925</t>
        </is>
      </c>
      <c r="E454" s="8" t="inlineStr">
        <is>
          <t>PRD-0019</t>
        </is>
      </c>
      <c r="F454" s="8" t="n">
        <v>2</v>
      </c>
      <c r="G454" s="9">
        <f>IFERROR(XLOOKUP(E454, '04_Products'!$A:$A, '04_Products'!$G:$G), 444.46)</f>
        <v/>
      </c>
      <c r="H454" s="9">
        <f>IFERROR(XLOOKUP(E454, '04_Products'!$A:$A, '04_Products'!$F:$F), 0)</f>
        <v/>
      </c>
      <c r="I454" s="9">
        <f>F454*G454</f>
        <v/>
      </c>
      <c r="J454" s="11" t="n">
        <v>0.1</v>
      </c>
      <c r="K454" s="9">
        <f>I454*J454</f>
        <v/>
      </c>
      <c r="L454" s="9">
        <f>I454-K454</f>
        <v/>
      </c>
      <c r="M454" s="9">
        <f>F454*H454</f>
        <v/>
      </c>
      <c r="N454" s="9">
        <f>L454-M454</f>
        <v/>
      </c>
      <c r="O454" s="11">
        <f>IFERROR(N454/L454, 0)</f>
        <v/>
      </c>
      <c r="P454" s="8">
        <f>YEAR(C454)</f>
        <v/>
      </c>
      <c r="Q454" s="8">
        <f>TEXT(C454, "yyyy-mm")</f>
        <v/>
      </c>
      <c r="R454" s="8" t="inlineStr">
        <is>
          <t>Direct Web</t>
        </is>
      </c>
      <c r="S454" s="8" t="inlineStr">
        <is>
          <t>REG-NA</t>
        </is>
      </c>
    </row>
    <row r="455">
      <c r="A455" s="8" t="inlineStr">
        <is>
          <t>DTL-0000460</t>
        </is>
      </c>
      <c r="B455" s="8" t="inlineStr">
        <is>
          <t>ORD-000224</t>
        </is>
      </c>
      <c r="C455" s="10" t="inlineStr">
        <is>
          <t>2024-11-17</t>
        </is>
      </c>
      <c r="D455" s="8" t="inlineStr">
        <is>
          <t>CUST-00672</t>
        </is>
      </c>
      <c r="E455" s="8" t="inlineStr">
        <is>
          <t>PRD-0103</t>
        </is>
      </c>
      <c r="F455" s="8" t="n">
        <v>1</v>
      </c>
      <c r="G455" s="9">
        <f>IFERROR(XLOOKUP(E455, '04_Products'!$A:$A, '04_Products'!$G:$G), 33.68)</f>
        <v/>
      </c>
      <c r="H455" s="9">
        <f>IFERROR(XLOOKUP(E455, '04_Products'!$A:$A, '04_Products'!$F:$F), 0)</f>
        <v/>
      </c>
      <c r="I455" s="9">
        <f>F455*G455</f>
        <v/>
      </c>
      <c r="J455" s="11" t="n">
        <v>0.05</v>
      </c>
      <c r="K455" s="9">
        <f>I455*J455</f>
        <v/>
      </c>
      <c r="L455" s="9">
        <f>I455-K455</f>
        <v/>
      </c>
      <c r="M455" s="9">
        <f>F455*H455</f>
        <v/>
      </c>
      <c r="N455" s="9">
        <f>L455-M455</f>
        <v/>
      </c>
      <c r="O455" s="11">
        <f>IFERROR(N455/L455, 0)</f>
        <v/>
      </c>
      <c r="P455" s="8">
        <f>YEAR(C455)</f>
        <v/>
      </c>
      <c r="Q455" s="8">
        <f>TEXT(C455, "yyyy-mm")</f>
        <v/>
      </c>
      <c r="R455" s="8" t="inlineStr">
        <is>
          <t>Direct Web</t>
        </is>
      </c>
      <c r="S455" s="8" t="inlineStr">
        <is>
          <t>REG-NA</t>
        </is>
      </c>
    </row>
    <row r="456">
      <c r="A456" s="8" t="inlineStr">
        <is>
          <t>DTL-0000461</t>
        </is>
      </c>
      <c r="B456" s="8" t="inlineStr">
        <is>
          <t>ORD-000225</t>
        </is>
      </c>
      <c r="C456" s="10" t="inlineStr">
        <is>
          <t>2023-05-13</t>
        </is>
      </c>
      <c r="D456" s="8" t="inlineStr">
        <is>
          <t>CUST-04092</t>
        </is>
      </c>
      <c r="E456" s="8" t="inlineStr">
        <is>
          <t>PRD-0158</t>
        </is>
      </c>
      <c r="F456" s="8" t="n">
        <v>10</v>
      </c>
      <c r="G456" s="9">
        <f>IFERROR(XLOOKUP(E456, '04_Products'!$A:$A, '04_Products'!$G:$G), 68.30)</f>
        <v/>
      </c>
      <c r="H456" s="9">
        <f>IFERROR(XLOOKUP(E456, '04_Products'!$A:$A, '04_Products'!$F:$F), 0)</f>
        <v/>
      </c>
      <c r="I456" s="9">
        <f>F456*G456</f>
        <v/>
      </c>
      <c r="J456" s="11" t="n">
        <v>0.05</v>
      </c>
      <c r="K456" s="9">
        <f>I456*J456</f>
        <v/>
      </c>
      <c r="L456" s="9">
        <f>I456-K456</f>
        <v/>
      </c>
      <c r="M456" s="9">
        <f>F456*H456</f>
        <v/>
      </c>
      <c r="N456" s="9">
        <f>L456-M456</f>
        <v/>
      </c>
      <c r="O456" s="11">
        <f>IFERROR(N456/L456, 0)</f>
        <v/>
      </c>
      <c r="P456" s="8">
        <f>YEAR(C456)</f>
        <v/>
      </c>
      <c r="Q456" s="8">
        <f>TEXT(C456, "yyyy-mm")</f>
        <v/>
      </c>
      <c r="R456" s="8" t="inlineStr">
        <is>
          <t>Direct Web</t>
        </is>
      </c>
      <c r="S456" s="8" t="inlineStr">
        <is>
          <t>REG-NA</t>
        </is>
      </c>
    </row>
    <row r="457">
      <c r="A457" s="8" t="inlineStr">
        <is>
          <t>DTL-0000462</t>
        </is>
      </c>
      <c r="B457" s="8" t="inlineStr">
        <is>
          <t>ORD-000226</t>
        </is>
      </c>
      <c r="C457" s="10" t="inlineStr">
        <is>
          <t>2023-10-01</t>
        </is>
      </c>
      <c r="D457" s="8" t="inlineStr">
        <is>
          <t>CUST-07574</t>
        </is>
      </c>
      <c r="E457" s="8" t="inlineStr">
        <is>
          <t>PRD-0114</t>
        </is>
      </c>
      <c r="F457" s="8" t="n">
        <v>1</v>
      </c>
      <c r="G457" s="9">
        <f>IFERROR(XLOOKUP(E457, '04_Products'!$A:$A, '04_Products'!$G:$G), 49.56)</f>
        <v/>
      </c>
      <c r="H457" s="9">
        <f>IFERROR(XLOOKUP(E457, '04_Products'!$A:$A, '04_Products'!$F:$F), 0)</f>
        <v/>
      </c>
      <c r="I457" s="9">
        <f>F457*G457</f>
        <v/>
      </c>
      <c r="J457" s="11" t="n">
        <v>0.15</v>
      </c>
      <c r="K457" s="9">
        <f>I457*J457</f>
        <v/>
      </c>
      <c r="L457" s="9">
        <f>I457-K457</f>
        <v/>
      </c>
      <c r="M457" s="9">
        <f>F457*H457</f>
        <v/>
      </c>
      <c r="N457" s="9">
        <f>L457-M457</f>
        <v/>
      </c>
      <c r="O457" s="11">
        <f>IFERROR(N457/L457, 0)</f>
        <v/>
      </c>
      <c r="P457" s="8">
        <f>YEAR(C457)</f>
        <v/>
      </c>
      <c r="Q457" s="8">
        <f>TEXT(C457, "yyyy-mm")</f>
        <v/>
      </c>
      <c r="R457" s="8" t="inlineStr">
        <is>
          <t>B2B Portal</t>
        </is>
      </c>
      <c r="S457" s="8" t="inlineStr">
        <is>
          <t>REG-LATAM</t>
        </is>
      </c>
    </row>
    <row r="458">
      <c r="A458" s="8" t="inlineStr">
        <is>
          <t>DTL-0000463</t>
        </is>
      </c>
      <c r="B458" s="8" t="inlineStr">
        <is>
          <t>ORD-000227</t>
        </is>
      </c>
      <c r="C458" s="10" t="inlineStr">
        <is>
          <t>2024-07-25</t>
        </is>
      </c>
      <c r="D458" s="8" t="inlineStr">
        <is>
          <t>CUST-00798</t>
        </is>
      </c>
      <c r="E458" s="8" t="inlineStr">
        <is>
          <t>PRD-0377</t>
        </is>
      </c>
      <c r="F458" s="8" t="n">
        <v>1</v>
      </c>
      <c r="G458" s="9">
        <f>IFERROR(XLOOKUP(E458, '04_Products'!$A:$A, '04_Products'!$G:$G), 961.48)</f>
        <v/>
      </c>
      <c r="H458" s="9">
        <f>IFERROR(XLOOKUP(E458, '04_Products'!$A:$A, '04_Products'!$F:$F), 0)</f>
        <v/>
      </c>
      <c r="I458" s="9">
        <f>F458*G458</f>
        <v/>
      </c>
      <c r="J458" s="11" t="n">
        <v>0.05</v>
      </c>
      <c r="K458" s="9">
        <f>I458*J458</f>
        <v/>
      </c>
      <c r="L458" s="9">
        <f>I458-K458</f>
        <v/>
      </c>
      <c r="M458" s="9">
        <f>F458*H458</f>
        <v/>
      </c>
      <c r="N458" s="9">
        <f>L458-M458</f>
        <v/>
      </c>
      <c r="O458" s="11">
        <f>IFERROR(N458/L458, 0)</f>
        <v/>
      </c>
      <c r="P458" s="8">
        <f>YEAR(C458)</f>
        <v/>
      </c>
      <c r="Q458" s="8">
        <f>TEXT(C458, "yyyy-mm")</f>
        <v/>
      </c>
      <c r="R458" s="8" t="inlineStr">
        <is>
          <t>Direct Web</t>
        </is>
      </c>
      <c r="S458" s="8" t="inlineStr">
        <is>
          <t>REG-EU</t>
        </is>
      </c>
    </row>
    <row r="459">
      <c r="A459" s="8" t="inlineStr">
        <is>
          <t>DTL-0000464</t>
        </is>
      </c>
      <c r="B459" s="8" t="inlineStr">
        <is>
          <t>ORD-000227</t>
        </is>
      </c>
      <c r="C459" s="10" t="inlineStr">
        <is>
          <t>2024-07-25</t>
        </is>
      </c>
      <c r="D459" s="8" t="inlineStr">
        <is>
          <t>CUST-00798</t>
        </is>
      </c>
      <c r="E459" s="8" t="inlineStr">
        <is>
          <t>PRD-0033</t>
        </is>
      </c>
      <c r="F459" s="8" t="n">
        <v>1</v>
      </c>
      <c r="G459" s="9">
        <f>IFERROR(XLOOKUP(E459, '04_Products'!$A:$A, '04_Products'!$G:$G), 87.68)</f>
        <v/>
      </c>
      <c r="H459" s="9">
        <f>IFERROR(XLOOKUP(E459, '04_Products'!$A:$A, '04_Products'!$F:$F), 0)</f>
        <v/>
      </c>
      <c r="I459" s="9">
        <f>F459*G459</f>
        <v/>
      </c>
      <c r="J459" s="11" t="n">
        <v>0.25</v>
      </c>
      <c r="K459" s="9">
        <f>I459*J459</f>
        <v/>
      </c>
      <c r="L459" s="9">
        <f>I459-K459</f>
        <v/>
      </c>
      <c r="M459" s="9">
        <f>F459*H459</f>
        <v/>
      </c>
      <c r="N459" s="9">
        <f>L459-M459</f>
        <v/>
      </c>
      <c r="O459" s="11">
        <f>IFERROR(N459/L459, 0)</f>
        <v/>
      </c>
      <c r="P459" s="8">
        <f>YEAR(C459)</f>
        <v/>
      </c>
      <c r="Q459" s="8">
        <f>TEXT(C459, "yyyy-mm")</f>
        <v/>
      </c>
      <c r="R459" s="8" t="inlineStr">
        <is>
          <t>Direct Web</t>
        </is>
      </c>
      <c r="S459" s="8" t="inlineStr">
        <is>
          <t>REG-EU</t>
        </is>
      </c>
    </row>
    <row r="460">
      <c r="A460" s="8" t="inlineStr">
        <is>
          <t>DTL-0000465</t>
        </is>
      </c>
      <c r="B460" s="8" t="inlineStr">
        <is>
          <t>ORD-000228</t>
        </is>
      </c>
      <c r="C460" s="10" t="inlineStr">
        <is>
          <t>2025-11-16</t>
        </is>
      </c>
      <c r="D460" s="8" t="inlineStr">
        <is>
          <t>CUST-06255</t>
        </is>
      </c>
      <c r="E460" s="8" t="inlineStr">
        <is>
          <t>PRD-0225</t>
        </is>
      </c>
      <c r="F460" s="8" t="n">
        <v>1</v>
      </c>
      <c r="G460" s="9">
        <f>IFERROR(XLOOKUP(E460, '04_Products'!$A:$A, '04_Products'!$G:$G), 266.58)</f>
        <v/>
      </c>
      <c r="H460" s="9">
        <f>IFERROR(XLOOKUP(E460, '04_Products'!$A:$A, '04_Products'!$F:$F), 0)</f>
        <v/>
      </c>
      <c r="I460" s="9">
        <f>F460*G460</f>
        <v/>
      </c>
      <c r="J460" s="11" t="n">
        <v>0.05</v>
      </c>
      <c r="K460" s="9">
        <f>I460*J460</f>
        <v/>
      </c>
      <c r="L460" s="9">
        <f>I460-K460</f>
        <v/>
      </c>
      <c r="M460" s="9">
        <f>F460*H460</f>
        <v/>
      </c>
      <c r="N460" s="9">
        <f>L460-M460</f>
        <v/>
      </c>
      <c r="O460" s="11">
        <f>IFERROR(N460/L460, 0)</f>
        <v/>
      </c>
      <c r="P460" s="8">
        <f>YEAR(C460)</f>
        <v/>
      </c>
      <c r="Q460" s="8">
        <f>TEXT(C460, "yyyy-mm")</f>
        <v/>
      </c>
      <c r="R460" s="8" t="inlineStr">
        <is>
          <t>B2B Portal</t>
        </is>
      </c>
      <c r="S460" s="8" t="inlineStr">
        <is>
          <t>REG-EU</t>
        </is>
      </c>
    </row>
    <row r="461">
      <c r="A461" s="8" t="inlineStr">
        <is>
          <t>DTL-0000466</t>
        </is>
      </c>
      <c r="B461" s="8" t="inlineStr">
        <is>
          <t>ORD-000229</t>
        </is>
      </c>
      <c r="C461" s="10" t="inlineStr">
        <is>
          <t>2023-09-12</t>
        </is>
      </c>
      <c r="D461" s="8" t="inlineStr">
        <is>
          <t>CUST-03506</t>
        </is>
      </c>
      <c r="E461" s="8" t="inlineStr">
        <is>
          <t>PRD-0040</t>
        </is>
      </c>
      <c r="F461" s="8" t="n">
        <v>1</v>
      </c>
      <c r="G461" s="9">
        <f>IFERROR(XLOOKUP(E461, '04_Products'!$A:$A, '04_Products'!$G:$G), 28.56)</f>
        <v/>
      </c>
      <c r="H461" s="9">
        <f>IFERROR(XLOOKUP(E461, '04_Products'!$A:$A, '04_Products'!$F:$F), 0)</f>
        <v/>
      </c>
      <c r="I461" s="9">
        <f>F461*G461</f>
        <v/>
      </c>
      <c r="J461" s="11" t="n">
        <v>0.05</v>
      </c>
      <c r="K461" s="9">
        <f>I461*J461</f>
        <v/>
      </c>
      <c r="L461" s="9">
        <f>I461-K461</f>
        <v/>
      </c>
      <c r="M461" s="9">
        <f>F461*H461</f>
        <v/>
      </c>
      <c r="N461" s="9">
        <f>L461-M461</f>
        <v/>
      </c>
      <c r="O461" s="11">
        <f>IFERROR(N461/L461, 0)</f>
        <v/>
      </c>
      <c r="P461" s="8">
        <f>YEAR(C461)</f>
        <v/>
      </c>
      <c r="Q461" s="8">
        <f>TEXT(C461, "yyyy-mm")</f>
        <v/>
      </c>
      <c r="R461" s="8" t="inlineStr">
        <is>
          <t>Direct Web</t>
        </is>
      </c>
      <c r="S461" s="8" t="inlineStr">
        <is>
          <t>REG-NA</t>
        </is>
      </c>
    </row>
    <row r="462">
      <c r="A462" s="8" t="inlineStr">
        <is>
          <t>DTL-0000467</t>
        </is>
      </c>
      <c r="B462" s="8" t="inlineStr">
        <is>
          <t>ORD-000229</t>
        </is>
      </c>
      <c r="C462" s="10" t="inlineStr">
        <is>
          <t>2023-09-12</t>
        </is>
      </c>
      <c r="D462" s="8" t="inlineStr">
        <is>
          <t>CUST-03506</t>
        </is>
      </c>
      <c r="E462" s="8" t="inlineStr">
        <is>
          <t>PRD-0424</t>
        </is>
      </c>
      <c r="F462" s="8" t="n">
        <v>2</v>
      </c>
      <c r="G462" s="9">
        <f>IFERROR(XLOOKUP(E462, '04_Products'!$A:$A, '04_Products'!$G:$G), 268.72)</f>
        <v/>
      </c>
      <c r="H462" s="9">
        <f>IFERROR(XLOOKUP(E462, '04_Products'!$A:$A, '04_Products'!$F:$F), 0)</f>
        <v/>
      </c>
      <c r="I462" s="9">
        <f>F462*G462</f>
        <v/>
      </c>
      <c r="J462" s="11" t="n">
        <v>0.2</v>
      </c>
      <c r="K462" s="9">
        <f>I462*J462</f>
        <v/>
      </c>
      <c r="L462" s="9">
        <f>I462-K462</f>
        <v/>
      </c>
      <c r="M462" s="9">
        <f>F462*H462</f>
        <v/>
      </c>
      <c r="N462" s="9">
        <f>L462-M462</f>
        <v/>
      </c>
      <c r="O462" s="11">
        <f>IFERROR(N462/L462, 0)</f>
        <v/>
      </c>
      <c r="P462" s="8">
        <f>YEAR(C462)</f>
        <v/>
      </c>
      <c r="Q462" s="8">
        <f>TEXT(C462, "yyyy-mm")</f>
        <v/>
      </c>
      <c r="R462" s="8" t="inlineStr">
        <is>
          <t>Direct Web</t>
        </is>
      </c>
      <c r="S462" s="8" t="inlineStr">
        <is>
          <t>REG-NA</t>
        </is>
      </c>
    </row>
    <row r="463">
      <c r="A463" s="8" t="inlineStr">
        <is>
          <t>DTL-0000468</t>
        </is>
      </c>
      <c r="B463" s="8" t="inlineStr">
        <is>
          <t>ORD-000229</t>
        </is>
      </c>
      <c r="C463" s="10" t="inlineStr">
        <is>
          <t>2023-09-12</t>
        </is>
      </c>
      <c r="D463" s="8" t="inlineStr">
        <is>
          <t>CUST-03506</t>
        </is>
      </c>
      <c r="E463" s="8" t="inlineStr">
        <is>
          <t>PRD-0144</t>
        </is>
      </c>
      <c r="F463" s="8" t="n">
        <v>1</v>
      </c>
      <c r="G463" s="9">
        <f>IFERROR(XLOOKUP(E463, '04_Products'!$A:$A, '04_Products'!$G:$G), 20.45)</f>
        <v/>
      </c>
      <c r="H463" s="9">
        <f>IFERROR(XLOOKUP(E463, '04_Products'!$A:$A, '04_Products'!$F:$F), 0)</f>
        <v/>
      </c>
      <c r="I463" s="9">
        <f>F463*G463</f>
        <v/>
      </c>
      <c r="J463" s="11" t="n">
        <v>0.15</v>
      </c>
      <c r="K463" s="9">
        <f>I463*J463</f>
        <v/>
      </c>
      <c r="L463" s="9">
        <f>I463-K463</f>
        <v/>
      </c>
      <c r="M463" s="9">
        <f>F463*H463</f>
        <v/>
      </c>
      <c r="N463" s="9">
        <f>L463-M463</f>
        <v/>
      </c>
      <c r="O463" s="11">
        <f>IFERROR(N463/L463, 0)</f>
        <v/>
      </c>
      <c r="P463" s="8">
        <f>YEAR(C463)</f>
        <v/>
      </c>
      <c r="Q463" s="8">
        <f>TEXT(C463, "yyyy-mm")</f>
        <v/>
      </c>
      <c r="R463" s="8" t="inlineStr">
        <is>
          <t>Direct Web</t>
        </is>
      </c>
      <c r="S463" s="8" t="inlineStr">
        <is>
          <t>REG-NA</t>
        </is>
      </c>
    </row>
    <row r="464">
      <c r="A464" s="8" t="inlineStr">
        <is>
          <t>DTL-0000469</t>
        </is>
      </c>
      <c r="B464" s="8" t="inlineStr">
        <is>
          <t>ORD-000230</t>
        </is>
      </c>
      <c r="C464" s="10" t="inlineStr">
        <is>
          <t>2023-11-01</t>
        </is>
      </c>
      <c r="D464" s="8" t="inlineStr">
        <is>
          <t>CUST-05069</t>
        </is>
      </c>
      <c r="E464" s="8" t="inlineStr">
        <is>
          <t>PRD-0020</t>
        </is>
      </c>
      <c r="F464" s="8" t="n">
        <v>1</v>
      </c>
      <c r="G464" s="9">
        <f>IFERROR(XLOOKUP(E464, '04_Products'!$A:$A, '04_Products'!$G:$G), 22.42)</f>
        <v/>
      </c>
      <c r="H464" s="9">
        <f>IFERROR(XLOOKUP(E464, '04_Products'!$A:$A, '04_Products'!$F:$F), 0)</f>
        <v/>
      </c>
      <c r="I464" s="9">
        <f>F464*G464</f>
        <v/>
      </c>
      <c r="J464" s="11" t="n">
        <v>0.1</v>
      </c>
      <c r="K464" s="9">
        <f>I464*J464</f>
        <v/>
      </c>
      <c r="L464" s="9">
        <f>I464-K464</f>
        <v/>
      </c>
      <c r="M464" s="9">
        <f>F464*H464</f>
        <v/>
      </c>
      <c r="N464" s="9">
        <f>L464-M464</f>
        <v/>
      </c>
      <c r="O464" s="11">
        <f>IFERROR(N464/L464, 0)</f>
        <v/>
      </c>
      <c r="P464" s="8">
        <f>YEAR(C464)</f>
        <v/>
      </c>
      <c r="Q464" s="8">
        <f>TEXT(C464, "yyyy-mm")</f>
        <v/>
      </c>
      <c r="R464" s="8" t="inlineStr">
        <is>
          <t>B2B Portal</t>
        </is>
      </c>
      <c r="S464" s="8" t="inlineStr">
        <is>
          <t>REG-NA</t>
        </is>
      </c>
    </row>
    <row r="465">
      <c r="A465" s="8" t="inlineStr">
        <is>
          <t>DTL-0000470</t>
        </is>
      </c>
      <c r="B465" s="8" t="inlineStr">
        <is>
          <t>ORD-000230</t>
        </is>
      </c>
      <c r="C465" s="10" t="inlineStr">
        <is>
          <t>2023-11-01</t>
        </is>
      </c>
      <c r="D465" s="8" t="inlineStr">
        <is>
          <t>CUST-05069</t>
        </is>
      </c>
      <c r="E465" s="8" t="inlineStr">
        <is>
          <t>PRD-0119</t>
        </is>
      </c>
      <c r="F465" s="8" t="n">
        <v>2</v>
      </c>
      <c r="G465" s="9">
        <f>IFERROR(XLOOKUP(E465, '04_Products'!$A:$A, '04_Products'!$G:$G), 11.35)</f>
        <v/>
      </c>
      <c r="H465" s="9">
        <f>IFERROR(XLOOKUP(E465, '04_Products'!$A:$A, '04_Products'!$F:$F), 0)</f>
        <v/>
      </c>
      <c r="I465" s="9">
        <f>F465*G465</f>
        <v/>
      </c>
      <c r="J465" s="11" t="n">
        <v>0.05</v>
      </c>
      <c r="K465" s="9">
        <f>I465*J465</f>
        <v/>
      </c>
      <c r="L465" s="9">
        <f>I465-K465</f>
        <v/>
      </c>
      <c r="M465" s="9">
        <f>F465*H465</f>
        <v/>
      </c>
      <c r="N465" s="9">
        <f>L465-M465</f>
        <v/>
      </c>
      <c r="O465" s="11">
        <f>IFERROR(N465/L465, 0)</f>
        <v/>
      </c>
      <c r="P465" s="8">
        <f>YEAR(C465)</f>
        <v/>
      </c>
      <c r="Q465" s="8">
        <f>TEXT(C465, "yyyy-mm")</f>
        <v/>
      </c>
      <c r="R465" s="8" t="inlineStr">
        <is>
          <t>B2B Portal</t>
        </is>
      </c>
      <c r="S465" s="8" t="inlineStr">
        <is>
          <t>REG-NA</t>
        </is>
      </c>
    </row>
    <row r="466">
      <c r="A466" s="8" t="inlineStr">
        <is>
          <t>DTL-0000471</t>
        </is>
      </c>
      <c r="B466" s="8" t="inlineStr">
        <is>
          <t>ORD-000231</t>
        </is>
      </c>
      <c r="C466" s="10" t="inlineStr">
        <is>
          <t>2024-01-09</t>
        </is>
      </c>
      <c r="D466" s="8" t="inlineStr">
        <is>
          <t>CUST-05246</t>
        </is>
      </c>
      <c r="E466" s="8" t="inlineStr">
        <is>
          <t>PRD-0067</t>
        </is>
      </c>
      <c r="F466" s="8" t="n">
        <v>1</v>
      </c>
      <c r="G466" s="9">
        <f>IFERROR(XLOOKUP(E466, '04_Products'!$A:$A, '04_Products'!$G:$G), 30.04)</f>
        <v/>
      </c>
      <c r="H466" s="9">
        <f>IFERROR(XLOOKUP(E466, '04_Products'!$A:$A, '04_Products'!$F:$F), 0)</f>
        <v/>
      </c>
      <c r="I466" s="9">
        <f>F466*G466</f>
        <v/>
      </c>
      <c r="J466" s="11" t="n">
        <v>0</v>
      </c>
      <c r="K466" s="9">
        <f>I466*J466</f>
        <v/>
      </c>
      <c r="L466" s="9">
        <f>I466-K466</f>
        <v/>
      </c>
      <c r="M466" s="9">
        <f>F466*H466</f>
        <v/>
      </c>
      <c r="N466" s="9">
        <f>L466-M466</f>
        <v/>
      </c>
      <c r="O466" s="11">
        <f>IFERROR(N466/L466, 0)</f>
        <v/>
      </c>
      <c r="P466" s="8">
        <f>YEAR(C466)</f>
        <v/>
      </c>
      <c r="Q466" s="8">
        <f>TEXT(C466, "yyyy-mm")</f>
        <v/>
      </c>
      <c r="R466" s="8" t="inlineStr">
        <is>
          <t>Direct Web</t>
        </is>
      </c>
      <c r="S466" s="8" t="inlineStr">
        <is>
          <t>REG-EU</t>
        </is>
      </c>
    </row>
    <row r="467">
      <c r="A467" s="8" t="inlineStr">
        <is>
          <t>DTL-0000472</t>
        </is>
      </c>
      <c r="B467" s="8" t="inlineStr">
        <is>
          <t>ORD-000232</t>
        </is>
      </c>
      <c r="C467" s="10" t="inlineStr">
        <is>
          <t>2024-11-10</t>
        </is>
      </c>
      <c r="D467" s="8" t="inlineStr">
        <is>
          <t>CUST-00186</t>
        </is>
      </c>
      <c r="E467" s="8" t="inlineStr">
        <is>
          <t>PRD-0202</t>
        </is>
      </c>
      <c r="F467" s="8" t="n">
        <v>1</v>
      </c>
      <c r="G467" s="9">
        <f>IFERROR(XLOOKUP(E467, '04_Products'!$A:$A, '04_Products'!$G:$G), 43.87)</f>
        <v/>
      </c>
      <c r="H467" s="9">
        <f>IFERROR(XLOOKUP(E467, '04_Products'!$A:$A, '04_Products'!$F:$F), 0)</f>
        <v/>
      </c>
      <c r="I467" s="9">
        <f>F467*G467</f>
        <v/>
      </c>
      <c r="J467" s="11" t="n">
        <v>0.05</v>
      </c>
      <c r="K467" s="9">
        <f>I467*J467</f>
        <v/>
      </c>
      <c r="L467" s="9">
        <f>I467-K467</f>
        <v/>
      </c>
      <c r="M467" s="9">
        <f>F467*H467</f>
        <v/>
      </c>
      <c r="N467" s="9">
        <f>L467-M467</f>
        <v/>
      </c>
      <c r="O467" s="11">
        <f>IFERROR(N467/L467, 0)</f>
        <v/>
      </c>
      <c r="P467" s="8">
        <f>YEAR(C467)</f>
        <v/>
      </c>
      <c r="Q467" s="8">
        <f>TEXT(C467, "yyyy-mm")</f>
        <v/>
      </c>
      <c r="R467" s="8" t="inlineStr">
        <is>
          <t>B2B Portal</t>
        </is>
      </c>
      <c r="S467" s="8" t="inlineStr">
        <is>
          <t>REG-NA</t>
        </is>
      </c>
    </row>
    <row r="468">
      <c r="A468" s="8" t="inlineStr">
        <is>
          <t>DTL-0000473</t>
        </is>
      </c>
      <c r="B468" s="8" t="inlineStr">
        <is>
          <t>ORD-000232</t>
        </is>
      </c>
      <c r="C468" s="10" t="inlineStr">
        <is>
          <t>2024-11-10</t>
        </is>
      </c>
      <c r="D468" s="8" t="inlineStr">
        <is>
          <t>CUST-00186</t>
        </is>
      </c>
      <c r="E468" s="8" t="inlineStr">
        <is>
          <t>PRD-0067</t>
        </is>
      </c>
      <c r="F468" s="8" t="n">
        <v>1</v>
      </c>
      <c r="G468" s="9">
        <f>IFERROR(XLOOKUP(E468, '04_Products'!$A:$A, '04_Products'!$G:$G), 30.04)</f>
        <v/>
      </c>
      <c r="H468" s="9">
        <f>IFERROR(XLOOKUP(E468, '04_Products'!$A:$A, '04_Products'!$F:$F), 0)</f>
        <v/>
      </c>
      <c r="I468" s="9">
        <f>F468*G468</f>
        <v/>
      </c>
      <c r="J468" s="11" t="n">
        <v>0.2</v>
      </c>
      <c r="K468" s="9">
        <f>I468*J468</f>
        <v/>
      </c>
      <c r="L468" s="9">
        <f>I468-K468</f>
        <v/>
      </c>
      <c r="M468" s="9">
        <f>F468*H468</f>
        <v/>
      </c>
      <c r="N468" s="9">
        <f>L468-M468</f>
        <v/>
      </c>
      <c r="O468" s="11">
        <f>IFERROR(N468/L468, 0)</f>
        <v/>
      </c>
      <c r="P468" s="8">
        <f>YEAR(C468)</f>
        <v/>
      </c>
      <c r="Q468" s="8">
        <f>TEXT(C468, "yyyy-mm")</f>
        <v/>
      </c>
      <c r="R468" s="8" t="inlineStr">
        <is>
          <t>B2B Portal</t>
        </is>
      </c>
      <c r="S468" s="8" t="inlineStr">
        <is>
          <t>REG-NA</t>
        </is>
      </c>
    </row>
    <row r="469">
      <c r="A469" s="8" t="inlineStr">
        <is>
          <t>DTL-0000474</t>
        </is>
      </c>
      <c r="B469" s="8" t="inlineStr">
        <is>
          <t>ORD-000232</t>
        </is>
      </c>
      <c r="C469" s="10" t="inlineStr">
        <is>
          <t>2024-11-10</t>
        </is>
      </c>
      <c r="D469" s="8" t="inlineStr">
        <is>
          <t>CUST-00186</t>
        </is>
      </c>
      <c r="E469" s="8" t="inlineStr">
        <is>
          <t>PRD-0333</t>
        </is>
      </c>
      <c r="F469" s="8" t="n">
        <v>1</v>
      </c>
      <c r="G469" s="9">
        <f>IFERROR(XLOOKUP(E469, '04_Products'!$A:$A, '04_Products'!$G:$G), 71.71)</f>
        <v/>
      </c>
      <c r="H469" s="9">
        <f>IFERROR(XLOOKUP(E469, '04_Products'!$A:$A, '04_Products'!$F:$F), 0)</f>
        <v/>
      </c>
      <c r="I469" s="9">
        <f>F469*G469</f>
        <v/>
      </c>
      <c r="J469" s="11" t="n">
        <v>0.1</v>
      </c>
      <c r="K469" s="9">
        <f>I469*J469</f>
        <v/>
      </c>
      <c r="L469" s="9">
        <f>I469-K469</f>
        <v/>
      </c>
      <c r="M469" s="9">
        <f>F469*H469</f>
        <v/>
      </c>
      <c r="N469" s="9">
        <f>L469-M469</f>
        <v/>
      </c>
      <c r="O469" s="11">
        <f>IFERROR(N469/L469, 0)</f>
        <v/>
      </c>
      <c r="P469" s="8">
        <f>YEAR(C469)</f>
        <v/>
      </c>
      <c r="Q469" s="8">
        <f>TEXT(C469, "yyyy-mm")</f>
        <v/>
      </c>
      <c r="R469" s="8" t="inlineStr">
        <is>
          <t>B2B Portal</t>
        </is>
      </c>
      <c r="S469" s="8" t="inlineStr">
        <is>
          <t>REG-NA</t>
        </is>
      </c>
    </row>
    <row r="470">
      <c r="A470" s="8" t="inlineStr">
        <is>
          <t>DTL-0000475</t>
        </is>
      </c>
      <c r="B470" s="8" t="inlineStr">
        <is>
          <t>ORD-000232</t>
        </is>
      </c>
      <c r="C470" s="10" t="inlineStr">
        <is>
          <t>2024-11-10</t>
        </is>
      </c>
      <c r="D470" s="8" t="inlineStr">
        <is>
          <t>CUST-00186</t>
        </is>
      </c>
      <c r="E470" s="8" t="inlineStr">
        <is>
          <t>PRD-0063</t>
        </is>
      </c>
      <c r="F470" s="8" t="n">
        <v>4</v>
      </c>
      <c r="G470" s="9">
        <f>IFERROR(XLOOKUP(E470, '04_Products'!$A:$A, '04_Products'!$G:$G), 62.68)</f>
        <v/>
      </c>
      <c r="H470" s="9">
        <f>IFERROR(XLOOKUP(E470, '04_Products'!$A:$A, '04_Products'!$F:$F), 0)</f>
        <v/>
      </c>
      <c r="I470" s="9">
        <f>F470*G470</f>
        <v/>
      </c>
      <c r="J470" s="11" t="n">
        <v>0</v>
      </c>
      <c r="K470" s="9">
        <f>I470*J470</f>
        <v/>
      </c>
      <c r="L470" s="9">
        <f>I470-K470</f>
        <v/>
      </c>
      <c r="M470" s="9">
        <f>F470*H470</f>
        <v/>
      </c>
      <c r="N470" s="9">
        <f>L470-M470</f>
        <v/>
      </c>
      <c r="O470" s="11">
        <f>IFERROR(N470/L470, 0)</f>
        <v/>
      </c>
      <c r="P470" s="8">
        <f>YEAR(C470)</f>
        <v/>
      </c>
      <c r="Q470" s="8">
        <f>TEXT(C470, "yyyy-mm")</f>
        <v/>
      </c>
      <c r="R470" s="8" t="inlineStr">
        <is>
          <t>B2B Portal</t>
        </is>
      </c>
      <c r="S470" s="8" t="inlineStr">
        <is>
          <t>REG-NA</t>
        </is>
      </c>
    </row>
    <row r="471">
      <c r="A471" s="8" t="inlineStr">
        <is>
          <t>DTL-0000476</t>
        </is>
      </c>
      <c r="B471" s="8" t="inlineStr">
        <is>
          <t>ORD-000233</t>
        </is>
      </c>
      <c r="C471" s="10" t="inlineStr">
        <is>
          <t>2024-07-16</t>
        </is>
      </c>
      <c r="D471" s="8" t="inlineStr">
        <is>
          <t>CUST-01954</t>
        </is>
      </c>
      <c r="E471" s="8" t="inlineStr">
        <is>
          <t>PRD-0238</t>
        </is>
      </c>
      <c r="F471" s="8" t="n">
        <v>3</v>
      </c>
      <c r="G471" s="9">
        <f>IFERROR(XLOOKUP(E471, '04_Products'!$A:$A, '04_Products'!$G:$G), 88.50)</f>
        <v/>
      </c>
      <c r="H471" s="9">
        <f>IFERROR(XLOOKUP(E471, '04_Products'!$A:$A, '04_Products'!$F:$F), 0)</f>
        <v/>
      </c>
      <c r="I471" s="9">
        <f>F471*G471</f>
        <v/>
      </c>
      <c r="J471" s="11" t="n">
        <v>0.2</v>
      </c>
      <c r="K471" s="9">
        <f>I471*J471</f>
        <v/>
      </c>
      <c r="L471" s="9">
        <f>I471-K471</f>
        <v/>
      </c>
      <c r="M471" s="9">
        <f>F471*H471</f>
        <v/>
      </c>
      <c r="N471" s="9">
        <f>L471-M471</f>
        <v/>
      </c>
      <c r="O471" s="11">
        <f>IFERROR(N471/L471, 0)</f>
        <v/>
      </c>
      <c r="P471" s="8">
        <f>YEAR(C471)</f>
        <v/>
      </c>
      <c r="Q471" s="8">
        <f>TEXT(C471, "yyyy-mm")</f>
        <v/>
      </c>
      <c r="R471" s="8" t="inlineStr">
        <is>
          <t>Direct Web</t>
        </is>
      </c>
      <c r="S471" s="8" t="inlineStr">
        <is>
          <t>REG-NA</t>
        </is>
      </c>
    </row>
    <row r="472">
      <c r="A472" s="8" t="inlineStr">
        <is>
          <t>DTL-0000477</t>
        </is>
      </c>
      <c r="B472" s="8" t="inlineStr">
        <is>
          <t>ORD-000233</t>
        </is>
      </c>
      <c r="C472" s="10" t="inlineStr">
        <is>
          <t>2024-07-16</t>
        </is>
      </c>
      <c r="D472" s="8" t="inlineStr">
        <is>
          <t>CUST-01954</t>
        </is>
      </c>
      <c r="E472" s="8" t="inlineStr">
        <is>
          <t>PRD-0112</t>
        </is>
      </c>
      <c r="F472" s="8" t="n">
        <v>1</v>
      </c>
      <c r="G472" s="9">
        <f>IFERROR(XLOOKUP(E472, '04_Products'!$A:$A, '04_Products'!$G:$G), 54.82)</f>
        <v/>
      </c>
      <c r="H472" s="9">
        <f>IFERROR(XLOOKUP(E472, '04_Products'!$A:$A, '04_Products'!$F:$F), 0)</f>
        <v/>
      </c>
      <c r="I472" s="9">
        <f>F472*G472</f>
        <v/>
      </c>
      <c r="J472" s="11" t="n">
        <v>0.05</v>
      </c>
      <c r="K472" s="9">
        <f>I472*J472</f>
        <v/>
      </c>
      <c r="L472" s="9">
        <f>I472-K472</f>
        <v/>
      </c>
      <c r="M472" s="9">
        <f>F472*H472</f>
        <v/>
      </c>
      <c r="N472" s="9">
        <f>L472-M472</f>
        <v/>
      </c>
      <c r="O472" s="11">
        <f>IFERROR(N472/L472, 0)</f>
        <v/>
      </c>
      <c r="P472" s="8">
        <f>YEAR(C472)</f>
        <v/>
      </c>
      <c r="Q472" s="8">
        <f>TEXT(C472, "yyyy-mm")</f>
        <v/>
      </c>
      <c r="R472" s="8" t="inlineStr">
        <is>
          <t>Direct Web</t>
        </is>
      </c>
      <c r="S472" s="8" t="inlineStr">
        <is>
          <t>REG-NA</t>
        </is>
      </c>
    </row>
    <row r="473">
      <c r="A473" s="8" t="inlineStr">
        <is>
          <t>DTL-0000478</t>
        </is>
      </c>
      <c r="B473" s="8" t="inlineStr">
        <is>
          <t>ORD-000233</t>
        </is>
      </c>
      <c r="C473" s="10" t="inlineStr">
        <is>
          <t>2024-07-16</t>
        </is>
      </c>
      <c r="D473" s="8" t="inlineStr">
        <is>
          <t>CUST-01954</t>
        </is>
      </c>
      <c r="E473" s="8" t="inlineStr">
        <is>
          <t>PRD-0246</t>
        </is>
      </c>
      <c r="F473" s="8" t="n">
        <v>2</v>
      </c>
      <c r="G473" s="9">
        <f>IFERROR(XLOOKUP(E473, '04_Products'!$A:$A, '04_Products'!$G:$G), 1238.92)</f>
        <v/>
      </c>
      <c r="H473" s="9">
        <f>IFERROR(XLOOKUP(E473, '04_Products'!$A:$A, '04_Products'!$F:$F), 0)</f>
        <v/>
      </c>
      <c r="I473" s="9">
        <f>F473*G473</f>
        <v/>
      </c>
      <c r="J473" s="11" t="n">
        <v>0.05</v>
      </c>
      <c r="K473" s="9">
        <f>I473*J473</f>
        <v/>
      </c>
      <c r="L473" s="9">
        <f>I473-K473</f>
        <v/>
      </c>
      <c r="M473" s="9">
        <f>F473*H473</f>
        <v/>
      </c>
      <c r="N473" s="9">
        <f>L473-M473</f>
        <v/>
      </c>
      <c r="O473" s="11">
        <f>IFERROR(N473/L473, 0)</f>
        <v/>
      </c>
      <c r="P473" s="8">
        <f>YEAR(C473)</f>
        <v/>
      </c>
      <c r="Q473" s="8">
        <f>TEXT(C473, "yyyy-mm")</f>
        <v/>
      </c>
      <c r="R473" s="8" t="inlineStr">
        <is>
          <t>Direct Web</t>
        </is>
      </c>
      <c r="S473" s="8" t="inlineStr">
        <is>
          <t>REG-NA</t>
        </is>
      </c>
    </row>
    <row r="474">
      <c r="A474" s="8" t="inlineStr">
        <is>
          <t>DTL-0000479</t>
        </is>
      </c>
      <c r="B474" s="8" t="inlineStr">
        <is>
          <t>ORD-000234</t>
        </is>
      </c>
      <c r="C474" s="10" t="inlineStr">
        <is>
          <t>2025-08-08</t>
        </is>
      </c>
      <c r="D474" s="8" t="inlineStr">
        <is>
          <t>CUST-01786</t>
        </is>
      </c>
      <c r="E474" s="8" t="inlineStr">
        <is>
          <t>PRD-0312</t>
        </is>
      </c>
      <c r="F474" s="8" t="n">
        <v>1</v>
      </c>
      <c r="G474" s="9">
        <f>IFERROR(XLOOKUP(E474, '04_Products'!$A:$A, '04_Products'!$G:$G), 59.31)</f>
        <v/>
      </c>
      <c r="H474" s="9">
        <f>IFERROR(XLOOKUP(E474, '04_Products'!$A:$A, '04_Products'!$F:$F), 0)</f>
        <v/>
      </c>
      <c r="I474" s="9">
        <f>F474*G474</f>
        <v/>
      </c>
      <c r="J474" s="11" t="n">
        <v>0</v>
      </c>
      <c r="K474" s="9">
        <f>I474*J474</f>
        <v/>
      </c>
      <c r="L474" s="9">
        <f>I474-K474</f>
        <v/>
      </c>
      <c r="M474" s="9">
        <f>F474*H474</f>
        <v/>
      </c>
      <c r="N474" s="9">
        <f>L474-M474</f>
        <v/>
      </c>
      <c r="O474" s="11">
        <f>IFERROR(N474/L474, 0)</f>
        <v/>
      </c>
      <c r="P474" s="8">
        <f>YEAR(C474)</f>
        <v/>
      </c>
      <c r="Q474" s="8">
        <f>TEXT(C474, "yyyy-mm")</f>
        <v/>
      </c>
      <c r="R474" s="8" t="inlineStr">
        <is>
          <t>Direct Web</t>
        </is>
      </c>
      <c r="S474" s="8" t="inlineStr">
        <is>
          <t>REG-EU</t>
        </is>
      </c>
    </row>
    <row r="475">
      <c r="A475" s="8" t="inlineStr">
        <is>
          <t>DTL-0000480</t>
        </is>
      </c>
      <c r="B475" s="8" t="inlineStr">
        <is>
          <t>ORD-000234</t>
        </is>
      </c>
      <c r="C475" s="10" t="inlineStr">
        <is>
          <t>2025-08-08</t>
        </is>
      </c>
      <c r="D475" s="8" t="inlineStr">
        <is>
          <t>CUST-01786</t>
        </is>
      </c>
      <c r="E475" s="8" t="inlineStr">
        <is>
          <t>PRD-0243</t>
        </is>
      </c>
      <c r="F475" s="8" t="n">
        <v>1</v>
      </c>
      <c r="G475" s="9">
        <f>IFERROR(XLOOKUP(E475, '04_Products'!$A:$A, '04_Products'!$G:$G), 510.81)</f>
        <v/>
      </c>
      <c r="H475" s="9">
        <f>IFERROR(XLOOKUP(E475, '04_Products'!$A:$A, '04_Products'!$F:$F), 0)</f>
        <v/>
      </c>
      <c r="I475" s="9">
        <f>F475*G475</f>
        <v/>
      </c>
      <c r="J475" s="11" t="n">
        <v>0</v>
      </c>
      <c r="K475" s="9">
        <f>I475*J475</f>
        <v/>
      </c>
      <c r="L475" s="9">
        <f>I475-K475</f>
        <v/>
      </c>
      <c r="M475" s="9">
        <f>F475*H475</f>
        <v/>
      </c>
      <c r="N475" s="9">
        <f>L475-M475</f>
        <v/>
      </c>
      <c r="O475" s="11">
        <f>IFERROR(N475/L475, 0)</f>
        <v/>
      </c>
      <c r="P475" s="8">
        <f>YEAR(C475)</f>
        <v/>
      </c>
      <c r="Q475" s="8">
        <f>TEXT(C475, "yyyy-mm")</f>
        <v/>
      </c>
      <c r="R475" s="8" t="inlineStr">
        <is>
          <t>Direct Web</t>
        </is>
      </c>
      <c r="S475" s="8" t="inlineStr">
        <is>
          <t>REG-EU</t>
        </is>
      </c>
    </row>
    <row r="476">
      <c r="A476" s="8" t="inlineStr">
        <is>
          <t>DTL-0000481</t>
        </is>
      </c>
      <c r="B476" s="8" t="inlineStr">
        <is>
          <t>ORD-000234</t>
        </is>
      </c>
      <c r="C476" s="10" t="inlineStr">
        <is>
          <t>2025-08-08</t>
        </is>
      </c>
      <c r="D476" s="8" t="inlineStr">
        <is>
          <t>CUST-01786</t>
        </is>
      </c>
      <c r="E476" s="8" t="inlineStr">
        <is>
          <t>PRD-0451</t>
        </is>
      </c>
      <c r="F476" s="8" t="n">
        <v>3</v>
      </c>
      <c r="G476" s="9">
        <f>IFERROR(XLOOKUP(E476, '04_Products'!$A:$A, '04_Products'!$G:$G), 664.94)</f>
        <v/>
      </c>
      <c r="H476" s="9">
        <f>IFERROR(XLOOKUP(E476, '04_Products'!$A:$A, '04_Products'!$F:$F), 0)</f>
        <v/>
      </c>
      <c r="I476" s="9">
        <f>F476*G476</f>
        <v/>
      </c>
      <c r="J476" s="11" t="n">
        <v>0.3</v>
      </c>
      <c r="K476" s="9">
        <f>I476*J476</f>
        <v/>
      </c>
      <c r="L476" s="9">
        <f>I476-K476</f>
        <v/>
      </c>
      <c r="M476" s="9">
        <f>F476*H476</f>
        <v/>
      </c>
      <c r="N476" s="9">
        <f>L476-M476</f>
        <v/>
      </c>
      <c r="O476" s="11">
        <f>IFERROR(N476/L476, 0)</f>
        <v/>
      </c>
      <c r="P476" s="8">
        <f>YEAR(C476)</f>
        <v/>
      </c>
      <c r="Q476" s="8">
        <f>TEXT(C476, "yyyy-mm")</f>
        <v/>
      </c>
      <c r="R476" s="8" t="inlineStr">
        <is>
          <t>Direct Web</t>
        </is>
      </c>
      <c r="S476" s="8" t="inlineStr">
        <is>
          <t>REG-EU</t>
        </is>
      </c>
    </row>
    <row r="477">
      <c r="A477" s="8" t="inlineStr">
        <is>
          <t>DTL-0000482</t>
        </is>
      </c>
      <c r="B477" s="8" t="inlineStr">
        <is>
          <t>ORD-000235</t>
        </is>
      </c>
      <c r="C477" s="10" t="inlineStr">
        <is>
          <t>2024-04-27</t>
        </is>
      </c>
      <c r="D477" s="8" t="inlineStr">
        <is>
          <t>CUST-01084</t>
        </is>
      </c>
      <c r="E477" s="8" t="inlineStr">
        <is>
          <t>PRD-0193</t>
        </is>
      </c>
      <c r="F477" s="8" t="n">
        <v>1</v>
      </c>
      <c r="G477" s="9">
        <f>IFERROR(XLOOKUP(E477, '04_Products'!$A:$A, '04_Products'!$G:$G), 791.50)</f>
        <v/>
      </c>
      <c r="H477" s="9">
        <f>IFERROR(XLOOKUP(E477, '04_Products'!$A:$A, '04_Products'!$F:$F), 0)</f>
        <v/>
      </c>
      <c r="I477" s="9">
        <f>F477*G477</f>
        <v/>
      </c>
      <c r="J477" s="11" t="n">
        <v>0</v>
      </c>
      <c r="K477" s="9">
        <f>I477*J477</f>
        <v/>
      </c>
      <c r="L477" s="9">
        <f>I477-K477</f>
        <v/>
      </c>
      <c r="M477" s="9">
        <f>F477*H477</f>
        <v/>
      </c>
      <c r="N477" s="9">
        <f>L477-M477</f>
        <v/>
      </c>
      <c r="O477" s="11">
        <f>IFERROR(N477/L477, 0)</f>
        <v/>
      </c>
      <c r="P477" s="8">
        <f>YEAR(C477)</f>
        <v/>
      </c>
      <c r="Q477" s="8">
        <f>TEXT(C477, "yyyy-mm")</f>
        <v/>
      </c>
      <c r="R477" s="8" t="inlineStr">
        <is>
          <t>Direct Web</t>
        </is>
      </c>
      <c r="S477" s="8" t="inlineStr">
        <is>
          <t>REG-APAC</t>
        </is>
      </c>
    </row>
    <row r="478">
      <c r="A478" s="8" t="inlineStr">
        <is>
          <t>DTL-0000483</t>
        </is>
      </c>
      <c r="B478" s="8" t="inlineStr">
        <is>
          <t>ORD-000236</t>
        </is>
      </c>
      <c r="C478" s="10" t="inlineStr">
        <is>
          <t>2023-04-30</t>
        </is>
      </c>
      <c r="D478" s="8" t="inlineStr">
        <is>
          <t>CUST-01346</t>
        </is>
      </c>
      <c r="E478" s="8" t="inlineStr">
        <is>
          <t>PRD-0315</t>
        </is>
      </c>
      <c r="F478" s="8" t="n">
        <v>1</v>
      </c>
      <c r="G478" s="9">
        <f>IFERROR(XLOOKUP(E478, '04_Products'!$A:$A, '04_Products'!$G:$G), 916.00)</f>
        <v/>
      </c>
      <c r="H478" s="9">
        <f>IFERROR(XLOOKUP(E478, '04_Products'!$A:$A, '04_Products'!$F:$F), 0)</f>
        <v/>
      </c>
      <c r="I478" s="9">
        <f>F478*G478</f>
        <v/>
      </c>
      <c r="J478" s="11" t="n">
        <v>0.05</v>
      </c>
      <c r="K478" s="9">
        <f>I478*J478</f>
        <v/>
      </c>
      <c r="L478" s="9">
        <f>I478-K478</f>
        <v/>
      </c>
      <c r="M478" s="9">
        <f>F478*H478</f>
        <v/>
      </c>
      <c r="N478" s="9">
        <f>L478-M478</f>
        <v/>
      </c>
      <c r="O478" s="11">
        <f>IFERROR(N478/L478, 0)</f>
        <v/>
      </c>
      <c r="P478" s="8">
        <f>YEAR(C478)</f>
        <v/>
      </c>
      <c r="Q478" s="8">
        <f>TEXT(C478, "yyyy-mm")</f>
        <v/>
      </c>
      <c r="R478" s="8" t="inlineStr">
        <is>
          <t>Mobile App</t>
        </is>
      </c>
      <c r="S478" s="8" t="inlineStr">
        <is>
          <t>REG-NA</t>
        </is>
      </c>
    </row>
    <row r="479">
      <c r="A479" s="8" t="inlineStr">
        <is>
          <t>DTL-0000484</t>
        </is>
      </c>
      <c r="B479" s="8" t="inlineStr">
        <is>
          <t>ORD-000237</t>
        </is>
      </c>
      <c r="C479" s="10" t="inlineStr">
        <is>
          <t>2023-10-02</t>
        </is>
      </c>
      <c r="D479" s="8" t="inlineStr">
        <is>
          <t>CUST-02940</t>
        </is>
      </c>
      <c r="E479" s="8" t="inlineStr">
        <is>
          <t>PRD-0380</t>
        </is>
      </c>
      <c r="F479" s="8" t="n">
        <v>1</v>
      </c>
      <c r="G479" s="9">
        <f>IFERROR(XLOOKUP(E479, '04_Products'!$A:$A, '04_Products'!$G:$G), 141.11)</f>
        <v/>
      </c>
      <c r="H479" s="9">
        <f>IFERROR(XLOOKUP(E479, '04_Products'!$A:$A, '04_Products'!$F:$F), 0)</f>
        <v/>
      </c>
      <c r="I479" s="9">
        <f>F479*G479</f>
        <v/>
      </c>
      <c r="J479" s="11" t="n">
        <v>0.05</v>
      </c>
      <c r="K479" s="9">
        <f>I479*J479</f>
        <v/>
      </c>
      <c r="L479" s="9">
        <f>I479-K479</f>
        <v/>
      </c>
      <c r="M479" s="9">
        <f>F479*H479</f>
        <v/>
      </c>
      <c r="N479" s="9">
        <f>L479-M479</f>
        <v/>
      </c>
      <c r="O479" s="11">
        <f>IFERROR(N479/L479, 0)</f>
        <v/>
      </c>
      <c r="P479" s="8">
        <f>YEAR(C479)</f>
        <v/>
      </c>
      <c r="Q479" s="8">
        <f>TEXT(C479, "yyyy-mm")</f>
        <v/>
      </c>
      <c r="R479" s="8" t="inlineStr">
        <is>
          <t>Direct Web</t>
        </is>
      </c>
      <c r="S479" s="8" t="inlineStr">
        <is>
          <t>REG-EU</t>
        </is>
      </c>
    </row>
    <row r="480">
      <c r="A480" s="8" t="inlineStr">
        <is>
          <t>DTL-0000485</t>
        </is>
      </c>
      <c r="B480" s="8" t="inlineStr">
        <is>
          <t>ORD-000237</t>
        </is>
      </c>
      <c r="C480" s="10" t="inlineStr">
        <is>
          <t>2023-10-02</t>
        </is>
      </c>
      <c r="D480" s="8" t="inlineStr">
        <is>
          <t>CUST-02940</t>
        </is>
      </c>
      <c r="E480" s="8" t="inlineStr">
        <is>
          <t>PRD-0258</t>
        </is>
      </c>
      <c r="F480" s="8" t="n">
        <v>1</v>
      </c>
      <c r="G480" s="9">
        <f>IFERROR(XLOOKUP(E480, '04_Products'!$A:$A, '04_Products'!$G:$G), 636.27)</f>
        <v/>
      </c>
      <c r="H480" s="9">
        <f>IFERROR(XLOOKUP(E480, '04_Products'!$A:$A, '04_Products'!$F:$F), 0)</f>
        <v/>
      </c>
      <c r="I480" s="9">
        <f>F480*G480</f>
        <v/>
      </c>
      <c r="J480" s="11" t="n">
        <v>0.2</v>
      </c>
      <c r="K480" s="9">
        <f>I480*J480</f>
        <v/>
      </c>
      <c r="L480" s="9">
        <f>I480-K480</f>
        <v/>
      </c>
      <c r="M480" s="9">
        <f>F480*H480</f>
        <v/>
      </c>
      <c r="N480" s="9">
        <f>L480-M480</f>
        <v/>
      </c>
      <c r="O480" s="11">
        <f>IFERROR(N480/L480, 0)</f>
        <v/>
      </c>
      <c r="P480" s="8">
        <f>YEAR(C480)</f>
        <v/>
      </c>
      <c r="Q480" s="8">
        <f>TEXT(C480, "yyyy-mm")</f>
        <v/>
      </c>
      <c r="R480" s="8" t="inlineStr">
        <is>
          <t>Direct Web</t>
        </is>
      </c>
      <c r="S480" s="8" t="inlineStr">
        <is>
          <t>REG-EU</t>
        </is>
      </c>
    </row>
    <row r="481">
      <c r="A481" s="8" t="inlineStr">
        <is>
          <t>DTL-0000486</t>
        </is>
      </c>
      <c r="B481" s="8" t="inlineStr">
        <is>
          <t>ORD-000237</t>
        </is>
      </c>
      <c r="C481" s="10" t="inlineStr">
        <is>
          <t>2023-10-02</t>
        </is>
      </c>
      <c r="D481" s="8" t="inlineStr">
        <is>
          <t>CUST-02940</t>
        </is>
      </c>
      <c r="E481" s="8" t="inlineStr">
        <is>
          <t>PRD-0483</t>
        </is>
      </c>
      <c r="F481" s="8" t="n">
        <v>1</v>
      </c>
      <c r="G481" s="9">
        <f>IFERROR(XLOOKUP(E481, '04_Products'!$A:$A, '04_Products'!$G:$G), 50.97)</f>
        <v/>
      </c>
      <c r="H481" s="9">
        <f>IFERROR(XLOOKUP(E481, '04_Products'!$A:$A, '04_Products'!$F:$F), 0)</f>
        <v/>
      </c>
      <c r="I481" s="9">
        <f>F481*G481</f>
        <v/>
      </c>
      <c r="J481" s="11" t="n">
        <v>0</v>
      </c>
      <c r="K481" s="9">
        <f>I481*J481</f>
        <v/>
      </c>
      <c r="L481" s="9">
        <f>I481-K481</f>
        <v/>
      </c>
      <c r="M481" s="9">
        <f>F481*H481</f>
        <v/>
      </c>
      <c r="N481" s="9">
        <f>L481-M481</f>
        <v/>
      </c>
      <c r="O481" s="11">
        <f>IFERROR(N481/L481, 0)</f>
        <v/>
      </c>
      <c r="P481" s="8">
        <f>YEAR(C481)</f>
        <v/>
      </c>
      <c r="Q481" s="8">
        <f>TEXT(C481, "yyyy-mm")</f>
        <v/>
      </c>
      <c r="R481" s="8" t="inlineStr">
        <is>
          <t>Direct Web</t>
        </is>
      </c>
      <c r="S481" s="8" t="inlineStr">
        <is>
          <t>REG-EU</t>
        </is>
      </c>
    </row>
    <row r="482">
      <c r="A482" s="8" t="inlineStr">
        <is>
          <t>DTL-0000487</t>
        </is>
      </c>
      <c r="B482" s="8" t="inlineStr">
        <is>
          <t>ORD-000237</t>
        </is>
      </c>
      <c r="C482" s="10" t="inlineStr">
        <is>
          <t>2023-10-02</t>
        </is>
      </c>
      <c r="D482" s="8" t="inlineStr">
        <is>
          <t>CUST-02940</t>
        </is>
      </c>
      <c r="E482" s="8" t="inlineStr">
        <is>
          <t>PRD-0262</t>
        </is>
      </c>
      <c r="F482" s="8" t="n">
        <v>1</v>
      </c>
      <c r="G482" s="9">
        <f>IFERROR(XLOOKUP(E482, '04_Products'!$A:$A, '04_Products'!$G:$G), 621.74)</f>
        <v/>
      </c>
      <c r="H482" s="9">
        <f>IFERROR(XLOOKUP(E482, '04_Products'!$A:$A, '04_Products'!$F:$F), 0)</f>
        <v/>
      </c>
      <c r="I482" s="9">
        <f>F482*G482</f>
        <v/>
      </c>
      <c r="J482" s="11" t="n">
        <v>0.05</v>
      </c>
      <c r="K482" s="9">
        <f>I482*J482</f>
        <v/>
      </c>
      <c r="L482" s="9">
        <f>I482-K482</f>
        <v/>
      </c>
      <c r="M482" s="9">
        <f>F482*H482</f>
        <v/>
      </c>
      <c r="N482" s="9">
        <f>L482-M482</f>
        <v/>
      </c>
      <c r="O482" s="11">
        <f>IFERROR(N482/L482, 0)</f>
        <v/>
      </c>
      <c r="P482" s="8">
        <f>YEAR(C482)</f>
        <v/>
      </c>
      <c r="Q482" s="8">
        <f>TEXT(C482, "yyyy-mm")</f>
        <v/>
      </c>
      <c r="R482" s="8" t="inlineStr">
        <is>
          <t>Direct Web</t>
        </is>
      </c>
      <c r="S482" s="8" t="inlineStr">
        <is>
          <t>REG-EU</t>
        </is>
      </c>
    </row>
    <row r="483">
      <c r="A483" s="8" t="inlineStr">
        <is>
          <t>DTL-0000488</t>
        </is>
      </c>
      <c r="B483" s="8" t="inlineStr">
        <is>
          <t>ORD-000237</t>
        </is>
      </c>
      <c r="C483" s="10" t="inlineStr">
        <is>
          <t>2023-10-02</t>
        </is>
      </c>
      <c r="D483" s="8" t="inlineStr">
        <is>
          <t>CUST-02940</t>
        </is>
      </c>
      <c r="E483" s="8" t="inlineStr">
        <is>
          <t>PRD-0438</t>
        </is>
      </c>
      <c r="F483" s="8" t="n">
        <v>1</v>
      </c>
      <c r="G483" s="9">
        <f>IFERROR(XLOOKUP(E483, '04_Products'!$A:$A, '04_Products'!$G:$G), 981.00)</f>
        <v/>
      </c>
      <c r="H483" s="9">
        <f>IFERROR(XLOOKUP(E483, '04_Products'!$A:$A, '04_Products'!$F:$F), 0)</f>
        <v/>
      </c>
      <c r="I483" s="9">
        <f>F483*G483</f>
        <v/>
      </c>
      <c r="J483" s="11" t="n">
        <v>0.1</v>
      </c>
      <c r="K483" s="9">
        <f>I483*J483</f>
        <v/>
      </c>
      <c r="L483" s="9">
        <f>I483-K483</f>
        <v/>
      </c>
      <c r="M483" s="9">
        <f>F483*H483</f>
        <v/>
      </c>
      <c r="N483" s="9">
        <f>L483-M483</f>
        <v/>
      </c>
      <c r="O483" s="11">
        <f>IFERROR(N483/L483, 0)</f>
        <v/>
      </c>
      <c r="P483" s="8">
        <f>YEAR(C483)</f>
        <v/>
      </c>
      <c r="Q483" s="8">
        <f>TEXT(C483, "yyyy-mm")</f>
        <v/>
      </c>
      <c r="R483" s="8" t="inlineStr">
        <is>
          <t>Direct Web</t>
        </is>
      </c>
      <c r="S483" s="8" t="inlineStr">
        <is>
          <t>REG-EU</t>
        </is>
      </c>
    </row>
    <row r="484">
      <c r="A484" s="8" t="inlineStr">
        <is>
          <t>DTL-0000489</t>
        </is>
      </c>
      <c r="B484" s="8" t="inlineStr">
        <is>
          <t>ORD-000238</t>
        </is>
      </c>
      <c r="C484" s="10" t="inlineStr">
        <is>
          <t>2025-01-04</t>
        </is>
      </c>
      <c r="D484" s="8" t="inlineStr">
        <is>
          <t>CUST-00423</t>
        </is>
      </c>
      <c r="E484" s="8" t="inlineStr">
        <is>
          <t>PRD-0073</t>
        </is>
      </c>
      <c r="F484" s="8" t="n">
        <v>1</v>
      </c>
      <c r="G484" s="9">
        <f>IFERROR(XLOOKUP(E484, '04_Products'!$A:$A, '04_Products'!$G:$G), 508.70)</f>
        <v/>
      </c>
      <c r="H484" s="9">
        <f>IFERROR(XLOOKUP(E484, '04_Products'!$A:$A, '04_Products'!$F:$F), 0)</f>
        <v/>
      </c>
      <c r="I484" s="9">
        <f>F484*G484</f>
        <v/>
      </c>
      <c r="J484" s="11" t="n">
        <v>0</v>
      </c>
      <c r="K484" s="9">
        <f>I484*J484</f>
        <v/>
      </c>
      <c r="L484" s="9">
        <f>I484-K484</f>
        <v/>
      </c>
      <c r="M484" s="9">
        <f>F484*H484</f>
        <v/>
      </c>
      <c r="N484" s="9">
        <f>L484-M484</f>
        <v/>
      </c>
      <c r="O484" s="11">
        <f>IFERROR(N484/L484, 0)</f>
        <v/>
      </c>
      <c r="P484" s="8">
        <f>YEAR(C484)</f>
        <v/>
      </c>
      <c r="Q484" s="8">
        <f>TEXT(C484, "yyyy-mm")</f>
        <v/>
      </c>
      <c r="R484" s="8" t="inlineStr">
        <is>
          <t>Mobile App</t>
        </is>
      </c>
      <c r="S484" s="8" t="inlineStr">
        <is>
          <t>REG-NA</t>
        </is>
      </c>
    </row>
    <row r="485">
      <c r="A485" s="8" t="inlineStr">
        <is>
          <t>DTL-0000490</t>
        </is>
      </c>
      <c r="B485" s="8" t="inlineStr">
        <is>
          <t>ORD-000238</t>
        </is>
      </c>
      <c r="C485" s="10" t="inlineStr">
        <is>
          <t>2025-01-04</t>
        </is>
      </c>
      <c r="D485" s="8" t="inlineStr">
        <is>
          <t>CUST-00423</t>
        </is>
      </c>
      <c r="E485" s="8" t="inlineStr">
        <is>
          <t>PRD-0260</t>
        </is>
      </c>
      <c r="F485" s="8" t="n">
        <v>1</v>
      </c>
      <c r="G485" s="9">
        <f>IFERROR(XLOOKUP(E485, '04_Products'!$A:$A, '04_Products'!$G:$G), 13.65)</f>
        <v/>
      </c>
      <c r="H485" s="9">
        <f>IFERROR(XLOOKUP(E485, '04_Products'!$A:$A, '04_Products'!$F:$F), 0)</f>
        <v/>
      </c>
      <c r="I485" s="9">
        <f>F485*G485</f>
        <v/>
      </c>
      <c r="J485" s="11" t="n">
        <v>0.25</v>
      </c>
      <c r="K485" s="9">
        <f>I485*J485</f>
        <v/>
      </c>
      <c r="L485" s="9">
        <f>I485-K485</f>
        <v/>
      </c>
      <c r="M485" s="9">
        <f>F485*H485</f>
        <v/>
      </c>
      <c r="N485" s="9">
        <f>L485-M485</f>
        <v/>
      </c>
      <c r="O485" s="11">
        <f>IFERROR(N485/L485, 0)</f>
        <v/>
      </c>
      <c r="P485" s="8">
        <f>YEAR(C485)</f>
        <v/>
      </c>
      <c r="Q485" s="8">
        <f>TEXT(C485, "yyyy-mm")</f>
        <v/>
      </c>
      <c r="R485" s="8" t="inlineStr">
        <is>
          <t>Mobile App</t>
        </is>
      </c>
      <c r="S485" s="8" t="inlineStr">
        <is>
          <t>REG-NA</t>
        </is>
      </c>
    </row>
    <row r="486">
      <c r="A486" s="8" t="inlineStr">
        <is>
          <t>DTL-0000491</t>
        </is>
      </c>
      <c r="B486" s="8" t="inlineStr">
        <is>
          <t>ORD-000239</t>
        </is>
      </c>
      <c r="C486" s="10" t="inlineStr">
        <is>
          <t>2025-05-15</t>
        </is>
      </c>
      <c r="D486" s="8" t="inlineStr">
        <is>
          <t>CUST-03181</t>
        </is>
      </c>
      <c r="E486" s="8" t="inlineStr">
        <is>
          <t>PRD-0026</t>
        </is>
      </c>
      <c r="F486" s="8" t="n">
        <v>3</v>
      </c>
      <c r="G486" s="9">
        <f>IFERROR(XLOOKUP(E486, '04_Products'!$A:$A, '04_Products'!$G:$G), 469.49)</f>
        <v/>
      </c>
      <c r="H486" s="9">
        <f>IFERROR(XLOOKUP(E486, '04_Products'!$A:$A, '04_Products'!$F:$F), 0)</f>
        <v/>
      </c>
      <c r="I486" s="9">
        <f>F486*G486</f>
        <v/>
      </c>
      <c r="J486" s="11" t="n">
        <v>0</v>
      </c>
      <c r="K486" s="9">
        <f>I486*J486</f>
        <v/>
      </c>
      <c r="L486" s="9">
        <f>I486-K486</f>
        <v/>
      </c>
      <c r="M486" s="9">
        <f>F486*H486</f>
        <v/>
      </c>
      <c r="N486" s="9">
        <f>L486-M486</f>
        <v/>
      </c>
      <c r="O486" s="11">
        <f>IFERROR(N486/L486, 0)</f>
        <v/>
      </c>
      <c r="P486" s="8">
        <f>YEAR(C486)</f>
        <v/>
      </c>
      <c r="Q486" s="8">
        <f>TEXT(C486, "yyyy-mm")</f>
        <v/>
      </c>
      <c r="R486" s="8" t="inlineStr">
        <is>
          <t>Direct Web</t>
        </is>
      </c>
      <c r="S486" s="8" t="inlineStr">
        <is>
          <t>REG-APAC</t>
        </is>
      </c>
    </row>
    <row r="487">
      <c r="A487" s="8" t="inlineStr">
        <is>
          <t>DTL-0000492</t>
        </is>
      </c>
      <c r="B487" s="8" t="inlineStr">
        <is>
          <t>ORD-000240</t>
        </is>
      </c>
      <c r="C487" s="10" t="inlineStr">
        <is>
          <t>2023-03-05</t>
        </is>
      </c>
      <c r="D487" s="8" t="inlineStr">
        <is>
          <t>CUST-06155</t>
        </is>
      </c>
      <c r="E487" s="8" t="inlineStr">
        <is>
          <t>PRD-0300</t>
        </is>
      </c>
      <c r="F487" s="8" t="n">
        <v>2</v>
      </c>
      <c r="G487" s="9">
        <f>IFERROR(XLOOKUP(E487, '04_Products'!$A:$A, '04_Products'!$G:$G), 1041.76)</f>
        <v/>
      </c>
      <c r="H487" s="9">
        <f>IFERROR(XLOOKUP(E487, '04_Products'!$A:$A, '04_Products'!$F:$F), 0)</f>
        <v/>
      </c>
      <c r="I487" s="9">
        <f>F487*G487</f>
        <v/>
      </c>
      <c r="J487" s="11" t="n">
        <v>0.05</v>
      </c>
      <c r="K487" s="9">
        <f>I487*J487</f>
        <v/>
      </c>
      <c r="L487" s="9">
        <f>I487-K487</f>
        <v/>
      </c>
      <c r="M487" s="9">
        <f>F487*H487</f>
        <v/>
      </c>
      <c r="N487" s="9">
        <f>L487-M487</f>
        <v/>
      </c>
      <c r="O487" s="11">
        <f>IFERROR(N487/L487, 0)</f>
        <v/>
      </c>
      <c r="P487" s="8">
        <f>YEAR(C487)</f>
        <v/>
      </c>
      <c r="Q487" s="8">
        <f>TEXT(C487, "yyyy-mm")</f>
        <v/>
      </c>
      <c r="R487" s="8" t="inlineStr">
        <is>
          <t>Direct Web</t>
        </is>
      </c>
      <c r="S487" s="8" t="inlineStr">
        <is>
          <t>REG-NA</t>
        </is>
      </c>
    </row>
    <row r="488">
      <c r="A488" s="8" t="inlineStr">
        <is>
          <t>DTL-0000493</t>
        </is>
      </c>
      <c r="B488" s="8" t="inlineStr">
        <is>
          <t>ORD-000241</t>
        </is>
      </c>
      <c r="C488" s="10" t="inlineStr">
        <is>
          <t>2025-03-24</t>
        </is>
      </c>
      <c r="D488" s="8" t="inlineStr">
        <is>
          <t>CUST-00890</t>
        </is>
      </c>
      <c r="E488" s="8" t="inlineStr">
        <is>
          <t>PRD-0121</t>
        </is>
      </c>
      <c r="F488" s="8" t="n">
        <v>1</v>
      </c>
      <c r="G488" s="9">
        <f>IFERROR(XLOOKUP(E488, '04_Products'!$A:$A, '04_Products'!$G:$G), 420.86)</f>
        <v/>
      </c>
      <c r="H488" s="9">
        <f>IFERROR(XLOOKUP(E488, '04_Products'!$A:$A, '04_Products'!$F:$F), 0)</f>
        <v/>
      </c>
      <c r="I488" s="9">
        <f>F488*G488</f>
        <v/>
      </c>
      <c r="J488" s="11" t="n">
        <v>0</v>
      </c>
      <c r="K488" s="9">
        <f>I488*J488</f>
        <v/>
      </c>
      <c r="L488" s="9">
        <f>I488-K488</f>
        <v/>
      </c>
      <c r="M488" s="9">
        <f>F488*H488</f>
        <v/>
      </c>
      <c r="N488" s="9">
        <f>L488-M488</f>
        <v/>
      </c>
      <c r="O488" s="11">
        <f>IFERROR(N488/L488, 0)</f>
        <v/>
      </c>
      <c r="P488" s="8">
        <f>YEAR(C488)</f>
        <v/>
      </c>
      <c r="Q488" s="8">
        <f>TEXT(C488, "yyyy-mm")</f>
        <v/>
      </c>
      <c r="R488" s="8" t="inlineStr">
        <is>
          <t>Direct Web</t>
        </is>
      </c>
      <c r="S488" s="8" t="inlineStr">
        <is>
          <t>REG-APAC</t>
        </is>
      </c>
    </row>
    <row r="489">
      <c r="A489" s="8" t="inlineStr">
        <is>
          <t>DTL-0000494</t>
        </is>
      </c>
      <c r="B489" s="8" t="inlineStr">
        <is>
          <t>ORD-000241</t>
        </is>
      </c>
      <c r="C489" s="10" t="inlineStr">
        <is>
          <t>2025-03-24</t>
        </is>
      </c>
      <c r="D489" s="8" t="inlineStr">
        <is>
          <t>CUST-00890</t>
        </is>
      </c>
      <c r="E489" s="8" t="inlineStr">
        <is>
          <t>PRD-0112</t>
        </is>
      </c>
      <c r="F489" s="8" t="n">
        <v>1</v>
      </c>
      <c r="G489" s="9">
        <f>IFERROR(XLOOKUP(E489, '04_Products'!$A:$A, '04_Products'!$G:$G), 54.82)</f>
        <v/>
      </c>
      <c r="H489" s="9">
        <f>IFERROR(XLOOKUP(E489, '04_Products'!$A:$A, '04_Products'!$F:$F), 0)</f>
        <v/>
      </c>
      <c r="I489" s="9">
        <f>F489*G489</f>
        <v/>
      </c>
      <c r="J489" s="11" t="n">
        <v>0.05</v>
      </c>
      <c r="K489" s="9">
        <f>I489*J489</f>
        <v/>
      </c>
      <c r="L489" s="9">
        <f>I489-K489</f>
        <v/>
      </c>
      <c r="M489" s="9">
        <f>F489*H489</f>
        <v/>
      </c>
      <c r="N489" s="9">
        <f>L489-M489</f>
        <v/>
      </c>
      <c r="O489" s="11">
        <f>IFERROR(N489/L489, 0)</f>
        <v/>
      </c>
      <c r="P489" s="8">
        <f>YEAR(C489)</f>
        <v/>
      </c>
      <c r="Q489" s="8">
        <f>TEXT(C489, "yyyy-mm")</f>
        <v/>
      </c>
      <c r="R489" s="8" t="inlineStr">
        <is>
          <t>Direct Web</t>
        </is>
      </c>
      <c r="S489" s="8" t="inlineStr">
        <is>
          <t>REG-APAC</t>
        </is>
      </c>
    </row>
    <row r="490">
      <c r="A490" s="8" t="inlineStr">
        <is>
          <t>DTL-0000495</t>
        </is>
      </c>
      <c r="B490" s="8" t="inlineStr">
        <is>
          <t>ORD-000241</t>
        </is>
      </c>
      <c r="C490" s="10" t="inlineStr">
        <is>
          <t>2025-03-24</t>
        </is>
      </c>
      <c r="D490" s="8" t="inlineStr">
        <is>
          <t>CUST-00890</t>
        </is>
      </c>
      <c r="E490" s="8" t="inlineStr">
        <is>
          <t>PRD-0500</t>
        </is>
      </c>
      <c r="F490" s="8" t="n">
        <v>2</v>
      </c>
      <c r="G490" s="9">
        <f>IFERROR(XLOOKUP(E490, '04_Products'!$A:$A, '04_Products'!$G:$G), 27.13)</f>
        <v/>
      </c>
      <c r="H490" s="9">
        <f>IFERROR(XLOOKUP(E490, '04_Products'!$A:$A, '04_Products'!$F:$F), 0)</f>
        <v/>
      </c>
      <c r="I490" s="9">
        <f>F490*G490</f>
        <v/>
      </c>
      <c r="J490" s="11" t="n">
        <v>0</v>
      </c>
      <c r="K490" s="9">
        <f>I490*J490</f>
        <v/>
      </c>
      <c r="L490" s="9">
        <f>I490-K490</f>
        <v/>
      </c>
      <c r="M490" s="9">
        <f>F490*H490</f>
        <v/>
      </c>
      <c r="N490" s="9">
        <f>L490-M490</f>
        <v/>
      </c>
      <c r="O490" s="11">
        <f>IFERROR(N490/L490, 0)</f>
        <v/>
      </c>
      <c r="P490" s="8">
        <f>YEAR(C490)</f>
        <v/>
      </c>
      <c r="Q490" s="8">
        <f>TEXT(C490, "yyyy-mm")</f>
        <v/>
      </c>
      <c r="R490" s="8" t="inlineStr">
        <is>
          <t>Direct Web</t>
        </is>
      </c>
      <c r="S490" s="8" t="inlineStr">
        <is>
          <t>REG-APAC</t>
        </is>
      </c>
    </row>
    <row r="491">
      <c r="A491" s="8" t="inlineStr">
        <is>
          <t>DTL-0000496</t>
        </is>
      </c>
      <c r="B491" s="8" t="inlineStr">
        <is>
          <t>ORD-000242</t>
        </is>
      </c>
      <c r="C491" s="10" t="inlineStr">
        <is>
          <t>2024-12-17</t>
        </is>
      </c>
      <c r="D491" s="8" t="inlineStr">
        <is>
          <t>CUST-01838</t>
        </is>
      </c>
      <c r="E491" s="8" t="inlineStr">
        <is>
          <t>PRD-0338</t>
        </is>
      </c>
      <c r="F491" s="8" t="n">
        <v>1</v>
      </c>
      <c r="G491" s="9">
        <f>IFERROR(XLOOKUP(E491, '04_Products'!$A:$A, '04_Products'!$G:$G), 76.99)</f>
        <v/>
      </c>
      <c r="H491" s="9">
        <f>IFERROR(XLOOKUP(E491, '04_Products'!$A:$A, '04_Products'!$F:$F), 0)</f>
        <v/>
      </c>
      <c r="I491" s="9">
        <f>F491*G491</f>
        <v/>
      </c>
      <c r="J491" s="11" t="n">
        <v>0</v>
      </c>
      <c r="K491" s="9">
        <f>I491*J491</f>
        <v/>
      </c>
      <c r="L491" s="9">
        <f>I491-K491</f>
        <v/>
      </c>
      <c r="M491" s="9">
        <f>F491*H491</f>
        <v/>
      </c>
      <c r="N491" s="9">
        <f>L491-M491</f>
        <v/>
      </c>
      <c r="O491" s="11">
        <f>IFERROR(N491/L491, 0)</f>
        <v/>
      </c>
      <c r="P491" s="8">
        <f>YEAR(C491)</f>
        <v/>
      </c>
      <c r="Q491" s="8">
        <f>TEXT(C491, "yyyy-mm")</f>
        <v/>
      </c>
      <c r="R491" s="8" t="inlineStr">
        <is>
          <t>Direct Web</t>
        </is>
      </c>
      <c r="S491" s="8" t="inlineStr">
        <is>
          <t>REG-APAC</t>
        </is>
      </c>
    </row>
    <row r="492">
      <c r="A492" s="8" t="inlineStr">
        <is>
          <t>DTL-0000497</t>
        </is>
      </c>
      <c r="B492" s="8" t="inlineStr">
        <is>
          <t>ORD-000243</t>
        </is>
      </c>
      <c r="C492" s="10" t="inlineStr">
        <is>
          <t>2025-05-23</t>
        </is>
      </c>
      <c r="D492" s="8" t="inlineStr">
        <is>
          <t>CUST-05427</t>
        </is>
      </c>
      <c r="E492" s="8" t="inlineStr">
        <is>
          <t>PRD-0375</t>
        </is>
      </c>
      <c r="F492" s="8" t="n">
        <v>5</v>
      </c>
      <c r="G492" s="9">
        <f>IFERROR(XLOOKUP(E492, '04_Products'!$A:$A, '04_Products'!$G:$G), 141.42)</f>
        <v/>
      </c>
      <c r="H492" s="9">
        <f>IFERROR(XLOOKUP(E492, '04_Products'!$A:$A, '04_Products'!$F:$F), 0)</f>
        <v/>
      </c>
      <c r="I492" s="9">
        <f>F492*G492</f>
        <v/>
      </c>
      <c r="J492" s="11" t="n">
        <v>0.05</v>
      </c>
      <c r="K492" s="9">
        <f>I492*J492</f>
        <v/>
      </c>
      <c r="L492" s="9">
        <f>I492-K492</f>
        <v/>
      </c>
      <c r="M492" s="9">
        <f>F492*H492</f>
        <v/>
      </c>
      <c r="N492" s="9">
        <f>L492-M492</f>
        <v/>
      </c>
      <c r="O492" s="11">
        <f>IFERROR(N492/L492, 0)</f>
        <v/>
      </c>
      <c r="P492" s="8">
        <f>YEAR(C492)</f>
        <v/>
      </c>
      <c r="Q492" s="8">
        <f>TEXT(C492, "yyyy-mm")</f>
        <v/>
      </c>
      <c r="R492" s="8" t="inlineStr">
        <is>
          <t>Direct Web</t>
        </is>
      </c>
      <c r="S492" s="8" t="inlineStr">
        <is>
          <t>REG-APAC</t>
        </is>
      </c>
    </row>
    <row r="493">
      <c r="A493" s="8" t="inlineStr">
        <is>
          <t>DTL-0000498</t>
        </is>
      </c>
      <c r="B493" s="8" t="inlineStr">
        <is>
          <t>ORD-000243</t>
        </is>
      </c>
      <c r="C493" s="10" t="inlineStr">
        <is>
          <t>2025-05-23</t>
        </is>
      </c>
      <c r="D493" s="8" t="inlineStr">
        <is>
          <t>CUST-05427</t>
        </is>
      </c>
      <c r="E493" s="8" t="inlineStr">
        <is>
          <t>PRD-0475</t>
        </is>
      </c>
      <c r="F493" s="8" t="n">
        <v>5</v>
      </c>
      <c r="G493" s="9">
        <f>IFERROR(XLOOKUP(E493, '04_Products'!$A:$A, '04_Products'!$G:$G), 61.15)</f>
        <v/>
      </c>
      <c r="H493" s="9">
        <f>IFERROR(XLOOKUP(E493, '04_Products'!$A:$A, '04_Products'!$F:$F), 0)</f>
        <v/>
      </c>
      <c r="I493" s="9">
        <f>F493*G493</f>
        <v/>
      </c>
      <c r="J493" s="11" t="n">
        <v>0</v>
      </c>
      <c r="K493" s="9">
        <f>I493*J493</f>
        <v/>
      </c>
      <c r="L493" s="9">
        <f>I493-K493</f>
        <v/>
      </c>
      <c r="M493" s="9">
        <f>F493*H493</f>
        <v/>
      </c>
      <c r="N493" s="9">
        <f>L493-M493</f>
        <v/>
      </c>
      <c r="O493" s="11">
        <f>IFERROR(N493/L493, 0)</f>
        <v/>
      </c>
      <c r="P493" s="8">
        <f>YEAR(C493)</f>
        <v/>
      </c>
      <c r="Q493" s="8">
        <f>TEXT(C493, "yyyy-mm")</f>
        <v/>
      </c>
      <c r="R493" s="8" t="inlineStr">
        <is>
          <t>Direct Web</t>
        </is>
      </c>
      <c r="S493" s="8" t="inlineStr">
        <is>
          <t>REG-APAC</t>
        </is>
      </c>
    </row>
    <row r="494">
      <c r="A494" s="8" t="inlineStr">
        <is>
          <t>DTL-0000499</t>
        </is>
      </c>
      <c r="B494" s="8" t="inlineStr">
        <is>
          <t>ORD-000244</t>
        </is>
      </c>
      <c r="C494" s="10" t="inlineStr">
        <is>
          <t>2024-05-13</t>
        </is>
      </c>
      <c r="D494" s="8" t="inlineStr">
        <is>
          <t>CUST-00580</t>
        </is>
      </c>
      <c r="E494" s="8" t="inlineStr">
        <is>
          <t>PRD-0375</t>
        </is>
      </c>
      <c r="F494" s="8" t="n">
        <v>1</v>
      </c>
      <c r="G494" s="9">
        <f>IFERROR(XLOOKUP(E494, '04_Products'!$A:$A, '04_Products'!$G:$G), 141.42)</f>
        <v/>
      </c>
      <c r="H494" s="9">
        <f>IFERROR(XLOOKUP(E494, '04_Products'!$A:$A, '04_Products'!$F:$F), 0)</f>
        <v/>
      </c>
      <c r="I494" s="9">
        <f>F494*G494</f>
        <v/>
      </c>
      <c r="J494" s="11" t="n">
        <v>0.25</v>
      </c>
      <c r="K494" s="9">
        <f>I494*J494</f>
        <v/>
      </c>
      <c r="L494" s="9">
        <f>I494-K494</f>
        <v/>
      </c>
      <c r="M494" s="9">
        <f>F494*H494</f>
        <v/>
      </c>
      <c r="N494" s="9">
        <f>L494-M494</f>
        <v/>
      </c>
      <c r="O494" s="11">
        <f>IFERROR(N494/L494, 0)</f>
        <v/>
      </c>
      <c r="P494" s="8">
        <f>YEAR(C494)</f>
        <v/>
      </c>
      <c r="Q494" s="8">
        <f>TEXT(C494, "yyyy-mm")</f>
        <v/>
      </c>
      <c r="R494" s="8" t="inlineStr">
        <is>
          <t>Mobile App</t>
        </is>
      </c>
      <c r="S494" s="8" t="inlineStr">
        <is>
          <t>REG-APAC</t>
        </is>
      </c>
    </row>
    <row r="495">
      <c r="A495" s="8" t="inlineStr">
        <is>
          <t>DTL-0000500</t>
        </is>
      </c>
      <c r="B495" s="8" t="inlineStr">
        <is>
          <t>ORD-000244</t>
        </is>
      </c>
      <c r="C495" s="10" t="inlineStr">
        <is>
          <t>2024-05-13</t>
        </is>
      </c>
      <c r="D495" s="8" t="inlineStr">
        <is>
          <t>CUST-00580</t>
        </is>
      </c>
      <c r="E495" s="8" t="inlineStr">
        <is>
          <t>PRD-0395</t>
        </is>
      </c>
      <c r="F495" s="8" t="n">
        <v>2</v>
      </c>
      <c r="G495" s="9">
        <f>IFERROR(XLOOKUP(E495, '04_Products'!$A:$A, '04_Products'!$G:$G), 875.57)</f>
        <v/>
      </c>
      <c r="H495" s="9">
        <f>IFERROR(XLOOKUP(E495, '04_Products'!$A:$A, '04_Products'!$F:$F), 0)</f>
        <v/>
      </c>
      <c r="I495" s="9">
        <f>F495*G495</f>
        <v/>
      </c>
      <c r="J495" s="11" t="n">
        <v>0</v>
      </c>
      <c r="K495" s="9">
        <f>I495*J495</f>
        <v/>
      </c>
      <c r="L495" s="9">
        <f>I495-K495</f>
        <v/>
      </c>
      <c r="M495" s="9">
        <f>F495*H495</f>
        <v/>
      </c>
      <c r="N495" s="9">
        <f>L495-M495</f>
        <v/>
      </c>
      <c r="O495" s="11">
        <f>IFERROR(N495/L495, 0)</f>
        <v/>
      </c>
      <c r="P495" s="8">
        <f>YEAR(C495)</f>
        <v/>
      </c>
      <c r="Q495" s="8">
        <f>TEXT(C495, "yyyy-mm")</f>
        <v/>
      </c>
      <c r="R495" s="8" t="inlineStr">
        <is>
          <t>Mobile App</t>
        </is>
      </c>
      <c r="S495" s="8" t="inlineStr">
        <is>
          <t>REG-APAC</t>
        </is>
      </c>
    </row>
    <row r="496">
      <c r="A496" s="8" t="inlineStr">
        <is>
          <t>DTL-0000501</t>
        </is>
      </c>
      <c r="B496" s="8" t="inlineStr">
        <is>
          <t>ORD-000245</t>
        </is>
      </c>
      <c r="C496" s="10" t="inlineStr">
        <is>
          <t>2023-08-24</t>
        </is>
      </c>
      <c r="D496" s="8" t="inlineStr">
        <is>
          <t>CUST-06454</t>
        </is>
      </c>
      <c r="E496" s="8" t="inlineStr">
        <is>
          <t>PRD-0073</t>
        </is>
      </c>
      <c r="F496" s="8" t="n">
        <v>1</v>
      </c>
      <c r="G496" s="9">
        <f>IFERROR(XLOOKUP(E496, '04_Products'!$A:$A, '04_Products'!$G:$G), 508.70)</f>
        <v/>
      </c>
      <c r="H496" s="9">
        <f>IFERROR(XLOOKUP(E496, '04_Products'!$A:$A, '04_Products'!$F:$F), 0)</f>
        <v/>
      </c>
      <c r="I496" s="9">
        <f>F496*G496</f>
        <v/>
      </c>
      <c r="J496" s="11" t="n">
        <v>0</v>
      </c>
      <c r="K496" s="9">
        <f>I496*J496</f>
        <v/>
      </c>
      <c r="L496" s="9">
        <f>I496-K496</f>
        <v/>
      </c>
      <c r="M496" s="9">
        <f>F496*H496</f>
        <v/>
      </c>
      <c r="N496" s="9">
        <f>L496-M496</f>
        <v/>
      </c>
      <c r="O496" s="11">
        <f>IFERROR(N496/L496, 0)</f>
        <v/>
      </c>
      <c r="P496" s="8">
        <f>YEAR(C496)</f>
        <v/>
      </c>
      <c r="Q496" s="8">
        <f>TEXT(C496, "yyyy-mm")</f>
        <v/>
      </c>
      <c r="R496" s="8" t="inlineStr">
        <is>
          <t>Mobile App</t>
        </is>
      </c>
      <c r="S496" s="8" t="inlineStr">
        <is>
          <t>REG-APAC</t>
        </is>
      </c>
    </row>
    <row r="497">
      <c r="A497" s="8" t="inlineStr">
        <is>
          <t>DTL-0000502</t>
        </is>
      </c>
      <c r="B497" s="8" t="inlineStr">
        <is>
          <t>ORD-000245</t>
        </is>
      </c>
      <c r="C497" s="10" t="inlineStr">
        <is>
          <t>2023-08-24</t>
        </is>
      </c>
      <c r="D497" s="8" t="inlineStr">
        <is>
          <t>CUST-06454</t>
        </is>
      </c>
      <c r="E497" s="8" t="inlineStr">
        <is>
          <t>PRD-0116</t>
        </is>
      </c>
      <c r="F497" s="8" t="n">
        <v>2</v>
      </c>
      <c r="G497" s="9">
        <f>IFERROR(XLOOKUP(E497, '04_Products'!$A:$A, '04_Products'!$G:$G), 177.13)</f>
        <v/>
      </c>
      <c r="H497" s="9">
        <f>IFERROR(XLOOKUP(E497, '04_Products'!$A:$A, '04_Products'!$F:$F), 0)</f>
        <v/>
      </c>
      <c r="I497" s="9">
        <f>F497*G497</f>
        <v/>
      </c>
      <c r="J497" s="11" t="n">
        <v>0.2</v>
      </c>
      <c r="K497" s="9">
        <f>I497*J497</f>
        <v/>
      </c>
      <c r="L497" s="9">
        <f>I497-K497</f>
        <v/>
      </c>
      <c r="M497" s="9">
        <f>F497*H497</f>
        <v/>
      </c>
      <c r="N497" s="9">
        <f>L497-M497</f>
        <v/>
      </c>
      <c r="O497" s="11">
        <f>IFERROR(N497/L497, 0)</f>
        <v/>
      </c>
      <c r="P497" s="8">
        <f>YEAR(C497)</f>
        <v/>
      </c>
      <c r="Q497" s="8">
        <f>TEXT(C497, "yyyy-mm")</f>
        <v/>
      </c>
      <c r="R497" s="8" t="inlineStr">
        <is>
          <t>Mobile App</t>
        </is>
      </c>
      <c r="S497" s="8" t="inlineStr">
        <is>
          <t>REG-APAC</t>
        </is>
      </c>
    </row>
    <row r="498">
      <c r="A498" s="8" t="inlineStr">
        <is>
          <t>DTL-0000503</t>
        </is>
      </c>
      <c r="B498" s="8" t="inlineStr">
        <is>
          <t>ORD-000245</t>
        </is>
      </c>
      <c r="C498" s="10" t="inlineStr">
        <is>
          <t>2023-08-24</t>
        </is>
      </c>
      <c r="D498" s="8" t="inlineStr">
        <is>
          <t>CUST-06454</t>
        </is>
      </c>
      <c r="E498" s="8" t="inlineStr">
        <is>
          <t>PRD-0435</t>
        </is>
      </c>
      <c r="F498" s="8" t="n">
        <v>4</v>
      </c>
      <c r="G498" s="9">
        <f>IFERROR(XLOOKUP(E498, '04_Products'!$A:$A, '04_Products'!$G:$G), 446.59)</f>
        <v/>
      </c>
      <c r="H498" s="9">
        <f>IFERROR(XLOOKUP(E498, '04_Products'!$A:$A, '04_Products'!$F:$F), 0)</f>
        <v/>
      </c>
      <c r="I498" s="9">
        <f>F498*G498</f>
        <v/>
      </c>
      <c r="J498" s="11" t="n">
        <v>0</v>
      </c>
      <c r="K498" s="9">
        <f>I498*J498</f>
        <v/>
      </c>
      <c r="L498" s="9">
        <f>I498-K498</f>
        <v/>
      </c>
      <c r="M498" s="9">
        <f>F498*H498</f>
        <v/>
      </c>
      <c r="N498" s="9">
        <f>L498-M498</f>
        <v/>
      </c>
      <c r="O498" s="11">
        <f>IFERROR(N498/L498, 0)</f>
        <v/>
      </c>
      <c r="P498" s="8">
        <f>YEAR(C498)</f>
        <v/>
      </c>
      <c r="Q498" s="8">
        <f>TEXT(C498, "yyyy-mm")</f>
        <v/>
      </c>
      <c r="R498" s="8" t="inlineStr">
        <is>
          <t>Mobile App</t>
        </is>
      </c>
      <c r="S498" s="8" t="inlineStr">
        <is>
          <t>REG-APAC</t>
        </is>
      </c>
    </row>
    <row r="499">
      <c r="A499" s="8" t="inlineStr">
        <is>
          <t>DTL-0000504</t>
        </is>
      </c>
      <c r="B499" s="8" t="inlineStr">
        <is>
          <t>ORD-000245</t>
        </is>
      </c>
      <c r="C499" s="10" t="inlineStr">
        <is>
          <t>2023-08-24</t>
        </is>
      </c>
      <c r="D499" s="8" t="inlineStr">
        <is>
          <t>CUST-06454</t>
        </is>
      </c>
      <c r="E499" s="8" t="inlineStr">
        <is>
          <t>PRD-0041</t>
        </is>
      </c>
      <c r="F499" s="8" t="n">
        <v>3</v>
      </c>
      <c r="G499" s="9">
        <f>IFERROR(XLOOKUP(E499, '04_Products'!$A:$A, '04_Products'!$G:$G), 71.67)</f>
        <v/>
      </c>
      <c r="H499" s="9">
        <f>IFERROR(XLOOKUP(E499, '04_Products'!$A:$A, '04_Products'!$F:$F), 0)</f>
        <v/>
      </c>
      <c r="I499" s="9">
        <f>F499*G499</f>
        <v/>
      </c>
      <c r="J499" s="11" t="n">
        <v>0.05</v>
      </c>
      <c r="K499" s="9">
        <f>I499*J499</f>
        <v/>
      </c>
      <c r="L499" s="9">
        <f>I499-K499</f>
        <v/>
      </c>
      <c r="M499" s="9">
        <f>F499*H499</f>
        <v/>
      </c>
      <c r="N499" s="9">
        <f>L499-M499</f>
        <v/>
      </c>
      <c r="O499" s="11">
        <f>IFERROR(N499/L499, 0)</f>
        <v/>
      </c>
      <c r="P499" s="8">
        <f>YEAR(C499)</f>
        <v/>
      </c>
      <c r="Q499" s="8">
        <f>TEXT(C499, "yyyy-mm")</f>
        <v/>
      </c>
      <c r="R499" s="8" t="inlineStr">
        <is>
          <t>Mobile App</t>
        </is>
      </c>
      <c r="S499" s="8" t="inlineStr">
        <is>
          <t>REG-APAC</t>
        </is>
      </c>
    </row>
    <row r="500">
      <c r="A500" s="8" t="inlineStr">
        <is>
          <t>DTL-0000505</t>
        </is>
      </c>
      <c r="B500" s="8" t="inlineStr">
        <is>
          <t>ORD-000246</t>
        </is>
      </c>
      <c r="C500" s="10" t="inlineStr">
        <is>
          <t>2023-08-13</t>
        </is>
      </c>
      <c r="D500" s="8" t="inlineStr">
        <is>
          <t>CUST-04603</t>
        </is>
      </c>
      <c r="E500" s="8" t="inlineStr">
        <is>
          <t>PRD-0081</t>
        </is>
      </c>
      <c r="F500" s="8" t="n">
        <v>1</v>
      </c>
      <c r="G500" s="9">
        <f>IFERROR(XLOOKUP(E500, '04_Products'!$A:$A, '04_Products'!$G:$G), 62.94)</f>
        <v/>
      </c>
      <c r="H500" s="9">
        <f>IFERROR(XLOOKUP(E500, '04_Products'!$A:$A, '04_Products'!$F:$F), 0)</f>
        <v/>
      </c>
      <c r="I500" s="9">
        <f>F500*G500</f>
        <v/>
      </c>
      <c r="J500" s="11" t="n">
        <v>0.2</v>
      </c>
      <c r="K500" s="9">
        <f>I500*J500</f>
        <v/>
      </c>
      <c r="L500" s="9">
        <f>I500-K500</f>
        <v/>
      </c>
      <c r="M500" s="9">
        <f>F500*H500</f>
        <v/>
      </c>
      <c r="N500" s="9">
        <f>L500-M500</f>
        <v/>
      </c>
      <c r="O500" s="11">
        <f>IFERROR(N500/L500, 0)</f>
        <v/>
      </c>
      <c r="P500" s="8">
        <f>YEAR(C500)</f>
        <v/>
      </c>
      <c r="Q500" s="8">
        <f>TEXT(C500, "yyyy-mm")</f>
        <v/>
      </c>
      <c r="R500" s="8" t="inlineStr">
        <is>
          <t>B2B Portal</t>
        </is>
      </c>
      <c r="S500" s="8" t="inlineStr">
        <is>
          <t>REG-APAC</t>
        </is>
      </c>
    </row>
    <row r="501">
      <c r="A501" s="8" t="inlineStr">
        <is>
          <t>DTL-0000506</t>
        </is>
      </c>
      <c r="B501" s="8" t="inlineStr">
        <is>
          <t>ORD-000247</t>
        </is>
      </c>
      <c r="C501" s="10" t="inlineStr">
        <is>
          <t>2024-05-15</t>
        </is>
      </c>
      <c r="D501" s="8" t="inlineStr">
        <is>
          <t>CUST-05266</t>
        </is>
      </c>
      <c r="E501" s="8" t="inlineStr">
        <is>
          <t>PRD-0474</t>
        </is>
      </c>
      <c r="F501" s="8" t="n">
        <v>2</v>
      </c>
      <c r="G501" s="9">
        <f>IFERROR(XLOOKUP(E501, '04_Products'!$A:$A, '04_Products'!$G:$G), 86.79)</f>
        <v/>
      </c>
      <c r="H501" s="9">
        <f>IFERROR(XLOOKUP(E501, '04_Products'!$A:$A, '04_Products'!$F:$F), 0)</f>
        <v/>
      </c>
      <c r="I501" s="9">
        <f>F501*G501</f>
        <v/>
      </c>
      <c r="J501" s="11" t="n">
        <v>0.05</v>
      </c>
      <c r="K501" s="9">
        <f>I501*J501</f>
        <v/>
      </c>
      <c r="L501" s="9">
        <f>I501-K501</f>
        <v/>
      </c>
      <c r="M501" s="9">
        <f>F501*H501</f>
        <v/>
      </c>
      <c r="N501" s="9">
        <f>L501-M501</f>
        <v/>
      </c>
      <c r="O501" s="11">
        <f>IFERROR(N501/L501, 0)</f>
        <v/>
      </c>
      <c r="P501" s="8">
        <f>YEAR(C501)</f>
        <v/>
      </c>
      <c r="Q501" s="8">
        <f>TEXT(C501, "yyyy-mm")</f>
        <v/>
      </c>
      <c r="R501" s="8" t="inlineStr">
        <is>
          <t>Direct Web</t>
        </is>
      </c>
      <c r="S501" s="8" t="inlineStr">
        <is>
          <t>REG-NA</t>
        </is>
      </c>
    </row>
    <row r="502">
      <c r="A502" s="8" t="inlineStr">
        <is>
          <t>DTL-0000507</t>
        </is>
      </c>
      <c r="B502" s="8" t="inlineStr">
        <is>
          <t>ORD-000247</t>
        </is>
      </c>
      <c r="C502" s="10" t="inlineStr">
        <is>
          <t>2024-05-15</t>
        </is>
      </c>
      <c r="D502" s="8" t="inlineStr">
        <is>
          <t>CUST-05266</t>
        </is>
      </c>
      <c r="E502" s="8" t="inlineStr">
        <is>
          <t>PRD-0192</t>
        </is>
      </c>
      <c r="F502" s="8" t="n">
        <v>1</v>
      </c>
      <c r="G502" s="9">
        <f>IFERROR(XLOOKUP(E502, '04_Products'!$A:$A, '04_Products'!$G:$G), 26.26)</f>
        <v/>
      </c>
      <c r="H502" s="9">
        <f>IFERROR(XLOOKUP(E502, '04_Products'!$A:$A, '04_Products'!$F:$F), 0)</f>
        <v/>
      </c>
      <c r="I502" s="9">
        <f>F502*G502</f>
        <v/>
      </c>
      <c r="J502" s="11" t="n">
        <v>0.1</v>
      </c>
      <c r="K502" s="9">
        <f>I502*J502</f>
        <v/>
      </c>
      <c r="L502" s="9">
        <f>I502-K502</f>
        <v/>
      </c>
      <c r="M502" s="9">
        <f>F502*H502</f>
        <v/>
      </c>
      <c r="N502" s="9">
        <f>L502-M502</f>
        <v/>
      </c>
      <c r="O502" s="11">
        <f>IFERROR(N502/L502, 0)</f>
        <v/>
      </c>
      <c r="P502" s="8">
        <f>YEAR(C502)</f>
        <v/>
      </c>
      <c r="Q502" s="8">
        <f>TEXT(C502, "yyyy-mm")</f>
        <v/>
      </c>
      <c r="R502" s="8" t="inlineStr">
        <is>
          <t>Direct Web</t>
        </is>
      </c>
      <c r="S502" s="8" t="inlineStr">
        <is>
          <t>REG-NA</t>
        </is>
      </c>
    </row>
    <row r="503">
      <c r="A503" s="8" t="inlineStr">
        <is>
          <t>DTL-0000508</t>
        </is>
      </c>
      <c r="B503" s="8" t="inlineStr">
        <is>
          <t>ORD-000248</t>
        </is>
      </c>
      <c r="C503" s="10" t="inlineStr">
        <is>
          <t>2024-05-24</t>
        </is>
      </c>
      <c r="D503" s="8" t="inlineStr">
        <is>
          <t>CUST-00002</t>
        </is>
      </c>
      <c r="E503" s="8" t="inlineStr">
        <is>
          <t>PRD-0407</t>
        </is>
      </c>
      <c r="F503" s="8" t="n">
        <v>2</v>
      </c>
      <c r="G503" s="9">
        <f>IFERROR(XLOOKUP(E503, '04_Products'!$A:$A, '04_Products'!$G:$G), 515.93)</f>
        <v/>
      </c>
      <c r="H503" s="9">
        <f>IFERROR(XLOOKUP(E503, '04_Products'!$A:$A, '04_Products'!$F:$F), 0)</f>
        <v/>
      </c>
      <c r="I503" s="9">
        <f>F503*G503</f>
        <v/>
      </c>
      <c r="J503" s="11" t="n">
        <v>0.15</v>
      </c>
      <c r="K503" s="9">
        <f>I503*J503</f>
        <v/>
      </c>
      <c r="L503" s="9">
        <f>I503-K503</f>
        <v/>
      </c>
      <c r="M503" s="9">
        <f>F503*H503</f>
        <v/>
      </c>
      <c r="N503" s="9">
        <f>L503-M503</f>
        <v/>
      </c>
      <c r="O503" s="11">
        <f>IFERROR(N503/L503, 0)</f>
        <v/>
      </c>
      <c r="P503" s="8">
        <f>YEAR(C503)</f>
        <v/>
      </c>
      <c r="Q503" s="8">
        <f>TEXT(C503, "yyyy-mm")</f>
        <v/>
      </c>
      <c r="R503" s="8" t="inlineStr">
        <is>
          <t>Direct Web</t>
        </is>
      </c>
      <c r="S503" s="8" t="inlineStr">
        <is>
          <t>REG-EU</t>
        </is>
      </c>
    </row>
    <row r="504">
      <c r="A504" s="8" t="inlineStr">
        <is>
          <t>DTL-0000509</t>
        </is>
      </c>
      <c r="B504" s="8" t="inlineStr">
        <is>
          <t>ORD-000248</t>
        </is>
      </c>
      <c r="C504" s="10" t="inlineStr">
        <is>
          <t>2024-05-24</t>
        </is>
      </c>
      <c r="D504" s="8" t="inlineStr">
        <is>
          <t>CUST-00002</t>
        </is>
      </c>
      <c r="E504" s="8" t="inlineStr">
        <is>
          <t>PRD-0168</t>
        </is>
      </c>
      <c r="F504" s="8" t="n">
        <v>1</v>
      </c>
      <c r="G504" s="9">
        <f>IFERROR(XLOOKUP(E504, '04_Products'!$A:$A, '04_Products'!$G:$G), 597.34)</f>
        <v/>
      </c>
      <c r="H504" s="9">
        <f>IFERROR(XLOOKUP(E504, '04_Products'!$A:$A, '04_Products'!$F:$F), 0)</f>
        <v/>
      </c>
      <c r="I504" s="9">
        <f>F504*G504</f>
        <v/>
      </c>
      <c r="J504" s="11" t="n">
        <v>0</v>
      </c>
      <c r="K504" s="9">
        <f>I504*J504</f>
        <v/>
      </c>
      <c r="L504" s="9">
        <f>I504-K504</f>
        <v/>
      </c>
      <c r="M504" s="9">
        <f>F504*H504</f>
        <v/>
      </c>
      <c r="N504" s="9">
        <f>L504-M504</f>
        <v/>
      </c>
      <c r="O504" s="11">
        <f>IFERROR(N504/L504, 0)</f>
        <v/>
      </c>
      <c r="P504" s="8">
        <f>YEAR(C504)</f>
        <v/>
      </c>
      <c r="Q504" s="8">
        <f>TEXT(C504, "yyyy-mm")</f>
        <v/>
      </c>
      <c r="R504" s="8" t="inlineStr">
        <is>
          <t>Direct Web</t>
        </is>
      </c>
      <c r="S504" s="8" t="inlineStr">
        <is>
          <t>REG-EU</t>
        </is>
      </c>
    </row>
    <row r="505">
      <c r="A505" s="8" t="inlineStr">
        <is>
          <t>DTL-0000510</t>
        </is>
      </c>
      <c r="B505" s="8" t="inlineStr">
        <is>
          <t>ORD-000248</t>
        </is>
      </c>
      <c r="C505" s="10" t="inlineStr">
        <is>
          <t>2024-05-24</t>
        </is>
      </c>
      <c r="D505" s="8" t="inlineStr">
        <is>
          <t>CUST-00002</t>
        </is>
      </c>
      <c r="E505" s="8" t="inlineStr">
        <is>
          <t>PRD-0175</t>
        </is>
      </c>
      <c r="F505" s="8" t="n">
        <v>2</v>
      </c>
      <c r="G505" s="9">
        <f>IFERROR(XLOOKUP(E505, '04_Products'!$A:$A, '04_Products'!$G:$G), 884.72)</f>
        <v/>
      </c>
      <c r="H505" s="9">
        <f>IFERROR(XLOOKUP(E505, '04_Products'!$A:$A, '04_Products'!$F:$F), 0)</f>
        <v/>
      </c>
      <c r="I505" s="9">
        <f>F505*G505</f>
        <v/>
      </c>
      <c r="J505" s="11" t="n">
        <v>0.2</v>
      </c>
      <c r="K505" s="9">
        <f>I505*J505</f>
        <v/>
      </c>
      <c r="L505" s="9">
        <f>I505-K505</f>
        <v/>
      </c>
      <c r="M505" s="9">
        <f>F505*H505</f>
        <v/>
      </c>
      <c r="N505" s="9">
        <f>L505-M505</f>
        <v/>
      </c>
      <c r="O505" s="11">
        <f>IFERROR(N505/L505, 0)</f>
        <v/>
      </c>
      <c r="P505" s="8">
        <f>YEAR(C505)</f>
        <v/>
      </c>
      <c r="Q505" s="8">
        <f>TEXT(C505, "yyyy-mm")</f>
        <v/>
      </c>
      <c r="R505" s="8" t="inlineStr">
        <is>
          <t>Direct Web</t>
        </is>
      </c>
      <c r="S505" s="8" t="inlineStr">
        <is>
          <t>REG-EU</t>
        </is>
      </c>
    </row>
    <row r="506">
      <c r="A506" s="8" t="inlineStr">
        <is>
          <t>DTL-0000511</t>
        </is>
      </c>
      <c r="B506" s="8" t="inlineStr">
        <is>
          <t>ORD-000248</t>
        </is>
      </c>
      <c r="C506" s="10" t="inlineStr">
        <is>
          <t>2024-05-24</t>
        </is>
      </c>
      <c r="D506" s="8" t="inlineStr">
        <is>
          <t>CUST-00002</t>
        </is>
      </c>
      <c r="E506" s="8" t="inlineStr">
        <is>
          <t>PRD-0069</t>
        </is>
      </c>
      <c r="F506" s="8" t="n">
        <v>1</v>
      </c>
      <c r="G506" s="9">
        <f>IFERROR(XLOOKUP(E506, '04_Products'!$A:$A, '04_Products'!$G:$G), 58.36)</f>
        <v/>
      </c>
      <c r="H506" s="9">
        <f>IFERROR(XLOOKUP(E506, '04_Products'!$A:$A, '04_Products'!$F:$F), 0)</f>
        <v/>
      </c>
      <c r="I506" s="9">
        <f>F506*G506</f>
        <v/>
      </c>
      <c r="J506" s="11" t="n">
        <v>0.05</v>
      </c>
      <c r="K506" s="9">
        <f>I506*J506</f>
        <v/>
      </c>
      <c r="L506" s="9">
        <f>I506-K506</f>
        <v/>
      </c>
      <c r="M506" s="9">
        <f>F506*H506</f>
        <v/>
      </c>
      <c r="N506" s="9">
        <f>L506-M506</f>
        <v/>
      </c>
      <c r="O506" s="11">
        <f>IFERROR(N506/L506, 0)</f>
        <v/>
      </c>
      <c r="P506" s="8">
        <f>YEAR(C506)</f>
        <v/>
      </c>
      <c r="Q506" s="8">
        <f>TEXT(C506, "yyyy-mm")</f>
        <v/>
      </c>
      <c r="R506" s="8" t="inlineStr">
        <is>
          <t>Direct Web</t>
        </is>
      </c>
      <c r="S506" s="8" t="inlineStr">
        <is>
          <t>REG-EU</t>
        </is>
      </c>
    </row>
    <row r="507">
      <c r="A507" s="8" t="inlineStr">
        <is>
          <t>DTL-0000512</t>
        </is>
      </c>
      <c r="B507" s="8" t="inlineStr">
        <is>
          <t>ORD-000248</t>
        </is>
      </c>
      <c r="C507" s="10" t="inlineStr">
        <is>
          <t>2024-05-24</t>
        </is>
      </c>
      <c r="D507" s="8" t="inlineStr">
        <is>
          <t>CUST-00002</t>
        </is>
      </c>
      <c r="E507" s="8" t="inlineStr">
        <is>
          <t>PRD-0086</t>
        </is>
      </c>
      <c r="F507" s="8" t="n">
        <v>1</v>
      </c>
      <c r="G507" s="9">
        <f>IFERROR(XLOOKUP(E507, '04_Products'!$A:$A, '04_Products'!$G:$G), 996.20)</f>
        <v/>
      </c>
      <c r="H507" s="9">
        <f>IFERROR(XLOOKUP(E507, '04_Products'!$A:$A, '04_Products'!$F:$F), 0)</f>
        <v/>
      </c>
      <c r="I507" s="9">
        <f>F507*G507</f>
        <v/>
      </c>
      <c r="J507" s="11" t="n">
        <v>0</v>
      </c>
      <c r="K507" s="9">
        <f>I507*J507</f>
        <v/>
      </c>
      <c r="L507" s="9">
        <f>I507-K507</f>
        <v/>
      </c>
      <c r="M507" s="9">
        <f>F507*H507</f>
        <v/>
      </c>
      <c r="N507" s="9">
        <f>L507-M507</f>
        <v/>
      </c>
      <c r="O507" s="11">
        <f>IFERROR(N507/L507, 0)</f>
        <v/>
      </c>
      <c r="P507" s="8">
        <f>YEAR(C507)</f>
        <v/>
      </c>
      <c r="Q507" s="8">
        <f>TEXT(C507, "yyyy-mm")</f>
        <v/>
      </c>
      <c r="R507" s="8" t="inlineStr">
        <is>
          <t>Direct Web</t>
        </is>
      </c>
      <c r="S507" s="8" t="inlineStr">
        <is>
          <t>REG-EU</t>
        </is>
      </c>
    </row>
    <row r="508">
      <c r="A508" s="8" t="inlineStr">
        <is>
          <t>DTL-0000513</t>
        </is>
      </c>
      <c r="B508" s="8" t="inlineStr">
        <is>
          <t>ORD-000249</t>
        </is>
      </c>
      <c r="C508" s="10" t="inlineStr">
        <is>
          <t>2023-06-28</t>
        </is>
      </c>
      <c r="D508" s="8" t="inlineStr">
        <is>
          <t>CUST-02641</t>
        </is>
      </c>
      <c r="E508" s="8" t="inlineStr">
        <is>
          <t>PRD-0376</t>
        </is>
      </c>
      <c r="F508" s="8" t="n">
        <v>2</v>
      </c>
      <c r="G508" s="9">
        <f>IFERROR(XLOOKUP(E508, '04_Products'!$A:$A, '04_Products'!$G:$G), 219.88)</f>
        <v/>
      </c>
      <c r="H508" s="9">
        <f>IFERROR(XLOOKUP(E508, '04_Products'!$A:$A, '04_Products'!$F:$F), 0)</f>
        <v/>
      </c>
      <c r="I508" s="9">
        <f>F508*G508</f>
        <v/>
      </c>
      <c r="J508" s="11" t="n">
        <v>0.15</v>
      </c>
      <c r="K508" s="9">
        <f>I508*J508</f>
        <v/>
      </c>
      <c r="L508" s="9">
        <f>I508-K508</f>
        <v/>
      </c>
      <c r="M508" s="9">
        <f>F508*H508</f>
        <v/>
      </c>
      <c r="N508" s="9">
        <f>L508-M508</f>
        <v/>
      </c>
      <c r="O508" s="11">
        <f>IFERROR(N508/L508, 0)</f>
        <v/>
      </c>
      <c r="P508" s="8">
        <f>YEAR(C508)</f>
        <v/>
      </c>
      <c r="Q508" s="8">
        <f>TEXT(C508, "yyyy-mm")</f>
        <v/>
      </c>
      <c r="R508" s="8" t="inlineStr">
        <is>
          <t>Affiliate Partner</t>
        </is>
      </c>
      <c r="S508" s="8" t="inlineStr">
        <is>
          <t>REG-EU</t>
        </is>
      </c>
    </row>
    <row r="509">
      <c r="A509" s="8" t="inlineStr">
        <is>
          <t>DTL-0000514</t>
        </is>
      </c>
      <c r="B509" s="8" t="inlineStr">
        <is>
          <t>ORD-000249</t>
        </is>
      </c>
      <c r="C509" s="10" t="inlineStr">
        <is>
          <t>2023-06-28</t>
        </is>
      </c>
      <c r="D509" s="8" t="inlineStr">
        <is>
          <t>CUST-02641</t>
        </is>
      </c>
      <c r="E509" s="8" t="inlineStr">
        <is>
          <t>PRD-0347</t>
        </is>
      </c>
      <c r="F509" s="8" t="n">
        <v>3</v>
      </c>
      <c r="G509" s="9">
        <f>IFERROR(XLOOKUP(E509, '04_Products'!$A:$A, '04_Products'!$G:$G), 197.61)</f>
        <v/>
      </c>
      <c r="H509" s="9">
        <f>IFERROR(XLOOKUP(E509, '04_Products'!$A:$A, '04_Products'!$F:$F), 0)</f>
        <v/>
      </c>
      <c r="I509" s="9">
        <f>F509*G509</f>
        <v/>
      </c>
      <c r="J509" s="11" t="n">
        <v>0.05</v>
      </c>
      <c r="K509" s="9">
        <f>I509*J509</f>
        <v/>
      </c>
      <c r="L509" s="9">
        <f>I509-K509</f>
        <v/>
      </c>
      <c r="M509" s="9">
        <f>F509*H509</f>
        <v/>
      </c>
      <c r="N509" s="9">
        <f>L509-M509</f>
        <v/>
      </c>
      <c r="O509" s="11">
        <f>IFERROR(N509/L509, 0)</f>
        <v/>
      </c>
      <c r="P509" s="8">
        <f>YEAR(C509)</f>
        <v/>
      </c>
      <c r="Q509" s="8">
        <f>TEXT(C509, "yyyy-mm")</f>
        <v/>
      </c>
      <c r="R509" s="8" t="inlineStr">
        <is>
          <t>Affiliate Partner</t>
        </is>
      </c>
      <c r="S509" s="8" t="inlineStr">
        <is>
          <t>REG-EU</t>
        </is>
      </c>
    </row>
    <row r="510">
      <c r="A510" s="8" t="inlineStr">
        <is>
          <t>DTL-0000515</t>
        </is>
      </c>
      <c r="B510" s="8" t="inlineStr">
        <is>
          <t>ORD-000250</t>
        </is>
      </c>
      <c r="C510" s="10" t="inlineStr">
        <is>
          <t>2025-03-30</t>
        </is>
      </c>
      <c r="D510" s="8" t="inlineStr">
        <is>
          <t>CUST-04370</t>
        </is>
      </c>
      <c r="E510" s="8" t="inlineStr">
        <is>
          <t>PRD-0315</t>
        </is>
      </c>
      <c r="F510" s="8" t="n">
        <v>5</v>
      </c>
      <c r="G510" s="9">
        <f>IFERROR(XLOOKUP(E510, '04_Products'!$A:$A, '04_Products'!$G:$G), 916.00)</f>
        <v/>
      </c>
      <c r="H510" s="9">
        <f>IFERROR(XLOOKUP(E510, '04_Products'!$A:$A, '04_Products'!$F:$F), 0)</f>
        <v/>
      </c>
      <c r="I510" s="9">
        <f>F510*G510</f>
        <v/>
      </c>
      <c r="J510" s="11" t="n">
        <v>0.1</v>
      </c>
      <c r="K510" s="9">
        <f>I510*J510</f>
        <v/>
      </c>
      <c r="L510" s="9">
        <f>I510-K510</f>
        <v/>
      </c>
      <c r="M510" s="9">
        <f>F510*H510</f>
        <v/>
      </c>
      <c r="N510" s="9">
        <f>L510-M510</f>
        <v/>
      </c>
      <c r="O510" s="11">
        <f>IFERROR(N510/L510, 0)</f>
        <v/>
      </c>
      <c r="P510" s="8">
        <f>YEAR(C510)</f>
        <v/>
      </c>
      <c r="Q510" s="8">
        <f>TEXT(C510, "yyyy-mm")</f>
        <v/>
      </c>
      <c r="R510" s="8" t="inlineStr">
        <is>
          <t>B2B Portal</t>
        </is>
      </c>
      <c r="S510" s="8" t="inlineStr">
        <is>
          <t>REG-NA</t>
        </is>
      </c>
    </row>
    <row r="511">
      <c r="A511" s="8" t="inlineStr">
        <is>
          <t>DTL-0000516</t>
        </is>
      </c>
      <c r="B511" s="8" t="inlineStr">
        <is>
          <t>ORD-000250</t>
        </is>
      </c>
      <c r="C511" s="10" t="inlineStr">
        <is>
          <t>2025-03-30</t>
        </is>
      </c>
      <c r="D511" s="8" t="inlineStr">
        <is>
          <t>CUST-04370</t>
        </is>
      </c>
      <c r="E511" s="8" t="inlineStr">
        <is>
          <t>PRD-0322</t>
        </is>
      </c>
      <c r="F511" s="8" t="n">
        <v>8</v>
      </c>
      <c r="G511" s="9">
        <f>IFERROR(XLOOKUP(E511, '04_Products'!$A:$A, '04_Products'!$G:$G), 1239.40)</f>
        <v/>
      </c>
      <c r="H511" s="9">
        <f>IFERROR(XLOOKUP(E511, '04_Products'!$A:$A, '04_Products'!$F:$F), 0)</f>
        <v/>
      </c>
      <c r="I511" s="9">
        <f>F511*G511</f>
        <v/>
      </c>
      <c r="J511" s="11" t="n">
        <v>0.15</v>
      </c>
      <c r="K511" s="9">
        <f>I511*J511</f>
        <v/>
      </c>
      <c r="L511" s="9">
        <f>I511-K511</f>
        <v/>
      </c>
      <c r="M511" s="9">
        <f>F511*H511</f>
        <v/>
      </c>
      <c r="N511" s="9">
        <f>L511-M511</f>
        <v/>
      </c>
      <c r="O511" s="11">
        <f>IFERROR(N511/L511, 0)</f>
        <v/>
      </c>
      <c r="P511" s="8">
        <f>YEAR(C511)</f>
        <v/>
      </c>
      <c r="Q511" s="8">
        <f>TEXT(C511, "yyyy-mm")</f>
        <v/>
      </c>
      <c r="R511" s="8" t="inlineStr">
        <is>
          <t>B2B Portal</t>
        </is>
      </c>
      <c r="S511" s="8" t="inlineStr">
        <is>
          <t>REG-NA</t>
        </is>
      </c>
    </row>
    <row r="512">
      <c r="A512" s="8" t="inlineStr">
        <is>
          <t>DTL-0000517</t>
        </is>
      </c>
      <c r="B512" s="8" t="inlineStr">
        <is>
          <t>ORD-000251</t>
        </is>
      </c>
      <c r="C512" s="10" t="inlineStr">
        <is>
          <t>2023-04-16</t>
        </is>
      </c>
      <c r="D512" s="8" t="inlineStr">
        <is>
          <t>CUST-04591</t>
        </is>
      </c>
      <c r="E512" s="8" t="inlineStr">
        <is>
          <t>PRD-0305</t>
        </is>
      </c>
      <c r="F512" s="8" t="n">
        <v>1</v>
      </c>
      <c r="G512" s="9">
        <f>IFERROR(XLOOKUP(E512, '04_Products'!$A:$A, '04_Products'!$G:$G), 713.99)</f>
        <v/>
      </c>
      <c r="H512" s="9">
        <f>IFERROR(XLOOKUP(E512, '04_Products'!$A:$A, '04_Products'!$F:$F), 0)</f>
        <v/>
      </c>
      <c r="I512" s="9">
        <f>F512*G512</f>
        <v/>
      </c>
      <c r="J512" s="11" t="n">
        <v>0</v>
      </c>
      <c r="K512" s="9">
        <f>I512*J512</f>
        <v/>
      </c>
      <c r="L512" s="9">
        <f>I512-K512</f>
        <v/>
      </c>
      <c r="M512" s="9">
        <f>F512*H512</f>
        <v/>
      </c>
      <c r="N512" s="9">
        <f>L512-M512</f>
        <v/>
      </c>
      <c r="O512" s="11">
        <f>IFERROR(N512/L512, 0)</f>
        <v/>
      </c>
      <c r="P512" s="8">
        <f>YEAR(C512)</f>
        <v/>
      </c>
      <c r="Q512" s="8">
        <f>TEXT(C512, "yyyy-mm")</f>
        <v/>
      </c>
      <c r="R512" s="8" t="inlineStr">
        <is>
          <t>Mobile App</t>
        </is>
      </c>
      <c r="S512" s="8" t="inlineStr">
        <is>
          <t>REG-EU</t>
        </is>
      </c>
    </row>
    <row r="513">
      <c r="A513" s="8" t="inlineStr">
        <is>
          <t>DTL-0000518</t>
        </is>
      </c>
      <c r="B513" s="8" t="inlineStr">
        <is>
          <t>ORD-000252</t>
        </is>
      </c>
      <c r="C513" s="10" t="inlineStr">
        <is>
          <t>2024-12-29</t>
        </is>
      </c>
      <c r="D513" s="8" t="inlineStr">
        <is>
          <t>CUST-07979</t>
        </is>
      </c>
      <c r="E513" s="8" t="inlineStr">
        <is>
          <t>PRD-0265</t>
        </is>
      </c>
      <c r="F513" s="8" t="n">
        <v>3</v>
      </c>
      <c r="G513" s="9">
        <f>IFERROR(XLOOKUP(E513, '04_Products'!$A:$A, '04_Products'!$G:$G), 426.80)</f>
        <v/>
      </c>
      <c r="H513" s="9">
        <f>IFERROR(XLOOKUP(E513, '04_Products'!$A:$A, '04_Products'!$F:$F), 0)</f>
        <v/>
      </c>
      <c r="I513" s="9">
        <f>F513*G513</f>
        <v/>
      </c>
      <c r="J513" s="11" t="n">
        <v>0.05</v>
      </c>
      <c r="K513" s="9">
        <f>I513*J513</f>
        <v/>
      </c>
      <c r="L513" s="9">
        <f>I513-K513</f>
        <v/>
      </c>
      <c r="M513" s="9">
        <f>F513*H513</f>
        <v/>
      </c>
      <c r="N513" s="9">
        <f>L513-M513</f>
        <v/>
      </c>
      <c r="O513" s="11">
        <f>IFERROR(N513/L513, 0)</f>
        <v/>
      </c>
      <c r="P513" s="8">
        <f>YEAR(C513)</f>
        <v/>
      </c>
      <c r="Q513" s="8">
        <f>TEXT(C513, "yyyy-mm")</f>
        <v/>
      </c>
      <c r="R513" s="8" t="inlineStr">
        <is>
          <t>Direct Web</t>
        </is>
      </c>
      <c r="S513" s="8" t="inlineStr">
        <is>
          <t>REG-LATAM</t>
        </is>
      </c>
    </row>
    <row r="514">
      <c r="A514" s="8" t="inlineStr">
        <is>
          <t>DTL-0000519</t>
        </is>
      </c>
      <c r="B514" s="8" t="inlineStr">
        <is>
          <t>ORD-000252</t>
        </is>
      </c>
      <c r="C514" s="10" t="inlineStr">
        <is>
          <t>2024-12-29</t>
        </is>
      </c>
      <c r="D514" s="8" t="inlineStr">
        <is>
          <t>CUST-07979</t>
        </is>
      </c>
      <c r="E514" s="8" t="inlineStr">
        <is>
          <t>PRD-0274</t>
        </is>
      </c>
      <c r="F514" s="8" t="n">
        <v>5</v>
      </c>
      <c r="G514" s="9">
        <f>IFERROR(XLOOKUP(E514, '04_Products'!$A:$A, '04_Products'!$G:$G), 74.99)</f>
        <v/>
      </c>
      <c r="H514" s="9">
        <f>IFERROR(XLOOKUP(E514, '04_Products'!$A:$A, '04_Products'!$F:$F), 0)</f>
        <v/>
      </c>
      <c r="I514" s="9">
        <f>F514*G514</f>
        <v/>
      </c>
      <c r="J514" s="11" t="n">
        <v>0.15</v>
      </c>
      <c r="K514" s="9">
        <f>I514*J514</f>
        <v/>
      </c>
      <c r="L514" s="9">
        <f>I514-K514</f>
        <v/>
      </c>
      <c r="M514" s="9">
        <f>F514*H514</f>
        <v/>
      </c>
      <c r="N514" s="9">
        <f>L514-M514</f>
        <v/>
      </c>
      <c r="O514" s="11">
        <f>IFERROR(N514/L514, 0)</f>
        <v/>
      </c>
      <c r="P514" s="8">
        <f>YEAR(C514)</f>
        <v/>
      </c>
      <c r="Q514" s="8">
        <f>TEXT(C514, "yyyy-mm")</f>
        <v/>
      </c>
      <c r="R514" s="8" t="inlineStr">
        <is>
          <t>Direct Web</t>
        </is>
      </c>
      <c r="S514" s="8" t="inlineStr">
        <is>
          <t>REG-LATAM</t>
        </is>
      </c>
    </row>
    <row r="515">
      <c r="A515" s="8" t="inlineStr">
        <is>
          <t>DTL-0000520</t>
        </is>
      </c>
      <c r="B515" s="8" t="inlineStr">
        <is>
          <t>ORD-000252</t>
        </is>
      </c>
      <c r="C515" s="10" t="inlineStr">
        <is>
          <t>2024-12-29</t>
        </is>
      </c>
      <c r="D515" s="8" t="inlineStr">
        <is>
          <t>CUST-07979</t>
        </is>
      </c>
      <c r="E515" s="8" t="inlineStr">
        <is>
          <t>PRD-0139</t>
        </is>
      </c>
      <c r="F515" s="8" t="n">
        <v>5</v>
      </c>
      <c r="G515" s="9">
        <f>IFERROR(XLOOKUP(E515, '04_Products'!$A:$A, '04_Products'!$G:$G), 402.87)</f>
        <v/>
      </c>
      <c r="H515" s="9">
        <f>IFERROR(XLOOKUP(E515, '04_Products'!$A:$A, '04_Products'!$F:$F), 0)</f>
        <v/>
      </c>
      <c r="I515" s="9">
        <f>F515*G515</f>
        <v/>
      </c>
      <c r="J515" s="11" t="n">
        <v>0.2</v>
      </c>
      <c r="K515" s="9">
        <f>I515*J515</f>
        <v/>
      </c>
      <c r="L515" s="9">
        <f>I515-K515</f>
        <v/>
      </c>
      <c r="M515" s="9">
        <f>F515*H515</f>
        <v/>
      </c>
      <c r="N515" s="9">
        <f>L515-M515</f>
        <v/>
      </c>
      <c r="O515" s="11">
        <f>IFERROR(N515/L515, 0)</f>
        <v/>
      </c>
      <c r="P515" s="8">
        <f>YEAR(C515)</f>
        <v/>
      </c>
      <c r="Q515" s="8">
        <f>TEXT(C515, "yyyy-mm")</f>
        <v/>
      </c>
      <c r="R515" s="8" t="inlineStr">
        <is>
          <t>Direct Web</t>
        </is>
      </c>
      <c r="S515" s="8" t="inlineStr">
        <is>
          <t>REG-LATAM</t>
        </is>
      </c>
    </row>
    <row r="516">
      <c r="A516" s="8" t="inlineStr">
        <is>
          <t>DTL-0000521</t>
        </is>
      </c>
      <c r="B516" s="8" t="inlineStr">
        <is>
          <t>ORD-000252</t>
        </is>
      </c>
      <c r="C516" s="10" t="inlineStr">
        <is>
          <t>2024-12-29</t>
        </is>
      </c>
      <c r="D516" s="8" t="inlineStr">
        <is>
          <t>CUST-07979</t>
        </is>
      </c>
      <c r="E516" s="8" t="inlineStr">
        <is>
          <t>PRD-0056</t>
        </is>
      </c>
      <c r="F516" s="8" t="n">
        <v>2</v>
      </c>
      <c r="G516" s="9">
        <f>IFERROR(XLOOKUP(E516, '04_Products'!$A:$A, '04_Products'!$G:$G), 243.62)</f>
        <v/>
      </c>
      <c r="H516" s="9">
        <f>IFERROR(XLOOKUP(E516, '04_Products'!$A:$A, '04_Products'!$F:$F), 0)</f>
        <v/>
      </c>
      <c r="I516" s="9">
        <f>F516*G516</f>
        <v/>
      </c>
      <c r="J516" s="11" t="n">
        <v>0.05</v>
      </c>
      <c r="K516" s="9">
        <f>I516*J516</f>
        <v/>
      </c>
      <c r="L516" s="9">
        <f>I516-K516</f>
        <v/>
      </c>
      <c r="M516" s="9">
        <f>F516*H516</f>
        <v/>
      </c>
      <c r="N516" s="9">
        <f>L516-M516</f>
        <v/>
      </c>
      <c r="O516" s="11">
        <f>IFERROR(N516/L516, 0)</f>
        <v/>
      </c>
      <c r="P516" s="8">
        <f>YEAR(C516)</f>
        <v/>
      </c>
      <c r="Q516" s="8">
        <f>TEXT(C516, "yyyy-mm")</f>
        <v/>
      </c>
      <c r="R516" s="8" t="inlineStr">
        <is>
          <t>Direct Web</t>
        </is>
      </c>
      <c r="S516" s="8" t="inlineStr">
        <is>
          <t>REG-LATAM</t>
        </is>
      </c>
    </row>
    <row r="517">
      <c r="A517" s="8" t="inlineStr">
        <is>
          <t>DTL-0000522</t>
        </is>
      </c>
      <c r="B517" s="8" t="inlineStr">
        <is>
          <t>ORD-000253</t>
        </is>
      </c>
      <c r="C517" s="10" t="inlineStr">
        <is>
          <t>2025-09-01</t>
        </is>
      </c>
      <c r="D517" s="8" t="inlineStr">
        <is>
          <t>CUST-01912</t>
        </is>
      </c>
      <c r="E517" s="8" t="inlineStr">
        <is>
          <t>PRD-0083</t>
        </is>
      </c>
      <c r="F517" s="8" t="n">
        <v>1</v>
      </c>
      <c r="G517" s="9">
        <f>IFERROR(XLOOKUP(E517, '04_Products'!$A:$A, '04_Products'!$G:$G), 73.41)</f>
        <v/>
      </c>
      <c r="H517" s="9">
        <f>IFERROR(XLOOKUP(E517, '04_Products'!$A:$A, '04_Products'!$F:$F), 0)</f>
        <v/>
      </c>
      <c r="I517" s="9">
        <f>F517*G517</f>
        <v/>
      </c>
      <c r="J517" s="11" t="n">
        <v>0.1</v>
      </c>
      <c r="K517" s="9">
        <f>I517*J517</f>
        <v/>
      </c>
      <c r="L517" s="9">
        <f>I517-K517</f>
        <v/>
      </c>
      <c r="M517" s="9">
        <f>F517*H517</f>
        <v/>
      </c>
      <c r="N517" s="9">
        <f>L517-M517</f>
        <v/>
      </c>
      <c r="O517" s="11">
        <f>IFERROR(N517/L517, 0)</f>
        <v/>
      </c>
      <c r="P517" s="8">
        <f>YEAR(C517)</f>
        <v/>
      </c>
      <c r="Q517" s="8">
        <f>TEXT(C517, "yyyy-mm")</f>
        <v/>
      </c>
      <c r="R517" s="8" t="inlineStr">
        <is>
          <t>Direct Web</t>
        </is>
      </c>
      <c r="S517" s="8" t="inlineStr">
        <is>
          <t>REG-APAC</t>
        </is>
      </c>
    </row>
    <row r="518">
      <c r="A518" s="8" t="inlineStr">
        <is>
          <t>DTL-0000523</t>
        </is>
      </c>
      <c r="B518" s="8" t="inlineStr">
        <is>
          <t>ORD-000254</t>
        </is>
      </c>
      <c r="C518" s="10" t="inlineStr">
        <is>
          <t>2024-01-04</t>
        </is>
      </c>
      <c r="D518" s="8" t="inlineStr">
        <is>
          <t>CUST-06572</t>
        </is>
      </c>
      <c r="E518" s="8" t="inlineStr">
        <is>
          <t>PRD-0441</t>
        </is>
      </c>
      <c r="F518" s="8" t="n">
        <v>1</v>
      </c>
      <c r="G518" s="9">
        <f>IFERROR(XLOOKUP(E518, '04_Products'!$A:$A, '04_Products'!$G:$G), 1128.16)</f>
        <v/>
      </c>
      <c r="H518" s="9">
        <f>IFERROR(XLOOKUP(E518, '04_Products'!$A:$A, '04_Products'!$F:$F), 0)</f>
        <v/>
      </c>
      <c r="I518" s="9">
        <f>F518*G518</f>
        <v/>
      </c>
      <c r="J518" s="11" t="n">
        <v>0</v>
      </c>
      <c r="K518" s="9">
        <f>I518*J518</f>
        <v/>
      </c>
      <c r="L518" s="9">
        <f>I518-K518</f>
        <v/>
      </c>
      <c r="M518" s="9">
        <f>F518*H518</f>
        <v/>
      </c>
      <c r="N518" s="9">
        <f>L518-M518</f>
        <v/>
      </c>
      <c r="O518" s="11">
        <f>IFERROR(N518/L518, 0)</f>
        <v/>
      </c>
      <c r="P518" s="8">
        <f>YEAR(C518)</f>
        <v/>
      </c>
      <c r="Q518" s="8">
        <f>TEXT(C518, "yyyy-mm")</f>
        <v/>
      </c>
      <c r="R518" s="8" t="inlineStr">
        <is>
          <t>Affiliate Partner</t>
        </is>
      </c>
      <c r="S518" s="8" t="inlineStr">
        <is>
          <t>REG-EU</t>
        </is>
      </c>
    </row>
    <row r="519">
      <c r="A519" s="8" t="inlineStr">
        <is>
          <t>DTL-0000524</t>
        </is>
      </c>
      <c r="B519" s="8" t="inlineStr">
        <is>
          <t>ORD-000255</t>
        </is>
      </c>
      <c r="C519" s="10" t="inlineStr">
        <is>
          <t>2024-06-11</t>
        </is>
      </c>
      <c r="D519" s="8" t="inlineStr">
        <is>
          <t>CUST-01909</t>
        </is>
      </c>
      <c r="E519" s="8" t="inlineStr">
        <is>
          <t>PRD-0065</t>
        </is>
      </c>
      <c r="F519" s="8" t="n">
        <v>1</v>
      </c>
      <c r="G519" s="9">
        <f>IFERROR(XLOOKUP(E519, '04_Products'!$A:$A, '04_Products'!$G:$G), 184.25)</f>
        <v/>
      </c>
      <c r="H519" s="9">
        <f>IFERROR(XLOOKUP(E519, '04_Products'!$A:$A, '04_Products'!$F:$F), 0)</f>
        <v/>
      </c>
      <c r="I519" s="9">
        <f>F519*G519</f>
        <v/>
      </c>
      <c r="J519" s="11" t="n">
        <v>0</v>
      </c>
      <c r="K519" s="9">
        <f>I519*J519</f>
        <v/>
      </c>
      <c r="L519" s="9">
        <f>I519-K519</f>
        <v/>
      </c>
      <c r="M519" s="9">
        <f>F519*H519</f>
        <v/>
      </c>
      <c r="N519" s="9">
        <f>L519-M519</f>
        <v/>
      </c>
      <c r="O519" s="11">
        <f>IFERROR(N519/L519, 0)</f>
        <v/>
      </c>
      <c r="P519" s="8">
        <f>YEAR(C519)</f>
        <v/>
      </c>
      <c r="Q519" s="8">
        <f>TEXT(C519, "yyyy-mm")</f>
        <v/>
      </c>
      <c r="R519" s="8" t="inlineStr">
        <is>
          <t>Mobile App</t>
        </is>
      </c>
      <c r="S519" s="8" t="inlineStr">
        <is>
          <t>REG-LATAM</t>
        </is>
      </c>
    </row>
    <row r="520">
      <c r="A520" s="8" t="inlineStr">
        <is>
          <t>DTL-0000525</t>
        </is>
      </c>
      <c r="B520" s="8" t="inlineStr">
        <is>
          <t>ORD-000256</t>
        </is>
      </c>
      <c r="C520" s="10" t="inlineStr">
        <is>
          <t>2023-03-21</t>
        </is>
      </c>
      <c r="D520" s="8" t="inlineStr">
        <is>
          <t>CUST-01718</t>
        </is>
      </c>
      <c r="E520" s="8" t="inlineStr">
        <is>
          <t>PRD-0044</t>
        </is>
      </c>
      <c r="F520" s="8" t="n">
        <v>5</v>
      </c>
      <c r="G520" s="9">
        <f>IFERROR(XLOOKUP(E520, '04_Products'!$A:$A, '04_Products'!$G:$G), 24.94)</f>
        <v/>
      </c>
      <c r="H520" s="9">
        <f>IFERROR(XLOOKUP(E520, '04_Products'!$A:$A, '04_Products'!$F:$F), 0)</f>
        <v/>
      </c>
      <c r="I520" s="9">
        <f>F520*G520</f>
        <v/>
      </c>
      <c r="J520" s="11" t="n">
        <v>0</v>
      </c>
      <c r="K520" s="9">
        <f>I520*J520</f>
        <v/>
      </c>
      <c r="L520" s="9">
        <f>I520-K520</f>
        <v/>
      </c>
      <c r="M520" s="9">
        <f>F520*H520</f>
        <v/>
      </c>
      <c r="N520" s="9">
        <f>L520-M520</f>
        <v/>
      </c>
      <c r="O520" s="11">
        <f>IFERROR(N520/L520, 0)</f>
        <v/>
      </c>
      <c r="P520" s="8">
        <f>YEAR(C520)</f>
        <v/>
      </c>
      <c r="Q520" s="8">
        <f>TEXT(C520, "yyyy-mm")</f>
        <v/>
      </c>
      <c r="R520" s="8" t="inlineStr">
        <is>
          <t>Direct Web</t>
        </is>
      </c>
      <c r="S520" s="8" t="inlineStr">
        <is>
          <t>REG-LATAM</t>
        </is>
      </c>
    </row>
    <row r="521">
      <c r="A521" s="8" t="inlineStr">
        <is>
          <t>DTL-0000526</t>
        </is>
      </c>
      <c r="B521" s="8" t="inlineStr">
        <is>
          <t>ORD-000256</t>
        </is>
      </c>
      <c r="C521" s="10" t="inlineStr">
        <is>
          <t>2023-03-21</t>
        </is>
      </c>
      <c r="D521" s="8" t="inlineStr">
        <is>
          <t>CUST-01718</t>
        </is>
      </c>
      <c r="E521" s="8" t="inlineStr">
        <is>
          <t>PRD-0398</t>
        </is>
      </c>
      <c r="F521" s="8" t="n">
        <v>3</v>
      </c>
      <c r="G521" s="9">
        <f>IFERROR(XLOOKUP(E521, '04_Products'!$A:$A, '04_Products'!$G:$G), 28.76)</f>
        <v/>
      </c>
      <c r="H521" s="9">
        <f>IFERROR(XLOOKUP(E521, '04_Products'!$A:$A, '04_Products'!$F:$F), 0)</f>
        <v/>
      </c>
      <c r="I521" s="9">
        <f>F521*G521</f>
        <v/>
      </c>
      <c r="J521" s="11" t="n">
        <v>0.1</v>
      </c>
      <c r="K521" s="9">
        <f>I521*J521</f>
        <v/>
      </c>
      <c r="L521" s="9">
        <f>I521-K521</f>
        <v/>
      </c>
      <c r="M521" s="9">
        <f>F521*H521</f>
        <v/>
      </c>
      <c r="N521" s="9">
        <f>L521-M521</f>
        <v/>
      </c>
      <c r="O521" s="11">
        <f>IFERROR(N521/L521, 0)</f>
        <v/>
      </c>
      <c r="P521" s="8">
        <f>YEAR(C521)</f>
        <v/>
      </c>
      <c r="Q521" s="8">
        <f>TEXT(C521, "yyyy-mm")</f>
        <v/>
      </c>
      <c r="R521" s="8" t="inlineStr">
        <is>
          <t>Direct Web</t>
        </is>
      </c>
      <c r="S521" s="8" t="inlineStr">
        <is>
          <t>REG-LATAM</t>
        </is>
      </c>
    </row>
    <row r="522">
      <c r="A522" s="8" t="inlineStr">
        <is>
          <t>DTL-0000527</t>
        </is>
      </c>
      <c r="B522" s="8" t="inlineStr">
        <is>
          <t>ORD-000256</t>
        </is>
      </c>
      <c r="C522" s="10" t="inlineStr">
        <is>
          <t>2023-03-21</t>
        </is>
      </c>
      <c r="D522" s="8" t="inlineStr">
        <is>
          <t>CUST-01718</t>
        </is>
      </c>
      <c r="E522" s="8" t="inlineStr">
        <is>
          <t>PRD-0033</t>
        </is>
      </c>
      <c r="F522" s="8" t="n">
        <v>5</v>
      </c>
      <c r="G522" s="9">
        <f>IFERROR(XLOOKUP(E522, '04_Products'!$A:$A, '04_Products'!$G:$G), 87.68)</f>
        <v/>
      </c>
      <c r="H522" s="9">
        <f>IFERROR(XLOOKUP(E522, '04_Products'!$A:$A, '04_Products'!$F:$F), 0)</f>
        <v/>
      </c>
      <c r="I522" s="9">
        <f>F522*G522</f>
        <v/>
      </c>
      <c r="J522" s="11" t="n">
        <v>0</v>
      </c>
      <c r="K522" s="9">
        <f>I522*J522</f>
        <v/>
      </c>
      <c r="L522" s="9">
        <f>I522-K522</f>
        <v/>
      </c>
      <c r="M522" s="9">
        <f>F522*H522</f>
        <v/>
      </c>
      <c r="N522" s="9">
        <f>L522-M522</f>
        <v/>
      </c>
      <c r="O522" s="11">
        <f>IFERROR(N522/L522, 0)</f>
        <v/>
      </c>
      <c r="P522" s="8">
        <f>YEAR(C522)</f>
        <v/>
      </c>
      <c r="Q522" s="8">
        <f>TEXT(C522, "yyyy-mm")</f>
        <v/>
      </c>
      <c r="R522" s="8" t="inlineStr">
        <is>
          <t>Direct Web</t>
        </is>
      </c>
      <c r="S522" s="8" t="inlineStr">
        <is>
          <t>REG-LATAM</t>
        </is>
      </c>
    </row>
    <row r="523">
      <c r="A523" s="8" t="inlineStr">
        <is>
          <t>DTL-0000528</t>
        </is>
      </c>
      <c r="B523" s="8" t="inlineStr">
        <is>
          <t>ORD-000256</t>
        </is>
      </c>
      <c r="C523" s="10" t="inlineStr">
        <is>
          <t>2023-03-21</t>
        </is>
      </c>
      <c r="D523" s="8" t="inlineStr">
        <is>
          <t>CUST-01718</t>
        </is>
      </c>
      <c r="E523" s="8" t="inlineStr">
        <is>
          <t>PRD-0067</t>
        </is>
      </c>
      <c r="F523" s="8" t="n">
        <v>2</v>
      </c>
      <c r="G523" s="9">
        <f>IFERROR(XLOOKUP(E523, '04_Products'!$A:$A, '04_Products'!$G:$G), 30.04)</f>
        <v/>
      </c>
      <c r="H523" s="9">
        <f>IFERROR(XLOOKUP(E523, '04_Products'!$A:$A, '04_Products'!$F:$F), 0)</f>
        <v/>
      </c>
      <c r="I523" s="9">
        <f>F523*G523</f>
        <v/>
      </c>
      <c r="J523" s="11" t="n">
        <v>0.15</v>
      </c>
      <c r="K523" s="9">
        <f>I523*J523</f>
        <v/>
      </c>
      <c r="L523" s="9">
        <f>I523-K523</f>
        <v/>
      </c>
      <c r="M523" s="9">
        <f>F523*H523</f>
        <v/>
      </c>
      <c r="N523" s="9">
        <f>L523-M523</f>
        <v/>
      </c>
      <c r="O523" s="11">
        <f>IFERROR(N523/L523, 0)</f>
        <v/>
      </c>
      <c r="P523" s="8">
        <f>YEAR(C523)</f>
        <v/>
      </c>
      <c r="Q523" s="8">
        <f>TEXT(C523, "yyyy-mm")</f>
        <v/>
      </c>
      <c r="R523" s="8" t="inlineStr">
        <is>
          <t>Direct Web</t>
        </is>
      </c>
      <c r="S523" s="8" t="inlineStr">
        <is>
          <t>REG-LATAM</t>
        </is>
      </c>
    </row>
    <row r="524">
      <c r="A524" s="8" t="inlineStr">
        <is>
          <t>DTL-0000529</t>
        </is>
      </c>
      <c r="B524" s="8" t="inlineStr">
        <is>
          <t>ORD-000257</t>
        </is>
      </c>
      <c r="C524" s="10" t="inlineStr">
        <is>
          <t>2023-05-05</t>
        </is>
      </c>
      <c r="D524" s="8" t="inlineStr">
        <is>
          <t>CUST-04970</t>
        </is>
      </c>
      <c r="E524" s="8" t="inlineStr">
        <is>
          <t>PRD-0229</t>
        </is>
      </c>
      <c r="F524" s="8" t="n">
        <v>1</v>
      </c>
      <c r="G524" s="9">
        <f>IFERROR(XLOOKUP(E524, '04_Products'!$A:$A, '04_Products'!$G:$G), 31.96)</f>
        <v/>
      </c>
      <c r="H524" s="9">
        <f>IFERROR(XLOOKUP(E524, '04_Products'!$A:$A, '04_Products'!$F:$F), 0)</f>
        <v/>
      </c>
      <c r="I524" s="9">
        <f>F524*G524</f>
        <v/>
      </c>
      <c r="J524" s="11" t="n">
        <v>0.1</v>
      </c>
      <c r="K524" s="9">
        <f>I524*J524</f>
        <v/>
      </c>
      <c r="L524" s="9">
        <f>I524-K524</f>
        <v/>
      </c>
      <c r="M524" s="9">
        <f>F524*H524</f>
        <v/>
      </c>
      <c r="N524" s="9">
        <f>L524-M524</f>
        <v/>
      </c>
      <c r="O524" s="11">
        <f>IFERROR(N524/L524, 0)</f>
        <v/>
      </c>
      <c r="P524" s="8">
        <f>YEAR(C524)</f>
        <v/>
      </c>
      <c r="Q524" s="8">
        <f>TEXT(C524, "yyyy-mm")</f>
        <v/>
      </c>
      <c r="R524" s="8" t="inlineStr">
        <is>
          <t>Mobile App</t>
        </is>
      </c>
      <c r="S524" s="8" t="inlineStr">
        <is>
          <t>REG-APAC</t>
        </is>
      </c>
    </row>
    <row r="525">
      <c r="A525" s="8" t="inlineStr">
        <is>
          <t>DTL-0000530</t>
        </is>
      </c>
      <c r="B525" s="8" t="inlineStr">
        <is>
          <t>ORD-000257</t>
        </is>
      </c>
      <c r="C525" s="10" t="inlineStr">
        <is>
          <t>2023-05-05</t>
        </is>
      </c>
      <c r="D525" s="8" t="inlineStr">
        <is>
          <t>CUST-04970</t>
        </is>
      </c>
      <c r="E525" s="8" t="inlineStr">
        <is>
          <t>PRD-0221</t>
        </is>
      </c>
      <c r="F525" s="8" t="n">
        <v>1</v>
      </c>
      <c r="G525" s="9">
        <f>IFERROR(XLOOKUP(E525, '04_Products'!$A:$A, '04_Products'!$G:$G), 7.79)</f>
        <v/>
      </c>
      <c r="H525" s="9">
        <f>IFERROR(XLOOKUP(E525, '04_Products'!$A:$A, '04_Products'!$F:$F), 0)</f>
        <v/>
      </c>
      <c r="I525" s="9">
        <f>F525*G525</f>
        <v/>
      </c>
      <c r="J525" s="11" t="n">
        <v>0.15</v>
      </c>
      <c r="K525" s="9">
        <f>I525*J525</f>
        <v/>
      </c>
      <c r="L525" s="9">
        <f>I525-K525</f>
        <v/>
      </c>
      <c r="M525" s="9">
        <f>F525*H525</f>
        <v/>
      </c>
      <c r="N525" s="9">
        <f>L525-M525</f>
        <v/>
      </c>
      <c r="O525" s="11">
        <f>IFERROR(N525/L525, 0)</f>
        <v/>
      </c>
      <c r="P525" s="8">
        <f>YEAR(C525)</f>
        <v/>
      </c>
      <c r="Q525" s="8">
        <f>TEXT(C525, "yyyy-mm")</f>
        <v/>
      </c>
      <c r="R525" s="8" t="inlineStr">
        <is>
          <t>Mobile App</t>
        </is>
      </c>
      <c r="S525" s="8" t="inlineStr">
        <is>
          <t>REG-APAC</t>
        </is>
      </c>
    </row>
    <row r="526">
      <c r="A526" s="8" t="inlineStr">
        <is>
          <t>DTL-0000531</t>
        </is>
      </c>
      <c r="B526" s="8" t="inlineStr">
        <is>
          <t>ORD-000257</t>
        </is>
      </c>
      <c r="C526" s="10" t="inlineStr">
        <is>
          <t>2023-05-05</t>
        </is>
      </c>
      <c r="D526" s="8" t="inlineStr">
        <is>
          <t>CUST-04970</t>
        </is>
      </c>
      <c r="E526" s="8" t="inlineStr">
        <is>
          <t>PRD-0252</t>
        </is>
      </c>
      <c r="F526" s="8" t="n">
        <v>1</v>
      </c>
      <c r="G526" s="9">
        <f>IFERROR(XLOOKUP(E526, '04_Products'!$A:$A, '04_Products'!$G:$G), 332.85)</f>
        <v/>
      </c>
      <c r="H526" s="9">
        <f>IFERROR(XLOOKUP(E526, '04_Products'!$A:$A, '04_Products'!$F:$F), 0)</f>
        <v/>
      </c>
      <c r="I526" s="9">
        <f>F526*G526</f>
        <v/>
      </c>
      <c r="J526" s="11" t="n">
        <v>0</v>
      </c>
      <c r="K526" s="9">
        <f>I526*J526</f>
        <v/>
      </c>
      <c r="L526" s="9">
        <f>I526-K526</f>
        <v/>
      </c>
      <c r="M526" s="9">
        <f>F526*H526</f>
        <v/>
      </c>
      <c r="N526" s="9">
        <f>L526-M526</f>
        <v/>
      </c>
      <c r="O526" s="11">
        <f>IFERROR(N526/L526, 0)</f>
        <v/>
      </c>
      <c r="P526" s="8">
        <f>YEAR(C526)</f>
        <v/>
      </c>
      <c r="Q526" s="8">
        <f>TEXT(C526, "yyyy-mm")</f>
        <v/>
      </c>
      <c r="R526" s="8" t="inlineStr">
        <is>
          <t>Mobile App</t>
        </is>
      </c>
      <c r="S526" s="8" t="inlineStr">
        <is>
          <t>REG-APAC</t>
        </is>
      </c>
    </row>
    <row r="527">
      <c r="A527" s="8" t="inlineStr">
        <is>
          <t>DTL-0000532</t>
        </is>
      </c>
      <c r="B527" s="8" t="inlineStr">
        <is>
          <t>ORD-000258</t>
        </is>
      </c>
      <c r="C527" s="10" t="inlineStr">
        <is>
          <t>2023-05-30</t>
        </is>
      </c>
      <c r="D527" s="8" t="inlineStr">
        <is>
          <t>CUST-02596</t>
        </is>
      </c>
      <c r="E527" s="8" t="inlineStr">
        <is>
          <t>PRD-0061</t>
        </is>
      </c>
      <c r="F527" s="8" t="n">
        <v>1</v>
      </c>
      <c r="G527" s="9">
        <f>IFERROR(XLOOKUP(E527, '04_Products'!$A:$A, '04_Products'!$G:$G), 394.62)</f>
        <v/>
      </c>
      <c r="H527" s="9">
        <f>IFERROR(XLOOKUP(E527, '04_Products'!$A:$A, '04_Products'!$F:$F), 0)</f>
        <v/>
      </c>
      <c r="I527" s="9">
        <f>F527*G527</f>
        <v/>
      </c>
      <c r="J527" s="11" t="n">
        <v>0.1</v>
      </c>
      <c r="K527" s="9">
        <f>I527*J527</f>
        <v/>
      </c>
      <c r="L527" s="9">
        <f>I527-K527</f>
        <v/>
      </c>
      <c r="M527" s="9">
        <f>F527*H527</f>
        <v/>
      </c>
      <c r="N527" s="9">
        <f>L527-M527</f>
        <v/>
      </c>
      <c r="O527" s="11">
        <f>IFERROR(N527/L527, 0)</f>
        <v/>
      </c>
      <c r="P527" s="8">
        <f>YEAR(C527)</f>
        <v/>
      </c>
      <c r="Q527" s="8">
        <f>TEXT(C527, "yyyy-mm")</f>
        <v/>
      </c>
      <c r="R527" s="8" t="inlineStr">
        <is>
          <t>Mobile App</t>
        </is>
      </c>
      <c r="S527" s="8" t="inlineStr">
        <is>
          <t>REG-NA</t>
        </is>
      </c>
    </row>
    <row r="528">
      <c r="A528" s="8" t="inlineStr">
        <is>
          <t>DTL-0000533</t>
        </is>
      </c>
      <c r="B528" s="8" t="inlineStr">
        <is>
          <t>ORD-000259</t>
        </is>
      </c>
      <c r="C528" s="10" t="inlineStr">
        <is>
          <t>2024-12-17</t>
        </is>
      </c>
      <c r="D528" s="8" t="inlineStr">
        <is>
          <t>CUST-00992</t>
        </is>
      </c>
      <c r="E528" s="8" t="inlineStr">
        <is>
          <t>PRD-0326</t>
        </is>
      </c>
      <c r="F528" s="8" t="n">
        <v>1</v>
      </c>
      <c r="G528" s="9">
        <f>IFERROR(XLOOKUP(E528, '04_Products'!$A:$A, '04_Products'!$G:$G), 886.10)</f>
        <v/>
      </c>
      <c r="H528" s="9">
        <f>IFERROR(XLOOKUP(E528, '04_Products'!$A:$A, '04_Products'!$F:$F), 0)</f>
        <v/>
      </c>
      <c r="I528" s="9">
        <f>F528*G528</f>
        <v/>
      </c>
      <c r="J528" s="11" t="n">
        <v>0.25</v>
      </c>
      <c r="K528" s="9">
        <f>I528*J528</f>
        <v/>
      </c>
      <c r="L528" s="9">
        <f>I528-K528</f>
        <v/>
      </c>
      <c r="M528" s="9">
        <f>F528*H528</f>
        <v/>
      </c>
      <c r="N528" s="9">
        <f>L528-M528</f>
        <v/>
      </c>
      <c r="O528" s="11">
        <f>IFERROR(N528/L528, 0)</f>
        <v/>
      </c>
      <c r="P528" s="8">
        <f>YEAR(C528)</f>
        <v/>
      </c>
      <c r="Q528" s="8">
        <f>TEXT(C528, "yyyy-mm")</f>
        <v/>
      </c>
      <c r="R528" s="8" t="inlineStr">
        <is>
          <t>Direct Web</t>
        </is>
      </c>
      <c r="S528" s="8" t="inlineStr">
        <is>
          <t>REG-APAC</t>
        </is>
      </c>
    </row>
    <row r="529">
      <c r="A529" s="8" t="inlineStr">
        <is>
          <t>DTL-0000534</t>
        </is>
      </c>
      <c r="B529" s="8" t="inlineStr">
        <is>
          <t>ORD-000260</t>
        </is>
      </c>
      <c r="C529" s="10" t="inlineStr">
        <is>
          <t>2025-03-26</t>
        </is>
      </c>
      <c r="D529" s="8" t="inlineStr">
        <is>
          <t>CUST-00285</t>
        </is>
      </c>
      <c r="E529" s="8" t="inlineStr">
        <is>
          <t>PRD-0147</t>
        </is>
      </c>
      <c r="F529" s="8" t="n">
        <v>4</v>
      </c>
      <c r="G529" s="9">
        <f>IFERROR(XLOOKUP(E529, '04_Products'!$A:$A, '04_Products'!$G:$G), 544.07)</f>
        <v/>
      </c>
      <c r="H529" s="9">
        <f>IFERROR(XLOOKUP(E529, '04_Products'!$A:$A, '04_Products'!$F:$F), 0)</f>
        <v/>
      </c>
      <c r="I529" s="9">
        <f>F529*G529</f>
        <v/>
      </c>
      <c r="J529" s="11" t="n">
        <v>0.25</v>
      </c>
      <c r="K529" s="9">
        <f>I529*J529</f>
        <v/>
      </c>
      <c r="L529" s="9">
        <f>I529-K529</f>
        <v/>
      </c>
      <c r="M529" s="9">
        <f>F529*H529</f>
        <v/>
      </c>
      <c r="N529" s="9">
        <f>L529-M529</f>
        <v/>
      </c>
      <c r="O529" s="11">
        <f>IFERROR(N529/L529, 0)</f>
        <v/>
      </c>
      <c r="P529" s="8">
        <f>YEAR(C529)</f>
        <v/>
      </c>
      <c r="Q529" s="8">
        <f>TEXT(C529, "yyyy-mm")</f>
        <v/>
      </c>
      <c r="R529" s="8" t="inlineStr">
        <is>
          <t>Direct Web</t>
        </is>
      </c>
      <c r="S529" s="8" t="inlineStr">
        <is>
          <t>REG-NA</t>
        </is>
      </c>
    </row>
    <row r="530">
      <c r="A530" s="8" t="inlineStr">
        <is>
          <t>DTL-0000535</t>
        </is>
      </c>
      <c r="B530" s="8" t="inlineStr">
        <is>
          <t>ORD-000261</t>
        </is>
      </c>
      <c r="C530" s="10" t="inlineStr">
        <is>
          <t>2025-01-03</t>
        </is>
      </c>
      <c r="D530" s="8" t="inlineStr">
        <is>
          <t>CUST-03774</t>
        </is>
      </c>
      <c r="E530" s="8" t="inlineStr">
        <is>
          <t>PRD-0484</t>
        </is>
      </c>
      <c r="F530" s="8" t="n">
        <v>2</v>
      </c>
      <c r="G530" s="9">
        <f>IFERROR(XLOOKUP(E530, '04_Products'!$A:$A, '04_Products'!$G:$G), 33.81)</f>
        <v/>
      </c>
      <c r="H530" s="9">
        <f>IFERROR(XLOOKUP(E530, '04_Products'!$A:$A, '04_Products'!$F:$F), 0)</f>
        <v/>
      </c>
      <c r="I530" s="9">
        <f>F530*G530</f>
        <v/>
      </c>
      <c r="J530" s="11" t="n">
        <v>0.1</v>
      </c>
      <c r="K530" s="9">
        <f>I530*J530</f>
        <v/>
      </c>
      <c r="L530" s="9">
        <f>I530-K530</f>
        <v/>
      </c>
      <c r="M530" s="9">
        <f>F530*H530</f>
        <v/>
      </c>
      <c r="N530" s="9">
        <f>L530-M530</f>
        <v/>
      </c>
      <c r="O530" s="11">
        <f>IFERROR(N530/L530, 0)</f>
        <v/>
      </c>
      <c r="P530" s="8">
        <f>YEAR(C530)</f>
        <v/>
      </c>
      <c r="Q530" s="8">
        <f>TEXT(C530, "yyyy-mm")</f>
        <v/>
      </c>
      <c r="R530" s="8" t="inlineStr">
        <is>
          <t>Mobile App</t>
        </is>
      </c>
      <c r="S530" s="8" t="inlineStr">
        <is>
          <t>REG-APAC</t>
        </is>
      </c>
    </row>
    <row r="531">
      <c r="A531" s="8" t="inlineStr">
        <is>
          <t>DTL-0000536</t>
        </is>
      </c>
      <c r="B531" s="8" t="inlineStr">
        <is>
          <t>ORD-000261</t>
        </is>
      </c>
      <c r="C531" s="10" t="inlineStr">
        <is>
          <t>2025-01-03</t>
        </is>
      </c>
      <c r="D531" s="8" t="inlineStr">
        <is>
          <t>CUST-03774</t>
        </is>
      </c>
      <c r="E531" s="8" t="inlineStr">
        <is>
          <t>PRD-0464</t>
        </is>
      </c>
      <c r="F531" s="8" t="n">
        <v>1</v>
      </c>
      <c r="G531" s="9">
        <f>IFERROR(XLOOKUP(E531, '04_Products'!$A:$A, '04_Products'!$G:$G), 21.08)</f>
        <v/>
      </c>
      <c r="H531" s="9">
        <f>IFERROR(XLOOKUP(E531, '04_Products'!$A:$A, '04_Products'!$F:$F), 0)</f>
        <v/>
      </c>
      <c r="I531" s="9">
        <f>F531*G531</f>
        <v/>
      </c>
      <c r="J531" s="11" t="n">
        <v>0.2</v>
      </c>
      <c r="K531" s="9">
        <f>I531*J531</f>
        <v/>
      </c>
      <c r="L531" s="9">
        <f>I531-K531</f>
        <v/>
      </c>
      <c r="M531" s="9">
        <f>F531*H531</f>
        <v/>
      </c>
      <c r="N531" s="9">
        <f>L531-M531</f>
        <v/>
      </c>
      <c r="O531" s="11">
        <f>IFERROR(N531/L531, 0)</f>
        <v/>
      </c>
      <c r="P531" s="8">
        <f>YEAR(C531)</f>
        <v/>
      </c>
      <c r="Q531" s="8">
        <f>TEXT(C531, "yyyy-mm")</f>
        <v/>
      </c>
      <c r="R531" s="8" t="inlineStr">
        <is>
          <t>Mobile App</t>
        </is>
      </c>
      <c r="S531" s="8" t="inlineStr">
        <is>
          <t>REG-APAC</t>
        </is>
      </c>
    </row>
    <row r="532">
      <c r="A532" s="8" t="inlineStr">
        <is>
          <t>DTL-0000537</t>
        </is>
      </c>
      <c r="B532" s="8" t="inlineStr">
        <is>
          <t>ORD-000262</t>
        </is>
      </c>
      <c r="C532" s="10" t="inlineStr">
        <is>
          <t>2025-07-06</t>
        </is>
      </c>
      <c r="D532" s="8" t="inlineStr">
        <is>
          <t>CUST-01541</t>
        </is>
      </c>
      <c r="E532" s="8" t="inlineStr">
        <is>
          <t>PRD-0411</t>
        </is>
      </c>
      <c r="F532" s="8" t="n">
        <v>4</v>
      </c>
      <c r="G532" s="9">
        <f>IFERROR(XLOOKUP(E532, '04_Products'!$A:$A, '04_Products'!$G:$G), 126.22)</f>
        <v/>
      </c>
      <c r="H532" s="9">
        <f>IFERROR(XLOOKUP(E532, '04_Products'!$A:$A, '04_Products'!$F:$F), 0)</f>
        <v/>
      </c>
      <c r="I532" s="9">
        <f>F532*G532</f>
        <v/>
      </c>
      <c r="J532" s="11" t="n">
        <v>0</v>
      </c>
      <c r="K532" s="9">
        <f>I532*J532</f>
        <v/>
      </c>
      <c r="L532" s="9">
        <f>I532-K532</f>
        <v/>
      </c>
      <c r="M532" s="9">
        <f>F532*H532</f>
        <v/>
      </c>
      <c r="N532" s="9">
        <f>L532-M532</f>
        <v/>
      </c>
      <c r="O532" s="11">
        <f>IFERROR(N532/L532, 0)</f>
        <v/>
      </c>
      <c r="P532" s="8">
        <f>YEAR(C532)</f>
        <v/>
      </c>
      <c r="Q532" s="8">
        <f>TEXT(C532, "yyyy-mm")</f>
        <v/>
      </c>
      <c r="R532" s="8" t="inlineStr">
        <is>
          <t>B2B Portal</t>
        </is>
      </c>
      <c r="S532" s="8" t="inlineStr">
        <is>
          <t>REG-APAC</t>
        </is>
      </c>
    </row>
    <row r="533">
      <c r="A533" s="8" t="inlineStr">
        <is>
          <t>DTL-0000538</t>
        </is>
      </c>
      <c r="B533" s="8" t="inlineStr">
        <is>
          <t>ORD-000262</t>
        </is>
      </c>
      <c r="C533" s="10" t="inlineStr">
        <is>
          <t>2025-07-06</t>
        </is>
      </c>
      <c r="D533" s="8" t="inlineStr">
        <is>
          <t>CUST-01541</t>
        </is>
      </c>
      <c r="E533" s="8" t="inlineStr">
        <is>
          <t>PRD-0063</t>
        </is>
      </c>
      <c r="F533" s="8" t="n">
        <v>1</v>
      </c>
      <c r="G533" s="9">
        <f>IFERROR(XLOOKUP(E533, '04_Products'!$A:$A, '04_Products'!$G:$G), 62.68)</f>
        <v/>
      </c>
      <c r="H533" s="9">
        <f>IFERROR(XLOOKUP(E533, '04_Products'!$A:$A, '04_Products'!$F:$F), 0)</f>
        <v/>
      </c>
      <c r="I533" s="9">
        <f>F533*G533</f>
        <v/>
      </c>
      <c r="J533" s="11" t="n">
        <v>0.1</v>
      </c>
      <c r="K533" s="9">
        <f>I533*J533</f>
        <v/>
      </c>
      <c r="L533" s="9">
        <f>I533-K533</f>
        <v/>
      </c>
      <c r="M533" s="9">
        <f>F533*H533</f>
        <v/>
      </c>
      <c r="N533" s="9">
        <f>L533-M533</f>
        <v/>
      </c>
      <c r="O533" s="11">
        <f>IFERROR(N533/L533, 0)</f>
        <v/>
      </c>
      <c r="P533" s="8">
        <f>YEAR(C533)</f>
        <v/>
      </c>
      <c r="Q533" s="8">
        <f>TEXT(C533, "yyyy-mm")</f>
        <v/>
      </c>
      <c r="R533" s="8" t="inlineStr">
        <is>
          <t>B2B Portal</t>
        </is>
      </c>
      <c r="S533" s="8" t="inlineStr">
        <is>
          <t>REG-APAC</t>
        </is>
      </c>
    </row>
    <row r="534">
      <c r="A534" s="8" t="inlineStr">
        <is>
          <t>DTL-0000539</t>
        </is>
      </c>
      <c r="B534" s="8" t="inlineStr">
        <is>
          <t>ORD-000263</t>
        </is>
      </c>
      <c r="C534" s="10" t="inlineStr">
        <is>
          <t>2023-03-18</t>
        </is>
      </c>
      <c r="D534" s="8" t="inlineStr">
        <is>
          <t>CUST-03847</t>
        </is>
      </c>
      <c r="E534" s="8" t="inlineStr">
        <is>
          <t>PRD-0493</t>
        </is>
      </c>
      <c r="F534" s="8" t="n">
        <v>3</v>
      </c>
      <c r="G534" s="9">
        <f>IFERROR(XLOOKUP(E534, '04_Products'!$A:$A, '04_Products'!$G:$G), 502.97)</f>
        <v/>
      </c>
      <c r="H534" s="9">
        <f>IFERROR(XLOOKUP(E534, '04_Products'!$A:$A, '04_Products'!$F:$F), 0)</f>
        <v/>
      </c>
      <c r="I534" s="9">
        <f>F534*G534</f>
        <v/>
      </c>
      <c r="J534" s="11" t="n">
        <v>0.1</v>
      </c>
      <c r="K534" s="9">
        <f>I534*J534</f>
        <v/>
      </c>
      <c r="L534" s="9">
        <f>I534-K534</f>
        <v/>
      </c>
      <c r="M534" s="9">
        <f>F534*H534</f>
        <v/>
      </c>
      <c r="N534" s="9">
        <f>L534-M534</f>
        <v/>
      </c>
      <c r="O534" s="11">
        <f>IFERROR(N534/L534, 0)</f>
        <v/>
      </c>
      <c r="P534" s="8">
        <f>YEAR(C534)</f>
        <v/>
      </c>
      <c r="Q534" s="8">
        <f>TEXT(C534, "yyyy-mm")</f>
        <v/>
      </c>
      <c r="R534" s="8" t="inlineStr">
        <is>
          <t>Direct Web</t>
        </is>
      </c>
      <c r="S534" s="8" t="inlineStr">
        <is>
          <t>REG-NA</t>
        </is>
      </c>
    </row>
    <row r="535">
      <c r="A535" s="8" t="inlineStr">
        <is>
          <t>DTL-0000540</t>
        </is>
      </c>
      <c r="B535" s="8" t="inlineStr">
        <is>
          <t>ORD-000263</t>
        </is>
      </c>
      <c r="C535" s="10" t="inlineStr">
        <is>
          <t>2023-03-18</t>
        </is>
      </c>
      <c r="D535" s="8" t="inlineStr">
        <is>
          <t>CUST-03847</t>
        </is>
      </c>
      <c r="E535" s="8" t="inlineStr">
        <is>
          <t>PRD-0371</t>
        </is>
      </c>
      <c r="F535" s="8" t="n">
        <v>1</v>
      </c>
      <c r="G535" s="9">
        <f>IFERROR(XLOOKUP(E535, '04_Products'!$A:$A, '04_Products'!$G:$G), 41.78)</f>
        <v/>
      </c>
      <c r="H535" s="9">
        <f>IFERROR(XLOOKUP(E535, '04_Products'!$A:$A, '04_Products'!$F:$F), 0)</f>
        <v/>
      </c>
      <c r="I535" s="9">
        <f>F535*G535</f>
        <v/>
      </c>
      <c r="J535" s="11" t="n">
        <v>0</v>
      </c>
      <c r="K535" s="9">
        <f>I535*J535</f>
        <v/>
      </c>
      <c r="L535" s="9">
        <f>I535-K535</f>
        <v/>
      </c>
      <c r="M535" s="9">
        <f>F535*H535</f>
        <v/>
      </c>
      <c r="N535" s="9">
        <f>L535-M535</f>
        <v/>
      </c>
      <c r="O535" s="11">
        <f>IFERROR(N535/L535, 0)</f>
        <v/>
      </c>
      <c r="P535" s="8">
        <f>YEAR(C535)</f>
        <v/>
      </c>
      <c r="Q535" s="8">
        <f>TEXT(C535, "yyyy-mm")</f>
        <v/>
      </c>
      <c r="R535" s="8" t="inlineStr">
        <is>
          <t>Direct Web</t>
        </is>
      </c>
      <c r="S535" s="8" t="inlineStr">
        <is>
          <t>REG-NA</t>
        </is>
      </c>
    </row>
    <row r="536">
      <c r="A536" s="8" t="inlineStr">
        <is>
          <t>DTL-0000541</t>
        </is>
      </c>
      <c r="B536" s="8" t="inlineStr">
        <is>
          <t>ORD-000264</t>
        </is>
      </c>
      <c r="C536" s="10" t="inlineStr">
        <is>
          <t>2024-03-14</t>
        </is>
      </c>
      <c r="D536" s="8" t="inlineStr">
        <is>
          <t>CUST-05179</t>
        </is>
      </c>
      <c r="E536" s="8" t="inlineStr">
        <is>
          <t>PRD-0330</t>
        </is>
      </c>
      <c r="F536" s="8" t="n">
        <v>3</v>
      </c>
      <c r="G536" s="9">
        <f>IFERROR(XLOOKUP(E536, '04_Products'!$A:$A, '04_Products'!$G:$G), 36.63)</f>
        <v/>
      </c>
      <c r="H536" s="9">
        <f>IFERROR(XLOOKUP(E536, '04_Products'!$A:$A, '04_Products'!$F:$F), 0)</f>
        <v/>
      </c>
      <c r="I536" s="9">
        <f>F536*G536</f>
        <v/>
      </c>
      <c r="J536" s="11" t="n">
        <v>0</v>
      </c>
      <c r="K536" s="9">
        <f>I536*J536</f>
        <v/>
      </c>
      <c r="L536" s="9">
        <f>I536-K536</f>
        <v/>
      </c>
      <c r="M536" s="9">
        <f>F536*H536</f>
        <v/>
      </c>
      <c r="N536" s="9">
        <f>L536-M536</f>
        <v/>
      </c>
      <c r="O536" s="11">
        <f>IFERROR(N536/L536, 0)</f>
        <v/>
      </c>
      <c r="P536" s="8">
        <f>YEAR(C536)</f>
        <v/>
      </c>
      <c r="Q536" s="8">
        <f>TEXT(C536, "yyyy-mm")</f>
        <v/>
      </c>
      <c r="R536" s="8" t="inlineStr">
        <is>
          <t>Mobile App</t>
        </is>
      </c>
      <c r="S536" s="8" t="inlineStr">
        <is>
          <t>REG-LATAM</t>
        </is>
      </c>
    </row>
    <row r="537">
      <c r="A537" s="8" t="inlineStr">
        <is>
          <t>DTL-0000542</t>
        </is>
      </c>
      <c r="B537" s="8" t="inlineStr">
        <is>
          <t>ORD-000264</t>
        </is>
      </c>
      <c r="C537" s="10" t="inlineStr">
        <is>
          <t>2024-03-14</t>
        </is>
      </c>
      <c r="D537" s="8" t="inlineStr">
        <is>
          <t>CUST-05179</t>
        </is>
      </c>
      <c r="E537" s="8" t="inlineStr">
        <is>
          <t>PRD-0286</t>
        </is>
      </c>
      <c r="F537" s="8" t="n">
        <v>1</v>
      </c>
      <c r="G537" s="9">
        <f>IFERROR(XLOOKUP(E537, '04_Products'!$A:$A, '04_Products'!$G:$G), 232.89)</f>
        <v/>
      </c>
      <c r="H537" s="9">
        <f>IFERROR(XLOOKUP(E537, '04_Products'!$A:$A, '04_Products'!$F:$F), 0)</f>
        <v/>
      </c>
      <c r="I537" s="9">
        <f>F537*G537</f>
        <v/>
      </c>
      <c r="J537" s="11" t="n">
        <v>0.25</v>
      </c>
      <c r="K537" s="9">
        <f>I537*J537</f>
        <v/>
      </c>
      <c r="L537" s="9">
        <f>I537-K537</f>
        <v/>
      </c>
      <c r="M537" s="9">
        <f>F537*H537</f>
        <v/>
      </c>
      <c r="N537" s="9">
        <f>L537-M537</f>
        <v/>
      </c>
      <c r="O537" s="11">
        <f>IFERROR(N537/L537, 0)</f>
        <v/>
      </c>
      <c r="P537" s="8">
        <f>YEAR(C537)</f>
        <v/>
      </c>
      <c r="Q537" s="8">
        <f>TEXT(C537, "yyyy-mm")</f>
        <v/>
      </c>
      <c r="R537" s="8" t="inlineStr">
        <is>
          <t>Mobile App</t>
        </is>
      </c>
      <c r="S537" s="8" t="inlineStr">
        <is>
          <t>REG-LATAM</t>
        </is>
      </c>
    </row>
    <row r="538">
      <c r="A538" s="8" t="inlineStr">
        <is>
          <t>DTL-0000543</t>
        </is>
      </c>
      <c r="B538" s="8" t="inlineStr">
        <is>
          <t>ORD-000264</t>
        </is>
      </c>
      <c r="C538" s="10" t="inlineStr">
        <is>
          <t>2024-03-14</t>
        </is>
      </c>
      <c r="D538" s="8" t="inlineStr">
        <is>
          <t>CUST-05179</t>
        </is>
      </c>
      <c r="E538" s="8" t="inlineStr">
        <is>
          <t>PRD-0307</t>
        </is>
      </c>
      <c r="F538" s="8" t="n">
        <v>1</v>
      </c>
      <c r="G538" s="9">
        <f>IFERROR(XLOOKUP(E538, '04_Products'!$A:$A, '04_Products'!$G:$G), 762.88)</f>
        <v/>
      </c>
      <c r="H538" s="9">
        <f>IFERROR(XLOOKUP(E538, '04_Products'!$A:$A, '04_Products'!$F:$F), 0)</f>
        <v/>
      </c>
      <c r="I538" s="9">
        <f>F538*G538</f>
        <v/>
      </c>
      <c r="J538" s="11" t="n">
        <v>0</v>
      </c>
      <c r="K538" s="9">
        <f>I538*J538</f>
        <v/>
      </c>
      <c r="L538" s="9">
        <f>I538-K538</f>
        <v/>
      </c>
      <c r="M538" s="9">
        <f>F538*H538</f>
        <v/>
      </c>
      <c r="N538" s="9">
        <f>L538-M538</f>
        <v/>
      </c>
      <c r="O538" s="11">
        <f>IFERROR(N538/L538, 0)</f>
        <v/>
      </c>
      <c r="P538" s="8">
        <f>YEAR(C538)</f>
        <v/>
      </c>
      <c r="Q538" s="8">
        <f>TEXT(C538, "yyyy-mm")</f>
        <v/>
      </c>
      <c r="R538" s="8" t="inlineStr">
        <is>
          <t>Mobile App</t>
        </is>
      </c>
      <c r="S538" s="8" t="inlineStr">
        <is>
          <t>REG-LATAM</t>
        </is>
      </c>
    </row>
    <row r="539">
      <c r="A539" s="8" t="inlineStr">
        <is>
          <t>DTL-0000544</t>
        </is>
      </c>
      <c r="B539" s="8" t="inlineStr">
        <is>
          <t>ORD-000264</t>
        </is>
      </c>
      <c r="C539" s="10" t="inlineStr">
        <is>
          <t>2024-03-14</t>
        </is>
      </c>
      <c r="D539" s="8" t="inlineStr">
        <is>
          <t>CUST-05179</t>
        </is>
      </c>
      <c r="E539" s="8" t="inlineStr">
        <is>
          <t>PRD-0285</t>
        </is>
      </c>
      <c r="F539" s="8" t="n">
        <v>3</v>
      </c>
      <c r="G539" s="9">
        <f>IFERROR(XLOOKUP(E539, '04_Products'!$A:$A, '04_Products'!$G:$G), 269.59)</f>
        <v/>
      </c>
      <c r="H539" s="9">
        <f>IFERROR(XLOOKUP(E539, '04_Products'!$A:$A, '04_Products'!$F:$F), 0)</f>
        <v/>
      </c>
      <c r="I539" s="9">
        <f>F539*G539</f>
        <v/>
      </c>
      <c r="J539" s="11" t="n">
        <v>0</v>
      </c>
      <c r="K539" s="9">
        <f>I539*J539</f>
        <v/>
      </c>
      <c r="L539" s="9">
        <f>I539-K539</f>
        <v/>
      </c>
      <c r="M539" s="9">
        <f>F539*H539</f>
        <v/>
      </c>
      <c r="N539" s="9">
        <f>L539-M539</f>
        <v/>
      </c>
      <c r="O539" s="11">
        <f>IFERROR(N539/L539, 0)</f>
        <v/>
      </c>
      <c r="P539" s="8">
        <f>YEAR(C539)</f>
        <v/>
      </c>
      <c r="Q539" s="8">
        <f>TEXT(C539, "yyyy-mm")</f>
        <v/>
      </c>
      <c r="R539" s="8" t="inlineStr">
        <is>
          <t>Mobile App</t>
        </is>
      </c>
      <c r="S539" s="8" t="inlineStr">
        <is>
          <t>REG-LATAM</t>
        </is>
      </c>
    </row>
    <row r="540">
      <c r="A540" s="8" t="inlineStr">
        <is>
          <t>DTL-0000545</t>
        </is>
      </c>
      <c r="B540" s="8" t="inlineStr">
        <is>
          <t>ORD-000265</t>
        </is>
      </c>
      <c r="C540" s="10" t="inlineStr">
        <is>
          <t>2023-05-18</t>
        </is>
      </c>
      <c r="D540" s="8" t="inlineStr">
        <is>
          <t>CUST-06457</t>
        </is>
      </c>
      <c r="E540" s="8" t="inlineStr">
        <is>
          <t>PRD-0349</t>
        </is>
      </c>
      <c r="F540" s="8" t="n">
        <v>2</v>
      </c>
      <c r="G540" s="9">
        <f>IFERROR(XLOOKUP(E540, '04_Products'!$A:$A, '04_Products'!$G:$G), 70.33)</f>
        <v/>
      </c>
      <c r="H540" s="9">
        <f>IFERROR(XLOOKUP(E540, '04_Products'!$A:$A, '04_Products'!$F:$F), 0)</f>
        <v/>
      </c>
      <c r="I540" s="9">
        <f>F540*G540</f>
        <v/>
      </c>
      <c r="J540" s="11" t="n">
        <v>0</v>
      </c>
      <c r="K540" s="9">
        <f>I540*J540</f>
        <v/>
      </c>
      <c r="L540" s="9">
        <f>I540-K540</f>
        <v/>
      </c>
      <c r="M540" s="9">
        <f>F540*H540</f>
        <v/>
      </c>
      <c r="N540" s="9">
        <f>L540-M540</f>
        <v/>
      </c>
      <c r="O540" s="11">
        <f>IFERROR(N540/L540, 0)</f>
        <v/>
      </c>
      <c r="P540" s="8">
        <f>YEAR(C540)</f>
        <v/>
      </c>
      <c r="Q540" s="8">
        <f>TEXT(C540, "yyyy-mm")</f>
        <v/>
      </c>
      <c r="R540" s="8" t="inlineStr">
        <is>
          <t>Direct Web</t>
        </is>
      </c>
      <c r="S540" s="8" t="inlineStr">
        <is>
          <t>REG-EU</t>
        </is>
      </c>
    </row>
    <row r="541">
      <c r="A541" s="8" t="inlineStr">
        <is>
          <t>DTL-0000546</t>
        </is>
      </c>
      <c r="B541" s="8" t="inlineStr">
        <is>
          <t>ORD-000265</t>
        </is>
      </c>
      <c r="C541" s="10" t="inlineStr">
        <is>
          <t>2023-05-18</t>
        </is>
      </c>
      <c r="D541" s="8" t="inlineStr">
        <is>
          <t>CUST-06457</t>
        </is>
      </c>
      <c r="E541" s="8" t="inlineStr">
        <is>
          <t>PRD-0341</t>
        </is>
      </c>
      <c r="F541" s="8" t="n">
        <v>2</v>
      </c>
      <c r="G541" s="9">
        <f>IFERROR(XLOOKUP(E541, '04_Products'!$A:$A, '04_Products'!$G:$G), 26.88)</f>
        <v/>
      </c>
      <c r="H541" s="9">
        <f>IFERROR(XLOOKUP(E541, '04_Products'!$A:$A, '04_Products'!$F:$F), 0)</f>
        <v/>
      </c>
      <c r="I541" s="9">
        <f>F541*G541</f>
        <v/>
      </c>
      <c r="J541" s="11" t="n">
        <v>0.05</v>
      </c>
      <c r="K541" s="9">
        <f>I541*J541</f>
        <v/>
      </c>
      <c r="L541" s="9">
        <f>I541-K541</f>
        <v/>
      </c>
      <c r="M541" s="9">
        <f>F541*H541</f>
        <v/>
      </c>
      <c r="N541" s="9">
        <f>L541-M541</f>
        <v/>
      </c>
      <c r="O541" s="11">
        <f>IFERROR(N541/L541, 0)</f>
        <v/>
      </c>
      <c r="P541" s="8">
        <f>YEAR(C541)</f>
        <v/>
      </c>
      <c r="Q541" s="8">
        <f>TEXT(C541, "yyyy-mm")</f>
        <v/>
      </c>
      <c r="R541" s="8" t="inlineStr">
        <is>
          <t>Direct Web</t>
        </is>
      </c>
      <c r="S541" s="8" t="inlineStr">
        <is>
          <t>REG-EU</t>
        </is>
      </c>
    </row>
    <row r="542">
      <c r="A542" s="8" t="inlineStr">
        <is>
          <t>DTL-0000547</t>
        </is>
      </c>
      <c r="B542" s="8" t="inlineStr">
        <is>
          <t>ORD-000266</t>
        </is>
      </c>
      <c r="C542" s="10" t="inlineStr">
        <is>
          <t>2023-06-21</t>
        </is>
      </c>
      <c r="D542" s="8" t="inlineStr">
        <is>
          <t>CUST-01832</t>
        </is>
      </c>
      <c r="E542" s="8" t="inlineStr">
        <is>
          <t>PRD-0354</t>
        </is>
      </c>
      <c r="F542" s="8" t="n">
        <v>2</v>
      </c>
      <c r="G542" s="9">
        <f>IFERROR(XLOOKUP(E542, '04_Products'!$A:$A, '04_Products'!$G:$G), 70.99)</f>
        <v/>
      </c>
      <c r="H542" s="9">
        <f>IFERROR(XLOOKUP(E542, '04_Products'!$A:$A, '04_Products'!$F:$F), 0)</f>
        <v/>
      </c>
      <c r="I542" s="9">
        <f>F542*G542</f>
        <v/>
      </c>
      <c r="J542" s="11" t="n">
        <v>0</v>
      </c>
      <c r="K542" s="9">
        <f>I542*J542</f>
        <v/>
      </c>
      <c r="L542" s="9">
        <f>I542-K542</f>
        <v/>
      </c>
      <c r="M542" s="9">
        <f>F542*H542</f>
        <v/>
      </c>
      <c r="N542" s="9">
        <f>L542-M542</f>
        <v/>
      </c>
      <c r="O542" s="11">
        <f>IFERROR(N542/L542, 0)</f>
        <v/>
      </c>
      <c r="P542" s="8">
        <f>YEAR(C542)</f>
        <v/>
      </c>
      <c r="Q542" s="8">
        <f>TEXT(C542, "yyyy-mm")</f>
        <v/>
      </c>
      <c r="R542" s="8" t="inlineStr">
        <is>
          <t>Mobile App</t>
        </is>
      </c>
      <c r="S542" s="8" t="inlineStr">
        <is>
          <t>REG-LATAM</t>
        </is>
      </c>
    </row>
    <row r="543">
      <c r="A543" s="8" t="inlineStr">
        <is>
          <t>DTL-0000548</t>
        </is>
      </c>
      <c r="B543" s="8" t="inlineStr">
        <is>
          <t>ORD-000267</t>
        </is>
      </c>
      <c r="C543" s="10" t="inlineStr">
        <is>
          <t>2024-08-10</t>
        </is>
      </c>
      <c r="D543" s="8" t="inlineStr">
        <is>
          <t>CUST-04662</t>
        </is>
      </c>
      <c r="E543" s="8" t="inlineStr">
        <is>
          <t>PRD-0308</t>
        </is>
      </c>
      <c r="F543" s="8" t="n">
        <v>2</v>
      </c>
      <c r="G543" s="9">
        <f>IFERROR(XLOOKUP(E543, '04_Products'!$A:$A, '04_Products'!$G:$G), 61.03)</f>
        <v/>
      </c>
      <c r="H543" s="9">
        <f>IFERROR(XLOOKUP(E543, '04_Products'!$A:$A, '04_Products'!$F:$F), 0)</f>
        <v/>
      </c>
      <c r="I543" s="9">
        <f>F543*G543</f>
        <v/>
      </c>
      <c r="J543" s="11" t="n">
        <v>0</v>
      </c>
      <c r="K543" s="9">
        <f>I543*J543</f>
        <v/>
      </c>
      <c r="L543" s="9">
        <f>I543-K543</f>
        <v/>
      </c>
      <c r="M543" s="9">
        <f>F543*H543</f>
        <v/>
      </c>
      <c r="N543" s="9">
        <f>L543-M543</f>
        <v/>
      </c>
      <c r="O543" s="11">
        <f>IFERROR(N543/L543, 0)</f>
        <v/>
      </c>
      <c r="P543" s="8">
        <f>YEAR(C543)</f>
        <v/>
      </c>
      <c r="Q543" s="8">
        <f>TEXT(C543, "yyyy-mm")</f>
        <v/>
      </c>
      <c r="R543" s="8" t="inlineStr">
        <is>
          <t>Direct Web</t>
        </is>
      </c>
      <c r="S543" s="8" t="inlineStr">
        <is>
          <t>REG-EU</t>
        </is>
      </c>
    </row>
    <row r="544">
      <c r="A544" s="8" t="inlineStr">
        <is>
          <t>DTL-0000549</t>
        </is>
      </c>
      <c r="B544" s="8" t="inlineStr">
        <is>
          <t>ORD-000267</t>
        </is>
      </c>
      <c r="C544" s="10" t="inlineStr">
        <is>
          <t>2024-08-10</t>
        </is>
      </c>
      <c r="D544" s="8" t="inlineStr">
        <is>
          <t>CUST-04662</t>
        </is>
      </c>
      <c r="E544" s="8" t="inlineStr">
        <is>
          <t>PRD-0454</t>
        </is>
      </c>
      <c r="F544" s="8" t="n">
        <v>1</v>
      </c>
      <c r="G544" s="9">
        <f>IFERROR(XLOOKUP(E544, '04_Products'!$A:$A, '04_Products'!$G:$G), 745.94)</f>
        <v/>
      </c>
      <c r="H544" s="9">
        <f>IFERROR(XLOOKUP(E544, '04_Products'!$A:$A, '04_Products'!$F:$F), 0)</f>
        <v/>
      </c>
      <c r="I544" s="9">
        <f>F544*G544</f>
        <v/>
      </c>
      <c r="J544" s="11" t="n">
        <v>0</v>
      </c>
      <c r="K544" s="9">
        <f>I544*J544</f>
        <v/>
      </c>
      <c r="L544" s="9">
        <f>I544-K544</f>
        <v/>
      </c>
      <c r="M544" s="9">
        <f>F544*H544</f>
        <v/>
      </c>
      <c r="N544" s="9">
        <f>L544-M544</f>
        <v/>
      </c>
      <c r="O544" s="11">
        <f>IFERROR(N544/L544, 0)</f>
        <v/>
      </c>
      <c r="P544" s="8">
        <f>YEAR(C544)</f>
        <v/>
      </c>
      <c r="Q544" s="8">
        <f>TEXT(C544, "yyyy-mm")</f>
        <v/>
      </c>
      <c r="R544" s="8" t="inlineStr">
        <is>
          <t>Direct Web</t>
        </is>
      </c>
      <c r="S544" s="8" t="inlineStr">
        <is>
          <t>REG-EU</t>
        </is>
      </c>
    </row>
    <row r="545">
      <c r="A545" s="8" t="inlineStr">
        <is>
          <t>DTL-0000550</t>
        </is>
      </c>
      <c r="B545" s="8" t="inlineStr">
        <is>
          <t>ORD-000268</t>
        </is>
      </c>
      <c r="C545" s="10" t="inlineStr">
        <is>
          <t>2023-05-28</t>
        </is>
      </c>
      <c r="D545" s="8" t="inlineStr">
        <is>
          <t>CUST-04548</t>
        </is>
      </c>
      <c r="E545" s="8" t="inlineStr">
        <is>
          <t>PRD-0151</t>
        </is>
      </c>
      <c r="F545" s="8" t="n">
        <v>2</v>
      </c>
      <c r="G545" s="9">
        <f>IFERROR(XLOOKUP(E545, '04_Products'!$A:$A, '04_Products'!$G:$G), 643.51)</f>
        <v/>
      </c>
      <c r="H545" s="9">
        <f>IFERROR(XLOOKUP(E545, '04_Products'!$A:$A, '04_Products'!$F:$F), 0)</f>
        <v/>
      </c>
      <c r="I545" s="9">
        <f>F545*G545</f>
        <v/>
      </c>
      <c r="J545" s="11" t="n">
        <v>0.1</v>
      </c>
      <c r="K545" s="9">
        <f>I545*J545</f>
        <v/>
      </c>
      <c r="L545" s="9">
        <f>I545-K545</f>
        <v/>
      </c>
      <c r="M545" s="9">
        <f>F545*H545</f>
        <v/>
      </c>
      <c r="N545" s="9">
        <f>L545-M545</f>
        <v/>
      </c>
      <c r="O545" s="11">
        <f>IFERROR(N545/L545, 0)</f>
        <v/>
      </c>
      <c r="P545" s="8">
        <f>YEAR(C545)</f>
        <v/>
      </c>
      <c r="Q545" s="8">
        <f>TEXT(C545, "yyyy-mm")</f>
        <v/>
      </c>
      <c r="R545" s="8" t="inlineStr">
        <is>
          <t>Mobile App</t>
        </is>
      </c>
      <c r="S545" s="8" t="inlineStr">
        <is>
          <t>REG-APAC</t>
        </is>
      </c>
    </row>
    <row r="546">
      <c r="A546" s="8" t="inlineStr">
        <is>
          <t>DTL-0000551</t>
        </is>
      </c>
      <c r="B546" s="8" t="inlineStr">
        <is>
          <t>ORD-000268</t>
        </is>
      </c>
      <c r="C546" s="10" t="inlineStr">
        <is>
          <t>2023-05-28</t>
        </is>
      </c>
      <c r="D546" s="8" t="inlineStr">
        <is>
          <t>CUST-04548</t>
        </is>
      </c>
      <c r="E546" s="8" t="inlineStr">
        <is>
          <t>PRD-0253</t>
        </is>
      </c>
      <c r="F546" s="8" t="n">
        <v>2</v>
      </c>
      <c r="G546" s="9">
        <f>IFERROR(XLOOKUP(E546, '04_Products'!$A:$A, '04_Products'!$G:$G), 514.94)</f>
        <v/>
      </c>
      <c r="H546" s="9">
        <f>IFERROR(XLOOKUP(E546, '04_Products'!$A:$A, '04_Products'!$F:$F), 0)</f>
        <v/>
      </c>
      <c r="I546" s="9">
        <f>F546*G546</f>
        <v/>
      </c>
      <c r="J546" s="11" t="n">
        <v>0.2</v>
      </c>
      <c r="K546" s="9">
        <f>I546*J546</f>
        <v/>
      </c>
      <c r="L546" s="9">
        <f>I546-K546</f>
        <v/>
      </c>
      <c r="M546" s="9">
        <f>F546*H546</f>
        <v/>
      </c>
      <c r="N546" s="9">
        <f>L546-M546</f>
        <v/>
      </c>
      <c r="O546" s="11">
        <f>IFERROR(N546/L546, 0)</f>
        <v/>
      </c>
      <c r="P546" s="8">
        <f>YEAR(C546)</f>
        <v/>
      </c>
      <c r="Q546" s="8">
        <f>TEXT(C546, "yyyy-mm")</f>
        <v/>
      </c>
      <c r="R546" s="8" t="inlineStr">
        <is>
          <t>Mobile App</t>
        </is>
      </c>
      <c r="S546" s="8" t="inlineStr">
        <is>
          <t>REG-APAC</t>
        </is>
      </c>
    </row>
    <row r="547">
      <c r="A547" s="8" t="inlineStr">
        <is>
          <t>DTL-0000552</t>
        </is>
      </c>
      <c r="B547" s="8" t="inlineStr">
        <is>
          <t>ORD-000268</t>
        </is>
      </c>
      <c r="C547" s="10" t="inlineStr">
        <is>
          <t>2023-05-28</t>
        </is>
      </c>
      <c r="D547" s="8" t="inlineStr">
        <is>
          <t>CUST-04548</t>
        </is>
      </c>
      <c r="E547" s="8" t="inlineStr">
        <is>
          <t>PRD-0249</t>
        </is>
      </c>
      <c r="F547" s="8" t="n">
        <v>1</v>
      </c>
      <c r="G547" s="9">
        <f>IFERROR(XLOOKUP(E547, '04_Products'!$A:$A, '04_Products'!$G:$G), 69.32)</f>
        <v/>
      </c>
      <c r="H547" s="9">
        <f>IFERROR(XLOOKUP(E547, '04_Products'!$A:$A, '04_Products'!$F:$F), 0)</f>
        <v/>
      </c>
      <c r="I547" s="9">
        <f>F547*G547</f>
        <v/>
      </c>
      <c r="J547" s="11" t="n">
        <v>0.05</v>
      </c>
      <c r="K547" s="9">
        <f>I547*J547</f>
        <v/>
      </c>
      <c r="L547" s="9">
        <f>I547-K547</f>
        <v/>
      </c>
      <c r="M547" s="9">
        <f>F547*H547</f>
        <v/>
      </c>
      <c r="N547" s="9">
        <f>L547-M547</f>
        <v/>
      </c>
      <c r="O547" s="11">
        <f>IFERROR(N547/L547, 0)</f>
        <v/>
      </c>
      <c r="P547" s="8">
        <f>YEAR(C547)</f>
        <v/>
      </c>
      <c r="Q547" s="8">
        <f>TEXT(C547, "yyyy-mm")</f>
        <v/>
      </c>
      <c r="R547" s="8" t="inlineStr">
        <is>
          <t>Mobile App</t>
        </is>
      </c>
      <c r="S547" s="8" t="inlineStr">
        <is>
          <t>REG-APAC</t>
        </is>
      </c>
    </row>
    <row r="548">
      <c r="A548" s="8" t="inlineStr">
        <is>
          <t>DTL-0000553</t>
        </is>
      </c>
      <c r="B548" s="8" t="inlineStr">
        <is>
          <t>ORD-000268</t>
        </is>
      </c>
      <c r="C548" s="10" t="inlineStr">
        <is>
          <t>2023-05-28</t>
        </is>
      </c>
      <c r="D548" s="8" t="inlineStr">
        <is>
          <t>CUST-04548</t>
        </is>
      </c>
      <c r="E548" s="8" t="inlineStr">
        <is>
          <t>PRD-0166</t>
        </is>
      </c>
      <c r="F548" s="8" t="n">
        <v>4</v>
      </c>
      <c r="G548" s="9">
        <f>IFERROR(XLOOKUP(E548, '04_Products'!$A:$A, '04_Products'!$G:$G), 173.50)</f>
        <v/>
      </c>
      <c r="H548" s="9">
        <f>IFERROR(XLOOKUP(E548, '04_Products'!$A:$A, '04_Products'!$F:$F), 0)</f>
        <v/>
      </c>
      <c r="I548" s="9">
        <f>F548*G548</f>
        <v/>
      </c>
      <c r="J548" s="11" t="n">
        <v>0.05</v>
      </c>
      <c r="K548" s="9">
        <f>I548*J548</f>
        <v/>
      </c>
      <c r="L548" s="9">
        <f>I548-K548</f>
        <v/>
      </c>
      <c r="M548" s="9">
        <f>F548*H548</f>
        <v/>
      </c>
      <c r="N548" s="9">
        <f>L548-M548</f>
        <v/>
      </c>
      <c r="O548" s="11">
        <f>IFERROR(N548/L548, 0)</f>
        <v/>
      </c>
      <c r="P548" s="8">
        <f>YEAR(C548)</f>
        <v/>
      </c>
      <c r="Q548" s="8">
        <f>TEXT(C548, "yyyy-mm")</f>
        <v/>
      </c>
      <c r="R548" s="8" t="inlineStr">
        <is>
          <t>Mobile App</t>
        </is>
      </c>
      <c r="S548" s="8" t="inlineStr">
        <is>
          <t>REG-APAC</t>
        </is>
      </c>
    </row>
    <row r="549">
      <c r="A549" s="8" t="inlineStr">
        <is>
          <t>DTL-0000554</t>
        </is>
      </c>
      <c r="B549" s="8" t="inlineStr">
        <is>
          <t>ORD-000269</t>
        </is>
      </c>
      <c r="C549" s="10" t="inlineStr">
        <is>
          <t>2025-02-16</t>
        </is>
      </c>
      <c r="D549" s="8" t="inlineStr">
        <is>
          <t>CUST-05617</t>
        </is>
      </c>
      <c r="E549" s="8" t="inlineStr">
        <is>
          <t>PRD-0489</t>
        </is>
      </c>
      <c r="F549" s="8" t="n">
        <v>1</v>
      </c>
      <c r="G549" s="9">
        <f>IFERROR(XLOOKUP(E549, '04_Products'!$A:$A, '04_Products'!$G:$G), 61.45)</f>
        <v/>
      </c>
      <c r="H549" s="9">
        <f>IFERROR(XLOOKUP(E549, '04_Products'!$A:$A, '04_Products'!$F:$F), 0)</f>
        <v/>
      </c>
      <c r="I549" s="9">
        <f>F549*G549</f>
        <v/>
      </c>
      <c r="J549" s="11" t="n">
        <v>0</v>
      </c>
      <c r="K549" s="9">
        <f>I549*J549</f>
        <v/>
      </c>
      <c r="L549" s="9">
        <f>I549-K549</f>
        <v/>
      </c>
      <c r="M549" s="9">
        <f>F549*H549</f>
        <v/>
      </c>
      <c r="N549" s="9">
        <f>L549-M549</f>
        <v/>
      </c>
      <c r="O549" s="11">
        <f>IFERROR(N549/L549, 0)</f>
        <v/>
      </c>
      <c r="P549" s="8">
        <f>YEAR(C549)</f>
        <v/>
      </c>
      <c r="Q549" s="8">
        <f>TEXT(C549, "yyyy-mm")</f>
        <v/>
      </c>
      <c r="R549" s="8" t="inlineStr">
        <is>
          <t>Direct Web</t>
        </is>
      </c>
      <c r="S549" s="8" t="inlineStr">
        <is>
          <t>REG-EU</t>
        </is>
      </c>
    </row>
    <row r="550">
      <c r="A550" s="8" t="inlineStr">
        <is>
          <t>DTL-0000555</t>
        </is>
      </c>
      <c r="B550" s="8" t="inlineStr">
        <is>
          <t>ORD-000269</t>
        </is>
      </c>
      <c r="C550" s="10" t="inlineStr">
        <is>
          <t>2025-02-16</t>
        </is>
      </c>
      <c r="D550" s="8" t="inlineStr">
        <is>
          <t>CUST-05617</t>
        </is>
      </c>
      <c r="E550" s="8" t="inlineStr">
        <is>
          <t>PRD-0239</t>
        </is>
      </c>
      <c r="F550" s="8" t="n">
        <v>1</v>
      </c>
      <c r="G550" s="9">
        <f>IFERROR(XLOOKUP(E550, '04_Products'!$A:$A, '04_Products'!$G:$G), 302.56)</f>
        <v/>
      </c>
      <c r="H550" s="9">
        <f>IFERROR(XLOOKUP(E550, '04_Products'!$A:$A, '04_Products'!$F:$F), 0)</f>
        <v/>
      </c>
      <c r="I550" s="9">
        <f>F550*G550</f>
        <v/>
      </c>
      <c r="J550" s="11" t="n">
        <v>0.05</v>
      </c>
      <c r="K550" s="9">
        <f>I550*J550</f>
        <v/>
      </c>
      <c r="L550" s="9">
        <f>I550-K550</f>
        <v/>
      </c>
      <c r="M550" s="9">
        <f>F550*H550</f>
        <v/>
      </c>
      <c r="N550" s="9">
        <f>L550-M550</f>
        <v/>
      </c>
      <c r="O550" s="11">
        <f>IFERROR(N550/L550, 0)</f>
        <v/>
      </c>
      <c r="P550" s="8">
        <f>YEAR(C550)</f>
        <v/>
      </c>
      <c r="Q550" s="8">
        <f>TEXT(C550, "yyyy-mm")</f>
        <v/>
      </c>
      <c r="R550" s="8" t="inlineStr">
        <is>
          <t>Direct Web</t>
        </is>
      </c>
      <c r="S550" s="8" t="inlineStr">
        <is>
          <t>REG-EU</t>
        </is>
      </c>
    </row>
    <row r="551">
      <c r="A551" s="8" t="inlineStr">
        <is>
          <t>DTL-0000556</t>
        </is>
      </c>
      <c r="B551" s="8" t="inlineStr">
        <is>
          <t>ORD-000270</t>
        </is>
      </c>
      <c r="C551" s="10" t="inlineStr">
        <is>
          <t>2023-12-23</t>
        </is>
      </c>
      <c r="D551" s="8" t="inlineStr">
        <is>
          <t>CUST-05006</t>
        </is>
      </c>
      <c r="E551" s="8" t="inlineStr">
        <is>
          <t>PRD-0383</t>
        </is>
      </c>
      <c r="F551" s="8" t="n">
        <v>8</v>
      </c>
      <c r="G551" s="9">
        <f>IFERROR(XLOOKUP(E551, '04_Products'!$A:$A, '04_Products'!$G:$G), 752.81)</f>
        <v/>
      </c>
      <c r="H551" s="9">
        <f>IFERROR(XLOOKUP(E551, '04_Products'!$A:$A, '04_Products'!$F:$F), 0)</f>
        <v/>
      </c>
      <c r="I551" s="9">
        <f>F551*G551</f>
        <v/>
      </c>
      <c r="J551" s="11" t="n">
        <v>0.05</v>
      </c>
      <c r="K551" s="9">
        <f>I551*J551</f>
        <v/>
      </c>
      <c r="L551" s="9">
        <f>I551-K551</f>
        <v/>
      </c>
      <c r="M551" s="9">
        <f>F551*H551</f>
        <v/>
      </c>
      <c r="N551" s="9">
        <f>L551-M551</f>
        <v/>
      </c>
      <c r="O551" s="11">
        <f>IFERROR(N551/L551, 0)</f>
        <v/>
      </c>
      <c r="P551" s="8">
        <f>YEAR(C551)</f>
        <v/>
      </c>
      <c r="Q551" s="8">
        <f>TEXT(C551, "yyyy-mm")</f>
        <v/>
      </c>
      <c r="R551" s="8" t="inlineStr">
        <is>
          <t>Affiliate Partner</t>
        </is>
      </c>
      <c r="S551" s="8" t="inlineStr">
        <is>
          <t>REG-NA</t>
        </is>
      </c>
    </row>
    <row r="552">
      <c r="A552" s="8" t="inlineStr">
        <is>
          <t>DTL-0000557</t>
        </is>
      </c>
      <c r="B552" s="8" t="inlineStr">
        <is>
          <t>ORD-000271</t>
        </is>
      </c>
      <c r="C552" s="10" t="inlineStr">
        <is>
          <t>2023-10-21</t>
        </is>
      </c>
      <c r="D552" s="8" t="inlineStr">
        <is>
          <t>CUST-02517</t>
        </is>
      </c>
      <c r="E552" s="8" t="inlineStr">
        <is>
          <t>PRD-0499</t>
        </is>
      </c>
      <c r="F552" s="8" t="n">
        <v>3</v>
      </c>
      <c r="G552" s="9">
        <f>IFERROR(XLOOKUP(E552, '04_Products'!$A:$A, '04_Products'!$G:$G), 1089.27)</f>
        <v/>
      </c>
      <c r="H552" s="9">
        <f>IFERROR(XLOOKUP(E552, '04_Products'!$A:$A, '04_Products'!$F:$F), 0)</f>
        <v/>
      </c>
      <c r="I552" s="9">
        <f>F552*G552</f>
        <v/>
      </c>
      <c r="J552" s="11" t="n">
        <v>0.05</v>
      </c>
      <c r="K552" s="9">
        <f>I552*J552</f>
        <v/>
      </c>
      <c r="L552" s="9">
        <f>I552-K552</f>
        <v/>
      </c>
      <c r="M552" s="9">
        <f>F552*H552</f>
        <v/>
      </c>
      <c r="N552" s="9">
        <f>L552-M552</f>
        <v/>
      </c>
      <c r="O552" s="11">
        <f>IFERROR(N552/L552, 0)</f>
        <v/>
      </c>
      <c r="P552" s="8">
        <f>YEAR(C552)</f>
        <v/>
      </c>
      <c r="Q552" s="8">
        <f>TEXT(C552, "yyyy-mm")</f>
        <v/>
      </c>
      <c r="R552" s="8" t="inlineStr">
        <is>
          <t>Direct Web</t>
        </is>
      </c>
      <c r="S552" s="8" t="inlineStr">
        <is>
          <t>REG-LATAM</t>
        </is>
      </c>
    </row>
    <row r="553">
      <c r="A553" s="8" t="inlineStr">
        <is>
          <t>DTL-0000558</t>
        </is>
      </c>
      <c r="B553" s="8" t="inlineStr">
        <is>
          <t>ORD-000272</t>
        </is>
      </c>
      <c r="C553" s="10" t="inlineStr">
        <is>
          <t>2023-04-23</t>
        </is>
      </c>
      <c r="D553" s="8" t="inlineStr">
        <is>
          <t>CUST-00123</t>
        </is>
      </c>
      <c r="E553" s="8" t="inlineStr">
        <is>
          <t>PRD-0056</t>
        </is>
      </c>
      <c r="F553" s="8" t="n">
        <v>1</v>
      </c>
      <c r="G553" s="9">
        <f>IFERROR(XLOOKUP(E553, '04_Products'!$A:$A, '04_Products'!$G:$G), 243.62)</f>
        <v/>
      </c>
      <c r="H553" s="9">
        <f>IFERROR(XLOOKUP(E553, '04_Products'!$A:$A, '04_Products'!$F:$F), 0)</f>
        <v/>
      </c>
      <c r="I553" s="9">
        <f>F553*G553</f>
        <v/>
      </c>
      <c r="J553" s="11" t="n">
        <v>0.15</v>
      </c>
      <c r="K553" s="9">
        <f>I553*J553</f>
        <v/>
      </c>
      <c r="L553" s="9">
        <f>I553-K553</f>
        <v/>
      </c>
      <c r="M553" s="9">
        <f>F553*H553</f>
        <v/>
      </c>
      <c r="N553" s="9">
        <f>L553-M553</f>
        <v/>
      </c>
      <c r="O553" s="11">
        <f>IFERROR(N553/L553, 0)</f>
        <v/>
      </c>
      <c r="P553" s="8">
        <f>YEAR(C553)</f>
        <v/>
      </c>
      <c r="Q553" s="8">
        <f>TEXT(C553, "yyyy-mm")</f>
        <v/>
      </c>
      <c r="R553" s="8" t="inlineStr">
        <is>
          <t>Mobile App</t>
        </is>
      </c>
      <c r="S553" s="8" t="inlineStr">
        <is>
          <t>REG-APAC</t>
        </is>
      </c>
    </row>
    <row r="554">
      <c r="A554" s="8" t="inlineStr">
        <is>
          <t>DTL-0000559</t>
        </is>
      </c>
      <c r="B554" s="8" t="inlineStr">
        <is>
          <t>ORD-000273</t>
        </is>
      </c>
      <c r="C554" s="10" t="inlineStr">
        <is>
          <t>2023-05-20</t>
        </is>
      </c>
      <c r="D554" s="8" t="inlineStr">
        <is>
          <t>CUST-00264</t>
        </is>
      </c>
      <c r="E554" s="8" t="inlineStr">
        <is>
          <t>PRD-0324</t>
        </is>
      </c>
      <c r="F554" s="8" t="n">
        <v>1</v>
      </c>
      <c r="G554" s="9">
        <f>IFERROR(XLOOKUP(E554, '04_Products'!$A:$A, '04_Products'!$G:$G), 229.24)</f>
        <v/>
      </c>
      <c r="H554" s="9">
        <f>IFERROR(XLOOKUP(E554, '04_Products'!$A:$A, '04_Products'!$F:$F), 0)</f>
        <v/>
      </c>
      <c r="I554" s="9">
        <f>F554*G554</f>
        <v/>
      </c>
      <c r="J554" s="11" t="n">
        <v>0</v>
      </c>
      <c r="K554" s="9">
        <f>I554*J554</f>
        <v/>
      </c>
      <c r="L554" s="9">
        <f>I554-K554</f>
        <v/>
      </c>
      <c r="M554" s="9">
        <f>F554*H554</f>
        <v/>
      </c>
      <c r="N554" s="9">
        <f>L554-M554</f>
        <v/>
      </c>
      <c r="O554" s="11">
        <f>IFERROR(N554/L554, 0)</f>
        <v/>
      </c>
      <c r="P554" s="8">
        <f>YEAR(C554)</f>
        <v/>
      </c>
      <c r="Q554" s="8">
        <f>TEXT(C554, "yyyy-mm")</f>
        <v/>
      </c>
      <c r="R554" s="8" t="inlineStr">
        <is>
          <t>Mobile App</t>
        </is>
      </c>
      <c r="S554" s="8" t="inlineStr">
        <is>
          <t>REG-NA</t>
        </is>
      </c>
    </row>
    <row r="555">
      <c r="A555" s="8" t="inlineStr">
        <is>
          <t>DTL-0000560</t>
        </is>
      </c>
      <c r="B555" s="8" t="inlineStr">
        <is>
          <t>ORD-000274</t>
        </is>
      </c>
      <c r="C555" s="10" t="inlineStr">
        <is>
          <t>2023-05-22</t>
        </is>
      </c>
      <c r="D555" s="8" t="inlineStr">
        <is>
          <t>CUST-05470</t>
        </is>
      </c>
      <c r="E555" s="8" t="inlineStr">
        <is>
          <t>PRD-0227</t>
        </is>
      </c>
      <c r="F555" s="8" t="n">
        <v>1</v>
      </c>
      <c r="G555" s="9">
        <f>IFERROR(XLOOKUP(E555, '04_Products'!$A:$A, '04_Products'!$G:$G), 56.13)</f>
        <v/>
      </c>
      <c r="H555" s="9">
        <f>IFERROR(XLOOKUP(E555, '04_Products'!$A:$A, '04_Products'!$F:$F), 0)</f>
        <v/>
      </c>
      <c r="I555" s="9">
        <f>F555*G555</f>
        <v/>
      </c>
      <c r="J555" s="11" t="n">
        <v>0</v>
      </c>
      <c r="K555" s="9">
        <f>I555*J555</f>
        <v/>
      </c>
      <c r="L555" s="9">
        <f>I555-K555</f>
        <v/>
      </c>
      <c r="M555" s="9">
        <f>F555*H555</f>
        <v/>
      </c>
      <c r="N555" s="9">
        <f>L555-M555</f>
        <v/>
      </c>
      <c r="O555" s="11">
        <f>IFERROR(N555/L555, 0)</f>
        <v/>
      </c>
      <c r="P555" s="8">
        <f>YEAR(C555)</f>
        <v/>
      </c>
      <c r="Q555" s="8">
        <f>TEXT(C555, "yyyy-mm")</f>
        <v/>
      </c>
      <c r="R555" s="8" t="inlineStr">
        <is>
          <t>Mobile App</t>
        </is>
      </c>
      <c r="S555" s="8" t="inlineStr">
        <is>
          <t>REG-APAC</t>
        </is>
      </c>
    </row>
    <row r="556">
      <c r="A556" s="8" t="inlineStr">
        <is>
          <t>DTL-0000561</t>
        </is>
      </c>
      <c r="B556" s="8" t="inlineStr">
        <is>
          <t>ORD-000274</t>
        </is>
      </c>
      <c r="C556" s="10" t="inlineStr">
        <is>
          <t>2023-05-22</t>
        </is>
      </c>
      <c r="D556" s="8" t="inlineStr">
        <is>
          <t>CUST-05470</t>
        </is>
      </c>
      <c r="E556" s="8" t="inlineStr">
        <is>
          <t>PRD-0304</t>
        </is>
      </c>
      <c r="F556" s="8" t="n">
        <v>1</v>
      </c>
      <c r="G556" s="9">
        <f>IFERROR(XLOOKUP(E556, '04_Products'!$A:$A, '04_Products'!$G:$G), 489.86)</f>
        <v/>
      </c>
      <c r="H556" s="9">
        <f>IFERROR(XLOOKUP(E556, '04_Products'!$A:$A, '04_Products'!$F:$F), 0)</f>
        <v/>
      </c>
      <c r="I556" s="9">
        <f>F556*G556</f>
        <v/>
      </c>
      <c r="J556" s="11" t="n">
        <v>0.2</v>
      </c>
      <c r="K556" s="9">
        <f>I556*J556</f>
        <v/>
      </c>
      <c r="L556" s="9">
        <f>I556-K556</f>
        <v/>
      </c>
      <c r="M556" s="9">
        <f>F556*H556</f>
        <v/>
      </c>
      <c r="N556" s="9">
        <f>L556-M556</f>
        <v/>
      </c>
      <c r="O556" s="11">
        <f>IFERROR(N556/L556, 0)</f>
        <v/>
      </c>
      <c r="P556" s="8">
        <f>YEAR(C556)</f>
        <v/>
      </c>
      <c r="Q556" s="8">
        <f>TEXT(C556, "yyyy-mm")</f>
        <v/>
      </c>
      <c r="R556" s="8" t="inlineStr">
        <is>
          <t>Mobile App</t>
        </is>
      </c>
      <c r="S556" s="8" t="inlineStr">
        <is>
          <t>REG-APAC</t>
        </is>
      </c>
    </row>
    <row r="557">
      <c r="A557" s="8" t="inlineStr">
        <is>
          <t>DTL-0000562</t>
        </is>
      </c>
      <c r="B557" s="8" t="inlineStr">
        <is>
          <t>ORD-000274</t>
        </is>
      </c>
      <c r="C557" s="10" t="inlineStr">
        <is>
          <t>2023-05-22</t>
        </is>
      </c>
      <c r="D557" s="8" t="inlineStr">
        <is>
          <t>CUST-05470</t>
        </is>
      </c>
      <c r="E557" s="8" t="inlineStr">
        <is>
          <t>PRD-0447</t>
        </is>
      </c>
      <c r="F557" s="8" t="n">
        <v>1</v>
      </c>
      <c r="G557" s="9">
        <f>IFERROR(XLOOKUP(E557, '04_Products'!$A:$A, '04_Products'!$G:$G), 65.02)</f>
        <v/>
      </c>
      <c r="H557" s="9">
        <f>IFERROR(XLOOKUP(E557, '04_Products'!$A:$A, '04_Products'!$F:$F), 0)</f>
        <v/>
      </c>
      <c r="I557" s="9">
        <f>F557*G557</f>
        <v/>
      </c>
      <c r="J557" s="11" t="n">
        <v>0</v>
      </c>
      <c r="K557" s="9">
        <f>I557*J557</f>
        <v/>
      </c>
      <c r="L557" s="9">
        <f>I557-K557</f>
        <v/>
      </c>
      <c r="M557" s="9">
        <f>F557*H557</f>
        <v/>
      </c>
      <c r="N557" s="9">
        <f>L557-M557</f>
        <v/>
      </c>
      <c r="O557" s="11">
        <f>IFERROR(N557/L557, 0)</f>
        <v/>
      </c>
      <c r="P557" s="8">
        <f>YEAR(C557)</f>
        <v/>
      </c>
      <c r="Q557" s="8">
        <f>TEXT(C557, "yyyy-mm")</f>
        <v/>
      </c>
      <c r="R557" s="8" t="inlineStr">
        <is>
          <t>Mobile App</t>
        </is>
      </c>
      <c r="S557" s="8" t="inlineStr">
        <is>
          <t>REG-APAC</t>
        </is>
      </c>
    </row>
    <row r="558">
      <c r="A558" s="8" t="inlineStr">
        <is>
          <t>DTL-0000563</t>
        </is>
      </c>
      <c r="B558" s="8" t="inlineStr">
        <is>
          <t>ORD-000275</t>
        </is>
      </c>
      <c r="C558" s="10" t="inlineStr">
        <is>
          <t>2023-01-23</t>
        </is>
      </c>
      <c r="D558" s="8" t="inlineStr">
        <is>
          <t>CUST-04256</t>
        </is>
      </c>
      <c r="E558" s="8" t="inlineStr">
        <is>
          <t>PRD-0296</t>
        </is>
      </c>
      <c r="F558" s="8" t="n">
        <v>1</v>
      </c>
      <c r="G558" s="9">
        <f>IFERROR(XLOOKUP(E558, '04_Products'!$A:$A, '04_Products'!$G:$G), 52.93)</f>
        <v/>
      </c>
      <c r="H558" s="9">
        <f>IFERROR(XLOOKUP(E558, '04_Products'!$A:$A, '04_Products'!$F:$F), 0)</f>
        <v/>
      </c>
      <c r="I558" s="9">
        <f>F558*G558</f>
        <v/>
      </c>
      <c r="J558" s="11" t="n">
        <v>0.1</v>
      </c>
      <c r="K558" s="9">
        <f>I558*J558</f>
        <v/>
      </c>
      <c r="L558" s="9">
        <f>I558-K558</f>
        <v/>
      </c>
      <c r="M558" s="9">
        <f>F558*H558</f>
        <v/>
      </c>
      <c r="N558" s="9">
        <f>L558-M558</f>
        <v/>
      </c>
      <c r="O558" s="11">
        <f>IFERROR(N558/L558, 0)</f>
        <v/>
      </c>
      <c r="P558" s="8">
        <f>YEAR(C558)</f>
        <v/>
      </c>
      <c r="Q558" s="8">
        <f>TEXT(C558, "yyyy-mm")</f>
        <v/>
      </c>
      <c r="R558" s="8" t="inlineStr">
        <is>
          <t>Direct Web</t>
        </is>
      </c>
      <c r="S558" s="8" t="inlineStr">
        <is>
          <t>REG-NA</t>
        </is>
      </c>
    </row>
    <row r="559">
      <c r="A559" s="8" t="inlineStr">
        <is>
          <t>DTL-0000564</t>
        </is>
      </c>
      <c r="B559" s="8" t="inlineStr">
        <is>
          <t>ORD-000276</t>
        </is>
      </c>
      <c r="C559" s="10" t="inlineStr">
        <is>
          <t>2025-04-05</t>
        </is>
      </c>
      <c r="D559" s="8" t="inlineStr">
        <is>
          <t>CUST-04031</t>
        </is>
      </c>
      <c r="E559" s="8" t="inlineStr">
        <is>
          <t>PRD-0465</t>
        </is>
      </c>
      <c r="F559" s="8" t="n">
        <v>1</v>
      </c>
      <c r="G559" s="9">
        <f>IFERROR(XLOOKUP(E559, '04_Products'!$A:$A, '04_Products'!$G:$G), 36.72)</f>
        <v/>
      </c>
      <c r="H559" s="9">
        <f>IFERROR(XLOOKUP(E559, '04_Products'!$A:$A, '04_Products'!$F:$F), 0)</f>
        <v/>
      </c>
      <c r="I559" s="9">
        <f>F559*G559</f>
        <v/>
      </c>
      <c r="J559" s="11" t="n">
        <v>0.05</v>
      </c>
      <c r="K559" s="9">
        <f>I559*J559</f>
        <v/>
      </c>
      <c r="L559" s="9">
        <f>I559-K559</f>
        <v/>
      </c>
      <c r="M559" s="9">
        <f>F559*H559</f>
        <v/>
      </c>
      <c r="N559" s="9">
        <f>L559-M559</f>
        <v/>
      </c>
      <c r="O559" s="11">
        <f>IFERROR(N559/L559, 0)</f>
        <v/>
      </c>
      <c r="P559" s="8">
        <f>YEAR(C559)</f>
        <v/>
      </c>
      <c r="Q559" s="8">
        <f>TEXT(C559, "yyyy-mm")</f>
        <v/>
      </c>
      <c r="R559" s="8" t="inlineStr">
        <is>
          <t>Mobile App</t>
        </is>
      </c>
      <c r="S559" s="8" t="inlineStr">
        <is>
          <t>REG-LATAM</t>
        </is>
      </c>
    </row>
    <row r="560">
      <c r="A560" s="8" t="inlineStr">
        <is>
          <t>DTL-0000565</t>
        </is>
      </c>
      <c r="B560" s="8" t="inlineStr">
        <is>
          <t>ORD-000277</t>
        </is>
      </c>
      <c r="C560" s="10" t="inlineStr">
        <is>
          <t>2023-08-11</t>
        </is>
      </c>
      <c r="D560" s="8" t="inlineStr">
        <is>
          <t>CUST-04338</t>
        </is>
      </c>
      <c r="E560" s="8" t="inlineStr">
        <is>
          <t>PRD-0091</t>
        </is>
      </c>
      <c r="F560" s="8" t="n">
        <v>1</v>
      </c>
      <c r="G560" s="9">
        <f>IFERROR(XLOOKUP(E560, '04_Products'!$A:$A, '04_Products'!$G:$G), 57.04)</f>
        <v/>
      </c>
      <c r="H560" s="9">
        <f>IFERROR(XLOOKUP(E560, '04_Products'!$A:$A, '04_Products'!$F:$F), 0)</f>
        <v/>
      </c>
      <c r="I560" s="9">
        <f>F560*G560</f>
        <v/>
      </c>
      <c r="J560" s="11" t="n">
        <v>0</v>
      </c>
      <c r="K560" s="9">
        <f>I560*J560</f>
        <v/>
      </c>
      <c r="L560" s="9">
        <f>I560-K560</f>
        <v/>
      </c>
      <c r="M560" s="9">
        <f>F560*H560</f>
        <v/>
      </c>
      <c r="N560" s="9">
        <f>L560-M560</f>
        <v/>
      </c>
      <c r="O560" s="11">
        <f>IFERROR(N560/L560, 0)</f>
        <v/>
      </c>
      <c r="P560" s="8">
        <f>YEAR(C560)</f>
        <v/>
      </c>
      <c r="Q560" s="8">
        <f>TEXT(C560, "yyyy-mm")</f>
        <v/>
      </c>
      <c r="R560" s="8" t="inlineStr">
        <is>
          <t>Direct Web</t>
        </is>
      </c>
      <c r="S560" s="8" t="inlineStr">
        <is>
          <t>REG-EU</t>
        </is>
      </c>
    </row>
    <row r="561">
      <c r="A561" s="8" t="inlineStr">
        <is>
          <t>DTL-0000566</t>
        </is>
      </c>
      <c r="B561" s="8" t="inlineStr">
        <is>
          <t>ORD-000277</t>
        </is>
      </c>
      <c r="C561" s="10" t="inlineStr">
        <is>
          <t>2023-08-11</t>
        </is>
      </c>
      <c r="D561" s="8" t="inlineStr">
        <is>
          <t>CUST-04338</t>
        </is>
      </c>
      <c r="E561" s="8" t="inlineStr">
        <is>
          <t>PRD-0039</t>
        </is>
      </c>
      <c r="F561" s="8" t="n">
        <v>1</v>
      </c>
      <c r="G561" s="9">
        <f>IFERROR(XLOOKUP(E561, '04_Products'!$A:$A, '04_Products'!$G:$G), 1365.37)</f>
        <v/>
      </c>
      <c r="H561" s="9">
        <f>IFERROR(XLOOKUP(E561, '04_Products'!$A:$A, '04_Products'!$F:$F), 0)</f>
        <v/>
      </c>
      <c r="I561" s="9">
        <f>F561*G561</f>
        <v/>
      </c>
      <c r="J561" s="11" t="n">
        <v>0.1</v>
      </c>
      <c r="K561" s="9">
        <f>I561*J561</f>
        <v/>
      </c>
      <c r="L561" s="9">
        <f>I561-K561</f>
        <v/>
      </c>
      <c r="M561" s="9">
        <f>F561*H561</f>
        <v/>
      </c>
      <c r="N561" s="9">
        <f>L561-M561</f>
        <v/>
      </c>
      <c r="O561" s="11">
        <f>IFERROR(N561/L561, 0)</f>
        <v/>
      </c>
      <c r="P561" s="8">
        <f>YEAR(C561)</f>
        <v/>
      </c>
      <c r="Q561" s="8">
        <f>TEXT(C561, "yyyy-mm")</f>
        <v/>
      </c>
      <c r="R561" s="8" t="inlineStr">
        <is>
          <t>Direct Web</t>
        </is>
      </c>
      <c r="S561" s="8" t="inlineStr">
        <is>
          <t>REG-EU</t>
        </is>
      </c>
    </row>
    <row r="562">
      <c r="A562" s="8" t="inlineStr">
        <is>
          <t>DTL-0000567</t>
        </is>
      </c>
      <c r="B562" s="8" t="inlineStr">
        <is>
          <t>ORD-000278</t>
        </is>
      </c>
      <c r="C562" s="10" t="inlineStr">
        <is>
          <t>2023-11-30</t>
        </is>
      </c>
      <c r="D562" s="8" t="inlineStr">
        <is>
          <t>CUST-05010</t>
        </is>
      </c>
      <c r="E562" s="8" t="inlineStr">
        <is>
          <t>PRD-0488</t>
        </is>
      </c>
      <c r="F562" s="8" t="n">
        <v>3</v>
      </c>
      <c r="G562" s="9">
        <f>IFERROR(XLOOKUP(E562, '04_Products'!$A:$A, '04_Products'!$G:$G), 54.77)</f>
        <v/>
      </c>
      <c r="H562" s="9">
        <f>IFERROR(XLOOKUP(E562, '04_Products'!$A:$A, '04_Products'!$F:$F), 0)</f>
        <v/>
      </c>
      <c r="I562" s="9">
        <f>F562*G562</f>
        <v/>
      </c>
      <c r="J562" s="11" t="n">
        <v>0</v>
      </c>
      <c r="K562" s="9">
        <f>I562*J562</f>
        <v/>
      </c>
      <c r="L562" s="9">
        <f>I562-K562</f>
        <v/>
      </c>
      <c r="M562" s="9">
        <f>F562*H562</f>
        <v/>
      </c>
      <c r="N562" s="9">
        <f>L562-M562</f>
        <v/>
      </c>
      <c r="O562" s="11">
        <f>IFERROR(N562/L562, 0)</f>
        <v/>
      </c>
      <c r="P562" s="8">
        <f>YEAR(C562)</f>
        <v/>
      </c>
      <c r="Q562" s="8">
        <f>TEXT(C562, "yyyy-mm")</f>
        <v/>
      </c>
      <c r="R562" s="8" t="inlineStr">
        <is>
          <t>Affiliate Partner</t>
        </is>
      </c>
      <c r="S562" s="8" t="inlineStr">
        <is>
          <t>REG-EU</t>
        </is>
      </c>
    </row>
    <row r="563">
      <c r="A563" s="8" t="inlineStr">
        <is>
          <t>DTL-0000568</t>
        </is>
      </c>
      <c r="B563" s="8" t="inlineStr">
        <is>
          <t>ORD-000278</t>
        </is>
      </c>
      <c r="C563" s="10" t="inlineStr">
        <is>
          <t>2023-11-30</t>
        </is>
      </c>
      <c r="D563" s="8" t="inlineStr">
        <is>
          <t>CUST-05010</t>
        </is>
      </c>
      <c r="E563" s="8" t="inlineStr">
        <is>
          <t>PRD-0040</t>
        </is>
      </c>
      <c r="F563" s="8" t="n">
        <v>1</v>
      </c>
      <c r="G563" s="9">
        <f>IFERROR(XLOOKUP(E563, '04_Products'!$A:$A, '04_Products'!$G:$G), 28.56)</f>
        <v/>
      </c>
      <c r="H563" s="9">
        <f>IFERROR(XLOOKUP(E563, '04_Products'!$A:$A, '04_Products'!$F:$F), 0)</f>
        <v/>
      </c>
      <c r="I563" s="9">
        <f>F563*G563</f>
        <v/>
      </c>
      <c r="J563" s="11" t="n">
        <v>0</v>
      </c>
      <c r="K563" s="9">
        <f>I563*J563</f>
        <v/>
      </c>
      <c r="L563" s="9">
        <f>I563-K563</f>
        <v/>
      </c>
      <c r="M563" s="9">
        <f>F563*H563</f>
        <v/>
      </c>
      <c r="N563" s="9">
        <f>L563-M563</f>
        <v/>
      </c>
      <c r="O563" s="11">
        <f>IFERROR(N563/L563, 0)</f>
        <v/>
      </c>
      <c r="P563" s="8">
        <f>YEAR(C563)</f>
        <v/>
      </c>
      <c r="Q563" s="8">
        <f>TEXT(C563, "yyyy-mm")</f>
        <v/>
      </c>
      <c r="R563" s="8" t="inlineStr">
        <is>
          <t>Affiliate Partner</t>
        </is>
      </c>
      <c r="S563" s="8" t="inlineStr">
        <is>
          <t>REG-EU</t>
        </is>
      </c>
    </row>
    <row r="564">
      <c r="A564" s="8" t="inlineStr">
        <is>
          <t>DTL-0000569</t>
        </is>
      </c>
      <c r="B564" s="8" t="inlineStr">
        <is>
          <t>ORD-000279</t>
        </is>
      </c>
      <c r="C564" s="10" t="inlineStr">
        <is>
          <t>2025-02-18</t>
        </is>
      </c>
      <c r="D564" s="8" t="inlineStr">
        <is>
          <t>CUST-07807</t>
        </is>
      </c>
      <c r="E564" s="8" t="inlineStr">
        <is>
          <t>PRD-0144</t>
        </is>
      </c>
      <c r="F564" s="8" t="n">
        <v>1</v>
      </c>
      <c r="G564" s="9">
        <f>IFERROR(XLOOKUP(E564, '04_Products'!$A:$A, '04_Products'!$G:$G), 20.45)</f>
        <v/>
      </c>
      <c r="H564" s="9">
        <f>IFERROR(XLOOKUP(E564, '04_Products'!$A:$A, '04_Products'!$F:$F), 0)</f>
        <v/>
      </c>
      <c r="I564" s="9">
        <f>F564*G564</f>
        <v/>
      </c>
      <c r="J564" s="11" t="n">
        <v>0.25</v>
      </c>
      <c r="K564" s="9">
        <f>I564*J564</f>
        <v/>
      </c>
      <c r="L564" s="9">
        <f>I564-K564</f>
        <v/>
      </c>
      <c r="M564" s="9">
        <f>F564*H564</f>
        <v/>
      </c>
      <c r="N564" s="9">
        <f>L564-M564</f>
        <v/>
      </c>
      <c r="O564" s="11">
        <f>IFERROR(N564/L564, 0)</f>
        <v/>
      </c>
      <c r="P564" s="8">
        <f>YEAR(C564)</f>
        <v/>
      </c>
      <c r="Q564" s="8">
        <f>TEXT(C564, "yyyy-mm")</f>
        <v/>
      </c>
      <c r="R564" s="8" t="inlineStr">
        <is>
          <t>Direct Web</t>
        </is>
      </c>
      <c r="S564" s="8" t="inlineStr">
        <is>
          <t>REG-EU</t>
        </is>
      </c>
    </row>
    <row r="565">
      <c r="A565" s="8" t="inlineStr">
        <is>
          <t>DTL-0000570</t>
        </is>
      </c>
      <c r="B565" s="8" t="inlineStr">
        <is>
          <t>ORD-000279</t>
        </is>
      </c>
      <c r="C565" s="10" t="inlineStr">
        <is>
          <t>2025-02-18</t>
        </is>
      </c>
      <c r="D565" s="8" t="inlineStr">
        <is>
          <t>CUST-07807</t>
        </is>
      </c>
      <c r="E565" s="8" t="inlineStr">
        <is>
          <t>PRD-0207</t>
        </is>
      </c>
      <c r="F565" s="8" t="n">
        <v>2</v>
      </c>
      <c r="G565" s="9">
        <f>IFERROR(XLOOKUP(E565, '04_Products'!$A:$A, '04_Products'!$G:$G), 1025.22)</f>
        <v/>
      </c>
      <c r="H565" s="9">
        <f>IFERROR(XLOOKUP(E565, '04_Products'!$A:$A, '04_Products'!$F:$F), 0)</f>
        <v/>
      </c>
      <c r="I565" s="9">
        <f>F565*G565</f>
        <v/>
      </c>
      <c r="J565" s="11" t="n">
        <v>0.05</v>
      </c>
      <c r="K565" s="9">
        <f>I565*J565</f>
        <v/>
      </c>
      <c r="L565" s="9">
        <f>I565-K565</f>
        <v/>
      </c>
      <c r="M565" s="9">
        <f>F565*H565</f>
        <v/>
      </c>
      <c r="N565" s="9">
        <f>L565-M565</f>
        <v/>
      </c>
      <c r="O565" s="11">
        <f>IFERROR(N565/L565, 0)</f>
        <v/>
      </c>
      <c r="P565" s="8">
        <f>YEAR(C565)</f>
        <v/>
      </c>
      <c r="Q565" s="8">
        <f>TEXT(C565, "yyyy-mm")</f>
        <v/>
      </c>
      <c r="R565" s="8" t="inlineStr">
        <is>
          <t>Direct Web</t>
        </is>
      </c>
      <c r="S565" s="8" t="inlineStr">
        <is>
          <t>REG-EU</t>
        </is>
      </c>
    </row>
    <row r="566">
      <c r="A566" s="8" t="inlineStr">
        <is>
          <t>DTL-0000571</t>
        </is>
      </c>
      <c r="B566" s="8" t="inlineStr">
        <is>
          <t>ORD-000280</t>
        </is>
      </c>
      <c r="C566" s="10" t="inlineStr">
        <is>
          <t>2025-06-09</t>
        </is>
      </c>
      <c r="D566" s="8" t="inlineStr">
        <is>
          <t>CUST-03068</t>
        </is>
      </c>
      <c r="E566" s="8" t="inlineStr">
        <is>
          <t>PRD-0270</t>
        </is>
      </c>
      <c r="F566" s="8" t="n">
        <v>4</v>
      </c>
      <c r="G566" s="9">
        <f>IFERROR(XLOOKUP(E566, '04_Products'!$A:$A, '04_Products'!$G:$G), 137.10)</f>
        <v/>
      </c>
      <c r="H566" s="9">
        <f>IFERROR(XLOOKUP(E566, '04_Products'!$A:$A, '04_Products'!$F:$F), 0)</f>
        <v/>
      </c>
      <c r="I566" s="9">
        <f>F566*G566</f>
        <v/>
      </c>
      <c r="J566" s="11" t="n">
        <v>0.05</v>
      </c>
      <c r="K566" s="9">
        <f>I566*J566</f>
        <v/>
      </c>
      <c r="L566" s="9">
        <f>I566-K566</f>
        <v/>
      </c>
      <c r="M566" s="9">
        <f>F566*H566</f>
        <v/>
      </c>
      <c r="N566" s="9">
        <f>L566-M566</f>
        <v/>
      </c>
      <c r="O566" s="11">
        <f>IFERROR(N566/L566, 0)</f>
        <v/>
      </c>
      <c r="P566" s="8">
        <f>YEAR(C566)</f>
        <v/>
      </c>
      <c r="Q566" s="8">
        <f>TEXT(C566, "yyyy-mm")</f>
        <v/>
      </c>
      <c r="R566" s="8" t="inlineStr">
        <is>
          <t>Direct Web</t>
        </is>
      </c>
      <c r="S566" s="8" t="inlineStr">
        <is>
          <t>REG-NA</t>
        </is>
      </c>
    </row>
    <row r="567">
      <c r="A567" s="8" t="inlineStr">
        <is>
          <t>DTL-0000572</t>
        </is>
      </c>
      <c r="B567" s="8" t="inlineStr">
        <is>
          <t>ORD-000280</t>
        </is>
      </c>
      <c r="C567" s="10" t="inlineStr">
        <is>
          <t>2025-06-09</t>
        </is>
      </c>
      <c r="D567" s="8" t="inlineStr">
        <is>
          <t>CUST-03068</t>
        </is>
      </c>
      <c r="E567" s="8" t="inlineStr">
        <is>
          <t>PRD-0206</t>
        </is>
      </c>
      <c r="F567" s="8" t="n">
        <v>3</v>
      </c>
      <c r="G567" s="9">
        <f>IFERROR(XLOOKUP(E567, '04_Products'!$A:$A, '04_Products'!$G:$G), 672.37)</f>
        <v/>
      </c>
      <c r="H567" s="9">
        <f>IFERROR(XLOOKUP(E567, '04_Products'!$A:$A, '04_Products'!$F:$F), 0)</f>
        <v/>
      </c>
      <c r="I567" s="9">
        <f>F567*G567</f>
        <v/>
      </c>
      <c r="J567" s="11" t="n">
        <v>0</v>
      </c>
      <c r="K567" s="9">
        <f>I567*J567</f>
        <v/>
      </c>
      <c r="L567" s="9">
        <f>I567-K567</f>
        <v/>
      </c>
      <c r="M567" s="9">
        <f>F567*H567</f>
        <v/>
      </c>
      <c r="N567" s="9">
        <f>L567-M567</f>
        <v/>
      </c>
      <c r="O567" s="11">
        <f>IFERROR(N567/L567, 0)</f>
        <v/>
      </c>
      <c r="P567" s="8">
        <f>YEAR(C567)</f>
        <v/>
      </c>
      <c r="Q567" s="8">
        <f>TEXT(C567, "yyyy-mm")</f>
        <v/>
      </c>
      <c r="R567" s="8" t="inlineStr">
        <is>
          <t>Direct Web</t>
        </is>
      </c>
      <c r="S567" s="8" t="inlineStr">
        <is>
          <t>REG-NA</t>
        </is>
      </c>
    </row>
    <row r="568">
      <c r="A568" s="8" t="inlineStr">
        <is>
          <t>DTL-0000574</t>
        </is>
      </c>
      <c r="B568" s="8" t="inlineStr">
        <is>
          <t>ORD-000282</t>
        </is>
      </c>
      <c r="C568" s="10" t="inlineStr">
        <is>
          <t>2024-12-17</t>
        </is>
      </c>
      <c r="D568" s="8" t="inlineStr">
        <is>
          <t>CUST-06008</t>
        </is>
      </c>
      <c r="E568" s="8" t="inlineStr">
        <is>
          <t>PRD-0332</t>
        </is>
      </c>
      <c r="F568" s="8" t="n">
        <v>1</v>
      </c>
      <c r="G568" s="9">
        <f>IFERROR(XLOOKUP(E568, '04_Products'!$A:$A, '04_Products'!$G:$G), 82.03)</f>
        <v/>
      </c>
      <c r="H568" s="9">
        <f>IFERROR(XLOOKUP(E568, '04_Products'!$A:$A, '04_Products'!$F:$F), 0)</f>
        <v/>
      </c>
      <c r="I568" s="9">
        <f>F568*G568</f>
        <v/>
      </c>
      <c r="J568" s="11" t="n">
        <v>0.15</v>
      </c>
      <c r="K568" s="9">
        <f>I568*J568</f>
        <v/>
      </c>
      <c r="L568" s="9">
        <f>I568-K568</f>
        <v/>
      </c>
      <c r="M568" s="9">
        <f>F568*H568</f>
        <v/>
      </c>
      <c r="N568" s="9">
        <f>L568-M568</f>
        <v/>
      </c>
      <c r="O568" s="11">
        <f>IFERROR(N568/L568, 0)</f>
        <v/>
      </c>
      <c r="P568" s="8">
        <f>YEAR(C568)</f>
        <v/>
      </c>
      <c r="Q568" s="8">
        <f>TEXT(C568, "yyyy-mm")</f>
        <v/>
      </c>
      <c r="R568" s="8" t="inlineStr">
        <is>
          <t>Mobile App</t>
        </is>
      </c>
      <c r="S568" s="8" t="inlineStr">
        <is>
          <t>REG-APAC</t>
        </is>
      </c>
    </row>
    <row r="569">
      <c r="A569" s="8" t="inlineStr">
        <is>
          <t>DTL-0000575</t>
        </is>
      </c>
      <c r="B569" s="8" t="inlineStr">
        <is>
          <t>ORD-000282</t>
        </is>
      </c>
      <c r="C569" s="10" t="inlineStr">
        <is>
          <t>2024-12-17</t>
        </is>
      </c>
      <c r="D569" s="8" t="inlineStr">
        <is>
          <t>CUST-06008</t>
        </is>
      </c>
      <c r="E569" s="8" t="inlineStr">
        <is>
          <t>PRD-0043</t>
        </is>
      </c>
      <c r="F569" s="8" t="n">
        <v>1</v>
      </c>
      <c r="G569" s="9">
        <f>IFERROR(XLOOKUP(E569, '04_Products'!$A:$A, '04_Products'!$G:$G), 174.44)</f>
        <v/>
      </c>
      <c r="H569" s="9">
        <f>IFERROR(XLOOKUP(E569, '04_Products'!$A:$A, '04_Products'!$F:$F), 0)</f>
        <v/>
      </c>
      <c r="I569" s="9">
        <f>F569*G569</f>
        <v/>
      </c>
      <c r="J569" s="11" t="n">
        <v>0</v>
      </c>
      <c r="K569" s="9">
        <f>I569*J569</f>
        <v/>
      </c>
      <c r="L569" s="9">
        <f>I569-K569</f>
        <v/>
      </c>
      <c r="M569" s="9">
        <f>F569*H569</f>
        <v/>
      </c>
      <c r="N569" s="9">
        <f>L569-M569</f>
        <v/>
      </c>
      <c r="O569" s="11">
        <f>IFERROR(N569/L569, 0)</f>
        <v/>
      </c>
      <c r="P569" s="8">
        <f>YEAR(C569)</f>
        <v/>
      </c>
      <c r="Q569" s="8">
        <f>TEXT(C569, "yyyy-mm")</f>
        <v/>
      </c>
      <c r="R569" s="8" t="inlineStr">
        <is>
          <t>Mobile App</t>
        </is>
      </c>
      <c r="S569" s="8" t="inlineStr">
        <is>
          <t>REG-APAC</t>
        </is>
      </c>
    </row>
    <row r="570">
      <c r="A570" s="8" t="inlineStr">
        <is>
          <t>DTL-0000576</t>
        </is>
      </c>
      <c r="B570" s="8" t="inlineStr">
        <is>
          <t>ORD-000282</t>
        </is>
      </c>
      <c r="C570" s="10" t="inlineStr">
        <is>
          <t>2024-12-17</t>
        </is>
      </c>
      <c r="D570" s="8" t="inlineStr">
        <is>
          <t>CUST-06008</t>
        </is>
      </c>
      <c r="E570" s="8" t="inlineStr">
        <is>
          <t>PRD-0172</t>
        </is>
      </c>
      <c r="F570" s="8" t="n">
        <v>1</v>
      </c>
      <c r="G570" s="9">
        <f>IFERROR(XLOOKUP(E570, '04_Products'!$A:$A, '04_Products'!$G:$G), 132.43)</f>
        <v/>
      </c>
      <c r="H570" s="9">
        <f>IFERROR(XLOOKUP(E570, '04_Products'!$A:$A, '04_Products'!$F:$F), 0)</f>
        <v/>
      </c>
      <c r="I570" s="9">
        <f>F570*G570</f>
        <v/>
      </c>
      <c r="J570" s="11" t="n">
        <v>0</v>
      </c>
      <c r="K570" s="9">
        <f>I570*J570</f>
        <v/>
      </c>
      <c r="L570" s="9">
        <f>I570-K570</f>
        <v/>
      </c>
      <c r="M570" s="9">
        <f>F570*H570</f>
        <v/>
      </c>
      <c r="N570" s="9">
        <f>L570-M570</f>
        <v/>
      </c>
      <c r="O570" s="11">
        <f>IFERROR(N570/L570, 0)</f>
        <v/>
      </c>
      <c r="P570" s="8">
        <f>YEAR(C570)</f>
        <v/>
      </c>
      <c r="Q570" s="8">
        <f>TEXT(C570, "yyyy-mm")</f>
        <v/>
      </c>
      <c r="R570" s="8" t="inlineStr">
        <is>
          <t>Mobile App</t>
        </is>
      </c>
      <c r="S570" s="8" t="inlineStr">
        <is>
          <t>REG-APAC</t>
        </is>
      </c>
    </row>
    <row r="571">
      <c r="A571" s="8" t="inlineStr">
        <is>
          <t>DTL-0000577</t>
        </is>
      </c>
      <c r="B571" s="8" t="inlineStr">
        <is>
          <t>ORD-000282</t>
        </is>
      </c>
      <c r="C571" s="10" t="inlineStr">
        <is>
          <t>2024-12-17</t>
        </is>
      </c>
      <c r="D571" s="8" t="inlineStr">
        <is>
          <t>CUST-06008</t>
        </is>
      </c>
      <c r="E571" s="8" t="inlineStr">
        <is>
          <t>PRD-0419</t>
        </is>
      </c>
      <c r="F571" s="8" t="n">
        <v>2</v>
      </c>
      <c r="G571" s="9">
        <f>IFERROR(XLOOKUP(E571, '04_Products'!$A:$A, '04_Products'!$G:$G), 113.66)</f>
        <v/>
      </c>
      <c r="H571" s="9">
        <f>IFERROR(XLOOKUP(E571, '04_Products'!$A:$A, '04_Products'!$F:$F), 0)</f>
        <v/>
      </c>
      <c r="I571" s="9">
        <f>F571*G571</f>
        <v/>
      </c>
      <c r="J571" s="11" t="n">
        <v>0.25</v>
      </c>
      <c r="K571" s="9">
        <f>I571*J571</f>
        <v/>
      </c>
      <c r="L571" s="9">
        <f>I571-K571</f>
        <v/>
      </c>
      <c r="M571" s="9">
        <f>F571*H571</f>
        <v/>
      </c>
      <c r="N571" s="9">
        <f>L571-M571</f>
        <v/>
      </c>
      <c r="O571" s="11">
        <f>IFERROR(N571/L571, 0)</f>
        <v/>
      </c>
      <c r="P571" s="8">
        <f>YEAR(C571)</f>
        <v/>
      </c>
      <c r="Q571" s="8">
        <f>TEXT(C571, "yyyy-mm")</f>
        <v/>
      </c>
      <c r="R571" s="8" t="inlineStr">
        <is>
          <t>Mobile App</t>
        </is>
      </c>
      <c r="S571" s="8" t="inlineStr">
        <is>
          <t>REG-APAC</t>
        </is>
      </c>
    </row>
    <row r="572">
      <c r="A572" s="8" t="inlineStr">
        <is>
          <t>DTL-0000578</t>
        </is>
      </c>
      <c r="B572" s="8" t="inlineStr">
        <is>
          <t>ORD-000283</t>
        </is>
      </c>
      <c r="C572" s="10" t="inlineStr">
        <is>
          <t>2025-05-09</t>
        </is>
      </c>
      <c r="D572" s="8" t="inlineStr">
        <is>
          <t>CUST-07454</t>
        </is>
      </c>
      <c r="E572" s="8" t="inlineStr">
        <is>
          <t>PRD-0497</t>
        </is>
      </c>
      <c r="F572" s="8" t="n">
        <v>5</v>
      </c>
      <c r="G572" s="9">
        <f>IFERROR(XLOOKUP(E572, '04_Products'!$A:$A, '04_Products'!$G:$G), 620.15)</f>
        <v/>
      </c>
      <c r="H572" s="9">
        <f>IFERROR(XLOOKUP(E572, '04_Products'!$A:$A, '04_Products'!$F:$F), 0)</f>
        <v/>
      </c>
      <c r="I572" s="9">
        <f>F572*G572</f>
        <v/>
      </c>
      <c r="J572" s="11" t="n">
        <v>0</v>
      </c>
      <c r="K572" s="9">
        <f>I572*J572</f>
        <v/>
      </c>
      <c r="L572" s="9">
        <f>I572-K572</f>
        <v/>
      </c>
      <c r="M572" s="9">
        <f>F572*H572</f>
        <v/>
      </c>
      <c r="N572" s="9">
        <f>L572-M572</f>
        <v/>
      </c>
      <c r="O572" s="11">
        <f>IFERROR(N572/L572, 0)</f>
        <v/>
      </c>
      <c r="P572" s="8">
        <f>YEAR(C572)</f>
        <v/>
      </c>
      <c r="Q572" s="8">
        <f>TEXT(C572, "yyyy-mm")</f>
        <v/>
      </c>
      <c r="R572" s="8" t="inlineStr">
        <is>
          <t>Direct Web</t>
        </is>
      </c>
      <c r="S572" s="8" t="inlineStr">
        <is>
          <t>REG-NA</t>
        </is>
      </c>
    </row>
    <row r="573">
      <c r="A573" s="8" t="inlineStr">
        <is>
          <t>DTL-0000579</t>
        </is>
      </c>
      <c r="B573" s="8" t="inlineStr">
        <is>
          <t>ORD-000283</t>
        </is>
      </c>
      <c r="C573" s="10" t="inlineStr">
        <is>
          <t>2025-05-09</t>
        </is>
      </c>
      <c r="D573" s="8" t="inlineStr">
        <is>
          <t>CUST-07454</t>
        </is>
      </c>
      <c r="E573" s="8" t="inlineStr">
        <is>
          <t>PRD-0084</t>
        </is>
      </c>
      <c r="F573" s="8" t="n">
        <v>10</v>
      </c>
      <c r="G573" s="9">
        <f>IFERROR(XLOOKUP(E573, '04_Products'!$A:$A, '04_Products'!$G:$G), 72.68)</f>
        <v/>
      </c>
      <c r="H573" s="9">
        <f>IFERROR(XLOOKUP(E573, '04_Products'!$A:$A, '04_Products'!$F:$F), 0)</f>
        <v/>
      </c>
      <c r="I573" s="9">
        <f>F573*G573</f>
        <v/>
      </c>
      <c r="J573" s="11" t="n">
        <v>0.15</v>
      </c>
      <c r="K573" s="9">
        <f>I573*J573</f>
        <v/>
      </c>
      <c r="L573" s="9">
        <f>I573-K573</f>
        <v/>
      </c>
      <c r="M573" s="9">
        <f>F573*H573</f>
        <v/>
      </c>
      <c r="N573" s="9">
        <f>L573-M573</f>
        <v/>
      </c>
      <c r="O573" s="11">
        <f>IFERROR(N573/L573, 0)</f>
        <v/>
      </c>
      <c r="P573" s="8">
        <f>YEAR(C573)</f>
        <v/>
      </c>
      <c r="Q573" s="8">
        <f>TEXT(C573, "yyyy-mm")</f>
        <v/>
      </c>
      <c r="R573" s="8" t="inlineStr">
        <is>
          <t>Direct Web</t>
        </is>
      </c>
      <c r="S573" s="8" t="inlineStr">
        <is>
          <t>REG-NA</t>
        </is>
      </c>
    </row>
    <row r="574">
      <c r="A574" s="8" t="inlineStr">
        <is>
          <t>DTL-0000580</t>
        </is>
      </c>
      <c r="B574" s="8" t="inlineStr">
        <is>
          <t>ORD-000284</t>
        </is>
      </c>
      <c r="C574" s="10" t="inlineStr">
        <is>
          <t>2023-09-29</t>
        </is>
      </c>
      <c r="D574" s="8" t="inlineStr">
        <is>
          <t>CUST-01127</t>
        </is>
      </c>
      <c r="E574" s="8" t="inlineStr">
        <is>
          <t>PRD-0095</t>
        </is>
      </c>
      <c r="F574" s="8" t="n">
        <v>3</v>
      </c>
      <c r="G574" s="9">
        <f>IFERROR(XLOOKUP(E574, '04_Products'!$A:$A, '04_Products'!$G:$G), 477.87)</f>
        <v/>
      </c>
      <c r="H574" s="9">
        <f>IFERROR(XLOOKUP(E574, '04_Products'!$A:$A, '04_Products'!$F:$F), 0)</f>
        <v/>
      </c>
      <c r="I574" s="9">
        <f>F574*G574</f>
        <v/>
      </c>
      <c r="J574" s="11" t="n">
        <v>0</v>
      </c>
      <c r="K574" s="9">
        <f>I574*J574</f>
        <v/>
      </c>
      <c r="L574" s="9">
        <f>I574-K574</f>
        <v/>
      </c>
      <c r="M574" s="9">
        <f>F574*H574</f>
        <v/>
      </c>
      <c r="N574" s="9">
        <f>L574-M574</f>
        <v/>
      </c>
      <c r="O574" s="11">
        <f>IFERROR(N574/L574, 0)</f>
        <v/>
      </c>
      <c r="P574" s="8">
        <f>YEAR(C574)</f>
        <v/>
      </c>
      <c r="Q574" s="8">
        <f>TEXT(C574, "yyyy-mm")</f>
        <v/>
      </c>
      <c r="R574" s="8" t="inlineStr">
        <is>
          <t>Mobile App</t>
        </is>
      </c>
      <c r="S574" s="8" t="inlineStr">
        <is>
          <t>REG-NA</t>
        </is>
      </c>
    </row>
    <row r="575">
      <c r="A575" s="8" t="inlineStr">
        <is>
          <t>DTL-0000581</t>
        </is>
      </c>
      <c r="B575" s="8" t="inlineStr">
        <is>
          <t>ORD-000285</t>
        </is>
      </c>
      <c r="C575" s="10" t="inlineStr">
        <is>
          <t>2023-12-17</t>
        </is>
      </c>
      <c r="D575" s="8" t="inlineStr">
        <is>
          <t>CUST-05980</t>
        </is>
      </c>
      <c r="E575" s="8" t="inlineStr">
        <is>
          <t>PRD-0400</t>
        </is>
      </c>
      <c r="F575" s="8" t="n">
        <v>4</v>
      </c>
      <c r="G575" s="9">
        <f>IFERROR(XLOOKUP(E575, '04_Products'!$A:$A, '04_Products'!$G:$G), 409.11)</f>
        <v/>
      </c>
      <c r="H575" s="9">
        <f>IFERROR(XLOOKUP(E575, '04_Products'!$A:$A, '04_Products'!$F:$F), 0)</f>
        <v/>
      </c>
      <c r="I575" s="9">
        <f>F575*G575</f>
        <v/>
      </c>
      <c r="J575" s="11" t="n">
        <v>0.05</v>
      </c>
      <c r="K575" s="9">
        <f>I575*J575</f>
        <v/>
      </c>
      <c r="L575" s="9">
        <f>I575-K575</f>
        <v/>
      </c>
      <c r="M575" s="9">
        <f>F575*H575</f>
        <v/>
      </c>
      <c r="N575" s="9">
        <f>L575-M575</f>
        <v/>
      </c>
      <c r="O575" s="11">
        <f>IFERROR(N575/L575, 0)</f>
        <v/>
      </c>
      <c r="P575" s="8">
        <f>YEAR(C575)</f>
        <v/>
      </c>
      <c r="Q575" s="8">
        <f>TEXT(C575, "yyyy-mm")</f>
        <v/>
      </c>
      <c r="R575" s="8" t="inlineStr">
        <is>
          <t>Direct Web</t>
        </is>
      </c>
      <c r="S575" s="8" t="inlineStr">
        <is>
          <t>REG-APAC</t>
        </is>
      </c>
    </row>
    <row r="576">
      <c r="A576" s="8" t="inlineStr">
        <is>
          <t>DTL-0000582</t>
        </is>
      </c>
      <c r="B576" s="8" t="inlineStr">
        <is>
          <t>ORD-000285</t>
        </is>
      </c>
      <c r="C576" s="10" t="inlineStr">
        <is>
          <t>2023-12-17</t>
        </is>
      </c>
      <c r="D576" s="8" t="inlineStr">
        <is>
          <t>CUST-05980</t>
        </is>
      </c>
      <c r="E576" s="8" t="inlineStr">
        <is>
          <t>PRD-0092</t>
        </is>
      </c>
      <c r="F576" s="8" t="n">
        <v>4</v>
      </c>
      <c r="G576" s="9">
        <f>IFERROR(XLOOKUP(E576, '04_Products'!$A:$A, '04_Products'!$G:$G), 63.90)</f>
        <v/>
      </c>
      <c r="H576" s="9">
        <f>IFERROR(XLOOKUP(E576, '04_Products'!$A:$A, '04_Products'!$F:$F), 0)</f>
        <v/>
      </c>
      <c r="I576" s="9">
        <f>F576*G576</f>
        <v/>
      </c>
      <c r="J576" s="11" t="n">
        <v>0.1</v>
      </c>
      <c r="K576" s="9">
        <f>I576*J576</f>
        <v/>
      </c>
      <c r="L576" s="9">
        <f>I576-K576</f>
        <v/>
      </c>
      <c r="M576" s="9">
        <f>F576*H576</f>
        <v/>
      </c>
      <c r="N576" s="9">
        <f>L576-M576</f>
        <v/>
      </c>
      <c r="O576" s="11">
        <f>IFERROR(N576/L576, 0)</f>
        <v/>
      </c>
      <c r="P576" s="8">
        <f>YEAR(C576)</f>
        <v/>
      </c>
      <c r="Q576" s="8">
        <f>TEXT(C576, "yyyy-mm")</f>
        <v/>
      </c>
      <c r="R576" s="8" t="inlineStr">
        <is>
          <t>Direct Web</t>
        </is>
      </c>
      <c r="S576" s="8" t="inlineStr">
        <is>
          <t>REG-APAC</t>
        </is>
      </c>
    </row>
    <row r="577">
      <c r="A577" s="8" t="inlineStr">
        <is>
          <t>DTL-0000583</t>
        </is>
      </c>
      <c r="B577" s="8" t="inlineStr">
        <is>
          <t>ORD-000285</t>
        </is>
      </c>
      <c r="C577" s="10" t="inlineStr">
        <is>
          <t>2023-12-17</t>
        </is>
      </c>
      <c r="D577" s="8" t="inlineStr">
        <is>
          <t>CUST-05980</t>
        </is>
      </c>
      <c r="E577" s="8" t="inlineStr">
        <is>
          <t>PRD-0405</t>
        </is>
      </c>
      <c r="F577" s="8" t="n">
        <v>1</v>
      </c>
      <c r="G577" s="9">
        <f>IFERROR(XLOOKUP(E577, '04_Products'!$A:$A, '04_Products'!$G:$G), 29.36)</f>
        <v/>
      </c>
      <c r="H577" s="9">
        <f>IFERROR(XLOOKUP(E577, '04_Products'!$A:$A, '04_Products'!$F:$F), 0)</f>
        <v/>
      </c>
      <c r="I577" s="9">
        <f>F577*G577</f>
        <v/>
      </c>
      <c r="J577" s="11" t="n">
        <v>0</v>
      </c>
      <c r="K577" s="9">
        <f>I577*J577</f>
        <v/>
      </c>
      <c r="L577" s="9">
        <f>I577-K577</f>
        <v/>
      </c>
      <c r="M577" s="9">
        <f>F577*H577</f>
        <v/>
      </c>
      <c r="N577" s="9">
        <f>L577-M577</f>
        <v/>
      </c>
      <c r="O577" s="11">
        <f>IFERROR(N577/L577, 0)</f>
        <v/>
      </c>
      <c r="P577" s="8">
        <f>YEAR(C577)</f>
        <v/>
      </c>
      <c r="Q577" s="8">
        <f>TEXT(C577, "yyyy-mm")</f>
        <v/>
      </c>
      <c r="R577" s="8" t="inlineStr">
        <is>
          <t>Direct Web</t>
        </is>
      </c>
      <c r="S577" s="8" t="inlineStr">
        <is>
          <t>REG-APAC</t>
        </is>
      </c>
    </row>
    <row r="578">
      <c r="A578" s="8" t="inlineStr">
        <is>
          <t>DTL-0000584</t>
        </is>
      </c>
      <c r="B578" s="8" t="inlineStr">
        <is>
          <t>ORD-000286</t>
        </is>
      </c>
      <c r="C578" s="10" t="inlineStr">
        <is>
          <t>2025-06-27</t>
        </is>
      </c>
      <c r="D578" s="8" t="inlineStr">
        <is>
          <t>CUST-07688</t>
        </is>
      </c>
      <c r="E578" s="8" t="inlineStr">
        <is>
          <t>PRD-0018</t>
        </is>
      </c>
      <c r="F578" s="8" t="n">
        <v>1</v>
      </c>
      <c r="G578" s="9">
        <f>IFERROR(XLOOKUP(E578, '04_Products'!$A:$A, '04_Products'!$G:$G), 75.52)</f>
        <v/>
      </c>
      <c r="H578" s="9">
        <f>IFERROR(XLOOKUP(E578, '04_Products'!$A:$A, '04_Products'!$F:$F), 0)</f>
        <v/>
      </c>
      <c r="I578" s="9">
        <f>F578*G578</f>
        <v/>
      </c>
      <c r="J578" s="11" t="n">
        <v>0.2</v>
      </c>
      <c r="K578" s="9">
        <f>I578*J578</f>
        <v/>
      </c>
      <c r="L578" s="9">
        <f>I578-K578</f>
        <v/>
      </c>
      <c r="M578" s="9">
        <f>F578*H578</f>
        <v/>
      </c>
      <c r="N578" s="9">
        <f>L578-M578</f>
        <v/>
      </c>
      <c r="O578" s="11">
        <f>IFERROR(N578/L578, 0)</f>
        <v/>
      </c>
      <c r="P578" s="8">
        <f>YEAR(C578)</f>
        <v/>
      </c>
      <c r="Q578" s="8">
        <f>TEXT(C578, "yyyy-mm")</f>
        <v/>
      </c>
      <c r="R578" s="8" t="inlineStr">
        <is>
          <t>Direct Web</t>
        </is>
      </c>
      <c r="S578" s="8" t="inlineStr">
        <is>
          <t>REG-EU</t>
        </is>
      </c>
    </row>
    <row r="579">
      <c r="A579" s="8" t="inlineStr">
        <is>
          <t>DTL-0000585</t>
        </is>
      </c>
      <c r="B579" s="8" t="inlineStr">
        <is>
          <t>ORD-000286</t>
        </is>
      </c>
      <c r="C579" s="10" t="inlineStr">
        <is>
          <t>2025-06-27</t>
        </is>
      </c>
      <c r="D579" s="8" t="inlineStr">
        <is>
          <t>CUST-07688</t>
        </is>
      </c>
      <c r="E579" s="8" t="inlineStr">
        <is>
          <t>PRD-0268</t>
        </is>
      </c>
      <c r="F579" s="8" t="n">
        <v>1</v>
      </c>
      <c r="G579" s="9">
        <f>IFERROR(XLOOKUP(E579, '04_Products'!$A:$A, '04_Products'!$G:$G), 69.90)</f>
        <v/>
      </c>
      <c r="H579" s="9">
        <f>IFERROR(XLOOKUP(E579, '04_Products'!$A:$A, '04_Products'!$F:$F), 0)</f>
        <v/>
      </c>
      <c r="I579" s="9">
        <f>F579*G579</f>
        <v/>
      </c>
      <c r="J579" s="11" t="n">
        <v>0.05</v>
      </c>
      <c r="K579" s="9">
        <f>I579*J579</f>
        <v/>
      </c>
      <c r="L579" s="9">
        <f>I579-K579</f>
        <v/>
      </c>
      <c r="M579" s="9">
        <f>F579*H579</f>
        <v/>
      </c>
      <c r="N579" s="9">
        <f>L579-M579</f>
        <v/>
      </c>
      <c r="O579" s="11">
        <f>IFERROR(N579/L579, 0)</f>
        <v/>
      </c>
      <c r="P579" s="8">
        <f>YEAR(C579)</f>
        <v/>
      </c>
      <c r="Q579" s="8">
        <f>TEXT(C579, "yyyy-mm")</f>
        <v/>
      </c>
      <c r="R579" s="8" t="inlineStr">
        <is>
          <t>Direct Web</t>
        </is>
      </c>
      <c r="S579" s="8" t="inlineStr">
        <is>
          <t>REG-EU</t>
        </is>
      </c>
    </row>
    <row r="580">
      <c r="A580" s="8" t="inlineStr">
        <is>
          <t>DTL-0000586</t>
        </is>
      </c>
      <c r="B580" s="8" t="inlineStr">
        <is>
          <t>ORD-000286</t>
        </is>
      </c>
      <c r="C580" s="10" t="inlineStr">
        <is>
          <t>2025-06-27</t>
        </is>
      </c>
      <c r="D580" s="8" t="inlineStr">
        <is>
          <t>CUST-07688</t>
        </is>
      </c>
      <c r="E580" s="8" t="inlineStr">
        <is>
          <t>PRD-0316</t>
        </is>
      </c>
      <c r="F580" s="8" t="n">
        <v>1</v>
      </c>
      <c r="G580" s="9">
        <f>IFERROR(XLOOKUP(E580, '04_Products'!$A:$A, '04_Products'!$G:$G), 575.96)</f>
        <v/>
      </c>
      <c r="H580" s="9">
        <f>IFERROR(XLOOKUP(E580, '04_Products'!$A:$A, '04_Products'!$F:$F), 0)</f>
        <v/>
      </c>
      <c r="I580" s="9">
        <f>F580*G580</f>
        <v/>
      </c>
      <c r="J580" s="11" t="n">
        <v>0.15</v>
      </c>
      <c r="K580" s="9">
        <f>I580*J580</f>
        <v/>
      </c>
      <c r="L580" s="9">
        <f>I580-K580</f>
        <v/>
      </c>
      <c r="M580" s="9">
        <f>F580*H580</f>
        <v/>
      </c>
      <c r="N580" s="9">
        <f>L580-M580</f>
        <v/>
      </c>
      <c r="O580" s="11">
        <f>IFERROR(N580/L580, 0)</f>
        <v/>
      </c>
      <c r="P580" s="8">
        <f>YEAR(C580)</f>
        <v/>
      </c>
      <c r="Q580" s="8">
        <f>TEXT(C580, "yyyy-mm")</f>
        <v/>
      </c>
      <c r="R580" s="8" t="inlineStr">
        <is>
          <t>Direct Web</t>
        </is>
      </c>
      <c r="S580" s="8" t="inlineStr">
        <is>
          <t>REG-EU</t>
        </is>
      </c>
    </row>
    <row r="581">
      <c r="A581" s="8" t="inlineStr">
        <is>
          <t>DTL-0000587</t>
        </is>
      </c>
      <c r="B581" s="8" t="inlineStr">
        <is>
          <t>ORD-000286</t>
        </is>
      </c>
      <c r="C581" s="10" t="inlineStr">
        <is>
          <t>2025-06-27</t>
        </is>
      </c>
      <c r="D581" s="8" t="inlineStr">
        <is>
          <t>CUST-07688</t>
        </is>
      </c>
      <c r="E581" s="8" t="inlineStr">
        <is>
          <t>PRD-0142</t>
        </is>
      </c>
      <c r="F581" s="8" t="n">
        <v>4</v>
      </c>
      <c r="G581" s="9">
        <f>IFERROR(XLOOKUP(E581, '04_Products'!$A:$A, '04_Products'!$G:$G), 44.60)</f>
        <v/>
      </c>
      <c r="H581" s="9">
        <f>IFERROR(XLOOKUP(E581, '04_Products'!$A:$A, '04_Products'!$F:$F), 0)</f>
        <v/>
      </c>
      <c r="I581" s="9">
        <f>F581*G581</f>
        <v/>
      </c>
      <c r="J581" s="11" t="n">
        <v>0.1</v>
      </c>
      <c r="K581" s="9">
        <f>I581*J581</f>
        <v/>
      </c>
      <c r="L581" s="9">
        <f>I581-K581</f>
        <v/>
      </c>
      <c r="M581" s="9">
        <f>F581*H581</f>
        <v/>
      </c>
      <c r="N581" s="9">
        <f>L581-M581</f>
        <v/>
      </c>
      <c r="O581" s="11">
        <f>IFERROR(N581/L581, 0)</f>
        <v/>
      </c>
      <c r="P581" s="8">
        <f>YEAR(C581)</f>
        <v/>
      </c>
      <c r="Q581" s="8">
        <f>TEXT(C581, "yyyy-mm")</f>
        <v/>
      </c>
      <c r="R581" s="8" t="inlineStr">
        <is>
          <t>Direct Web</t>
        </is>
      </c>
      <c r="S581" s="8" t="inlineStr">
        <is>
          <t>REG-EU</t>
        </is>
      </c>
    </row>
    <row r="582">
      <c r="A582" s="8" t="inlineStr">
        <is>
          <t>DTL-0000588</t>
        </is>
      </c>
      <c r="B582" s="8" t="inlineStr">
        <is>
          <t>ORD-000287</t>
        </is>
      </c>
      <c r="C582" s="10" t="inlineStr">
        <is>
          <t>2025-12-11</t>
        </is>
      </c>
      <c r="D582" s="8" t="inlineStr">
        <is>
          <t>CUST-03426</t>
        </is>
      </c>
      <c r="E582" s="8" t="inlineStr">
        <is>
          <t>PRD-0107</t>
        </is>
      </c>
      <c r="F582" s="8" t="n">
        <v>1</v>
      </c>
      <c r="G582" s="9">
        <f>IFERROR(XLOOKUP(E582, '04_Products'!$A:$A, '04_Products'!$G:$G), 754.95)</f>
        <v/>
      </c>
      <c r="H582" s="9">
        <f>IFERROR(XLOOKUP(E582, '04_Products'!$A:$A, '04_Products'!$F:$F), 0)</f>
        <v/>
      </c>
      <c r="I582" s="9">
        <f>F582*G582</f>
        <v/>
      </c>
      <c r="J582" s="11" t="n">
        <v>0.05</v>
      </c>
      <c r="K582" s="9">
        <f>I582*J582</f>
        <v/>
      </c>
      <c r="L582" s="9">
        <f>I582-K582</f>
        <v/>
      </c>
      <c r="M582" s="9">
        <f>F582*H582</f>
        <v/>
      </c>
      <c r="N582" s="9">
        <f>L582-M582</f>
        <v/>
      </c>
      <c r="O582" s="11">
        <f>IFERROR(N582/L582, 0)</f>
        <v/>
      </c>
      <c r="P582" s="8">
        <f>YEAR(C582)</f>
        <v/>
      </c>
      <c r="Q582" s="8">
        <f>TEXT(C582, "yyyy-mm")</f>
        <v/>
      </c>
      <c r="R582" s="8" t="inlineStr">
        <is>
          <t>Affiliate Partner</t>
        </is>
      </c>
      <c r="S582" s="8" t="inlineStr">
        <is>
          <t>REG-NA</t>
        </is>
      </c>
    </row>
    <row r="583">
      <c r="A583" s="8" t="inlineStr">
        <is>
          <t>DTL-0000589</t>
        </is>
      </c>
      <c r="B583" s="8" t="inlineStr">
        <is>
          <t>ORD-000288</t>
        </is>
      </c>
      <c r="C583" s="10" t="inlineStr">
        <is>
          <t>2025-11-24</t>
        </is>
      </c>
      <c r="D583" s="8" t="inlineStr">
        <is>
          <t>CUST-05549</t>
        </is>
      </c>
      <c r="E583" s="8" t="inlineStr">
        <is>
          <t>PRD-0480</t>
        </is>
      </c>
      <c r="F583" s="8" t="n">
        <v>4</v>
      </c>
      <c r="G583" s="9">
        <f>IFERROR(XLOOKUP(E583, '04_Products'!$A:$A, '04_Products'!$G:$G), 122.63)</f>
        <v/>
      </c>
      <c r="H583" s="9">
        <f>IFERROR(XLOOKUP(E583, '04_Products'!$A:$A, '04_Products'!$F:$F), 0)</f>
        <v/>
      </c>
      <c r="I583" s="9">
        <f>F583*G583</f>
        <v/>
      </c>
      <c r="J583" s="11" t="n">
        <v>0.1</v>
      </c>
      <c r="K583" s="9">
        <f>I583*J583</f>
        <v/>
      </c>
      <c r="L583" s="9">
        <f>I583-K583</f>
        <v/>
      </c>
      <c r="M583" s="9">
        <f>F583*H583</f>
        <v/>
      </c>
      <c r="N583" s="9">
        <f>L583-M583</f>
        <v/>
      </c>
      <c r="O583" s="11">
        <f>IFERROR(N583/L583, 0)</f>
        <v/>
      </c>
      <c r="P583" s="8">
        <f>YEAR(C583)</f>
        <v/>
      </c>
      <c r="Q583" s="8">
        <f>TEXT(C583, "yyyy-mm")</f>
        <v/>
      </c>
      <c r="R583" s="8" t="inlineStr">
        <is>
          <t>Direct Web</t>
        </is>
      </c>
      <c r="S583" s="8" t="inlineStr">
        <is>
          <t>REG-EU</t>
        </is>
      </c>
    </row>
    <row r="584">
      <c r="A584" s="8" t="inlineStr">
        <is>
          <t>DTL-0000590</t>
        </is>
      </c>
      <c r="B584" s="8" t="inlineStr">
        <is>
          <t>ORD-000289</t>
        </is>
      </c>
      <c r="C584" s="10" t="inlineStr">
        <is>
          <t>2024-06-14</t>
        </is>
      </c>
      <c r="D584" s="8" t="inlineStr">
        <is>
          <t>CUST-03545</t>
        </is>
      </c>
      <c r="E584" s="8" t="inlineStr">
        <is>
          <t>PRD-0364</t>
        </is>
      </c>
      <c r="F584" s="8" t="n">
        <v>2</v>
      </c>
      <c r="G584" s="9">
        <f>IFERROR(XLOOKUP(E584, '04_Products'!$A:$A, '04_Products'!$G:$G), 1083.88)</f>
        <v/>
      </c>
      <c r="H584" s="9">
        <f>IFERROR(XLOOKUP(E584, '04_Products'!$A:$A, '04_Products'!$F:$F), 0)</f>
        <v/>
      </c>
      <c r="I584" s="9">
        <f>F584*G584</f>
        <v/>
      </c>
      <c r="J584" s="11" t="n">
        <v>0.15</v>
      </c>
      <c r="K584" s="9">
        <f>I584*J584</f>
        <v/>
      </c>
      <c r="L584" s="9">
        <f>I584-K584</f>
        <v/>
      </c>
      <c r="M584" s="9">
        <f>F584*H584</f>
        <v/>
      </c>
      <c r="N584" s="9">
        <f>L584-M584</f>
        <v/>
      </c>
      <c r="O584" s="11">
        <f>IFERROR(N584/L584, 0)</f>
        <v/>
      </c>
      <c r="P584" s="8">
        <f>YEAR(C584)</f>
        <v/>
      </c>
      <c r="Q584" s="8">
        <f>TEXT(C584, "yyyy-mm")</f>
        <v/>
      </c>
      <c r="R584" s="8" t="inlineStr">
        <is>
          <t>Direct Web</t>
        </is>
      </c>
      <c r="S584" s="8" t="inlineStr">
        <is>
          <t>REG-NA</t>
        </is>
      </c>
    </row>
    <row r="585">
      <c r="A585" s="8" t="inlineStr">
        <is>
          <t>DTL-0000591</t>
        </is>
      </c>
      <c r="B585" s="8" t="inlineStr">
        <is>
          <t>ORD-000290</t>
        </is>
      </c>
      <c r="C585" s="10" t="inlineStr">
        <is>
          <t>2024-11-07</t>
        </is>
      </c>
      <c r="D585" s="8" t="inlineStr">
        <is>
          <t>CUST-03895</t>
        </is>
      </c>
      <c r="E585" s="8" t="inlineStr">
        <is>
          <t>PRD-0373</t>
        </is>
      </c>
      <c r="F585" s="8" t="n">
        <v>3</v>
      </c>
      <c r="G585" s="9">
        <f>IFERROR(XLOOKUP(E585, '04_Products'!$A:$A, '04_Products'!$G:$G), 308.95)</f>
        <v/>
      </c>
      <c r="H585" s="9">
        <f>IFERROR(XLOOKUP(E585, '04_Products'!$A:$A, '04_Products'!$F:$F), 0)</f>
        <v/>
      </c>
      <c r="I585" s="9">
        <f>F585*G585</f>
        <v/>
      </c>
      <c r="J585" s="11" t="n">
        <v>0.05</v>
      </c>
      <c r="K585" s="9">
        <f>I585*J585</f>
        <v/>
      </c>
      <c r="L585" s="9">
        <f>I585-K585</f>
        <v/>
      </c>
      <c r="M585" s="9">
        <f>F585*H585</f>
        <v/>
      </c>
      <c r="N585" s="9">
        <f>L585-M585</f>
        <v/>
      </c>
      <c r="O585" s="11">
        <f>IFERROR(N585/L585, 0)</f>
        <v/>
      </c>
      <c r="P585" s="8">
        <f>YEAR(C585)</f>
        <v/>
      </c>
      <c r="Q585" s="8">
        <f>TEXT(C585, "yyyy-mm")</f>
        <v/>
      </c>
      <c r="R585" s="8" t="inlineStr">
        <is>
          <t>Mobile App</t>
        </is>
      </c>
      <c r="S585" s="8" t="inlineStr">
        <is>
          <t>REG-EU</t>
        </is>
      </c>
    </row>
    <row r="586">
      <c r="A586" s="8" t="inlineStr">
        <is>
          <t>DTL-0000592</t>
        </is>
      </c>
      <c r="B586" s="8" t="inlineStr">
        <is>
          <t>ORD-000290</t>
        </is>
      </c>
      <c r="C586" s="10" t="inlineStr">
        <is>
          <t>2024-11-07</t>
        </is>
      </c>
      <c r="D586" s="8" t="inlineStr">
        <is>
          <t>CUST-03895</t>
        </is>
      </c>
      <c r="E586" s="8" t="inlineStr">
        <is>
          <t>PRD-0435</t>
        </is>
      </c>
      <c r="F586" s="8" t="n">
        <v>3</v>
      </c>
      <c r="G586" s="9">
        <f>IFERROR(XLOOKUP(E586, '04_Products'!$A:$A, '04_Products'!$G:$G), 446.59)</f>
        <v/>
      </c>
      <c r="H586" s="9">
        <f>IFERROR(XLOOKUP(E586, '04_Products'!$A:$A, '04_Products'!$F:$F), 0)</f>
        <v/>
      </c>
      <c r="I586" s="9">
        <f>F586*G586</f>
        <v/>
      </c>
      <c r="J586" s="11" t="n">
        <v>0</v>
      </c>
      <c r="K586" s="9">
        <f>I586*J586</f>
        <v/>
      </c>
      <c r="L586" s="9">
        <f>I586-K586</f>
        <v/>
      </c>
      <c r="M586" s="9">
        <f>F586*H586</f>
        <v/>
      </c>
      <c r="N586" s="9">
        <f>L586-M586</f>
        <v/>
      </c>
      <c r="O586" s="11">
        <f>IFERROR(N586/L586, 0)</f>
        <v/>
      </c>
      <c r="P586" s="8">
        <f>YEAR(C586)</f>
        <v/>
      </c>
      <c r="Q586" s="8">
        <f>TEXT(C586, "yyyy-mm")</f>
        <v/>
      </c>
      <c r="R586" s="8" t="inlineStr">
        <is>
          <t>Mobile App</t>
        </is>
      </c>
      <c r="S586" s="8" t="inlineStr">
        <is>
          <t>REG-EU</t>
        </is>
      </c>
    </row>
    <row r="587">
      <c r="A587" s="8" t="inlineStr">
        <is>
          <t>DTL-0000593</t>
        </is>
      </c>
      <c r="B587" s="8" t="inlineStr">
        <is>
          <t>ORD-000291</t>
        </is>
      </c>
      <c r="C587" s="10" t="inlineStr">
        <is>
          <t>2024-09-16</t>
        </is>
      </c>
      <c r="D587" s="8" t="inlineStr">
        <is>
          <t>CUST-01868</t>
        </is>
      </c>
      <c r="E587" s="8" t="inlineStr">
        <is>
          <t>PRD-0158</t>
        </is>
      </c>
      <c r="F587" s="8" t="n">
        <v>1</v>
      </c>
      <c r="G587" s="9">
        <f>IFERROR(XLOOKUP(E587, '04_Products'!$A:$A, '04_Products'!$G:$G), 68.30)</f>
        <v/>
      </c>
      <c r="H587" s="9">
        <f>IFERROR(XLOOKUP(E587, '04_Products'!$A:$A, '04_Products'!$F:$F), 0)</f>
        <v/>
      </c>
      <c r="I587" s="9">
        <f>F587*G587</f>
        <v/>
      </c>
      <c r="J587" s="11" t="n">
        <v>0.05</v>
      </c>
      <c r="K587" s="9">
        <f>I587*J587</f>
        <v/>
      </c>
      <c r="L587" s="9">
        <f>I587-K587</f>
        <v/>
      </c>
      <c r="M587" s="9">
        <f>F587*H587</f>
        <v/>
      </c>
      <c r="N587" s="9">
        <f>L587-M587</f>
        <v/>
      </c>
      <c r="O587" s="11">
        <f>IFERROR(N587/L587, 0)</f>
        <v/>
      </c>
      <c r="P587" s="8">
        <f>YEAR(C587)</f>
        <v/>
      </c>
      <c r="Q587" s="8">
        <f>TEXT(C587, "yyyy-mm")</f>
        <v/>
      </c>
      <c r="R587" s="8" t="inlineStr">
        <is>
          <t>Direct Web</t>
        </is>
      </c>
      <c r="S587" s="8" t="inlineStr">
        <is>
          <t>REG-NA</t>
        </is>
      </c>
    </row>
    <row r="588">
      <c r="A588" s="8" t="inlineStr">
        <is>
          <t>DTL-0000594</t>
        </is>
      </c>
      <c r="B588" s="8" t="inlineStr">
        <is>
          <t>ORD-000291</t>
        </is>
      </c>
      <c r="C588" s="10" t="inlineStr">
        <is>
          <t>2024-09-16</t>
        </is>
      </c>
      <c r="D588" s="8" t="inlineStr">
        <is>
          <t>CUST-01868</t>
        </is>
      </c>
      <c r="E588" s="8" t="inlineStr">
        <is>
          <t>PRD-0419</t>
        </is>
      </c>
      <c r="F588" s="8" t="n">
        <v>1</v>
      </c>
      <c r="G588" s="9">
        <f>IFERROR(XLOOKUP(E588, '04_Products'!$A:$A, '04_Products'!$G:$G), 113.66)</f>
        <v/>
      </c>
      <c r="H588" s="9">
        <f>IFERROR(XLOOKUP(E588, '04_Products'!$A:$A, '04_Products'!$F:$F), 0)</f>
        <v/>
      </c>
      <c r="I588" s="9">
        <f>F588*G588</f>
        <v/>
      </c>
      <c r="J588" s="11" t="n">
        <v>0</v>
      </c>
      <c r="K588" s="9">
        <f>I588*J588</f>
        <v/>
      </c>
      <c r="L588" s="9">
        <f>I588-K588</f>
        <v/>
      </c>
      <c r="M588" s="9">
        <f>F588*H588</f>
        <v/>
      </c>
      <c r="N588" s="9">
        <f>L588-M588</f>
        <v/>
      </c>
      <c r="O588" s="11">
        <f>IFERROR(N588/L588, 0)</f>
        <v/>
      </c>
      <c r="P588" s="8">
        <f>YEAR(C588)</f>
        <v/>
      </c>
      <c r="Q588" s="8">
        <f>TEXT(C588, "yyyy-mm")</f>
        <v/>
      </c>
      <c r="R588" s="8" t="inlineStr">
        <is>
          <t>Direct Web</t>
        </is>
      </c>
      <c r="S588" s="8" t="inlineStr">
        <is>
          <t>REG-NA</t>
        </is>
      </c>
    </row>
    <row r="589">
      <c r="A589" s="8" t="inlineStr">
        <is>
          <t>DTL-0000595</t>
        </is>
      </c>
      <c r="B589" s="8" t="inlineStr">
        <is>
          <t>ORD-000291</t>
        </is>
      </c>
      <c r="C589" s="10" t="inlineStr">
        <is>
          <t>2024-09-16</t>
        </is>
      </c>
      <c r="D589" s="8" t="inlineStr">
        <is>
          <t>CUST-01868</t>
        </is>
      </c>
      <c r="E589" s="8" t="inlineStr">
        <is>
          <t>PRD-0022</t>
        </is>
      </c>
      <c r="F589" s="8" t="n">
        <v>1</v>
      </c>
      <c r="G589" s="9">
        <f>IFERROR(XLOOKUP(E589, '04_Products'!$A:$A, '04_Products'!$G:$G), 801.74)</f>
        <v/>
      </c>
      <c r="H589" s="9">
        <f>IFERROR(XLOOKUP(E589, '04_Products'!$A:$A, '04_Products'!$F:$F), 0)</f>
        <v/>
      </c>
      <c r="I589" s="9">
        <f>F589*G589</f>
        <v/>
      </c>
      <c r="J589" s="11" t="n">
        <v>0.25</v>
      </c>
      <c r="K589" s="9">
        <f>I589*J589</f>
        <v/>
      </c>
      <c r="L589" s="9">
        <f>I589-K589</f>
        <v/>
      </c>
      <c r="M589" s="9">
        <f>F589*H589</f>
        <v/>
      </c>
      <c r="N589" s="9">
        <f>L589-M589</f>
        <v/>
      </c>
      <c r="O589" s="11">
        <f>IFERROR(N589/L589, 0)</f>
        <v/>
      </c>
      <c r="P589" s="8">
        <f>YEAR(C589)</f>
        <v/>
      </c>
      <c r="Q589" s="8">
        <f>TEXT(C589, "yyyy-mm")</f>
        <v/>
      </c>
      <c r="R589" s="8" t="inlineStr">
        <is>
          <t>Direct Web</t>
        </is>
      </c>
      <c r="S589" s="8" t="inlineStr">
        <is>
          <t>REG-NA</t>
        </is>
      </c>
    </row>
    <row r="590">
      <c r="A590" s="8" t="inlineStr">
        <is>
          <t>DTL-0000596</t>
        </is>
      </c>
      <c r="B590" s="8" t="inlineStr">
        <is>
          <t>ORD-000291</t>
        </is>
      </c>
      <c r="C590" s="10" t="inlineStr">
        <is>
          <t>2024-09-16</t>
        </is>
      </c>
      <c r="D590" s="8" t="inlineStr">
        <is>
          <t>CUST-01868</t>
        </is>
      </c>
      <c r="E590" s="8" t="inlineStr">
        <is>
          <t>PRD-0202</t>
        </is>
      </c>
      <c r="F590" s="8" t="n">
        <v>2</v>
      </c>
      <c r="G590" s="9">
        <f>IFERROR(XLOOKUP(E590, '04_Products'!$A:$A, '04_Products'!$G:$G), 43.87)</f>
        <v/>
      </c>
      <c r="H590" s="9">
        <f>IFERROR(XLOOKUP(E590, '04_Products'!$A:$A, '04_Products'!$F:$F), 0)</f>
        <v/>
      </c>
      <c r="I590" s="9">
        <f>F590*G590</f>
        <v/>
      </c>
      <c r="J590" s="11" t="n">
        <v>0</v>
      </c>
      <c r="K590" s="9">
        <f>I590*J590</f>
        <v/>
      </c>
      <c r="L590" s="9">
        <f>I590-K590</f>
        <v/>
      </c>
      <c r="M590" s="9">
        <f>F590*H590</f>
        <v/>
      </c>
      <c r="N590" s="9">
        <f>L590-M590</f>
        <v/>
      </c>
      <c r="O590" s="11">
        <f>IFERROR(N590/L590, 0)</f>
        <v/>
      </c>
      <c r="P590" s="8">
        <f>YEAR(C590)</f>
        <v/>
      </c>
      <c r="Q590" s="8">
        <f>TEXT(C590, "yyyy-mm")</f>
        <v/>
      </c>
      <c r="R590" s="8" t="inlineStr">
        <is>
          <t>Direct Web</t>
        </is>
      </c>
      <c r="S590" s="8" t="inlineStr">
        <is>
          <t>REG-NA</t>
        </is>
      </c>
    </row>
    <row r="591">
      <c r="A591" s="8" t="inlineStr">
        <is>
          <t>DTL-0000597</t>
        </is>
      </c>
      <c r="B591" s="8" t="inlineStr">
        <is>
          <t>ORD-000291</t>
        </is>
      </c>
      <c r="C591" s="10" t="inlineStr">
        <is>
          <t>2024-09-16</t>
        </is>
      </c>
      <c r="D591" s="8" t="inlineStr">
        <is>
          <t>CUST-01868</t>
        </is>
      </c>
      <c r="E591" s="8" t="inlineStr">
        <is>
          <t>PRD-0114</t>
        </is>
      </c>
      <c r="F591" s="8" t="n">
        <v>1</v>
      </c>
      <c r="G591" s="9">
        <f>IFERROR(XLOOKUP(E591, '04_Products'!$A:$A, '04_Products'!$G:$G), 49.56)</f>
        <v/>
      </c>
      <c r="H591" s="9">
        <f>IFERROR(XLOOKUP(E591, '04_Products'!$A:$A, '04_Products'!$F:$F), 0)</f>
        <v/>
      </c>
      <c r="I591" s="9">
        <f>F591*G591</f>
        <v/>
      </c>
      <c r="J591" s="11" t="n">
        <v>0.25</v>
      </c>
      <c r="K591" s="9">
        <f>I591*J591</f>
        <v/>
      </c>
      <c r="L591" s="9">
        <f>I591-K591</f>
        <v/>
      </c>
      <c r="M591" s="9">
        <f>F591*H591</f>
        <v/>
      </c>
      <c r="N591" s="9">
        <f>L591-M591</f>
        <v/>
      </c>
      <c r="O591" s="11">
        <f>IFERROR(N591/L591, 0)</f>
        <v/>
      </c>
      <c r="P591" s="8">
        <f>YEAR(C591)</f>
        <v/>
      </c>
      <c r="Q591" s="8">
        <f>TEXT(C591, "yyyy-mm")</f>
        <v/>
      </c>
      <c r="R591" s="8" t="inlineStr">
        <is>
          <t>Direct Web</t>
        </is>
      </c>
      <c r="S591" s="8" t="inlineStr">
        <is>
          <t>REG-NA</t>
        </is>
      </c>
    </row>
    <row r="592">
      <c r="A592" s="8" t="inlineStr">
        <is>
          <t>DTL-0000598</t>
        </is>
      </c>
      <c r="B592" s="8" t="inlineStr">
        <is>
          <t>ORD-000292</t>
        </is>
      </c>
      <c r="C592" s="10" t="inlineStr">
        <is>
          <t>2024-11-19</t>
        </is>
      </c>
      <c r="D592" s="8" t="inlineStr">
        <is>
          <t>CUST-07116</t>
        </is>
      </c>
      <c r="E592" s="8" t="inlineStr">
        <is>
          <t>PRD-0337</t>
        </is>
      </c>
      <c r="F592" s="8" t="n">
        <v>3</v>
      </c>
      <c r="G592" s="9">
        <f>IFERROR(XLOOKUP(E592, '04_Products'!$A:$A, '04_Products'!$G:$G), 401.03)</f>
        <v/>
      </c>
      <c r="H592" s="9">
        <f>IFERROR(XLOOKUP(E592, '04_Products'!$A:$A, '04_Products'!$F:$F), 0)</f>
        <v/>
      </c>
      <c r="I592" s="9">
        <f>F592*G592</f>
        <v/>
      </c>
      <c r="J592" s="11" t="n">
        <v>0</v>
      </c>
      <c r="K592" s="9">
        <f>I592*J592</f>
        <v/>
      </c>
      <c r="L592" s="9">
        <f>I592-K592</f>
        <v/>
      </c>
      <c r="M592" s="9">
        <f>F592*H592</f>
        <v/>
      </c>
      <c r="N592" s="9">
        <f>L592-M592</f>
        <v/>
      </c>
      <c r="O592" s="11">
        <f>IFERROR(N592/L592, 0)</f>
        <v/>
      </c>
      <c r="P592" s="8">
        <f>YEAR(C592)</f>
        <v/>
      </c>
      <c r="Q592" s="8">
        <f>TEXT(C592, "yyyy-mm")</f>
        <v/>
      </c>
      <c r="R592" s="8" t="inlineStr">
        <is>
          <t>Direct Web</t>
        </is>
      </c>
      <c r="S592" s="8" t="inlineStr">
        <is>
          <t>REG-NA</t>
        </is>
      </c>
    </row>
    <row r="593">
      <c r="A593" s="8" t="inlineStr">
        <is>
          <t>DTL-0000599</t>
        </is>
      </c>
      <c r="B593" s="8" t="inlineStr">
        <is>
          <t>ORD-000292</t>
        </is>
      </c>
      <c r="C593" s="10" t="inlineStr">
        <is>
          <t>2024-11-19</t>
        </is>
      </c>
      <c r="D593" s="8" t="inlineStr">
        <is>
          <t>CUST-07116</t>
        </is>
      </c>
      <c r="E593" s="8" t="inlineStr">
        <is>
          <t>PRD-0211</t>
        </is>
      </c>
      <c r="F593" s="8" t="n">
        <v>2</v>
      </c>
      <c r="G593" s="9">
        <f>IFERROR(XLOOKUP(E593, '04_Products'!$A:$A, '04_Products'!$G:$G), 28.20)</f>
        <v/>
      </c>
      <c r="H593" s="9">
        <f>IFERROR(XLOOKUP(E593, '04_Products'!$A:$A, '04_Products'!$F:$F), 0)</f>
        <v/>
      </c>
      <c r="I593" s="9">
        <f>F593*G593</f>
        <v/>
      </c>
      <c r="J593" s="11" t="n">
        <v>0.05</v>
      </c>
      <c r="K593" s="9">
        <f>I593*J593</f>
        <v/>
      </c>
      <c r="L593" s="9">
        <f>I593-K593</f>
        <v/>
      </c>
      <c r="M593" s="9">
        <f>F593*H593</f>
        <v/>
      </c>
      <c r="N593" s="9">
        <f>L593-M593</f>
        <v/>
      </c>
      <c r="O593" s="11">
        <f>IFERROR(N593/L593, 0)</f>
        <v/>
      </c>
      <c r="P593" s="8">
        <f>YEAR(C593)</f>
        <v/>
      </c>
      <c r="Q593" s="8">
        <f>TEXT(C593, "yyyy-mm")</f>
        <v/>
      </c>
      <c r="R593" s="8" t="inlineStr">
        <is>
          <t>Direct Web</t>
        </is>
      </c>
      <c r="S593" s="8" t="inlineStr">
        <is>
          <t>REG-NA</t>
        </is>
      </c>
    </row>
    <row r="594">
      <c r="A594" s="8" t="inlineStr">
        <is>
          <t>DTL-0000600</t>
        </is>
      </c>
      <c r="B594" s="8" t="inlineStr">
        <is>
          <t>ORD-000293</t>
        </is>
      </c>
      <c r="C594" s="10" t="inlineStr">
        <is>
          <t>2023-02-07</t>
        </is>
      </c>
      <c r="D594" s="8" t="inlineStr">
        <is>
          <t>CUST-00672</t>
        </is>
      </c>
      <c r="E594" s="8" t="inlineStr">
        <is>
          <t>PRD-0235</t>
        </is>
      </c>
      <c r="F594" s="8" t="n">
        <v>5</v>
      </c>
      <c r="G594" s="9">
        <f>IFERROR(XLOOKUP(E594, '04_Products'!$A:$A, '04_Products'!$G:$G), 640.49)</f>
        <v/>
      </c>
      <c r="H594" s="9">
        <f>IFERROR(XLOOKUP(E594, '04_Products'!$A:$A, '04_Products'!$F:$F), 0)</f>
        <v/>
      </c>
      <c r="I594" s="9">
        <f>F594*G594</f>
        <v/>
      </c>
      <c r="J594" s="11" t="n">
        <v>0</v>
      </c>
      <c r="K594" s="9">
        <f>I594*J594</f>
        <v/>
      </c>
      <c r="L594" s="9">
        <f>I594-K594</f>
        <v/>
      </c>
      <c r="M594" s="9">
        <f>F594*H594</f>
        <v/>
      </c>
      <c r="N594" s="9">
        <f>L594-M594</f>
        <v/>
      </c>
      <c r="O594" s="11">
        <f>IFERROR(N594/L594, 0)</f>
        <v/>
      </c>
      <c r="P594" s="8">
        <f>YEAR(C594)</f>
        <v/>
      </c>
      <c r="Q594" s="8">
        <f>TEXT(C594, "yyyy-mm")</f>
        <v/>
      </c>
      <c r="R594" s="8" t="inlineStr">
        <is>
          <t>Affiliate Partner</t>
        </is>
      </c>
      <c r="S594" s="8" t="inlineStr">
        <is>
          <t>REG-NA</t>
        </is>
      </c>
    </row>
    <row r="595">
      <c r="A595" s="8" t="inlineStr">
        <is>
          <t>DTL-0000601</t>
        </is>
      </c>
      <c r="B595" s="8" t="inlineStr">
        <is>
          <t>ORD-000294</t>
        </is>
      </c>
      <c r="C595" s="10" t="inlineStr">
        <is>
          <t>2024-12-04</t>
        </is>
      </c>
      <c r="D595" s="8" t="inlineStr">
        <is>
          <t>CUST-02466</t>
        </is>
      </c>
      <c r="E595" s="8" t="inlineStr">
        <is>
          <t>PRD-0324</t>
        </is>
      </c>
      <c r="F595" s="8" t="n">
        <v>1</v>
      </c>
      <c r="G595" s="9">
        <f>IFERROR(XLOOKUP(E595, '04_Products'!$A:$A, '04_Products'!$G:$G), 229.24)</f>
        <v/>
      </c>
      <c r="H595" s="9">
        <f>IFERROR(XLOOKUP(E595, '04_Products'!$A:$A, '04_Products'!$F:$F), 0)</f>
        <v/>
      </c>
      <c r="I595" s="9">
        <f>F595*G595</f>
        <v/>
      </c>
      <c r="J595" s="11" t="n">
        <v>0.1</v>
      </c>
      <c r="K595" s="9">
        <f>I595*J595</f>
        <v/>
      </c>
      <c r="L595" s="9">
        <f>I595-K595</f>
        <v/>
      </c>
      <c r="M595" s="9">
        <f>F595*H595</f>
        <v/>
      </c>
      <c r="N595" s="9">
        <f>L595-M595</f>
        <v/>
      </c>
      <c r="O595" s="11">
        <f>IFERROR(N595/L595, 0)</f>
        <v/>
      </c>
      <c r="P595" s="8">
        <f>YEAR(C595)</f>
        <v/>
      </c>
      <c r="Q595" s="8">
        <f>TEXT(C595, "yyyy-mm")</f>
        <v/>
      </c>
      <c r="R595" s="8" t="inlineStr">
        <is>
          <t>Affiliate Partner</t>
        </is>
      </c>
      <c r="S595" s="8" t="inlineStr">
        <is>
          <t>REG-NA</t>
        </is>
      </c>
    </row>
    <row r="596">
      <c r="A596" s="8" t="inlineStr">
        <is>
          <t>DTL-0000602</t>
        </is>
      </c>
      <c r="B596" s="8" t="inlineStr">
        <is>
          <t>ORD-000294</t>
        </is>
      </c>
      <c r="C596" s="10" t="inlineStr">
        <is>
          <t>2024-12-04</t>
        </is>
      </c>
      <c r="D596" s="8" t="inlineStr">
        <is>
          <t>CUST-02466</t>
        </is>
      </c>
      <c r="E596" s="8" t="inlineStr">
        <is>
          <t>PRD-0457</t>
        </is>
      </c>
      <c r="F596" s="8" t="n">
        <v>8</v>
      </c>
      <c r="G596" s="9">
        <f>IFERROR(XLOOKUP(E596, '04_Products'!$A:$A, '04_Products'!$G:$G), 29.97)</f>
        <v/>
      </c>
      <c r="H596" s="9">
        <f>IFERROR(XLOOKUP(E596, '04_Products'!$A:$A, '04_Products'!$F:$F), 0)</f>
        <v/>
      </c>
      <c r="I596" s="9">
        <f>F596*G596</f>
        <v/>
      </c>
      <c r="J596" s="11" t="n">
        <v>0.15</v>
      </c>
      <c r="K596" s="9">
        <f>I596*J596</f>
        <v/>
      </c>
      <c r="L596" s="9">
        <f>I596-K596</f>
        <v/>
      </c>
      <c r="M596" s="9">
        <f>F596*H596</f>
        <v/>
      </c>
      <c r="N596" s="9">
        <f>L596-M596</f>
        <v/>
      </c>
      <c r="O596" s="11">
        <f>IFERROR(N596/L596, 0)</f>
        <v/>
      </c>
      <c r="P596" s="8">
        <f>YEAR(C596)</f>
        <v/>
      </c>
      <c r="Q596" s="8">
        <f>TEXT(C596, "yyyy-mm")</f>
        <v/>
      </c>
      <c r="R596" s="8" t="inlineStr">
        <is>
          <t>Affiliate Partner</t>
        </is>
      </c>
      <c r="S596" s="8" t="inlineStr">
        <is>
          <t>REG-NA</t>
        </is>
      </c>
    </row>
    <row r="597">
      <c r="A597" s="8" t="inlineStr">
        <is>
          <t>DTL-0000603</t>
        </is>
      </c>
      <c r="B597" s="8" t="inlineStr">
        <is>
          <t>ORD-000295</t>
        </is>
      </c>
      <c r="C597" s="10" t="inlineStr">
        <is>
          <t>2023-02-06</t>
        </is>
      </c>
      <c r="D597" s="8" t="inlineStr">
        <is>
          <t>CUST-02277</t>
        </is>
      </c>
      <c r="E597" s="8" t="inlineStr">
        <is>
          <t>PRD-0130</t>
        </is>
      </c>
      <c r="F597" s="8" t="n">
        <v>1</v>
      </c>
      <c r="G597" s="9">
        <f>IFERROR(XLOOKUP(E597, '04_Products'!$A:$A, '04_Products'!$G:$G), 593.34)</f>
        <v/>
      </c>
      <c r="H597" s="9">
        <f>IFERROR(XLOOKUP(E597, '04_Products'!$A:$A, '04_Products'!$F:$F), 0)</f>
        <v/>
      </c>
      <c r="I597" s="9">
        <f>F597*G597</f>
        <v/>
      </c>
      <c r="J597" s="11" t="n">
        <v>0.05</v>
      </c>
      <c r="K597" s="9">
        <f>I597*J597</f>
        <v/>
      </c>
      <c r="L597" s="9">
        <f>I597-K597</f>
        <v/>
      </c>
      <c r="M597" s="9">
        <f>F597*H597</f>
        <v/>
      </c>
      <c r="N597" s="9">
        <f>L597-M597</f>
        <v/>
      </c>
      <c r="O597" s="11">
        <f>IFERROR(N597/L597, 0)</f>
        <v/>
      </c>
      <c r="P597" s="8">
        <f>YEAR(C597)</f>
        <v/>
      </c>
      <c r="Q597" s="8">
        <f>TEXT(C597, "yyyy-mm")</f>
        <v/>
      </c>
      <c r="R597" s="8" t="inlineStr">
        <is>
          <t>B2B Portal</t>
        </is>
      </c>
      <c r="S597" s="8" t="inlineStr">
        <is>
          <t>REG-LATAM</t>
        </is>
      </c>
    </row>
    <row r="598">
      <c r="A598" s="8" t="inlineStr">
        <is>
          <t>DTL-0000604</t>
        </is>
      </c>
      <c r="B598" s="8" t="inlineStr">
        <is>
          <t>ORD-000295</t>
        </is>
      </c>
      <c r="C598" s="10" t="inlineStr">
        <is>
          <t>2023-02-06</t>
        </is>
      </c>
      <c r="D598" s="8" t="inlineStr">
        <is>
          <t>CUST-02277</t>
        </is>
      </c>
      <c r="E598" s="8" t="inlineStr">
        <is>
          <t>PRD-0147</t>
        </is>
      </c>
      <c r="F598" s="8" t="n">
        <v>3</v>
      </c>
      <c r="G598" s="9">
        <f>IFERROR(XLOOKUP(E598, '04_Products'!$A:$A, '04_Products'!$G:$G), 544.07)</f>
        <v/>
      </c>
      <c r="H598" s="9">
        <f>IFERROR(XLOOKUP(E598, '04_Products'!$A:$A, '04_Products'!$F:$F), 0)</f>
        <v/>
      </c>
      <c r="I598" s="9">
        <f>F598*G598</f>
        <v/>
      </c>
      <c r="J598" s="11" t="n">
        <v>0</v>
      </c>
      <c r="K598" s="9">
        <f>I598*J598</f>
        <v/>
      </c>
      <c r="L598" s="9">
        <f>I598-K598</f>
        <v/>
      </c>
      <c r="M598" s="9">
        <f>F598*H598</f>
        <v/>
      </c>
      <c r="N598" s="9">
        <f>L598-M598</f>
        <v/>
      </c>
      <c r="O598" s="11">
        <f>IFERROR(N598/L598, 0)</f>
        <v/>
      </c>
      <c r="P598" s="8">
        <f>YEAR(C598)</f>
        <v/>
      </c>
      <c r="Q598" s="8">
        <f>TEXT(C598, "yyyy-mm")</f>
        <v/>
      </c>
      <c r="R598" s="8" t="inlineStr">
        <is>
          <t>B2B Portal</t>
        </is>
      </c>
      <c r="S598" s="8" t="inlineStr">
        <is>
          <t>REG-LATAM</t>
        </is>
      </c>
    </row>
    <row r="599">
      <c r="A599" s="8" t="inlineStr">
        <is>
          <t>DTL-0000605</t>
        </is>
      </c>
      <c r="B599" s="8" t="inlineStr">
        <is>
          <t>ORD-000296</t>
        </is>
      </c>
      <c r="C599" s="10" t="inlineStr">
        <is>
          <t>2024-08-01</t>
        </is>
      </c>
      <c r="D599" s="8" t="inlineStr">
        <is>
          <t>CUST-00937</t>
        </is>
      </c>
      <c r="E599" s="8" t="inlineStr">
        <is>
          <t>PRD-0006</t>
        </is>
      </c>
      <c r="F599" s="8" t="n">
        <v>5</v>
      </c>
      <c r="G599" s="9">
        <f>IFERROR(XLOOKUP(E599, '04_Products'!$A:$A, '04_Products'!$G:$G), 64.34)</f>
        <v/>
      </c>
      <c r="H599" s="9">
        <f>IFERROR(XLOOKUP(E599, '04_Products'!$A:$A, '04_Products'!$F:$F), 0)</f>
        <v/>
      </c>
      <c r="I599" s="9">
        <f>F599*G599</f>
        <v/>
      </c>
      <c r="J599" s="11" t="n">
        <v>0.05</v>
      </c>
      <c r="K599" s="9">
        <f>I599*J599</f>
        <v/>
      </c>
      <c r="L599" s="9">
        <f>I599-K599</f>
        <v/>
      </c>
      <c r="M599" s="9">
        <f>F599*H599</f>
        <v/>
      </c>
      <c r="N599" s="9">
        <f>L599-M599</f>
        <v/>
      </c>
      <c r="O599" s="11">
        <f>IFERROR(N599/L599, 0)</f>
        <v/>
      </c>
      <c r="P599" s="8">
        <f>YEAR(C599)</f>
        <v/>
      </c>
      <c r="Q599" s="8">
        <f>TEXT(C599, "yyyy-mm")</f>
        <v/>
      </c>
      <c r="R599" s="8" t="inlineStr">
        <is>
          <t>B2B Portal</t>
        </is>
      </c>
      <c r="S599" s="8" t="inlineStr">
        <is>
          <t>REG-NA</t>
        </is>
      </c>
    </row>
    <row r="600">
      <c r="A600" s="8" t="inlineStr">
        <is>
          <t>DTL-0000606</t>
        </is>
      </c>
      <c r="B600" s="8" t="inlineStr">
        <is>
          <t>ORD-000296</t>
        </is>
      </c>
      <c r="C600" s="10" t="inlineStr">
        <is>
          <t>2024-08-01</t>
        </is>
      </c>
      <c r="D600" s="8" t="inlineStr">
        <is>
          <t>CUST-00937</t>
        </is>
      </c>
      <c r="E600" s="8" t="inlineStr">
        <is>
          <t>PRD-0463</t>
        </is>
      </c>
      <c r="F600" s="8" t="n">
        <v>2</v>
      </c>
      <c r="G600" s="9">
        <f>IFERROR(XLOOKUP(E600, '04_Products'!$A:$A, '04_Products'!$G:$G), 123.72)</f>
        <v/>
      </c>
      <c r="H600" s="9">
        <f>IFERROR(XLOOKUP(E600, '04_Products'!$A:$A, '04_Products'!$F:$F), 0)</f>
        <v/>
      </c>
      <c r="I600" s="9">
        <f>F600*G600</f>
        <v/>
      </c>
      <c r="J600" s="11" t="n">
        <v>0</v>
      </c>
      <c r="K600" s="9">
        <f>I600*J600</f>
        <v/>
      </c>
      <c r="L600" s="9">
        <f>I600-K600</f>
        <v/>
      </c>
      <c r="M600" s="9">
        <f>F600*H600</f>
        <v/>
      </c>
      <c r="N600" s="9">
        <f>L600-M600</f>
        <v/>
      </c>
      <c r="O600" s="11">
        <f>IFERROR(N600/L600, 0)</f>
        <v/>
      </c>
      <c r="P600" s="8">
        <f>YEAR(C600)</f>
        <v/>
      </c>
      <c r="Q600" s="8">
        <f>TEXT(C600, "yyyy-mm")</f>
        <v/>
      </c>
      <c r="R600" s="8" t="inlineStr">
        <is>
          <t>B2B Portal</t>
        </is>
      </c>
      <c r="S600" s="8" t="inlineStr">
        <is>
          <t>REG-NA</t>
        </is>
      </c>
    </row>
    <row r="601">
      <c r="A601" s="8" t="inlineStr">
        <is>
          <t>DTL-0000607</t>
        </is>
      </c>
      <c r="B601" s="8" t="inlineStr">
        <is>
          <t>ORD-000297</t>
        </is>
      </c>
      <c r="C601" s="10" t="inlineStr">
        <is>
          <t>2024-11-26</t>
        </is>
      </c>
      <c r="D601" s="8" t="inlineStr">
        <is>
          <t>CUST-05579</t>
        </is>
      </c>
      <c r="E601" s="8" t="inlineStr">
        <is>
          <t>PRD-0091</t>
        </is>
      </c>
      <c r="F601" s="8" t="n">
        <v>1</v>
      </c>
      <c r="G601" s="9">
        <f>IFERROR(XLOOKUP(E601, '04_Products'!$A:$A, '04_Products'!$G:$G), 57.04)</f>
        <v/>
      </c>
      <c r="H601" s="9">
        <f>IFERROR(XLOOKUP(E601, '04_Products'!$A:$A, '04_Products'!$F:$F), 0)</f>
        <v/>
      </c>
      <c r="I601" s="9">
        <f>F601*G601</f>
        <v/>
      </c>
      <c r="J601" s="11" t="n">
        <v>0</v>
      </c>
      <c r="K601" s="9">
        <f>I601*J601</f>
        <v/>
      </c>
      <c r="L601" s="9">
        <f>I601-K601</f>
        <v/>
      </c>
      <c r="M601" s="9">
        <f>F601*H601</f>
        <v/>
      </c>
      <c r="N601" s="9">
        <f>L601-M601</f>
        <v/>
      </c>
      <c r="O601" s="11">
        <f>IFERROR(N601/L601, 0)</f>
        <v/>
      </c>
      <c r="P601" s="8">
        <f>YEAR(C601)</f>
        <v/>
      </c>
      <c r="Q601" s="8">
        <f>TEXT(C601, "yyyy-mm")</f>
        <v/>
      </c>
      <c r="R601" s="8" t="inlineStr">
        <is>
          <t>Direct Web</t>
        </is>
      </c>
      <c r="S601" s="8" t="inlineStr">
        <is>
          <t>REG-NA</t>
        </is>
      </c>
    </row>
    <row r="602">
      <c r="A602" s="8" t="inlineStr">
        <is>
          <t>DTL-0000608</t>
        </is>
      </c>
      <c r="B602" s="8" t="inlineStr">
        <is>
          <t>ORD-000298</t>
        </is>
      </c>
      <c r="C602" s="10" t="inlineStr">
        <is>
          <t>2025-11-14</t>
        </is>
      </c>
      <c r="D602" s="8" t="inlineStr">
        <is>
          <t>CUST-00902</t>
        </is>
      </c>
      <c r="E602" s="8" t="inlineStr">
        <is>
          <t>PRD-0332</t>
        </is>
      </c>
      <c r="F602" s="8" t="n">
        <v>1</v>
      </c>
      <c r="G602" s="9">
        <f>IFERROR(XLOOKUP(E602, '04_Products'!$A:$A, '04_Products'!$G:$G), 82.03)</f>
        <v/>
      </c>
      <c r="H602" s="9">
        <f>IFERROR(XLOOKUP(E602, '04_Products'!$A:$A, '04_Products'!$F:$F), 0)</f>
        <v/>
      </c>
      <c r="I602" s="9">
        <f>F602*G602</f>
        <v/>
      </c>
      <c r="J602" s="11" t="n">
        <v>0</v>
      </c>
      <c r="K602" s="9">
        <f>I602*J602</f>
        <v/>
      </c>
      <c r="L602" s="9">
        <f>I602-K602</f>
        <v/>
      </c>
      <c r="M602" s="9">
        <f>F602*H602</f>
        <v/>
      </c>
      <c r="N602" s="9">
        <f>L602-M602</f>
        <v/>
      </c>
      <c r="O602" s="11">
        <f>IFERROR(N602/L602, 0)</f>
        <v/>
      </c>
      <c r="P602" s="8">
        <f>YEAR(C602)</f>
        <v/>
      </c>
      <c r="Q602" s="8">
        <f>TEXT(C602, "yyyy-mm")</f>
        <v/>
      </c>
      <c r="R602" s="8" t="inlineStr">
        <is>
          <t>B2B Portal</t>
        </is>
      </c>
      <c r="S602" s="8" t="inlineStr">
        <is>
          <t>REG-EU</t>
        </is>
      </c>
    </row>
    <row r="603">
      <c r="A603" s="8" t="inlineStr">
        <is>
          <t>DTL-0000609</t>
        </is>
      </c>
      <c r="B603" s="8" t="inlineStr">
        <is>
          <t>ORD-000298</t>
        </is>
      </c>
      <c r="C603" s="10" t="inlineStr">
        <is>
          <t>2025-11-14</t>
        </is>
      </c>
      <c r="D603" s="8" t="inlineStr">
        <is>
          <t>CUST-00902</t>
        </is>
      </c>
      <c r="E603" s="8" t="inlineStr">
        <is>
          <t>PRD-0488</t>
        </is>
      </c>
      <c r="F603" s="8" t="n">
        <v>3</v>
      </c>
      <c r="G603" s="9">
        <f>IFERROR(XLOOKUP(E603, '04_Products'!$A:$A, '04_Products'!$G:$G), 54.77)</f>
        <v/>
      </c>
      <c r="H603" s="9">
        <f>IFERROR(XLOOKUP(E603, '04_Products'!$A:$A, '04_Products'!$F:$F), 0)</f>
        <v/>
      </c>
      <c r="I603" s="9">
        <f>F603*G603</f>
        <v/>
      </c>
      <c r="J603" s="11" t="n">
        <v>0.05</v>
      </c>
      <c r="K603" s="9">
        <f>I603*J603</f>
        <v/>
      </c>
      <c r="L603" s="9">
        <f>I603-K603</f>
        <v/>
      </c>
      <c r="M603" s="9">
        <f>F603*H603</f>
        <v/>
      </c>
      <c r="N603" s="9">
        <f>L603-M603</f>
        <v/>
      </c>
      <c r="O603" s="11">
        <f>IFERROR(N603/L603, 0)</f>
        <v/>
      </c>
      <c r="P603" s="8">
        <f>YEAR(C603)</f>
        <v/>
      </c>
      <c r="Q603" s="8">
        <f>TEXT(C603, "yyyy-mm")</f>
        <v/>
      </c>
      <c r="R603" s="8" t="inlineStr">
        <is>
          <t>B2B Portal</t>
        </is>
      </c>
      <c r="S603" s="8" t="inlineStr">
        <is>
          <t>REG-EU</t>
        </is>
      </c>
    </row>
    <row r="604">
      <c r="A604" s="8" t="inlineStr">
        <is>
          <t>DTL-0000610</t>
        </is>
      </c>
      <c r="B604" s="8" t="inlineStr">
        <is>
          <t>ORD-000299</t>
        </is>
      </c>
      <c r="C604" s="10" t="inlineStr">
        <is>
          <t>2025-07-04</t>
        </is>
      </c>
      <c r="D604" s="8" t="inlineStr">
        <is>
          <t>CUST-00049</t>
        </is>
      </c>
      <c r="E604" s="8" t="inlineStr">
        <is>
          <t>PRD-0452</t>
        </is>
      </c>
      <c r="F604" s="8" t="n">
        <v>1</v>
      </c>
      <c r="G604" s="9">
        <f>IFERROR(XLOOKUP(E604, '04_Products'!$A:$A, '04_Products'!$G:$G), 52.31)</f>
        <v/>
      </c>
      <c r="H604" s="9">
        <f>IFERROR(XLOOKUP(E604, '04_Products'!$A:$A, '04_Products'!$F:$F), 0)</f>
        <v/>
      </c>
      <c r="I604" s="9">
        <f>F604*G604</f>
        <v/>
      </c>
      <c r="J604" s="11" t="n">
        <v>0.05</v>
      </c>
      <c r="K604" s="9">
        <f>I604*J604</f>
        <v/>
      </c>
      <c r="L604" s="9">
        <f>I604-K604</f>
        <v/>
      </c>
      <c r="M604" s="9">
        <f>F604*H604</f>
        <v/>
      </c>
      <c r="N604" s="9">
        <f>L604-M604</f>
        <v/>
      </c>
      <c r="O604" s="11">
        <f>IFERROR(N604/L604, 0)</f>
        <v/>
      </c>
      <c r="P604" s="8">
        <f>YEAR(C604)</f>
        <v/>
      </c>
      <c r="Q604" s="8">
        <f>TEXT(C604, "yyyy-mm")</f>
        <v/>
      </c>
      <c r="R604" s="8" t="inlineStr">
        <is>
          <t>Mobile App</t>
        </is>
      </c>
      <c r="S604" s="8" t="inlineStr">
        <is>
          <t>REG-APAC</t>
        </is>
      </c>
    </row>
    <row r="605">
      <c r="A605" s="8" t="inlineStr">
        <is>
          <t>DTL-0000611</t>
        </is>
      </c>
      <c r="B605" s="8" t="inlineStr">
        <is>
          <t>ORD-000300</t>
        </is>
      </c>
      <c r="C605" s="10" t="inlineStr">
        <is>
          <t>2025-11-27</t>
        </is>
      </c>
      <c r="D605" s="8" t="inlineStr">
        <is>
          <t>CUST-01518</t>
        </is>
      </c>
      <c r="E605" s="8" t="inlineStr">
        <is>
          <t>PRD-0197</t>
        </is>
      </c>
      <c r="F605" s="8" t="n">
        <v>1</v>
      </c>
      <c r="G605" s="9">
        <f>IFERROR(XLOOKUP(E605, '04_Products'!$A:$A, '04_Products'!$G:$G), 810.85)</f>
        <v/>
      </c>
      <c r="H605" s="9">
        <f>IFERROR(XLOOKUP(E605, '04_Products'!$A:$A, '04_Products'!$F:$F), 0)</f>
        <v/>
      </c>
      <c r="I605" s="9">
        <f>F605*G605</f>
        <v/>
      </c>
      <c r="J605" s="11" t="n">
        <v>0</v>
      </c>
      <c r="K605" s="9">
        <f>I605*J605</f>
        <v/>
      </c>
      <c r="L605" s="9">
        <f>I605-K605</f>
        <v/>
      </c>
      <c r="M605" s="9">
        <f>F605*H605</f>
        <v/>
      </c>
      <c r="N605" s="9">
        <f>L605-M605</f>
        <v/>
      </c>
      <c r="O605" s="11">
        <f>IFERROR(N605/L605, 0)</f>
        <v/>
      </c>
      <c r="P605" s="8">
        <f>YEAR(C605)</f>
        <v/>
      </c>
      <c r="Q605" s="8">
        <f>TEXT(C605, "yyyy-mm")</f>
        <v/>
      </c>
      <c r="R605" s="8" t="inlineStr">
        <is>
          <t>B2B Portal</t>
        </is>
      </c>
      <c r="S605" s="8" t="inlineStr">
        <is>
          <t>REG-EU</t>
        </is>
      </c>
    </row>
    <row r="606">
      <c r="A606" s="8" t="inlineStr">
        <is>
          <t>DTL-0000612</t>
        </is>
      </c>
      <c r="B606" s="8" t="inlineStr">
        <is>
          <t>ORD-000300</t>
        </is>
      </c>
      <c r="C606" s="10" t="inlineStr">
        <is>
          <t>2025-11-27</t>
        </is>
      </c>
      <c r="D606" s="8" t="inlineStr">
        <is>
          <t>CUST-01518</t>
        </is>
      </c>
      <c r="E606" s="8" t="inlineStr">
        <is>
          <t>PRD-0016</t>
        </is>
      </c>
      <c r="F606" s="8" t="n">
        <v>1</v>
      </c>
      <c r="G606" s="9">
        <f>IFERROR(XLOOKUP(E606, '04_Products'!$A:$A, '04_Products'!$G:$G), 160.40)</f>
        <v/>
      </c>
      <c r="H606" s="9">
        <f>IFERROR(XLOOKUP(E606, '04_Products'!$A:$A, '04_Products'!$F:$F), 0)</f>
        <v/>
      </c>
      <c r="I606" s="9">
        <f>F606*G606</f>
        <v/>
      </c>
      <c r="J606" s="11" t="n">
        <v>0.15</v>
      </c>
      <c r="K606" s="9">
        <f>I606*J606</f>
        <v/>
      </c>
      <c r="L606" s="9">
        <f>I606-K606</f>
        <v/>
      </c>
      <c r="M606" s="9">
        <f>F606*H606</f>
        <v/>
      </c>
      <c r="N606" s="9">
        <f>L606-M606</f>
        <v/>
      </c>
      <c r="O606" s="11">
        <f>IFERROR(N606/L606, 0)</f>
        <v/>
      </c>
      <c r="P606" s="8">
        <f>YEAR(C606)</f>
        <v/>
      </c>
      <c r="Q606" s="8">
        <f>TEXT(C606, "yyyy-mm")</f>
        <v/>
      </c>
      <c r="R606" s="8" t="inlineStr">
        <is>
          <t>B2B Portal</t>
        </is>
      </c>
      <c r="S606" s="8" t="inlineStr">
        <is>
          <t>REG-EU</t>
        </is>
      </c>
    </row>
    <row r="607">
      <c r="A607" s="8" t="inlineStr">
        <is>
          <t>DTL-0000613</t>
        </is>
      </c>
      <c r="B607" s="8" t="inlineStr">
        <is>
          <t>ORD-000300</t>
        </is>
      </c>
      <c r="C607" s="10" t="inlineStr">
        <is>
          <t>2025-11-27</t>
        </is>
      </c>
      <c r="D607" s="8" t="inlineStr">
        <is>
          <t>CUST-01518</t>
        </is>
      </c>
      <c r="E607" s="8" t="inlineStr">
        <is>
          <t>PRD-0441</t>
        </is>
      </c>
      <c r="F607" s="8" t="n">
        <v>3</v>
      </c>
      <c r="G607" s="9">
        <f>IFERROR(XLOOKUP(E607, '04_Products'!$A:$A, '04_Products'!$G:$G), 1128.16)</f>
        <v/>
      </c>
      <c r="H607" s="9">
        <f>IFERROR(XLOOKUP(E607, '04_Products'!$A:$A, '04_Products'!$F:$F), 0)</f>
        <v/>
      </c>
      <c r="I607" s="9">
        <f>F607*G607</f>
        <v/>
      </c>
      <c r="J607" s="11" t="n">
        <v>0.05</v>
      </c>
      <c r="K607" s="9">
        <f>I607*J607</f>
        <v/>
      </c>
      <c r="L607" s="9">
        <f>I607-K607</f>
        <v/>
      </c>
      <c r="M607" s="9">
        <f>F607*H607</f>
        <v/>
      </c>
      <c r="N607" s="9">
        <f>L607-M607</f>
        <v/>
      </c>
      <c r="O607" s="11">
        <f>IFERROR(N607/L607, 0)</f>
        <v/>
      </c>
      <c r="P607" s="8">
        <f>YEAR(C607)</f>
        <v/>
      </c>
      <c r="Q607" s="8">
        <f>TEXT(C607, "yyyy-mm")</f>
        <v/>
      </c>
      <c r="R607" s="8" t="inlineStr">
        <is>
          <t>B2B Portal</t>
        </is>
      </c>
      <c r="S607" s="8" t="inlineStr">
        <is>
          <t>REG-EU</t>
        </is>
      </c>
    </row>
    <row r="608">
      <c r="A608" s="8" t="inlineStr">
        <is>
          <t>DTL-0000614</t>
        </is>
      </c>
      <c r="B608" s="8" t="inlineStr">
        <is>
          <t>ORD-000301</t>
        </is>
      </c>
      <c r="C608" s="10" t="inlineStr">
        <is>
          <t>2024-08-14</t>
        </is>
      </c>
      <c r="D608" s="8" t="inlineStr">
        <is>
          <t>CUST-04826</t>
        </is>
      </c>
      <c r="E608" s="8" t="inlineStr">
        <is>
          <t>PRD-0414</t>
        </is>
      </c>
      <c r="F608" s="8" t="n">
        <v>1</v>
      </c>
      <c r="G608" s="9">
        <f>IFERROR(XLOOKUP(E608, '04_Products'!$A:$A, '04_Products'!$G:$G), 101.77)</f>
        <v/>
      </c>
      <c r="H608" s="9">
        <f>IFERROR(XLOOKUP(E608, '04_Products'!$A:$A, '04_Products'!$F:$F), 0)</f>
        <v/>
      </c>
      <c r="I608" s="9">
        <f>F608*G608</f>
        <v/>
      </c>
      <c r="J608" s="11" t="n">
        <v>0</v>
      </c>
      <c r="K608" s="9">
        <f>I608*J608</f>
        <v/>
      </c>
      <c r="L608" s="9">
        <f>I608-K608</f>
        <v/>
      </c>
      <c r="M608" s="9">
        <f>F608*H608</f>
        <v/>
      </c>
      <c r="N608" s="9">
        <f>L608-M608</f>
        <v/>
      </c>
      <c r="O608" s="11">
        <f>IFERROR(N608/L608, 0)</f>
        <v/>
      </c>
      <c r="P608" s="8">
        <f>YEAR(C608)</f>
        <v/>
      </c>
      <c r="Q608" s="8">
        <f>TEXT(C608, "yyyy-mm")</f>
        <v/>
      </c>
      <c r="R608" s="8" t="inlineStr">
        <is>
          <t>Mobile App</t>
        </is>
      </c>
      <c r="S608" s="8" t="inlineStr">
        <is>
          <t>REG-APAC</t>
        </is>
      </c>
    </row>
    <row r="609">
      <c r="A609" s="8" t="inlineStr">
        <is>
          <t>DTL-0000615</t>
        </is>
      </c>
      <c r="B609" s="8" t="inlineStr">
        <is>
          <t>ORD-000302</t>
        </is>
      </c>
      <c r="C609" s="10" t="inlineStr">
        <is>
          <t>2024-10-11</t>
        </is>
      </c>
      <c r="D609" s="8" t="inlineStr">
        <is>
          <t>CUST-06234</t>
        </is>
      </c>
      <c r="E609" s="8" t="inlineStr">
        <is>
          <t>PRD-0340</t>
        </is>
      </c>
      <c r="F609" s="8" t="n">
        <v>4</v>
      </c>
      <c r="G609" s="9">
        <f>IFERROR(XLOOKUP(E609, '04_Products'!$A:$A, '04_Products'!$G:$G), 11.87)</f>
        <v/>
      </c>
      <c r="H609" s="9">
        <f>IFERROR(XLOOKUP(E609, '04_Products'!$A:$A, '04_Products'!$F:$F), 0)</f>
        <v/>
      </c>
      <c r="I609" s="9">
        <f>F609*G609</f>
        <v/>
      </c>
      <c r="J609" s="11" t="n">
        <v>0</v>
      </c>
      <c r="K609" s="9">
        <f>I609*J609</f>
        <v/>
      </c>
      <c r="L609" s="9">
        <f>I609-K609</f>
        <v/>
      </c>
      <c r="M609" s="9">
        <f>F609*H609</f>
        <v/>
      </c>
      <c r="N609" s="9">
        <f>L609-M609</f>
        <v/>
      </c>
      <c r="O609" s="11">
        <f>IFERROR(N609/L609, 0)</f>
        <v/>
      </c>
      <c r="P609" s="8">
        <f>YEAR(C609)</f>
        <v/>
      </c>
      <c r="Q609" s="8">
        <f>TEXT(C609, "yyyy-mm")</f>
        <v/>
      </c>
      <c r="R609" s="8" t="inlineStr">
        <is>
          <t>Direct Web</t>
        </is>
      </c>
      <c r="S609" s="8" t="inlineStr">
        <is>
          <t>REG-NA</t>
        </is>
      </c>
    </row>
    <row r="610">
      <c r="A610" s="8" t="inlineStr">
        <is>
          <t>DTL-0000616</t>
        </is>
      </c>
      <c r="B610" s="8" t="inlineStr">
        <is>
          <t>ORD-000303</t>
        </is>
      </c>
      <c r="C610" s="10" t="inlineStr">
        <is>
          <t>2023-06-12</t>
        </is>
      </c>
      <c r="D610" s="8" t="inlineStr">
        <is>
          <t>CUST-01748</t>
        </is>
      </c>
      <c r="E610" s="8" t="inlineStr">
        <is>
          <t>PRD-0416</t>
        </is>
      </c>
      <c r="F610" s="8" t="n">
        <v>2</v>
      </c>
      <c r="G610" s="9">
        <f>IFERROR(XLOOKUP(E610, '04_Products'!$A:$A, '04_Products'!$G:$G), 39.54)</f>
        <v/>
      </c>
      <c r="H610" s="9">
        <f>IFERROR(XLOOKUP(E610, '04_Products'!$A:$A, '04_Products'!$F:$F), 0)</f>
        <v/>
      </c>
      <c r="I610" s="9">
        <f>F610*G610</f>
        <v/>
      </c>
      <c r="J610" s="11" t="n">
        <v>0.05</v>
      </c>
      <c r="K610" s="9">
        <f>I610*J610</f>
        <v/>
      </c>
      <c r="L610" s="9">
        <f>I610-K610</f>
        <v/>
      </c>
      <c r="M610" s="9">
        <f>F610*H610</f>
        <v/>
      </c>
      <c r="N610" s="9">
        <f>L610-M610</f>
        <v/>
      </c>
      <c r="O610" s="11">
        <f>IFERROR(N610/L610, 0)</f>
        <v/>
      </c>
      <c r="P610" s="8">
        <f>YEAR(C610)</f>
        <v/>
      </c>
      <c r="Q610" s="8">
        <f>TEXT(C610, "yyyy-mm")</f>
        <v/>
      </c>
      <c r="R610" s="8" t="inlineStr">
        <is>
          <t>Direct Web</t>
        </is>
      </c>
      <c r="S610" s="8" t="inlineStr">
        <is>
          <t>REG-NA</t>
        </is>
      </c>
    </row>
    <row r="611">
      <c r="A611" s="8" t="inlineStr">
        <is>
          <t>DTL-0000617</t>
        </is>
      </c>
      <c r="B611" s="8" t="inlineStr">
        <is>
          <t>ORD-000304</t>
        </is>
      </c>
      <c r="C611" s="10" t="inlineStr">
        <is>
          <t>2023-12-24</t>
        </is>
      </c>
      <c r="D611" s="8" t="inlineStr">
        <is>
          <t>CUST-00572</t>
        </is>
      </c>
      <c r="E611" s="8" t="inlineStr">
        <is>
          <t>PRD-0329</t>
        </is>
      </c>
      <c r="F611" s="8" t="n">
        <v>2</v>
      </c>
      <c r="G611" s="9">
        <f>IFERROR(XLOOKUP(E611, '04_Products'!$A:$A, '04_Products'!$G:$G), 1014.02)</f>
        <v/>
      </c>
      <c r="H611" s="9">
        <f>IFERROR(XLOOKUP(E611, '04_Products'!$A:$A, '04_Products'!$F:$F), 0)</f>
        <v/>
      </c>
      <c r="I611" s="9">
        <f>F611*G611</f>
        <v/>
      </c>
      <c r="J611" s="11" t="n">
        <v>0</v>
      </c>
      <c r="K611" s="9">
        <f>I611*J611</f>
        <v/>
      </c>
      <c r="L611" s="9">
        <f>I611-K611</f>
        <v/>
      </c>
      <c r="M611" s="9">
        <f>F611*H611</f>
        <v/>
      </c>
      <c r="N611" s="9">
        <f>L611-M611</f>
        <v/>
      </c>
      <c r="O611" s="11">
        <f>IFERROR(N611/L611, 0)</f>
        <v/>
      </c>
      <c r="P611" s="8">
        <f>YEAR(C611)</f>
        <v/>
      </c>
      <c r="Q611" s="8">
        <f>TEXT(C611, "yyyy-mm")</f>
        <v/>
      </c>
      <c r="R611" s="8" t="inlineStr">
        <is>
          <t>Mobile App</t>
        </is>
      </c>
      <c r="S611" s="8" t="inlineStr">
        <is>
          <t>REG-LATAM</t>
        </is>
      </c>
    </row>
    <row r="612">
      <c r="A612" s="8" t="inlineStr">
        <is>
          <t>DTL-0000618</t>
        </is>
      </c>
      <c r="B612" s="8" t="inlineStr">
        <is>
          <t>ORD-000305</t>
        </is>
      </c>
      <c r="C612" s="10" t="inlineStr">
        <is>
          <t>2024-01-02</t>
        </is>
      </c>
      <c r="D612" s="8" t="inlineStr">
        <is>
          <t>CUST-06674</t>
        </is>
      </c>
      <c r="E612" s="8" t="inlineStr">
        <is>
          <t>PRD-0442</t>
        </is>
      </c>
      <c r="F612" s="8" t="n">
        <v>3</v>
      </c>
      <c r="G612" s="9">
        <f>IFERROR(XLOOKUP(E612, '04_Products'!$A:$A, '04_Products'!$G:$G), 883.50)</f>
        <v/>
      </c>
      <c r="H612" s="9">
        <f>IFERROR(XLOOKUP(E612, '04_Products'!$A:$A, '04_Products'!$F:$F), 0)</f>
        <v/>
      </c>
      <c r="I612" s="9">
        <f>F612*G612</f>
        <v/>
      </c>
      <c r="J612" s="11" t="n">
        <v>0.1</v>
      </c>
      <c r="K612" s="9">
        <f>I612*J612</f>
        <v/>
      </c>
      <c r="L612" s="9">
        <f>I612-K612</f>
        <v/>
      </c>
      <c r="M612" s="9">
        <f>F612*H612</f>
        <v/>
      </c>
      <c r="N612" s="9">
        <f>L612-M612</f>
        <v/>
      </c>
      <c r="O612" s="11">
        <f>IFERROR(N612/L612, 0)</f>
        <v/>
      </c>
      <c r="P612" s="8">
        <f>YEAR(C612)</f>
        <v/>
      </c>
      <c r="Q612" s="8">
        <f>TEXT(C612, "yyyy-mm")</f>
        <v/>
      </c>
      <c r="R612" s="8" t="inlineStr">
        <is>
          <t>Direct Web</t>
        </is>
      </c>
      <c r="S612" s="8" t="inlineStr">
        <is>
          <t>REG-EU</t>
        </is>
      </c>
    </row>
    <row r="613">
      <c r="A613" s="8" t="inlineStr">
        <is>
          <t>DTL-0000619</t>
        </is>
      </c>
      <c r="B613" s="8" t="inlineStr">
        <is>
          <t>ORD-000305</t>
        </is>
      </c>
      <c r="C613" s="10" t="inlineStr">
        <is>
          <t>2024-01-02</t>
        </is>
      </c>
      <c r="D613" s="8" t="inlineStr">
        <is>
          <t>CUST-06674</t>
        </is>
      </c>
      <c r="E613" s="8" t="inlineStr">
        <is>
          <t>PRD-0451</t>
        </is>
      </c>
      <c r="F613" s="8" t="n">
        <v>1</v>
      </c>
      <c r="G613" s="9">
        <f>IFERROR(XLOOKUP(E613, '04_Products'!$A:$A, '04_Products'!$G:$G), 664.94)</f>
        <v/>
      </c>
      <c r="H613" s="9">
        <f>IFERROR(XLOOKUP(E613, '04_Products'!$A:$A, '04_Products'!$F:$F), 0)</f>
        <v/>
      </c>
      <c r="I613" s="9">
        <f>F613*G613</f>
        <v/>
      </c>
      <c r="J613" s="11" t="n">
        <v>0.25</v>
      </c>
      <c r="K613" s="9">
        <f>I613*J613</f>
        <v/>
      </c>
      <c r="L613" s="9">
        <f>I613-K613</f>
        <v/>
      </c>
      <c r="M613" s="9">
        <f>F613*H613</f>
        <v/>
      </c>
      <c r="N613" s="9">
        <f>L613-M613</f>
        <v/>
      </c>
      <c r="O613" s="11">
        <f>IFERROR(N613/L613, 0)</f>
        <v/>
      </c>
      <c r="P613" s="8">
        <f>YEAR(C613)</f>
        <v/>
      </c>
      <c r="Q613" s="8">
        <f>TEXT(C613, "yyyy-mm")</f>
        <v/>
      </c>
      <c r="R613" s="8" t="inlineStr">
        <is>
          <t>Direct Web</t>
        </is>
      </c>
      <c r="S613" s="8" t="inlineStr">
        <is>
          <t>REG-EU</t>
        </is>
      </c>
    </row>
    <row r="614">
      <c r="A614" s="8" t="inlineStr">
        <is>
          <t>DTL-0000620</t>
        </is>
      </c>
      <c r="B614" s="8" t="inlineStr">
        <is>
          <t>ORD-000305</t>
        </is>
      </c>
      <c r="C614" s="10" t="inlineStr">
        <is>
          <t>2024-01-02</t>
        </is>
      </c>
      <c r="D614" s="8" t="inlineStr">
        <is>
          <t>CUST-06674</t>
        </is>
      </c>
      <c r="E614" s="8" t="inlineStr">
        <is>
          <t>PRD-0404</t>
        </is>
      </c>
      <c r="F614" s="8" t="n">
        <v>2</v>
      </c>
      <c r="G614" s="9">
        <f>IFERROR(XLOOKUP(E614, '04_Products'!$A:$A, '04_Products'!$G:$G), 23.86)</f>
        <v/>
      </c>
      <c r="H614" s="9">
        <f>IFERROR(XLOOKUP(E614, '04_Products'!$A:$A, '04_Products'!$F:$F), 0)</f>
        <v/>
      </c>
      <c r="I614" s="9">
        <f>F614*G614</f>
        <v/>
      </c>
      <c r="J614" s="11" t="n">
        <v>0.05</v>
      </c>
      <c r="K614" s="9">
        <f>I614*J614</f>
        <v/>
      </c>
      <c r="L614" s="9">
        <f>I614-K614</f>
        <v/>
      </c>
      <c r="M614" s="9">
        <f>F614*H614</f>
        <v/>
      </c>
      <c r="N614" s="9">
        <f>L614-M614</f>
        <v/>
      </c>
      <c r="O614" s="11">
        <f>IFERROR(N614/L614, 0)</f>
        <v/>
      </c>
      <c r="P614" s="8">
        <f>YEAR(C614)</f>
        <v/>
      </c>
      <c r="Q614" s="8">
        <f>TEXT(C614, "yyyy-mm")</f>
        <v/>
      </c>
      <c r="R614" s="8" t="inlineStr">
        <is>
          <t>Direct Web</t>
        </is>
      </c>
      <c r="S614" s="8" t="inlineStr">
        <is>
          <t>REG-EU</t>
        </is>
      </c>
    </row>
    <row r="615">
      <c r="A615" s="8" t="inlineStr">
        <is>
          <t>DTL-0000621</t>
        </is>
      </c>
      <c r="B615" s="8" t="inlineStr">
        <is>
          <t>ORD-000306</t>
        </is>
      </c>
      <c r="C615" s="10" t="inlineStr">
        <is>
          <t>2023-05-20</t>
        </is>
      </c>
      <c r="D615" s="8" t="inlineStr">
        <is>
          <t>CUST-05984</t>
        </is>
      </c>
      <c r="E615" s="8" t="inlineStr">
        <is>
          <t>PRD-0328</t>
        </is>
      </c>
      <c r="F615" s="8" t="n">
        <v>2</v>
      </c>
      <c r="G615" s="9">
        <f>IFERROR(XLOOKUP(E615, '04_Products'!$A:$A, '04_Products'!$G:$G), 1149.59)</f>
        <v/>
      </c>
      <c r="H615" s="9">
        <f>IFERROR(XLOOKUP(E615, '04_Products'!$A:$A, '04_Products'!$F:$F), 0)</f>
        <v/>
      </c>
      <c r="I615" s="9">
        <f>F615*G615</f>
        <v/>
      </c>
      <c r="J615" s="11" t="n">
        <v>0.15</v>
      </c>
      <c r="K615" s="9">
        <f>I615*J615</f>
        <v/>
      </c>
      <c r="L615" s="9">
        <f>I615-K615</f>
        <v/>
      </c>
      <c r="M615" s="9">
        <f>F615*H615</f>
        <v/>
      </c>
      <c r="N615" s="9">
        <f>L615-M615</f>
        <v/>
      </c>
      <c r="O615" s="11">
        <f>IFERROR(N615/L615, 0)</f>
        <v/>
      </c>
      <c r="P615" s="8">
        <f>YEAR(C615)</f>
        <v/>
      </c>
      <c r="Q615" s="8">
        <f>TEXT(C615, "yyyy-mm")</f>
        <v/>
      </c>
      <c r="R615" s="8" t="inlineStr">
        <is>
          <t>Direct Web</t>
        </is>
      </c>
      <c r="S615" s="8" t="inlineStr">
        <is>
          <t>REG-NA</t>
        </is>
      </c>
    </row>
    <row r="616">
      <c r="A616" s="8" t="inlineStr">
        <is>
          <t>DTL-0000622</t>
        </is>
      </c>
      <c r="B616" s="8" t="inlineStr">
        <is>
          <t>ORD-000306</t>
        </is>
      </c>
      <c r="C616" s="10" t="inlineStr">
        <is>
          <t>2023-05-20</t>
        </is>
      </c>
      <c r="D616" s="8" t="inlineStr">
        <is>
          <t>CUST-05984</t>
        </is>
      </c>
      <c r="E616" s="8" t="inlineStr">
        <is>
          <t>PRD-0334</t>
        </is>
      </c>
      <c r="F616" s="8" t="n">
        <v>2</v>
      </c>
      <c r="G616" s="9">
        <f>IFERROR(XLOOKUP(E616, '04_Products'!$A:$A, '04_Products'!$G:$G), 874.67)</f>
        <v/>
      </c>
      <c r="H616" s="9">
        <f>IFERROR(XLOOKUP(E616, '04_Products'!$A:$A, '04_Products'!$F:$F), 0)</f>
        <v/>
      </c>
      <c r="I616" s="9">
        <f>F616*G616</f>
        <v/>
      </c>
      <c r="J616" s="11" t="n">
        <v>0.1</v>
      </c>
      <c r="K616" s="9">
        <f>I616*J616</f>
        <v/>
      </c>
      <c r="L616" s="9">
        <f>I616-K616</f>
        <v/>
      </c>
      <c r="M616" s="9">
        <f>F616*H616</f>
        <v/>
      </c>
      <c r="N616" s="9">
        <f>L616-M616</f>
        <v/>
      </c>
      <c r="O616" s="11">
        <f>IFERROR(N616/L616, 0)</f>
        <v/>
      </c>
      <c r="P616" s="8">
        <f>YEAR(C616)</f>
        <v/>
      </c>
      <c r="Q616" s="8">
        <f>TEXT(C616, "yyyy-mm")</f>
        <v/>
      </c>
      <c r="R616" s="8" t="inlineStr">
        <is>
          <t>Direct Web</t>
        </is>
      </c>
      <c r="S616" s="8" t="inlineStr">
        <is>
          <t>REG-NA</t>
        </is>
      </c>
    </row>
    <row r="617">
      <c r="A617" s="8" t="inlineStr">
        <is>
          <t>DTL-0000623</t>
        </is>
      </c>
      <c r="B617" s="8" t="inlineStr">
        <is>
          <t>ORD-000307</t>
        </is>
      </c>
      <c r="C617" s="10" t="inlineStr">
        <is>
          <t>2023-05-15</t>
        </is>
      </c>
      <c r="D617" s="8" t="inlineStr">
        <is>
          <t>CUST-05668</t>
        </is>
      </c>
      <c r="E617" s="8" t="inlineStr">
        <is>
          <t>PRD-0477</t>
        </is>
      </c>
      <c r="F617" s="8" t="n">
        <v>1</v>
      </c>
      <c r="G617" s="9">
        <f>IFERROR(XLOOKUP(E617, '04_Products'!$A:$A, '04_Products'!$G:$G), 38.11)</f>
        <v/>
      </c>
      <c r="H617" s="9">
        <f>IFERROR(XLOOKUP(E617, '04_Products'!$A:$A, '04_Products'!$F:$F), 0)</f>
        <v/>
      </c>
      <c r="I617" s="9">
        <f>F617*G617</f>
        <v/>
      </c>
      <c r="J617" s="11" t="n">
        <v>0.05</v>
      </c>
      <c r="K617" s="9">
        <f>I617*J617</f>
        <v/>
      </c>
      <c r="L617" s="9">
        <f>I617-K617</f>
        <v/>
      </c>
      <c r="M617" s="9">
        <f>F617*H617</f>
        <v/>
      </c>
      <c r="N617" s="9">
        <f>L617-M617</f>
        <v/>
      </c>
      <c r="O617" s="11">
        <f>IFERROR(N617/L617, 0)</f>
        <v/>
      </c>
      <c r="P617" s="8">
        <f>YEAR(C617)</f>
        <v/>
      </c>
      <c r="Q617" s="8">
        <f>TEXT(C617, "yyyy-mm")</f>
        <v/>
      </c>
      <c r="R617" s="8" t="inlineStr">
        <is>
          <t>Mobile App</t>
        </is>
      </c>
      <c r="S617" s="8" t="inlineStr">
        <is>
          <t>REG-NA</t>
        </is>
      </c>
    </row>
    <row r="618">
      <c r="A618" s="8" t="inlineStr">
        <is>
          <t>DTL-0000624</t>
        </is>
      </c>
      <c r="B618" s="8" t="inlineStr">
        <is>
          <t>ORD-000308</t>
        </is>
      </c>
      <c r="C618" s="10" t="inlineStr">
        <is>
          <t>2025-01-04</t>
        </is>
      </c>
      <c r="D618" s="8" t="inlineStr">
        <is>
          <t>CUST-04882</t>
        </is>
      </c>
      <c r="E618" s="8" t="inlineStr">
        <is>
          <t>PRD-0404</t>
        </is>
      </c>
      <c r="F618" s="8" t="n">
        <v>2</v>
      </c>
      <c r="G618" s="9">
        <f>IFERROR(XLOOKUP(E618, '04_Products'!$A:$A, '04_Products'!$G:$G), 23.86)</f>
        <v/>
      </c>
      <c r="H618" s="9">
        <f>IFERROR(XLOOKUP(E618, '04_Products'!$A:$A, '04_Products'!$F:$F), 0)</f>
        <v/>
      </c>
      <c r="I618" s="9">
        <f>F618*G618</f>
        <v/>
      </c>
      <c r="J618" s="11" t="n">
        <v>0.1</v>
      </c>
      <c r="K618" s="9">
        <f>I618*J618</f>
        <v/>
      </c>
      <c r="L618" s="9">
        <f>I618-K618</f>
        <v/>
      </c>
      <c r="M618" s="9">
        <f>F618*H618</f>
        <v/>
      </c>
      <c r="N618" s="9">
        <f>L618-M618</f>
        <v/>
      </c>
      <c r="O618" s="11">
        <f>IFERROR(N618/L618, 0)</f>
        <v/>
      </c>
      <c r="P618" s="8">
        <f>YEAR(C618)</f>
        <v/>
      </c>
      <c r="Q618" s="8">
        <f>TEXT(C618, "yyyy-mm")</f>
        <v/>
      </c>
      <c r="R618" s="8" t="inlineStr">
        <is>
          <t>Mobile App</t>
        </is>
      </c>
      <c r="S618" s="8" t="inlineStr">
        <is>
          <t>REG-LATAM</t>
        </is>
      </c>
    </row>
    <row r="619">
      <c r="A619" s="8" t="inlineStr">
        <is>
          <t>DTL-0000625</t>
        </is>
      </c>
      <c r="B619" s="8" t="inlineStr">
        <is>
          <t>ORD-000308</t>
        </is>
      </c>
      <c r="C619" s="10" t="inlineStr">
        <is>
          <t>2025-01-04</t>
        </is>
      </c>
      <c r="D619" s="8" t="inlineStr">
        <is>
          <t>CUST-04882</t>
        </is>
      </c>
      <c r="E619" s="8" t="inlineStr">
        <is>
          <t>PRD-0059</t>
        </is>
      </c>
      <c r="F619" s="8" t="n">
        <v>2</v>
      </c>
      <c r="G619" s="9">
        <f>IFERROR(XLOOKUP(E619, '04_Products'!$A:$A, '04_Products'!$G:$G), 532.12)</f>
        <v/>
      </c>
      <c r="H619" s="9">
        <f>IFERROR(XLOOKUP(E619, '04_Products'!$A:$A, '04_Products'!$F:$F), 0)</f>
        <v/>
      </c>
      <c r="I619" s="9">
        <f>F619*G619</f>
        <v/>
      </c>
      <c r="J619" s="11" t="n">
        <v>0</v>
      </c>
      <c r="K619" s="9">
        <f>I619*J619</f>
        <v/>
      </c>
      <c r="L619" s="9">
        <f>I619-K619</f>
        <v/>
      </c>
      <c r="M619" s="9">
        <f>F619*H619</f>
        <v/>
      </c>
      <c r="N619" s="9">
        <f>L619-M619</f>
        <v/>
      </c>
      <c r="O619" s="11">
        <f>IFERROR(N619/L619, 0)</f>
        <v/>
      </c>
      <c r="P619" s="8">
        <f>YEAR(C619)</f>
        <v/>
      </c>
      <c r="Q619" s="8">
        <f>TEXT(C619, "yyyy-mm")</f>
        <v/>
      </c>
      <c r="R619" s="8" t="inlineStr">
        <is>
          <t>Mobile App</t>
        </is>
      </c>
      <c r="S619" s="8" t="inlineStr">
        <is>
          <t>REG-LATAM</t>
        </is>
      </c>
    </row>
    <row r="620">
      <c r="A620" s="8" t="inlineStr">
        <is>
          <t>DTL-0000626</t>
        </is>
      </c>
      <c r="B620" s="8" t="inlineStr">
        <is>
          <t>ORD-000309</t>
        </is>
      </c>
      <c r="C620" s="10" t="inlineStr">
        <is>
          <t>2024-11-25</t>
        </is>
      </c>
      <c r="D620" s="8" t="inlineStr">
        <is>
          <t>CUST-07901</t>
        </is>
      </c>
      <c r="E620" s="8" t="inlineStr">
        <is>
          <t>PRD-0212</t>
        </is>
      </c>
      <c r="F620" s="8" t="n">
        <v>1</v>
      </c>
      <c r="G620" s="9">
        <f>IFERROR(XLOOKUP(E620, '04_Products'!$A:$A, '04_Products'!$G:$G), 15.71)</f>
        <v/>
      </c>
      <c r="H620" s="9">
        <f>IFERROR(XLOOKUP(E620, '04_Products'!$A:$A, '04_Products'!$F:$F), 0)</f>
        <v/>
      </c>
      <c r="I620" s="9">
        <f>F620*G620</f>
        <v/>
      </c>
      <c r="J620" s="11" t="n">
        <v>0.15</v>
      </c>
      <c r="K620" s="9">
        <f>I620*J620</f>
        <v/>
      </c>
      <c r="L620" s="9">
        <f>I620-K620</f>
        <v/>
      </c>
      <c r="M620" s="9">
        <f>F620*H620</f>
        <v/>
      </c>
      <c r="N620" s="9">
        <f>L620-M620</f>
        <v/>
      </c>
      <c r="O620" s="11">
        <f>IFERROR(N620/L620, 0)</f>
        <v/>
      </c>
      <c r="P620" s="8">
        <f>YEAR(C620)</f>
        <v/>
      </c>
      <c r="Q620" s="8">
        <f>TEXT(C620, "yyyy-mm")</f>
        <v/>
      </c>
      <c r="R620" s="8" t="inlineStr">
        <is>
          <t>Mobile App</t>
        </is>
      </c>
      <c r="S620" s="8" t="inlineStr">
        <is>
          <t>REG-NA</t>
        </is>
      </c>
    </row>
    <row r="621">
      <c r="A621" s="8" t="inlineStr">
        <is>
          <t>DTL-0000627</t>
        </is>
      </c>
      <c r="B621" s="8" t="inlineStr">
        <is>
          <t>ORD-000310</t>
        </is>
      </c>
      <c r="C621" s="10" t="inlineStr">
        <is>
          <t>2024-11-23</t>
        </is>
      </c>
      <c r="D621" s="8" t="inlineStr">
        <is>
          <t>CUST-01187</t>
        </is>
      </c>
      <c r="E621" s="8" t="inlineStr">
        <is>
          <t>PRD-0244</t>
        </is>
      </c>
      <c r="F621" s="8" t="n">
        <v>1</v>
      </c>
      <c r="G621" s="9">
        <f>IFERROR(XLOOKUP(E621, '04_Products'!$A:$A, '04_Products'!$G:$G), 395.39)</f>
        <v/>
      </c>
      <c r="H621" s="9">
        <f>IFERROR(XLOOKUP(E621, '04_Products'!$A:$A, '04_Products'!$F:$F), 0)</f>
        <v/>
      </c>
      <c r="I621" s="9">
        <f>F621*G621</f>
        <v/>
      </c>
      <c r="J621" s="11" t="n">
        <v>0</v>
      </c>
      <c r="K621" s="9">
        <f>I621*J621</f>
        <v/>
      </c>
      <c r="L621" s="9">
        <f>I621-K621</f>
        <v/>
      </c>
      <c r="M621" s="9">
        <f>F621*H621</f>
        <v/>
      </c>
      <c r="N621" s="9">
        <f>L621-M621</f>
        <v/>
      </c>
      <c r="O621" s="11">
        <f>IFERROR(N621/L621, 0)</f>
        <v/>
      </c>
      <c r="P621" s="8">
        <f>YEAR(C621)</f>
        <v/>
      </c>
      <c r="Q621" s="8">
        <f>TEXT(C621, "yyyy-mm")</f>
        <v/>
      </c>
      <c r="R621" s="8" t="inlineStr">
        <is>
          <t>Mobile App</t>
        </is>
      </c>
      <c r="S621" s="8" t="inlineStr">
        <is>
          <t>REG-NA</t>
        </is>
      </c>
    </row>
    <row r="622">
      <c r="A622" s="8" t="inlineStr">
        <is>
          <t>DTL-0000628</t>
        </is>
      </c>
      <c r="B622" s="8" t="inlineStr">
        <is>
          <t>ORD-000310</t>
        </is>
      </c>
      <c r="C622" s="10" t="inlineStr">
        <is>
          <t>2024-11-23</t>
        </is>
      </c>
      <c r="D622" s="8" t="inlineStr">
        <is>
          <t>CUST-01187</t>
        </is>
      </c>
      <c r="E622" s="8" t="inlineStr">
        <is>
          <t>PRD-0375</t>
        </is>
      </c>
      <c r="F622" s="8" t="n">
        <v>1</v>
      </c>
      <c r="G622" s="9">
        <f>IFERROR(XLOOKUP(E622, '04_Products'!$A:$A, '04_Products'!$G:$G), 141.42)</f>
        <v/>
      </c>
      <c r="H622" s="9">
        <f>IFERROR(XLOOKUP(E622, '04_Products'!$A:$A, '04_Products'!$F:$F), 0)</f>
        <v/>
      </c>
      <c r="I622" s="9">
        <f>F622*G622</f>
        <v/>
      </c>
      <c r="J622" s="11" t="n">
        <v>0.15</v>
      </c>
      <c r="K622" s="9">
        <f>I622*J622</f>
        <v/>
      </c>
      <c r="L622" s="9">
        <f>I622-K622</f>
        <v/>
      </c>
      <c r="M622" s="9">
        <f>F622*H622</f>
        <v/>
      </c>
      <c r="N622" s="9">
        <f>L622-M622</f>
        <v/>
      </c>
      <c r="O622" s="11">
        <f>IFERROR(N622/L622, 0)</f>
        <v/>
      </c>
      <c r="P622" s="8">
        <f>YEAR(C622)</f>
        <v/>
      </c>
      <c r="Q622" s="8">
        <f>TEXT(C622, "yyyy-mm")</f>
        <v/>
      </c>
      <c r="R622" s="8" t="inlineStr">
        <is>
          <t>Mobile App</t>
        </is>
      </c>
      <c r="S622" s="8" t="inlineStr">
        <is>
          <t>REG-NA</t>
        </is>
      </c>
    </row>
    <row r="623">
      <c r="A623" s="8" t="inlineStr">
        <is>
          <t>DTL-0000629</t>
        </is>
      </c>
      <c r="B623" s="8" t="inlineStr">
        <is>
          <t>ORD-000310</t>
        </is>
      </c>
      <c r="C623" s="10" t="inlineStr">
        <is>
          <t>2024-11-23</t>
        </is>
      </c>
      <c r="D623" s="8" t="inlineStr">
        <is>
          <t>CUST-01187</t>
        </is>
      </c>
      <c r="E623" s="8" t="inlineStr">
        <is>
          <t>PRD-0228</t>
        </is>
      </c>
      <c r="F623" s="8" t="n">
        <v>4</v>
      </c>
      <c r="G623" s="9">
        <f>IFERROR(XLOOKUP(E623, '04_Products'!$A:$A, '04_Products'!$G:$G), 907.01)</f>
        <v/>
      </c>
      <c r="H623" s="9">
        <f>IFERROR(XLOOKUP(E623, '04_Products'!$A:$A, '04_Products'!$F:$F), 0)</f>
        <v/>
      </c>
      <c r="I623" s="9">
        <f>F623*G623</f>
        <v/>
      </c>
      <c r="J623" s="11" t="n">
        <v>0.1</v>
      </c>
      <c r="K623" s="9">
        <f>I623*J623</f>
        <v/>
      </c>
      <c r="L623" s="9">
        <f>I623-K623</f>
        <v/>
      </c>
      <c r="M623" s="9">
        <f>F623*H623</f>
        <v/>
      </c>
      <c r="N623" s="9">
        <f>L623-M623</f>
        <v/>
      </c>
      <c r="O623" s="11">
        <f>IFERROR(N623/L623, 0)</f>
        <v/>
      </c>
      <c r="P623" s="8">
        <f>YEAR(C623)</f>
        <v/>
      </c>
      <c r="Q623" s="8">
        <f>TEXT(C623, "yyyy-mm")</f>
        <v/>
      </c>
      <c r="R623" s="8" t="inlineStr">
        <is>
          <t>Mobile App</t>
        </is>
      </c>
      <c r="S623" s="8" t="inlineStr">
        <is>
          <t>REG-NA</t>
        </is>
      </c>
    </row>
    <row r="624">
      <c r="A624" s="8" t="inlineStr">
        <is>
          <t>DTL-0000630</t>
        </is>
      </c>
      <c r="B624" s="8" t="inlineStr">
        <is>
          <t>ORD-000311</t>
        </is>
      </c>
      <c r="C624" s="10" t="inlineStr">
        <is>
          <t>2023-07-04</t>
        </is>
      </c>
      <c r="D624" s="8" t="inlineStr">
        <is>
          <t>CUST-07256</t>
        </is>
      </c>
      <c r="E624" s="8" t="inlineStr">
        <is>
          <t>PRD-0308</t>
        </is>
      </c>
      <c r="F624" s="8" t="n">
        <v>2</v>
      </c>
      <c r="G624" s="9">
        <f>IFERROR(XLOOKUP(E624, '04_Products'!$A:$A, '04_Products'!$G:$G), 61.03)</f>
        <v/>
      </c>
      <c r="H624" s="9">
        <f>IFERROR(XLOOKUP(E624, '04_Products'!$A:$A, '04_Products'!$F:$F), 0)</f>
        <v/>
      </c>
      <c r="I624" s="9">
        <f>F624*G624</f>
        <v/>
      </c>
      <c r="J624" s="11" t="n">
        <v>0.05</v>
      </c>
      <c r="K624" s="9">
        <f>I624*J624</f>
        <v/>
      </c>
      <c r="L624" s="9">
        <f>I624-K624</f>
        <v/>
      </c>
      <c r="M624" s="9">
        <f>F624*H624</f>
        <v/>
      </c>
      <c r="N624" s="9">
        <f>L624-M624</f>
        <v/>
      </c>
      <c r="O624" s="11">
        <f>IFERROR(N624/L624, 0)</f>
        <v/>
      </c>
      <c r="P624" s="8">
        <f>YEAR(C624)</f>
        <v/>
      </c>
      <c r="Q624" s="8">
        <f>TEXT(C624, "yyyy-mm")</f>
        <v/>
      </c>
      <c r="R624" s="8" t="inlineStr">
        <is>
          <t>Direct Web</t>
        </is>
      </c>
      <c r="S624" s="8" t="inlineStr">
        <is>
          <t>REG-LATAM</t>
        </is>
      </c>
    </row>
    <row r="625">
      <c r="A625" s="8" t="inlineStr">
        <is>
          <t>DTL-0000631</t>
        </is>
      </c>
      <c r="B625" s="8" t="inlineStr">
        <is>
          <t>ORD-000312</t>
        </is>
      </c>
      <c r="C625" s="10" t="inlineStr">
        <is>
          <t>2025-05-03</t>
        </is>
      </c>
      <c r="D625" s="8" t="inlineStr">
        <is>
          <t>CUST-07974</t>
        </is>
      </c>
      <c r="E625" s="8" t="inlineStr">
        <is>
          <t>PRD-0004</t>
        </is>
      </c>
      <c r="F625" s="8" t="n">
        <v>3</v>
      </c>
      <c r="G625" s="9">
        <f>IFERROR(XLOOKUP(E625, '04_Products'!$A:$A, '04_Products'!$G:$G), 13.71)</f>
        <v/>
      </c>
      <c r="H625" s="9">
        <f>IFERROR(XLOOKUP(E625, '04_Products'!$A:$A, '04_Products'!$F:$F), 0)</f>
        <v/>
      </c>
      <c r="I625" s="9">
        <f>F625*G625</f>
        <v/>
      </c>
      <c r="J625" s="11" t="n">
        <v>0.05</v>
      </c>
      <c r="K625" s="9">
        <f>I625*J625</f>
        <v/>
      </c>
      <c r="L625" s="9">
        <f>I625-K625</f>
        <v/>
      </c>
      <c r="M625" s="9">
        <f>F625*H625</f>
        <v/>
      </c>
      <c r="N625" s="9">
        <f>L625-M625</f>
        <v/>
      </c>
      <c r="O625" s="11">
        <f>IFERROR(N625/L625, 0)</f>
        <v/>
      </c>
      <c r="P625" s="8">
        <f>YEAR(C625)</f>
        <v/>
      </c>
      <c r="Q625" s="8">
        <f>TEXT(C625, "yyyy-mm")</f>
        <v/>
      </c>
      <c r="R625" s="8" t="inlineStr">
        <is>
          <t>Mobile App</t>
        </is>
      </c>
      <c r="S625" s="8" t="inlineStr">
        <is>
          <t>REG-APAC</t>
        </is>
      </c>
    </row>
    <row r="626">
      <c r="A626" s="8" t="inlineStr">
        <is>
          <t>DTL-0000632</t>
        </is>
      </c>
      <c r="B626" s="8" t="inlineStr">
        <is>
          <t>ORD-000313</t>
        </is>
      </c>
      <c r="C626" s="10" t="inlineStr">
        <is>
          <t>2025-06-01</t>
        </is>
      </c>
      <c r="D626" s="8" t="inlineStr">
        <is>
          <t>CUST-03011</t>
        </is>
      </c>
      <c r="E626" s="8" t="inlineStr">
        <is>
          <t>PRD-0237</t>
        </is>
      </c>
      <c r="F626" s="8" t="n">
        <v>1</v>
      </c>
      <c r="G626" s="9">
        <f>IFERROR(XLOOKUP(E626, '04_Products'!$A:$A, '04_Products'!$G:$G), 59.70)</f>
        <v/>
      </c>
      <c r="H626" s="9">
        <f>IFERROR(XLOOKUP(E626, '04_Products'!$A:$A, '04_Products'!$F:$F), 0)</f>
        <v/>
      </c>
      <c r="I626" s="9">
        <f>F626*G626</f>
        <v/>
      </c>
      <c r="J626" s="11" t="n">
        <v>0</v>
      </c>
      <c r="K626" s="9">
        <f>I626*J626</f>
        <v/>
      </c>
      <c r="L626" s="9">
        <f>I626-K626</f>
        <v/>
      </c>
      <c r="M626" s="9">
        <f>F626*H626</f>
        <v/>
      </c>
      <c r="N626" s="9">
        <f>L626-M626</f>
        <v/>
      </c>
      <c r="O626" s="11">
        <f>IFERROR(N626/L626, 0)</f>
        <v/>
      </c>
      <c r="P626" s="8">
        <f>YEAR(C626)</f>
        <v/>
      </c>
      <c r="Q626" s="8">
        <f>TEXT(C626, "yyyy-mm")</f>
        <v/>
      </c>
      <c r="R626" s="8" t="inlineStr">
        <is>
          <t>Direct Web</t>
        </is>
      </c>
      <c r="S626" s="8" t="inlineStr">
        <is>
          <t>REG-NA</t>
        </is>
      </c>
    </row>
    <row r="627">
      <c r="A627" s="8" t="inlineStr">
        <is>
          <t>DTL-0000633</t>
        </is>
      </c>
      <c r="B627" s="8" t="inlineStr">
        <is>
          <t>ORD-000314</t>
        </is>
      </c>
      <c r="C627" s="10" t="inlineStr">
        <is>
          <t>2025-07-23</t>
        </is>
      </c>
      <c r="D627" s="8" t="inlineStr">
        <is>
          <t>CUST-03937</t>
        </is>
      </c>
      <c r="E627" s="8" t="inlineStr">
        <is>
          <t>PRD-0336</t>
        </is>
      </c>
      <c r="F627" s="8" t="n">
        <v>2</v>
      </c>
      <c r="G627" s="9">
        <f>IFERROR(XLOOKUP(E627, '04_Products'!$A:$A, '04_Products'!$G:$G), 216.76)</f>
        <v/>
      </c>
      <c r="H627" s="9">
        <f>IFERROR(XLOOKUP(E627, '04_Products'!$A:$A, '04_Products'!$F:$F), 0)</f>
        <v/>
      </c>
      <c r="I627" s="9">
        <f>F627*G627</f>
        <v/>
      </c>
      <c r="J627" s="11" t="n">
        <v>0</v>
      </c>
      <c r="K627" s="9">
        <f>I627*J627</f>
        <v/>
      </c>
      <c r="L627" s="9">
        <f>I627-K627</f>
        <v/>
      </c>
      <c r="M627" s="9">
        <f>F627*H627</f>
        <v/>
      </c>
      <c r="N627" s="9">
        <f>L627-M627</f>
        <v/>
      </c>
      <c r="O627" s="11">
        <f>IFERROR(N627/L627, 0)</f>
        <v/>
      </c>
      <c r="P627" s="8">
        <f>YEAR(C627)</f>
        <v/>
      </c>
      <c r="Q627" s="8">
        <f>TEXT(C627, "yyyy-mm")</f>
        <v/>
      </c>
      <c r="R627" s="8" t="inlineStr">
        <is>
          <t>Direct Web</t>
        </is>
      </c>
      <c r="S627" s="8" t="inlineStr">
        <is>
          <t>REG-EU</t>
        </is>
      </c>
    </row>
    <row r="628">
      <c r="A628" s="8" t="inlineStr">
        <is>
          <t>DTL-0000634</t>
        </is>
      </c>
      <c r="B628" s="8" t="inlineStr">
        <is>
          <t>ORD-000314</t>
        </is>
      </c>
      <c r="C628" s="10" t="inlineStr">
        <is>
          <t>2025-07-23</t>
        </is>
      </c>
      <c r="D628" s="8" t="inlineStr">
        <is>
          <t>CUST-03937</t>
        </is>
      </c>
      <c r="E628" s="8" t="inlineStr">
        <is>
          <t>PRD-0305</t>
        </is>
      </c>
      <c r="F628" s="8" t="n">
        <v>2</v>
      </c>
      <c r="G628" s="9">
        <f>IFERROR(XLOOKUP(E628, '04_Products'!$A:$A, '04_Products'!$G:$G), 713.99)</f>
        <v/>
      </c>
      <c r="H628" s="9">
        <f>IFERROR(XLOOKUP(E628, '04_Products'!$A:$A, '04_Products'!$F:$F), 0)</f>
        <v/>
      </c>
      <c r="I628" s="9">
        <f>F628*G628</f>
        <v/>
      </c>
      <c r="J628" s="11" t="n">
        <v>0</v>
      </c>
      <c r="K628" s="9">
        <f>I628*J628</f>
        <v/>
      </c>
      <c r="L628" s="9">
        <f>I628-K628</f>
        <v/>
      </c>
      <c r="M628" s="9">
        <f>F628*H628</f>
        <v/>
      </c>
      <c r="N628" s="9">
        <f>L628-M628</f>
        <v/>
      </c>
      <c r="O628" s="11">
        <f>IFERROR(N628/L628, 0)</f>
        <v/>
      </c>
      <c r="P628" s="8">
        <f>YEAR(C628)</f>
        <v/>
      </c>
      <c r="Q628" s="8">
        <f>TEXT(C628, "yyyy-mm")</f>
        <v/>
      </c>
      <c r="R628" s="8" t="inlineStr">
        <is>
          <t>Direct Web</t>
        </is>
      </c>
      <c r="S628" s="8" t="inlineStr">
        <is>
          <t>REG-EU</t>
        </is>
      </c>
    </row>
    <row r="629">
      <c r="A629" s="8" t="inlineStr">
        <is>
          <t>DTL-0000635</t>
        </is>
      </c>
      <c r="B629" s="8" t="inlineStr">
        <is>
          <t>ORD-000315</t>
        </is>
      </c>
      <c r="C629" s="10" t="inlineStr">
        <is>
          <t>2025-02-04</t>
        </is>
      </c>
      <c r="D629" s="8" t="inlineStr">
        <is>
          <t>CUST-00621</t>
        </is>
      </c>
      <c r="E629" s="8" t="inlineStr">
        <is>
          <t>PRD-0235</t>
        </is>
      </c>
      <c r="F629" s="8" t="n">
        <v>1</v>
      </c>
      <c r="G629" s="9">
        <f>IFERROR(XLOOKUP(E629, '04_Products'!$A:$A, '04_Products'!$G:$G), 640.49)</f>
        <v/>
      </c>
      <c r="H629" s="9">
        <f>IFERROR(XLOOKUP(E629, '04_Products'!$A:$A, '04_Products'!$F:$F), 0)</f>
        <v/>
      </c>
      <c r="I629" s="9">
        <f>F629*G629</f>
        <v/>
      </c>
      <c r="J629" s="11" t="n">
        <v>0</v>
      </c>
      <c r="K629" s="9">
        <f>I629*J629</f>
        <v/>
      </c>
      <c r="L629" s="9">
        <f>I629-K629</f>
        <v/>
      </c>
      <c r="M629" s="9">
        <f>F629*H629</f>
        <v/>
      </c>
      <c r="N629" s="9">
        <f>L629-M629</f>
        <v/>
      </c>
      <c r="O629" s="11">
        <f>IFERROR(N629/L629, 0)</f>
        <v/>
      </c>
      <c r="P629" s="8">
        <f>YEAR(C629)</f>
        <v/>
      </c>
      <c r="Q629" s="8">
        <f>TEXT(C629, "yyyy-mm")</f>
        <v/>
      </c>
      <c r="R629" s="8" t="inlineStr">
        <is>
          <t>Mobile App</t>
        </is>
      </c>
      <c r="S629" s="8" t="inlineStr">
        <is>
          <t>REG-NA</t>
        </is>
      </c>
    </row>
    <row r="630">
      <c r="A630" s="8" t="inlineStr">
        <is>
          <t>DTL-0000636</t>
        </is>
      </c>
      <c r="B630" s="8" t="inlineStr">
        <is>
          <t>ORD-000316</t>
        </is>
      </c>
      <c r="C630" s="10" t="inlineStr">
        <is>
          <t>2023-01-25</t>
        </is>
      </c>
      <c r="D630" s="8" t="inlineStr">
        <is>
          <t>CUST-00362</t>
        </is>
      </c>
      <c r="E630" s="8" t="inlineStr">
        <is>
          <t>PRD-0411</t>
        </is>
      </c>
      <c r="F630" s="8" t="n">
        <v>4</v>
      </c>
      <c r="G630" s="9">
        <f>IFERROR(XLOOKUP(E630, '04_Products'!$A:$A, '04_Products'!$G:$G), 126.22)</f>
        <v/>
      </c>
      <c r="H630" s="9">
        <f>IFERROR(XLOOKUP(E630, '04_Products'!$A:$A, '04_Products'!$F:$F), 0)</f>
        <v/>
      </c>
      <c r="I630" s="9">
        <f>F630*G630</f>
        <v/>
      </c>
      <c r="J630" s="11" t="n">
        <v>0</v>
      </c>
      <c r="K630" s="9">
        <f>I630*J630</f>
        <v/>
      </c>
      <c r="L630" s="9">
        <f>I630-K630</f>
        <v/>
      </c>
      <c r="M630" s="9">
        <f>F630*H630</f>
        <v/>
      </c>
      <c r="N630" s="9">
        <f>L630-M630</f>
        <v/>
      </c>
      <c r="O630" s="11">
        <f>IFERROR(N630/L630, 0)</f>
        <v/>
      </c>
      <c r="P630" s="8">
        <f>YEAR(C630)</f>
        <v/>
      </c>
      <c r="Q630" s="8">
        <f>TEXT(C630, "yyyy-mm")</f>
        <v/>
      </c>
      <c r="R630" s="8" t="inlineStr">
        <is>
          <t>Mobile App</t>
        </is>
      </c>
      <c r="S630" s="8" t="inlineStr">
        <is>
          <t>REG-NA</t>
        </is>
      </c>
    </row>
    <row r="631">
      <c r="A631" s="8" t="inlineStr">
        <is>
          <t>DTL-0000637</t>
        </is>
      </c>
      <c r="B631" s="8" t="inlineStr">
        <is>
          <t>ORD-000316</t>
        </is>
      </c>
      <c r="C631" s="10" t="inlineStr">
        <is>
          <t>2023-01-25</t>
        </is>
      </c>
      <c r="D631" s="8" t="inlineStr">
        <is>
          <t>CUST-00362</t>
        </is>
      </c>
      <c r="E631" s="8" t="inlineStr">
        <is>
          <t>PRD-0237</t>
        </is>
      </c>
      <c r="F631" s="8" t="n">
        <v>1</v>
      </c>
      <c r="G631" s="9">
        <f>IFERROR(XLOOKUP(E631, '04_Products'!$A:$A, '04_Products'!$G:$G), 59.70)</f>
        <v/>
      </c>
      <c r="H631" s="9">
        <f>IFERROR(XLOOKUP(E631, '04_Products'!$A:$A, '04_Products'!$F:$F), 0)</f>
        <v/>
      </c>
      <c r="I631" s="9">
        <f>F631*G631</f>
        <v/>
      </c>
      <c r="J631" s="11" t="n">
        <v>0.05</v>
      </c>
      <c r="K631" s="9">
        <f>I631*J631</f>
        <v/>
      </c>
      <c r="L631" s="9">
        <f>I631-K631</f>
        <v/>
      </c>
      <c r="M631" s="9">
        <f>F631*H631</f>
        <v/>
      </c>
      <c r="N631" s="9">
        <f>L631-M631</f>
        <v/>
      </c>
      <c r="O631" s="11">
        <f>IFERROR(N631/L631, 0)</f>
        <v/>
      </c>
      <c r="P631" s="8">
        <f>YEAR(C631)</f>
        <v/>
      </c>
      <c r="Q631" s="8">
        <f>TEXT(C631, "yyyy-mm")</f>
        <v/>
      </c>
      <c r="R631" s="8" t="inlineStr">
        <is>
          <t>Mobile App</t>
        </is>
      </c>
      <c r="S631" s="8" t="inlineStr">
        <is>
          <t>REG-NA</t>
        </is>
      </c>
    </row>
    <row r="632">
      <c r="A632" s="8" t="inlineStr">
        <is>
          <t>DTL-0000638</t>
        </is>
      </c>
      <c r="B632" s="8" t="inlineStr">
        <is>
          <t>ORD-000317</t>
        </is>
      </c>
      <c r="C632" s="10" t="inlineStr">
        <is>
          <t>2023-03-11</t>
        </is>
      </c>
      <c r="D632" s="8" t="inlineStr">
        <is>
          <t>CUST-04721</t>
        </is>
      </c>
      <c r="E632" s="8" t="inlineStr">
        <is>
          <t>PRD-0034</t>
        </is>
      </c>
      <c r="F632" s="8" t="n">
        <v>1</v>
      </c>
      <c r="G632" s="9">
        <f>IFERROR(XLOOKUP(E632, '04_Products'!$A:$A, '04_Products'!$G:$G), 52.58)</f>
        <v/>
      </c>
      <c r="H632" s="9">
        <f>IFERROR(XLOOKUP(E632, '04_Products'!$A:$A, '04_Products'!$F:$F), 0)</f>
        <v/>
      </c>
      <c r="I632" s="9">
        <f>F632*G632</f>
        <v/>
      </c>
      <c r="J632" s="11" t="n">
        <v>0</v>
      </c>
      <c r="K632" s="9">
        <f>I632*J632</f>
        <v/>
      </c>
      <c r="L632" s="9">
        <f>I632-K632</f>
        <v/>
      </c>
      <c r="M632" s="9">
        <f>F632*H632</f>
        <v/>
      </c>
      <c r="N632" s="9">
        <f>L632-M632</f>
        <v/>
      </c>
      <c r="O632" s="11">
        <f>IFERROR(N632/L632, 0)</f>
        <v/>
      </c>
      <c r="P632" s="8">
        <f>YEAR(C632)</f>
        <v/>
      </c>
      <c r="Q632" s="8">
        <f>TEXT(C632, "yyyy-mm")</f>
        <v/>
      </c>
      <c r="R632" s="8" t="inlineStr">
        <is>
          <t>Mobile App</t>
        </is>
      </c>
      <c r="S632" s="8" t="inlineStr">
        <is>
          <t>REG-NA</t>
        </is>
      </c>
    </row>
    <row r="633">
      <c r="A633" s="8" t="inlineStr">
        <is>
          <t>DTL-0000639</t>
        </is>
      </c>
      <c r="B633" s="8" t="inlineStr">
        <is>
          <t>ORD-000317</t>
        </is>
      </c>
      <c r="C633" s="10" t="inlineStr">
        <is>
          <t>2023-03-11</t>
        </is>
      </c>
      <c r="D633" s="8" t="inlineStr">
        <is>
          <t>CUST-04721</t>
        </is>
      </c>
      <c r="E633" s="8" t="inlineStr">
        <is>
          <t>PRD-0366</t>
        </is>
      </c>
      <c r="F633" s="8" t="n">
        <v>1</v>
      </c>
      <c r="G633" s="9">
        <f>IFERROR(XLOOKUP(E633, '04_Products'!$A:$A, '04_Products'!$G:$G), 772.59)</f>
        <v/>
      </c>
      <c r="H633" s="9">
        <f>IFERROR(XLOOKUP(E633, '04_Products'!$A:$A, '04_Products'!$F:$F), 0)</f>
        <v/>
      </c>
      <c r="I633" s="9">
        <f>F633*G633</f>
        <v/>
      </c>
      <c r="J633" s="11" t="n">
        <v>0.05</v>
      </c>
      <c r="K633" s="9">
        <f>I633*J633</f>
        <v/>
      </c>
      <c r="L633" s="9">
        <f>I633-K633</f>
        <v/>
      </c>
      <c r="M633" s="9">
        <f>F633*H633</f>
        <v/>
      </c>
      <c r="N633" s="9">
        <f>L633-M633</f>
        <v/>
      </c>
      <c r="O633" s="11">
        <f>IFERROR(N633/L633, 0)</f>
        <v/>
      </c>
      <c r="P633" s="8">
        <f>YEAR(C633)</f>
        <v/>
      </c>
      <c r="Q633" s="8">
        <f>TEXT(C633, "yyyy-mm")</f>
        <v/>
      </c>
      <c r="R633" s="8" t="inlineStr">
        <is>
          <t>Mobile App</t>
        </is>
      </c>
      <c r="S633" s="8" t="inlineStr">
        <is>
          <t>REG-NA</t>
        </is>
      </c>
    </row>
    <row r="634">
      <c r="A634" s="8" t="inlineStr">
        <is>
          <t>DTL-0000640</t>
        </is>
      </c>
      <c r="B634" s="8" t="inlineStr">
        <is>
          <t>ORD-000318</t>
        </is>
      </c>
      <c r="C634" s="10" t="inlineStr">
        <is>
          <t>2025-09-13</t>
        </is>
      </c>
      <c r="D634" s="8" t="inlineStr">
        <is>
          <t>CUST-03347</t>
        </is>
      </c>
      <c r="E634" s="8" t="inlineStr">
        <is>
          <t>PRD-0220</t>
        </is>
      </c>
      <c r="F634" s="8" t="n">
        <v>1</v>
      </c>
      <c r="G634" s="9">
        <f>IFERROR(XLOOKUP(E634, '04_Products'!$A:$A, '04_Products'!$G:$G), 472.50)</f>
        <v/>
      </c>
      <c r="H634" s="9">
        <f>IFERROR(XLOOKUP(E634, '04_Products'!$A:$A, '04_Products'!$F:$F), 0)</f>
        <v/>
      </c>
      <c r="I634" s="9">
        <f>F634*G634</f>
        <v/>
      </c>
      <c r="J634" s="11" t="n">
        <v>0</v>
      </c>
      <c r="K634" s="9">
        <f>I634*J634</f>
        <v/>
      </c>
      <c r="L634" s="9">
        <f>I634-K634</f>
        <v/>
      </c>
      <c r="M634" s="9">
        <f>F634*H634</f>
        <v/>
      </c>
      <c r="N634" s="9">
        <f>L634-M634</f>
        <v/>
      </c>
      <c r="O634" s="11">
        <f>IFERROR(N634/L634, 0)</f>
        <v/>
      </c>
      <c r="P634" s="8">
        <f>YEAR(C634)</f>
        <v/>
      </c>
      <c r="Q634" s="8">
        <f>TEXT(C634, "yyyy-mm")</f>
        <v/>
      </c>
      <c r="R634" s="8" t="inlineStr">
        <is>
          <t>Mobile App</t>
        </is>
      </c>
      <c r="S634" s="8" t="inlineStr">
        <is>
          <t>REG-EU</t>
        </is>
      </c>
    </row>
    <row r="635">
      <c r="A635" s="8" t="inlineStr">
        <is>
          <t>DTL-0000641</t>
        </is>
      </c>
      <c r="B635" s="8" t="inlineStr">
        <is>
          <t>ORD-000319</t>
        </is>
      </c>
      <c r="C635" s="10" t="inlineStr">
        <is>
          <t>2024-06-06</t>
        </is>
      </c>
      <c r="D635" s="8" t="inlineStr">
        <is>
          <t>CUST-00236</t>
        </is>
      </c>
      <c r="E635" s="8" t="inlineStr">
        <is>
          <t>PRD-0328</t>
        </is>
      </c>
      <c r="F635" s="8" t="n">
        <v>8</v>
      </c>
      <c r="G635" s="9">
        <f>IFERROR(XLOOKUP(E635, '04_Products'!$A:$A, '04_Products'!$G:$G), 1149.59)</f>
        <v/>
      </c>
      <c r="H635" s="9">
        <f>IFERROR(XLOOKUP(E635, '04_Products'!$A:$A, '04_Products'!$F:$F), 0)</f>
        <v/>
      </c>
      <c r="I635" s="9">
        <f>F635*G635</f>
        <v/>
      </c>
      <c r="J635" s="11" t="n">
        <v>0.1</v>
      </c>
      <c r="K635" s="9">
        <f>I635*J635</f>
        <v/>
      </c>
      <c r="L635" s="9">
        <f>I635-K635</f>
        <v/>
      </c>
      <c r="M635" s="9">
        <f>F635*H635</f>
        <v/>
      </c>
      <c r="N635" s="9">
        <f>L635-M635</f>
        <v/>
      </c>
      <c r="O635" s="11">
        <f>IFERROR(N635/L635, 0)</f>
        <v/>
      </c>
      <c r="P635" s="8">
        <f>YEAR(C635)</f>
        <v/>
      </c>
      <c r="Q635" s="8">
        <f>TEXT(C635, "yyyy-mm")</f>
        <v/>
      </c>
      <c r="R635" s="8" t="inlineStr">
        <is>
          <t>B2B Portal</t>
        </is>
      </c>
      <c r="S635" s="8" t="inlineStr">
        <is>
          <t>REG-NA</t>
        </is>
      </c>
    </row>
    <row r="636">
      <c r="A636" s="8" t="inlineStr">
        <is>
          <t>DTL-0000642</t>
        </is>
      </c>
      <c r="B636" s="8" t="inlineStr">
        <is>
          <t>ORD-000319</t>
        </is>
      </c>
      <c r="C636" s="10" t="inlineStr">
        <is>
          <t>2024-06-06</t>
        </is>
      </c>
      <c r="D636" s="8" t="inlineStr">
        <is>
          <t>CUST-00236</t>
        </is>
      </c>
      <c r="E636" s="8" t="inlineStr">
        <is>
          <t>PRD-0405</t>
        </is>
      </c>
      <c r="F636" s="8" t="n">
        <v>10</v>
      </c>
      <c r="G636" s="9">
        <f>IFERROR(XLOOKUP(E636, '04_Products'!$A:$A, '04_Products'!$G:$G), 29.36)</f>
        <v/>
      </c>
      <c r="H636" s="9">
        <f>IFERROR(XLOOKUP(E636, '04_Products'!$A:$A, '04_Products'!$F:$F), 0)</f>
        <v/>
      </c>
      <c r="I636" s="9">
        <f>F636*G636</f>
        <v/>
      </c>
      <c r="J636" s="11" t="n">
        <v>0</v>
      </c>
      <c r="K636" s="9">
        <f>I636*J636</f>
        <v/>
      </c>
      <c r="L636" s="9">
        <f>I636-K636</f>
        <v/>
      </c>
      <c r="M636" s="9">
        <f>F636*H636</f>
        <v/>
      </c>
      <c r="N636" s="9">
        <f>L636-M636</f>
        <v/>
      </c>
      <c r="O636" s="11">
        <f>IFERROR(N636/L636, 0)</f>
        <v/>
      </c>
      <c r="P636" s="8">
        <f>YEAR(C636)</f>
        <v/>
      </c>
      <c r="Q636" s="8">
        <f>TEXT(C636, "yyyy-mm")</f>
        <v/>
      </c>
      <c r="R636" s="8" t="inlineStr">
        <is>
          <t>B2B Portal</t>
        </is>
      </c>
      <c r="S636" s="8" t="inlineStr">
        <is>
          <t>REG-NA</t>
        </is>
      </c>
    </row>
    <row r="637">
      <c r="A637" s="8" t="inlineStr">
        <is>
          <t>DTL-0000643</t>
        </is>
      </c>
      <c r="B637" s="8" t="inlineStr">
        <is>
          <t>ORD-000319</t>
        </is>
      </c>
      <c r="C637" s="10" t="inlineStr">
        <is>
          <t>2024-06-06</t>
        </is>
      </c>
      <c r="D637" s="8" t="inlineStr">
        <is>
          <t>CUST-00236</t>
        </is>
      </c>
      <c r="E637" s="8" t="inlineStr">
        <is>
          <t>PRD-0345</t>
        </is>
      </c>
      <c r="F637" s="8" t="n">
        <v>1</v>
      </c>
      <c r="G637" s="9">
        <f>IFERROR(XLOOKUP(E637, '04_Products'!$A:$A, '04_Products'!$G:$G), 59.07)</f>
        <v/>
      </c>
      <c r="H637" s="9">
        <f>IFERROR(XLOOKUP(E637, '04_Products'!$A:$A, '04_Products'!$F:$F), 0)</f>
        <v/>
      </c>
      <c r="I637" s="9">
        <f>F637*G637</f>
        <v/>
      </c>
      <c r="J637" s="11" t="n">
        <v>0.05</v>
      </c>
      <c r="K637" s="9">
        <f>I637*J637</f>
        <v/>
      </c>
      <c r="L637" s="9">
        <f>I637-K637</f>
        <v/>
      </c>
      <c r="M637" s="9">
        <f>F637*H637</f>
        <v/>
      </c>
      <c r="N637" s="9">
        <f>L637-M637</f>
        <v/>
      </c>
      <c r="O637" s="11">
        <f>IFERROR(N637/L637, 0)</f>
        <v/>
      </c>
      <c r="P637" s="8">
        <f>YEAR(C637)</f>
        <v/>
      </c>
      <c r="Q637" s="8">
        <f>TEXT(C637, "yyyy-mm")</f>
        <v/>
      </c>
      <c r="R637" s="8" t="inlineStr">
        <is>
          <t>B2B Portal</t>
        </is>
      </c>
      <c r="S637" s="8" t="inlineStr">
        <is>
          <t>REG-NA</t>
        </is>
      </c>
    </row>
    <row r="638">
      <c r="A638" s="8" t="inlineStr">
        <is>
          <t>DTL-0000644</t>
        </is>
      </c>
      <c r="B638" s="8" t="inlineStr">
        <is>
          <t>ORD-000320</t>
        </is>
      </c>
      <c r="C638" s="10" t="inlineStr">
        <is>
          <t>2023-07-10</t>
        </is>
      </c>
      <c r="D638" s="8" t="inlineStr">
        <is>
          <t>CUST-01226</t>
        </is>
      </c>
      <c r="E638" s="8" t="inlineStr">
        <is>
          <t>PRD-0093</t>
        </is>
      </c>
      <c r="F638" s="8" t="n">
        <v>1</v>
      </c>
      <c r="G638" s="9">
        <f>IFERROR(XLOOKUP(E638, '04_Products'!$A:$A, '04_Products'!$G:$G), 1324.37)</f>
        <v/>
      </c>
      <c r="H638" s="9">
        <f>IFERROR(XLOOKUP(E638, '04_Products'!$A:$A, '04_Products'!$F:$F), 0)</f>
        <v/>
      </c>
      <c r="I638" s="9">
        <f>F638*G638</f>
        <v/>
      </c>
      <c r="J638" s="11" t="n">
        <v>0</v>
      </c>
      <c r="K638" s="9">
        <f>I638*J638</f>
        <v/>
      </c>
      <c r="L638" s="9">
        <f>I638-K638</f>
        <v/>
      </c>
      <c r="M638" s="9">
        <f>F638*H638</f>
        <v/>
      </c>
      <c r="N638" s="9">
        <f>L638-M638</f>
        <v/>
      </c>
      <c r="O638" s="11">
        <f>IFERROR(N638/L638, 0)</f>
        <v/>
      </c>
      <c r="P638" s="8">
        <f>YEAR(C638)</f>
        <v/>
      </c>
      <c r="Q638" s="8">
        <f>TEXT(C638, "yyyy-mm")</f>
        <v/>
      </c>
      <c r="R638" s="8" t="inlineStr">
        <is>
          <t>Direct Web</t>
        </is>
      </c>
      <c r="S638" s="8" t="inlineStr">
        <is>
          <t>REG-NA</t>
        </is>
      </c>
    </row>
    <row r="639">
      <c r="A639" s="8" t="inlineStr">
        <is>
          <t>DTL-0000645</t>
        </is>
      </c>
      <c r="B639" s="8" t="inlineStr">
        <is>
          <t>ORD-000320</t>
        </is>
      </c>
      <c r="C639" s="10" t="inlineStr">
        <is>
          <t>2023-07-10</t>
        </is>
      </c>
      <c r="D639" s="8" t="inlineStr">
        <is>
          <t>CUST-01226</t>
        </is>
      </c>
      <c r="E639" s="8" t="inlineStr">
        <is>
          <t>PRD-0443</t>
        </is>
      </c>
      <c r="F639" s="8" t="n">
        <v>1</v>
      </c>
      <c r="G639" s="9">
        <f>IFERROR(XLOOKUP(E639, '04_Products'!$A:$A, '04_Products'!$G:$G), 101.81)</f>
        <v/>
      </c>
      <c r="H639" s="9">
        <f>IFERROR(XLOOKUP(E639, '04_Products'!$A:$A, '04_Products'!$F:$F), 0)</f>
        <v/>
      </c>
      <c r="I639" s="9">
        <f>F639*G639</f>
        <v/>
      </c>
      <c r="J639" s="11" t="n">
        <v>0</v>
      </c>
      <c r="K639" s="9">
        <f>I639*J639</f>
        <v/>
      </c>
      <c r="L639" s="9">
        <f>I639-K639</f>
        <v/>
      </c>
      <c r="M639" s="9">
        <f>F639*H639</f>
        <v/>
      </c>
      <c r="N639" s="9">
        <f>L639-M639</f>
        <v/>
      </c>
      <c r="O639" s="11">
        <f>IFERROR(N639/L639, 0)</f>
        <v/>
      </c>
      <c r="P639" s="8">
        <f>YEAR(C639)</f>
        <v/>
      </c>
      <c r="Q639" s="8">
        <f>TEXT(C639, "yyyy-mm")</f>
        <v/>
      </c>
      <c r="R639" s="8" t="inlineStr">
        <is>
          <t>Direct Web</t>
        </is>
      </c>
      <c r="S639" s="8" t="inlineStr">
        <is>
          <t>REG-NA</t>
        </is>
      </c>
    </row>
    <row r="640">
      <c r="A640" s="8" t="inlineStr">
        <is>
          <t>DTL-0000646</t>
        </is>
      </c>
      <c r="B640" s="8" t="inlineStr">
        <is>
          <t>ORD-000321</t>
        </is>
      </c>
      <c r="C640" s="10" t="inlineStr">
        <is>
          <t>2023-11-26</t>
        </is>
      </c>
      <c r="D640" s="8" t="inlineStr">
        <is>
          <t>CUST-02735</t>
        </is>
      </c>
      <c r="E640" s="8" t="inlineStr">
        <is>
          <t>PRD-0007</t>
        </is>
      </c>
      <c r="F640" s="8" t="n">
        <v>1</v>
      </c>
      <c r="G640" s="9">
        <f>IFERROR(XLOOKUP(E640, '04_Products'!$A:$A, '04_Products'!$G:$G), 254.43)</f>
        <v/>
      </c>
      <c r="H640" s="9">
        <f>IFERROR(XLOOKUP(E640, '04_Products'!$A:$A, '04_Products'!$F:$F), 0)</f>
        <v/>
      </c>
      <c r="I640" s="9">
        <f>F640*G640</f>
        <v/>
      </c>
      <c r="J640" s="11" t="n">
        <v>0.05</v>
      </c>
      <c r="K640" s="9">
        <f>I640*J640</f>
        <v/>
      </c>
      <c r="L640" s="9">
        <f>I640-K640</f>
        <v/>
      </c>
      <c r="M640" s="9">
        <f>F640*H640</f>
        <v/>
      </c>
      <c r="N640" s="9">
        <f>L640-M640</f>
        <v/>
      </c>
      <c r="O640" s="11">
        <f>IFERROR(N640/L640, 0)</f>
        <v/>
      </c>
      <c r="P640" s="8">
        <f>YEAR(C640)</f>
        <v/>
      </c>
      <c r="Q640" s="8">
        <f>TEXT(C640, "yyyy-mm")</f>
        <v/>
      </c>
      <c r="R640" s="8" t="inlineStr">
        <is>
          <t>Direct Web</t>
        </is>
      </c>
      <c r="S640" s="8" t="inlineStr">
        <is>
          <t>REG-NA</t>
        </is>
      </c>
    </row>
    <row r="641">
      <c r="A641" s="8" t="inlineStr">
        <is>
          <t>DTL-0000647</t>
        </is>
      </c>
      <c r="B641" s="8" t="inlineStr">
        <is>
          <t>ORD-000321</t>
        </is>
      </c>
      <c r="C641" s="10" t="inlineStr">
        <is>
          <t>2023-11-26</t>
        </is>
      </c>
      <c r="D641" s="8" t="inlineStr">
        <is>
          <t>CUST-02735</t>
        </is>
      </c>
      <c r="E641" s="8" t="inlineStr">
        <is>
          <t>PRD-0386</t>
        </is>
      </c>
      <c r="F641" s="8" t="n">
        <v>2</v>
      </c>
      <c r="G641" s="9">
        <f>IFERROR(XLOOKUP(E641, '04_Products'!$A:$A, '04_Products'!$G:$G), 339.98)</f>
        <v/>
      </c>
      <c r="H641" s="9">
        <f>IFERROR(XLOOKUP(E641, '04_Products'!$A:$A, '04_Products'!$F:$F), 0)</f>
        <v/>
      </c>
      <c r="I641" s="9">
        <f>F641*G641</f>
        <v/>
      </c>
      <c r="J641" s="11" t="n">
        <v>0</v>
      </c>
      <c r="K641" s="9">
        <f>I641*J641</f>
        <v/>
      </c>
      <c r="L641" s="9">
        <f>I641-K641</f>
        <v/>
      </c>
      <c r="M641" s="9">
        <f>F641*H641</f>
        <v/>
      </c>
      <c r="N641" s="9">
        <f>L641-M641</f>
        <v/>
      </c>
      <c r="O641" s="11">
        <f>IFERROR(N641/L641, 0)</f>
        <v/>
      </c>
      <c r="P641" s="8">
        <f>YEAR(C641)</f>
        <v/>
      </c>
      <c r="Q641" s="8">
        <f>TEXT(C641, "yyyy-mm")</f>
        <v/>
      </c>
      <c r="R641" s="8" t="inlineStr">
        <is>
          <t>Direct Web</t>
        </is>
      </c>
      <c r="S641" s="8" t="inlineStr">
        <is>
          <t>REG-NA</t>
        </is>
      </c>
    </row>
    <row r="642">
      <c r="A642" s="8" t="inlineStr">
        <is>
          <t>DTL-0000648</t>
        </is>
      </c>
      <c r="B642" s="8" t="inlineStr">
        <is>
          <t>ORD-000322</t>
        </is>
      </c>
      <c r="C642" s="10" t="inlineStr">
        <is>
          <t>2025-04-15</t>
        </is>
      </c>
      <c r="D642" s="8" t="inlineStr">
        <is>
          <t>CUST-06915</t>
        </is>
      </c>
      <c r="E642" s="8" t="inlineStr">
        <is>
          <t>PRD-0029</t>
        </is>
      </c>
      <c r="F642" s="8" t="n">
        <v>1</v>
      </c>
      <c r="G642" s="9">
        <f>IFERROR(XLOOKUP(E642, '04_Products'!$A:$A, '04_Products'!$G:$G), 9.40)</f>
        <v/>
      </c>
      <c r="H642" s="9">
        <f>IFERROR(XLOOKUP(E642, '04_Products'!$A:$A, '04_Products'!$F:$F), 0)</f>
        <v/>
      </c>
      <c r="I642" s="9">
        <f>F642*G642</f>
        <v/>
      </c>
      <c r="J642" s="11" t="n">
        <v>0</v>
      </c>
      <c r="K642" s="9">
        <f>I642*J642</f>
        <v/>
      </c>
      <c r="L642" s="9">
        <f>I642-K642</f>
        <v/>
      </c>
      <c r="M642" s="9">
        <f>F642*H642</f>
        <v/>
      </c>
      <c r="N642" s="9">
        <f>L642-M642</f>
        <v/>
      </c>
      <c r="O642" s="11">
        <f>IFERROR(N642/L642, 0)</f>
        <v/>
      </c>
      <c r="P642" s="8">
        <f>YEAR(C642)</f>
        <v/>
      </c>
      <c r="Q642" s="8">
        <f>TEXT(C642, "yyyy-mm")</f>
        <v/>
      </c>
      <c r="R642" s="8" t="inlineStr">
        <is>
          <t>Direct Web</t>
        </is>
      </c>
      <c r="S642" s="8" t="inlineStr">
        <is>
          <t>REG-APAC</t>
        </is>
      </c>
    </row>
    <row r="643">
      <c r="A643" s="8" t="inlineStr">
        <is>
          <t>DTL-0000649</t>
        </is>
      </c>
      <c r="B643" s="8" t="inlineStr">
        <is>
          <t>ORD-000322</t>
        </is>
      </c>
      <c r="C643" s="10" t="inlineStr">
        <is>
          <t>2025-04-15</t>
        </is>
      </c>
      <c r="D643" s="8" t="inlineStr">
        <is>
          <t>CUST-06915</t>
        </is>
      </c>
      <c r="E643" s="8" t="inlineStr">
        <is>
          <t>PRD-0422</t>
        </is>
      </c>
      <c r="F643" s="8" t="n">
        <v>2</v>
      </c>
      <c r="G643" s="9">
        <f>IFERROR(XLOOKUP(E643, '04_Products'!$A:$A, '04_Products'!$G:$G), 1026.96)</f>
        <v/>
      </c>
      <c r="H643" s="9">
        <f>IFERROR(XLOOKUP(E643, '04_Products'!$A:$A, '04_Products'!$F:$F), 0)</f>
        <v/>
      </c>
      <c r="I643" s="9">
        <f>F643*G643</f>
        <v/>
      </c>
      <c r="J643" s="11" t="n">
        <v>0.15</v>
      </c>
      <c r="K643" s="9">
        <f>I643*J643</f>
        <v/>
      </c>
      <c r="L643" s="9">
        <f>I643-K643</f>
        <v/>
      </c>
      <c r="M643" s="9">
        <f>F643*H643</f>
        <v/>
      </c>
      <c r="N643" s="9">
        <f>L643-M643</f>
        <v/>
      </c>
      <c r="O643" s="11">
        <f>IFERROR(N643/L643, 0)</f>
        <v/>
      </c>
      <c r="P643" s="8">
        <f>YEAR(C643)</f>
        <v/>
      </c>
      <c r="Q643" s="8">
        <f>TEXT(C643, "yyyy-mm")</f>
        <v/>
      </c>
      <c r="R643" s="8" t="inlineStr">
        <is>
          <t>Direct Web</t>
        </is>
      </c>
      <c r="S643" s="8" t="inlineStr">
        <is>
          <t>REG-APAC</t>
        </is>
      </c>
    </row>
    <row r="644">
      <c r="A644" s="8" t="inlineStr">
        <is>
          <t>DTL-0000650</t>
        </is>
      </c>
      <c r="B644" s="8" t="inlineStr">
        <is>
          <t>ORD-000322</t>
        </is>
      </c>
      <c r="C644" s="10" t="inlineStr">
        <is>
          <t>2025-04-15</t>
        </is>
      </c>
      <c r="D644" s="8" t="inlineStr">
        <is>
          <t>CUST-06915</t>
        </is>
      </c>
      <c r="E644" s="8" t="inlineStr">
        <is>
          <t>PRD-0289</t>
        </is>
      </c>
      <c r="F644" s="8" t="n">
        <v>1</v>
      </c>
      <c r="G644" s="9">
        <f>IFERROR(XLOOKUP(E644, '04_Products'!$A:$A, '04_Products'!$G:$G), 579.40)</f>
        <v/>
      </c>
      <c r="H644" s="9">
        <f>IFERROR(XLOOKUP(E644, '04_Products'!$A:$A, '04_Products'!$F:$F), 0)</f>
        <v/>
      </c>
      <c r="I644" s="9">
        <f>F644*G644</f>
        <v/>
      </c>
      <c r="J644" s="11" t="n">
        <v>0.05</v>
      </c>
      <c r="K644" s="9">
        <f>I644*J644</f>
        <v/>
      </c>
      <c r="L644" s="9">
        <f>I644-K644</f>
        <v/>
      </c>
      <c r="M644" s="9">
        <f>F644*H644</f>
        <v/>
      </c>
      <c r="N644" s="9">
        <f>L644-M644</f>
        <v/>
      </c>
      <c r="O644" s="11">
        <f>IFERROR(N644/L644, 0)</f>
        <v/>
      </c>
      <c r="P644" s="8">
        <f>YEAR(C644)</f>
        <v/>
      </c>
      <c r="Q644" s="8">
        <f>TEXT(C644, "yyyy-mm")</f>
        <v/>
      </c>
      <c r="R644" s="8" t="inlineStr">
        <is>
          <t>Direct Web</t>
        </is>
      </c>
      <c r="S644" s="8" t="inlineStr">
        <is>
          <t>REG-APAC</t>
        </is>
      </c>
    </row>
    <row r="645">
      <c r="A645" s="8" t="inlineStr">
        <is>
          <t>DTL-0000651</t>
        </is>
      </c>
      <c r="B645" s="8" t="inlineStr">
        <is>
          <t>ORD-000323</t>
        </is>
      </c>
      <c r="C645" s="10" t="inlineStr">
        <is>
          <t>2024-12-28</t>
        </is>
      </c>
      <c r="D645" s="8" t="inlineStr">
        <is>
          <t>CUST-04708</t>
        </is>
      </c>
      <c r="E645" s="8" t="inlineStr">
        <is>
          <t>PRD-0225</t>
        </is>
      </c>
      <c r="F645" s="8" t="n">
        <v>1</v>
      </c>
      <c r="G645" s="9">
        <f>IFERROR(XLOOKUP(E645, '04_Products'!$A:$A, '04_Products'!$G:$G), 266.58)</f>
        <v/>
      </c>
      <c r="H645" s="9">
        <f>IFERROR(XLOOKUP(E645, '04_Products'!$A:$A, '04_Products'!$F:$F), 0)</f>
        <v/>
      </c>
      <c r="I645" s="9">
        <f>F645*G645</f>
        <v/>
      </c>
      <c r="J645" s="11" t="n">
        <v>0.05</v>
      </c>
      <c r="K645" s="9">
        <f>I645*J645</f>
        <v/>
      </c>
      <c r="L645" s="9">
        <f>I645-K645</f>
        <v/>
      </c>
      <c r="M645" s="9">
        <f>F645*H645</f>
        <v/>
      </c>
      <c r="N645" s="9">
        <f>L645-M645</f>
        <v/>
      </c>
      <c r="O645" s="11">
        <f>IFERROR(N645/L645, 0)</f>
        <v/>
      </c>
      <c r="P645" s="8">
        <f>YEAR(C645)</f>
        <v/>
      </c>
      <c r="Q645" s="8">
        <f>TEXT(C645, "yyyy-mm")</f>
        <v/>
      </c>
      <c r="R645" s="8" t="inlineStr">
        <is>
          <t>Mobile App</t>
        </is>
      </c>
      <c r="S645" s="8" t="inlineStr">
        <is>
          <t>REG-NA</t>
        </is>
      </c>
    </row>
    <row r="646">
      <c r="A646" s="8" t="inlineStr">
        <is>
          <t>DTL-0000652</t>
        </is>
      </c>
      <c r="B646" s="8" t="inlineStr">
        <is>
          <t>ORD-000324</t>
        </is>
      </c>
      <c r="C646" s="10" t="inlineStr">
        <is>
          <t>2023-11-20</t>
        </is>
      </c>
      <c r="D646" s="8" t="inlineStr">
        <is>
          <t>CUST-05504</t>
        </is>
      </c>
      <c r="E646" s="8" t="inlineStr">
        <is>
          <t>PRD-0157</t>
        </is>
      </c>
      <c r="F646" s="8" t="n">
        <v>1</v>
      </c>
      <c r="G646" s="9">
        <f>IFERROR(XLOOKUP(E646, '04_Products'!$A:$A, '04_Products'!$G:$G), 227.80)</f>
        <v/>
      </c>
      <c r="H646" s="9">
        <f>IFERROR(XLOOKUP(E646, '04_Products'!$A:$A, '04_Products'!$F:$F), 0)</f>
        <v/>
      </c>
      <c r="I646" s="9">
        <f>F646*G646</f>
        <v/>
      </c>
      <c r="J646" s="11" t="n">
        <v>0</v>
      </c>
      <c r="K646" s="9">
        <f>I646*J646</f>
        <v/>
      </c>
      <c r="L646" s="9">
        <f>I646-K646</f>
        <v/>
      </c>
      <c r="M646" s="9">
        <f>F646*H646</f>
        <v/>
      </c>
      <c r="N646" s="9">
        <f>L646-M646</f>
        <v/>
      </c>
      <c r="O646" s="11">
        <f>IFERROR(N646/L646, 0)</f>
        <v/>
      </c>
      <c r="P646" s="8">
        <f>YEAR(C646)</f>
        <v/>
      </c>
      <c r="Q646" s="8">
        <f>TEXT(C646, "yyyy-mm")</f>
        <v/>
      </c>
      <c r="R646" s="8" t="inlineStr">
        <is>
          <t>Direct Web</t>
        </is>
      </c>
      <c r="S646" s="8" t="inlineStr">
        <is>
          <t>REG-EU</t>
        </is>
      </c>
    </row>
    <row r="647">
      <c r="A647" s="8" t="inlineStr">
        <is>
          <t>DTL-0000653</t>
        </is>
      </c>
      <c r="B647" s="8" t="inlineStr">
        <is>
          <t>ORD-000324</t>
        </is>
      </c>
      <c r="C647" s="10" t="inlineStr">
        <is>
          <t>2023-11-20</t>
        </is>
      </c>
      <c r="D647" s="8" t="inlineStr">
        <is>
          <t>CUST-05504</t>
        </is>
      </c>
      <c r="E647" s="8" t="inlineStr">
        <is>
          <t>PRD-0016</t>
        </is>
      </c>
      <c r="F647" s="8" t="n">
        <v>3</v>
      </c>
      <c r="G647" s="9">
        <f>IFERROR(XLOOKUP(E647, '04_Products'!$A:$A, '04_Products'!$G:$G), 160.40)</f>
        <v/>
      </c>
      <c r="H647" s="9">
        <f>IFERROR(XLOOKUP(E647, '04_Products'!$A:$A, '04_Products'!$F:$F), 0)</f>
        <v/>
      </c>
      <c r="I647" s="9">
        <f>F647*G647</f>
        <v/>
      </c>
      <c r="J647" s="11" t="n">
        <v>0</v>
      </c>
      <c r="K647" s="9">
        <f>I647*J647</f>
        <v/>
      </c>
      <c r="L647" s="9">
        <f>I647-K647</f>
        <v/>
      </c>
      <c r="M647" s="9">
        <f>F647*H647</f>
        <v/>
      </c>
      <c r="N647" s="9">
        <f>L647-M647</f>
        <v/>
      </c>
      <c r="O647" s="11">
        <f>IFERROR(N647/L647, 0)</f>
        <v/>
      </c>
      <c r="P647" s="8">
        <f>YEAR(C647)</f>
        <v/>
      </c>
      <c r="Q647" s="8">
        <f>TEXT(C647, "yyyy-mm")</f>
        <v/>
      </c>
      <c r="R647" s="8" t="inlineStr">
        <is>
          <t>Direct Web</t>
        </is>
      </c>
      <c r="S647" s="8" t="inlineStr">
        <is>
          <t>REG-EU</t>
        </is>
      </c>
    </row>
    <row r="648">
      <c r="A648" s="8" t="inlineStr">
        <is>
          <t>DTL-0000654</t>
        </is>
      </c>
      <c r="B648" s="8" t="inlineStr">
        <is>
          <t>ORD-000324</t>
        </is>
      </c>
      <c r="C648" s="10" t="inlineStr">
        <is>
          <t>2023-11-20</t>
        </is>
      </c>
      <c r="D648" s="8" t="inlineStr">
        <is>
          <t>CUST-05504</t>
        </is>
      </c>
      <c r="E648" s="8" t="inlineStr">
        <is>
          <t>PRD-0096</t>
        </is>
      </c>
      <c r="F648" s="8" t="n">
        <v>1</v>
      </c>
      <c r="G648" s="9">
        <f>IFERROR(XLOOKUP(E648, '04_Products'!$A:$A, '04_Products'!$G:$G), 66.14)</f>
        <v/>
      </c>
      <c r="H648" s="9">
        <f>IFERROR(XLOOKUP(E648, '04_Products'!$A:$A, '04_Products'!$F:$F), 0)</f>
        <v/>
      </c>
      <c r="I648" s="9">
        <f>F648*G648</f>
        <v/>
      </c>
      <c r="J648" s="11" t="n">
        <v>0.2</v>
      </c>
      <c r="K648" s="9">
        <f>I648*J648</f>
        <v/>
      </c>
      <c r="L648" s="9">
        <f>I648-K648</f>
        <v/>
      </c>
      <c r="M648" s="9">
        <f>F648*H648</f>
        <v/>
      </c>
      <c r="N648" s="9">
        <f>L648-M648</f>
        <v/>
      </c>
      <c r="O648" s="11">
        <f>IFERROR(N648/L648, 0)</f>
        <v/>
      </c>
      <c r="P648" s="8">
        <f>YEAR(C648)</f>
        <v/>
      </c>
      <c r="Q648" s="8">
        <f>TEXT(C648, "yyyy-mm")</f>
        <v/>
      </c>
      <c r="R648" s="8" t="inlineStr">
        <is>
          <t>Direct Web</t>
        </is>
      </c>
      <c r="S648" s="8" t="inlineStr">
        <is>
          <t>REG-EU</t>
        </is>
      </c>
    </row>
    <row r="649">
      <c r="A649" s="8" t="inlineStr">
        <is>
          <t>DTL-0000655</t>
        </is>
      </c>
      <c r="B649" s="8" t="inlineStr">
        <is>
          <t>ORD-000325</t>
        </is>
      </c>
      <c r="C649" s="10" t="inlineStr">
        <is>
          <t>2025-12-19</t>
        </is>
      </c>
      <c r="D649" s="8" t="inlineStr">
        <is>
          <t>CUST-06882</t>
        </is>
      </c>
      <c r="E649" s="8" t="inlineStr">
        <is>
          <t>PRD-0085</t>
        </is>
      </c>
      <c r="F649" s="8" t="n">
        <v>5</v>
      </c>
      <c r="G649" s="9">
        <f>IFERROR(XLOOKUP(E649, '04_Products'!$A:$A, '04_Products'!$G:$G), 202.10)</f>
        <v/>
      </c>
      <c r="H649" s="9">
        <f>IFERROR(XLOOKUP(E649, '04_Products'!$A:$A, '04_Products'!$F:$F), 0)</f>
        <v/>
      </c>
      <c r="I649" s="9">
        <f>F649*G649</f>
        <v/>
      </c>
      <c r="J649" s="11" t="n">
        <v>0.1</v>
      </c>
      <c r="K649" s="9">
        <f>I649*J649</f>
        <v/>
      </c>
      <c r="L649" s="9">
        <f>I649-K649</f>
        <v/>
      </c>
      <c r="M649" s="9">
        <f>F649*H649</f>
        <v/>
      </c>
      <c r="N649" s="9">
        <f>L649-M649</f>
        <v/>
      </c>
      <c r="O649" s="11">
        <f>IFERROR(N649/L649, 0)</f>
        <v/>
      </c>
      <c r="P649" s="8">
        <f>YEAR(C649)</f>
        <v/>
      </c>
      <c r="Q649" s="8">
        <f>TEXT(C649, "yyyy-mm")</f>
        <v/>
      </c>
      <c r="R649" s="8" t="inlineStr">
        <is>
          <t>Direct Web</t>
        </is>
      </c>
      <c r="S649" s="8" t="inlineStr">
        <is>
          <t>REG-NA</t>
        </is>
      </c>
    </row>
    <row r="650">
      <c r="A650" s="8" t="inlineStr">
        <is>
          <t>DTL-0000656</t>
        </is>
      </c>
      <c r="B650" s="8" t="inlineStr">
        <is>
          <t>ORD-000325</t>
        </is>
      </c>
      <c r="C650" s="10" t="inlineStr">
        <is>
          <t>2025-12-19</t>
        </is>
      </c>
      <c r="D650" s="8" t="inlineStr">
        <is>
          <t>CUST-06882</t>
        </is>
      </c>
      <c r="E650" s="8" t="inlineStr">
        <is>
          <t>PRD-0403</t>
        </is>
      </c>
      <c r="F650" s="8" t="n">
        <v>4</v>
      </c>
      <c r="G650" s="9">
        <f>IFERROR(XLOOKUP(E650, '04_Products'!$A:$A, '04_Products'!$G:$G), 213.25)</f>
        <v/>
      </c>
      <c r="H650" s="9">
        <f>IFERROR(XLOOKUP(E650, '04_Products'!$A:$A, '04_Products'!$F:$F), 0)</f>
        <v/>
      </c>
      <c r="I650" s="9">
        <f>F650*G650</f>
        <v/>
      </c>
      <c r="J650" s="11" t="n">
        <v>0</v>
      </c>
      <c r="K650" s="9">
        <f>I650*J650</f>
        <v/>
      </c>
      <c r="L650" s="9">
        <f>I650-K650</f>
        <v/>
      </c>
      <c r="M650" s="9">
        <f>F650*H650</f>
        <v/>
      </c>
      <c r="N650" s="9">
        <f>L650-M650</f>
        <v/>
      </c>
      <c r="O650" s="11">
        <f>IFERROR(N650/L650, 0)</f>
        <v/>
      </c>
      <c r="P650" s="8">
        <f>YEAR(C650)</f>
        <v/>
      </c>
      <c r="Q650" s="8">
        <f>TEXT(C650, "yyyy-mm")</f>
        <v/>
      </c>
      <c r="R650" s="8" t="inlineStr">
        <is>
          <t>Direct Web</t>
        </is>
      </c>
      <c r="S650" s="8" t="inlineStr">
        <is>
          <t>REG-NA</t>
        </is>
      </c>
    </row>
    <row r="651">
      <c r="A651" s="8" t="inlineStr">
        <is>
          <t>DTL-0000657</t>
        </is>
      </c>
      <c r="B651" s="8" t="inlineStr">
        <is>
          <t>ORD-000325</t>
        </is>
      </c>
      <c r="C651" s="10" t="inlineStr">
        <is>
          <t>2025-12-19</t>
        </is>
      </c>
      <c r="D651" s="8" t="inlineStr">
        <is>
          <t>CUST-06882</t>
        </is>
      </c>
      <c r="E651" s="8" t="inlineStr">
        <is>
          <t>PRD-0340</t>
        </is>
      </c>
      <c r="F651" s="8" t="n">
        <v>1</v>
      </c>
      <c r="G651" s="9">
        <f>IFERROR(XLOOKUP(E651, '04_Products'!$A:$A, '04_Products'!$G:$G), 11.87)</f>
        <v/>
      </c>
      <c r="H651" s="9">
        <f>IFERROR(XLOOKUP(E651, '04_Products'!$A:$A, '04_Products'!$F:$F), 0)</f>
        <v/>
      </c>
      <c r="I651" s="9">
        <f>F651*G651</f>
        <v/>
      </c>
      <c r="J651" s="11" t="n">
        <v>0.05</v>
      </c>
      <c r="K651" s="9">
        <f>I651*J651</f>
        <v/>
      </c>
      <c r="L651" s="9">
        <f>I651-K651</f>
        <v/>
      </c>
      <c r="M651" s="9">
        <f>F651*H651</f>
        <v/>
      </c>
      <c r="N651" s="9">
        <f>L651-M651</f>
        <v/>
      </c>
      <c r="O651" s="11">
        <f>IFERROR(N651/L651, 0)</f>
        <v/>
      </c>
      <c r="P651" s="8">
        <f>YEAR(C651)</f>
        <v/>
      </c>
      <c r="Q651" s="8">
        <f>TEXT(C651, "yyyy-mm")</f>
        <v/>
      </c>
      <c r="R651" s="8" t="inlineStr">
        <is>
          <t>Direct Web</t>
        </is>
      </c>
      <c r="S651" s="8" t="inlineStr">
        <is>
          <t>REG-NA</t>
        </is>
      </c>
    </row>
    <row r="652">
      <c r="A652" s="8" t="inlineStr">
        <is>
          <t>DTL-0000658</t>
        </is>
      </c>
      <c r="B652" s="8" t="inlineStr">
        <is>
          <t>ORD-000326</t>
        </is>
      </c>
      <c r="C652" s="10" t="inlineStr">
        <is>
          <t>2025-11-30</t>
        </is>
      </c>
      <c r="D652" s="8" t="inlineStr">
        <is>
          <t>CUST-00759</t>
        </is>
      </c>
      <c r="E652" s="8" t="inlineStr">
        <is>
          <t>PRD-0072</t>
        </is>
      </c>
      <c r="F652" s="8" t="n">
        <v>2</v>
      </c>
      <c r="G652" s="9">
        <f>IFERROR(XLOOKUP(E652, '04_Products'!$A:$A, '04_Products'!$G:$G), 548.35)</f>
        <v/>
      </c>
      <c r="H652" s="9">
        <f>IFERROR(XLOOKUP(E652, '04_Products'!$A:$A, '04_Products'!$F:$F), 0)</f>
        <v/>
      </c>
      <c r="I652" s="9">
        <f>F652*G652</f>
        <v/>
      </c>
      <c r="J652" s="11" t="n">
        <v>0.15</v>
      </c>
      <c r="K652" s="9">
        <f>I652*J652</f>
        <v/>
      </c>
      <c r="L652" s="9">
        <f>I652-K652</f>
        <v/>
      </c>
      <c r="M652" s="9">
        <f>F652*H652</f>
        <v/>
      </c>
      <c r="N652" s="9">
        <f>L652-M652</f>
        <v/>
      </c>
      <c r="O652" s="11">
        <f>IFERROR(N652/L652, 0)</f>
        <v/>
      </c>
      <c r="P652" s="8">
        <f>YEAR(C652)</f>
        <v/>
      </c>
      <c r="Q652" s="8">
        <f>TEXT(C652, "yyyy-mm")</f>
        <v/>
      </c>
      <c r="R652" s="8" t="inlineStr">
        <is>
          <t>Direct Web</t>
        </is>
      </c>
      <c r="S652" s="8" t="inlineStr">
        <is>
          <t>REG-EU</t>
        </is>
      </c>
    </row>
    <row r="653">
      <c r="A653" s="8" t="inlineStr">
        <is>
          <t>DTL-0000659</t>
        </is>
      </c>
      <c r="B653" s="8" t="inlineStr">
        <is>
          <t>ORD-000327</t>
        </is>
      </c>
      <c r="C653" s="10" t="inlineStr">
        <is>
          <t>2025-10-21</t>
        </is>
      </c>
      <c r="D653" s="8" t="inlineStr">
        <is>
          <t>CUST-05519</t>
        </is>
      </c>
      <c r="E653" s="8" t="inlineStr">
        <is>
          <t>PRD-0017</t>
        </is>
      </c>
      <c r="F653" s="8" t="n">
        <v>1</v>
      </c>
      <c r="G653" s="9">
        <f>IFERROR(XLOOKUP(E653, '04_Products'!$A:$A, '04_Products'!$G:$G), 931.16)</f>
        <v/>
      </c>
      <c r="H653" s="9">
        <f>IFERROR(XLOOKUP(E653, '04_Products'!$A:$A, '04_Products'!$F:$F), 0)</f>
        <v/>
      </c>
      <c r="I653" s="9">
        <f>F653*G653</f>
        <v/>
      </c>
      <c r="J653" s="11" t="n">
        <v>0.25</v>
      </c>
      <c r="K653" s="9">
        <f>I653*J653</f>
        <v/>
      </c>
      <c r="L653" s="9">
        <f>I653-K653</f>
        <v/>
      </c>
      <c r="M653" s="9">
        <f>F653*H653</f>
        <v/>
      </c>
      <c r="N653" s="9">
        <f>L653-M653</f>
        <v/>
      </c>
      <c r="O653" s="11">
        <f>IFERROR(N653/L653, 0)</f>
        <v/>
      </c>
      <c r="P653" s="8">
        <f>YEAR(C653)</f>
        <v/>
      </c>
      <c r="Q653" s="8">
        <f>TEXT(C653, "yyyy-mm")</f>
        <v/>
      </c>
      <c r="R653" s="8" t="inlineStr">
        <is>
          <t>Affiliate Partner</t>
        </is>
      </c>
      <c r="S653" s="8" t="inlineStr">
        <is>
          <t>REG-EU</t>
        </is>
      </c>
    </row>
    <row r="654">
      <c r="A654" s="8" t="inlineStr">
        <is>
          <t>DTL-0000660</t>
        </is>
      </c>
      <c r="B654" s="8" t="inlineStr">
        <is>
          <t>ORD-000328</t>
        </is>
      </c>
      <c r="C654" s="10" t="inlineStr">
        <is>
          <t>2024-09-28</t>
        </is>
      </c>
      <c r="D654" s="8" t="inlineStr">
        <is>
          <t>CUST-07225</t>
        </is>
      </c>
      <c r="E654" s="8" t="inlineStr">
        <is>
          <t>PRD-0461</t>
        </is>
      </c>
      <c r="F654" s="8" t="n">
        <v>1</v>
      </c>
      <c r="G654" s="9">
        <f>IFERROR(XLOOKUP(E654, '04_Products'!$A:$A, '04_Products'!$G:$G), 724.93)</f>
        <v/>
      </c>
      <c r="H654" s="9">
        <f>IFERROR(XLOOKUP(E654, '04_Products'!$A:$A, '04_Products'!$F:$F), 0)</f>
        <v/>
      </c>
      <c r="I654" s="9">
        <f>F654*G654</f>
        <v/>
      </c>
      <c r="J654" s="11" t="n">
        <v>0</v>
      </c>
      <c r="K654" s="9">
        <f>I654*J654</f>
        <v/>
      </c>
      <c r="L654" s="9">
        <f>I654-K654</f>
        <v/>
      </c>
      <c r="M654" s="9">
        <f>F654*H654</f>
        <v/>
      </c>
      <c r="N654" s="9">
        <f>L654-M654</f>
        <v/>
      </c>
      <c r="O654" s="11">
        <f>IFERROR(N654/L654, 0)</f>
        <v/>
      </c>
      <c r="P654" s="8">
        <f>YEAR(C654)</f>
        <v/>
      </c>
      <c r="Q654" s="8">
        <f>TEXT(C654, "yyyy-mm")</f>
        <v/>
      </c>
      <c r="R654" s="8" t="inlineStr">
        <is>
          <t>Affiliate Partner</t>
        </is>
      </c>
      <c r="S654" s="8" t="inlineStr">
        <is>
          <t>REG-LATAM</t>
        </is>
      </c>
    </row>
    <row r="655">
      <c r="A655" s="8" t="inlineStr">
        <is>
          <t>DTL-0000661</t>
        </is>
      </c>
      <c r="B655" s="8" t="inlineStr">
        <is>
          <t>ORD-000329</t>
        </is>
      </c>
      <c r="C655" s="10" t="inlineStr">
        <is>
          <t>2025-12-03</t>
        </is>
      </c>
      <c r="D655" s="8" t="inlineStr">
        <is>
          <t>CUST-07768</t>
        </is>
      </c>
      <c r="E655" s="8" t="inlineStr">
        <is>
          <t>PRD-0461</t>
        </is>
      </c>
      <c r="F655" s="8" t="n">
        <v>1</v>
      </c>
      <c r="G655" s="9">
        <f>IFERROR(XLOOKUP(E655, '04_Products'!$A:$A, '04_Products'!$G:$G), 724.93)</f>
        <v/>
      </c>
      <c r="H655" s="9">
        <f>IFERROR(XLOOKUP(E655, '04_Products'!$A:$A, '04_Products'!$F:$F), 0)</f>
        <v/>
      </c>
      <c r="I655" s="9">
        <f>F655*G655</f>
        <v/>
      </c>
      <c r="J655" s="11" t="n">
        <v>0</v>
      </c>
      <c r="K655" s="9">
        <f>I655*J655</f>
        <v/>
      </c>
      <c r="L655" s="9">
        <f>I655-K655</f>
        <v/>
      </c>
      <c r="M655" s="9">
        <f>F655*H655</f>
        <v/>
      </c>
      <c r="N655" s="9">
        <f>L655-M655</f>
        <v/>
      </c>
      <c r="O655" s="11">
        <f>IFERROR(N655/L655, 0)</f>
        <v/>
      </c>
      <c r="P655" s="8">
        <f>YEAR(C655)</f>
        <v/>
      </c>
      <c r="Q655" s="8">
        <f>TEXT(C655, "yyyy-mm")</f>
        <v/>
      </c>
      <c r="R655" s="8" t="inlineStr">
        <is>
          <t>Direct Web</t>
        </is>
      </c>
      <c r="S655" s="8" t="inlineStr">
        <is>
          <t>REG-LATAM</t>
        </is>
      </c>
    </row>
    <row r="656">
      <c r="A656" s="8" t="inlineStr">
        <is>
          <t>DTL-0000662</t>
        </is>
      </c>
      <c r="B656" s="8" t="inlineStr">
        <is>
          <t>ORD-000330</t>
        </is>
      </c>
      <c r="C656" s="10" t="inlineStr">
        <is>
          <t>2025-10-23</t>
        </is>
      </c>
      <c r="D656" s="8" t="inlineStr">
        <is>
          <t>CUST-00656</t>
        </is>
      </c>
      <c r="E656" s="8" t="inlineStr">
        <is>
          <t>PRD-0006</t>
        </is>
      </c>
      <c r="F656" s="8" t="n">
        <v>5</v>
      </c>
      <c r="G656" s="9">
        <f>IFERROR(XLOOKUP(E656, '04_Products'!$A:$A, '04_Products'!$G:$G), 64.34)</f>
        <v/>
      </c>
      <c r="H656" s="9">
        <f>IFERROR(XLOOKUP(E656, '04_Products'!$A:$A, '04_Products'!$F:$F), 0)</f>
        <v/>
      </c>
      <c r="I656" s="9">
        <f>F656*G656</f>
        <v/>
      </c>
      <c r="J656" s="11" t="n">
        <v>0</v>
      </c>
      <c r="K656" s="9">
        <f>I656*J656</f>
        <v/>
      </c>
      <c r="L656" s="9">
        <f>I656-K656</f>
        <v/>
      </c>
      <c r="M656" s="9">
        <f>F656*H656</f>
        <v/>
      </c>
      <c r="N656" s="9">
        <f>L656-M656</f>
        <v/>
      </c>
      <c r="O656" s="11">
        <f>IFERROR(N656/L656, 0)</f>
        <v/>
      </c>
      <c r="P656" s="8">
        <f>YEAR(C656)</f>
        <v/>
      </c>
      <c r="Q656" s="8">
        <f>TEXT(C656, "yyyy-mm")</f>
        <v/>
      </c>
      <c r="R656" s="8" t="inlineStr">
        <is>
          <t>Direct Web</t>
        </is>
      </c>
      <c r="S656" s="8" t="inlineStr">
        <is>
          <t>REG-APAC</t>
        </is>
      </c>
    </row>
    <row r="657">
      <c r="A657" s="8" t="inlineStr">
        <is>
          <t>DTL-0000663</t>
        </is>
      </c>
      <c r="B657" s="8" t="inlineStr">
        <is>
          <t>ORD-000331</t>
        </is>
      </c>
      <c r="C657" s="10" t="inlineStr">
        <is>
          <t>2024-03-21</t>
        </is>
      </c>
      <c r="D657" s="8" t="inlineStr">
        <is>
          <t>CUST-03506</t>
        </is>
      </c>
      <c r="E657" s="8" t="inlineStr">
        <is>
          <t>PRD-0386</t>
        </is>
      </c>
      <c r="F657" s="8" t="n">
        <v>5</v>
      </c>
      <c r="G657" s="9">
        <f>IFERROR(XLOOKUP(E657, '04_Products'!$A:$A, '04_Products'!$G:$G), 339.98)</f>
        <v/>
      </c>
      <c r="H657" s="9">
        <f>IFERROR(XLOOKUP(E657, '04_Products'!$A:$A, '04_Products'!$F:$F), 0)</f>
        <v/>
      </c>
      <c r="I657" s="9">
        <f>F657*G657</f>
        <v/>
      </c>
      <c r="J657" s="11" t="n">
        <v>0</v>
      </c>
      <c r="K657" s="9">
        <f>I657*J657</f>
        <v/>
      </c>
      <c r="L657" s="9">
        <f>I657-K657</f>
        <v/>
      </c>
      <c r="M657" s="9">
        <f>F657*H657</f>
        <v/>
      </c>
      <c r="N657" s="9">
        <f>L657-M657</f>
        <v/>
      </c>
      <c r="O657" s="11">
        <f>IFERROR(N657/L657, 0)</f>
        <v/>
      </c>
      <c r="P657" s="8">
        <f>YEAR(C657)</f>
        <v/>
      </c>
      <c r="Q657" s="8">
        <f>TEXT(C657, "yyyy-mm")</f>
        <v/>
      </c>
      <c r="R657" s="8" t="inlineStr">
        <is>
          <t>B2B Portal</t>
        </is>
      </c>
      <c r="S657" s="8" t="inlineStr">
        <is>
          <t>REG-NA</t>
        </is>
      </c>
    </row>
    <row r="658">
      <c r="A658" s="8" t="inlineStr">
        <is>
          <t>DTL-0000664</t>
        </is>
      </c>
      <c r="B658" s="8" t="inlineStr">
        <is>
          <t>ORD-000332</t>
        </is>
      </c>
      <c r="C658" s="10" t="inlineStr">
        <is>
          <t>2025-09-22</t>
        </is>
      </c>
      <c r="D658" s="8" t="inlineStr">
        <is>
          <t>CUST-07691</t>
        </is>
      </c>
      <c r="E658" s="8" t="inlineStr">
        <is>
          <t>PRD-0393</t>
        </is>
      </c>
      <c r="F658" s="8" t="n">
        <v>1</v>
      </c>
      <c r="G658" s="9">
        <f>IFERROR(XLOOKUP(E658, '04_Products'!$A:$A, '04_Products'!$G:$G), 577.02)</f>
        <v/>
      </c>
      <c r="H658" s="9">
        <f>IFERROR(XLOOKUP(E658, '04_Products'!$A:$A, '04_Products'!$F:$F), 0)</f>
        <v/>
      </c>
      <c r="I658" s="9">
        <f>F658*G658</f>
        <v/>
      </c>
      <c r="J658" s="11" t="n">
        <v>0</v>
      </c>
      <c r="K658" s="9">
        <f>I658*J658</f>
        <v/>
      </c>
      <c r="L658" s="9">
        <f>I658-K658</f>
        <v/>
      </c>
      <c r="M658" s="9">
        <f>F658*H658</f>
        <v/>
      </c>
      <c r="N658" s="9">
        <f>L658-M658</f>
        <v/>
      </c>
      <c r="O658" s="11">
        <f>IFERROR(N658/L658, 0)</f>
        <v/>
      </c>
      <c r="P658" s="8">
        <f>YEAR(C658)</f>
        <v/>
      </c>
      <c r="Q658" s="8">
        <f>TEXT(C658, "yyyy-mm")</f>
        <v/>
      </c>
      <c r="R658" s="8" t="inlineStr">
        <is>
          <t>Mobile App</t>
        </is>
      </c>
      <c r="S658" s="8" t="inlineStr">
        <is>
          <t>REG-APAC</t>
        </is>
      </c>
    </row>
    <row r="659">
      <c r="A659" s="8" t="inlineStr">
        <is>
          <t>DTL-0000665</t>
        </is>
      </c>
      <c r="B659" s="8" t="inlineStr">
        <is>
          <t>ORD-000333</t>
        </is>
      </c>
      <c r="C659" s="10" t="inlineStr">
        <is>
          <t>2024-08-04</t>
        </is>
      </c>
      <c r="D659" s="8" t="inlineStr">
        <is>
          <t>CUST-06376</t>
        </is>
      </c>
      <c r="E659" s="8" t="inlineStr">
        <is>
          <t>PRD-0498</t>
        </is>
      </c>
      <c r="F659" s="8" t="n">
        <v>1</v>
      </c>
      <c r="G659" s="9">
        <f>IFERROR(XLOOKUP(E659, '04_Products'!$A:$A, '04_Products'!$G:$G), 63.17)</f>
        <v/>
      </c>
      <c r="H659" s="9">
        <f>IFERROR(XLOOKUP(E659, '04_Products'!$A:$A, '04_Products'!$F:$F), 0)</f>
        <v/>
      </c>
      <c r="I659" s="9">
        <f>F659*G659</f>
        <v/>
      </c>
      <c r="J659" s="11" t="n">
        <v>0.05</v>
      </c>
      <c r="K659" s="9">
        <f>I659*J659</f>
        <v/>
      </c>
      <c r="L659" s="9">
        <f>I659-K659</f>
        <v/>
      </c>
      <c r="M659" s="9">
        <f>F659*H659</f>
        <v/>
      </c>
      <c r="N659" s="9">
        <f>L659-M659</f>
        <v/>
      </c>
      <c r="O659" s="11">
        <f>IFERROR(N659/L659, 0)</f>
        <v/>
      </c>
      <c r="P659" s="8">
        <f>YEAR(C659)</f>
        <v/>
      </c>
      <c r="Q659" s="8">
        <f>TEXT(C659, "yyyy-mm")</f>
        <v/>
      </c>
      <c r="R659" s="8" t="inlineStr">
        <is>
          <t>B2B Portal</t>
        </is>
      </c>
      <c r="S659" s="8" t="inlineStr">
        <is>
          <t>REG-EU</t>
        </is>
      </c>
    </row>
    <row r="660">
      <c r="A660" s="8" t="inlineStr">
        <is>
          <t>DTL-0000666</t>
        </is>
      </c>
      <c r="B660" s="8" t="inlineStr">
        <is>
          <t>ORD-000334</t>
        </is>
      </c>
      <c r="C660" s="10" t="inlineStr">
        <is>
          <t>2024-04-09</t>
        </is>
      </c>
      <c r="D660" s="8" t="inlineStr">
        <is>
          <t>CUST-00547</t>
        </is>
      </c>
      <c r="E660" s="8" t="inlineStr">
        <is>
          <t>PRD-0160</t>
        </is>
      </c>
      <c r="F660" s="8" t="n">
        <v>1</v>
      </c>
      <c r="G660" s="9">
        <f>IFERROR(XLOOKUP(E660, '04_Products'!$A:$A, '04_Products'!$G:$G), 1076.82)</f>
        <v/>
      </c>
      <c r="H660" s="9">
        <f>IFERROR(XLOOKUP(E660, '04_Products'!$A:$A, '04_Products'!$F:$F), 0)</f>
        <v/>
      </c>
      <c r="I660" s="9">
        <f>F660*G660</f>
        <v/>
      </c>
      <c r="J660" s="11" t="n">
        <v>0</v>
      </c>
      <c r="K660" s="9">
        <f>I660*J660</f>
        <v/>
      </c>
      <c r="L660" s="9">
        <f>I660-K660</f>
        <v/>
      </c>
      <c r="M660" s="9">
        <f>F660*H660</f>
        <v/>
      </c>
      <c r="N660" s="9">
        <f>L660-M660</f>
        <v/>
      </c>
      <c r="O660" s="11">
        <f>IFERROR(N660/L660, 0)</f>
        <v/>
      </c>
      <c r="P660" s="8">
        <f>YEAR(C660)</f>
        <v/>
      </c>
      <c r="Q660" s="8">
        <f>TEXT(C660, "yyyy-mm")</f>
        <v/>
      </c>
      <c r="R660" s="8" t="inlineStr">
        <is>
          <t>Direct Web</t>
        </is>
      </c>
      <c r="S660" s="8" t="inlineStr">
        <is>
          <t>REG-LATAM</t>
        </is>
      </c>
    </row>
    <row r="661">
      <c r="A661" s="8" t="inlineStr">
        <is>
          <t>DTL-0000667</t>
        </is>
      </c>
      <c r="B661" s="8" t="inlineStr">
        <is>
          <t>ORD-000334</t>
        </is>
      </c>
      <c r="C661" s="10" t="inlineStr">
        <is>
          <t>2024-04-09</t>
        </is>
      </c>
      <c r="D661" s="8" t="inlineStr">
        <is>
          <t>CUST-00547</t>
        </is>
      </c>
      <c r="E661" s="8" t="inlineStr">
        <is>
          <t>PRD-0153</t>
        </is>
      </c>
      <c r="F661" s="8" t="n">
        <v>5</v>
      </c>
      <c r="G661" s="9">
        <f>IFERROR(XLOOKUP(E661, '04_Products'!$A:$A, '04_Products'!$G:$G), 869.70)</f>
        <v/>
      </c>
      <c r="H661" s="9">
        <f>IFERROR(XLOOKUP(E661, '04_Products'!$A:$A, '04_Products'!$F:$F), 0)</f>
        <v/>
      </c>
      <c r="I661" s="9">
        <f>F661*G661</f>
        <v/>
      </c>
      <c r="J661" s="11" t="n">
        <v>0.3</v>
      </c>
      <c r="K661" s="9">
        <f>I661*J661</f>
        <v/>
      </c>
      <c r="L661" s="9">
        <f>I661-K661</f>
        <v/>
      </c>
      <c r="M661" s="9">
        <f>F661*H661</f>
        <v/>
      </c>
      <c r="N661" s="9">
        <f>L661-M661</f>
        <v/>
      </c>
      <c r="O661" s="11">
        <f>IFERROR(N661/L661, 0)</f>
        <v/>
      </c>
      <c r="P661" s="8">
        <f>YEAR(C661)</f>
        <v/>
      </c>
      <c r="Q661" s="8">
        <f>TEXT(C661, "yyyy-mm")</f>
        <v/>
      </c>
      <c r="R661" s="8" t="inlineStr">
        <is>
          <t>Direct Web</t>
        </is>
      </c>
      <c r="S661" s="8" t="inlineStr">
        <is>
          <t>REG-LATAM</t>
        </is>
      </c>
    </row>
    <row r="662">
      <c r="A662" s="8" t="inlineStr">
        <is>
          <t>DTL-0000668</t>
        </is>
      </c>
      <c r="B662" s="8" t="inlineStr">
        <is>
          <t>ORD-000335</t>
        </is>
      </c>
      <c r="C662" s="10" t="inlineStr">
        <is>
          <t>2023-04-15</t>
        </is>
      </c>
      <c r="D662" s="8" t="inlineStr">
        <is>
          <t>CUST-07993</t>
        </is>
      </c>
      <c r="E662" s="8" t="inlineStr">
        <is>
          <t>PRD-0379</t>
        </is>
      </c>
      <c r="F662" s="8" t="n">
        <v>1</v>
      </c>
      <c r="G662" s="9">
        <f>IFERROR(XLOOKUP(E662, '04_Products'!$A:$A, '04_Products'!$G:$G), 626.40)</f>
        <v/>
      </c>
      <c r="H662" s="9">
        <f>IFERROR(XLOOKUP(E662, '04_Products'!$A:$A, '04_Products'!$F:$F), 0)</f>
        <v/>
      </c>
      <c r="I662" s="9">
        <f>F662*G662</f>
        <v/>
      </c>
      <c r="J662" s="11" t="n">
        <v>0.05</v>
      </c>
      <c r="K662" s="9">
        <f>I662*J662</f>
        <v/>
      </c>
      <c r="L662" s="9">
        <f>I662-K662</f>
        <v/>
      </c>
      <c r="M662" s="9">
        <f>F662*H662</f>
        <v/>
      </c>
      <c r="N662" s="9">
        <f>L662-M662</f>
        <v/>
      </c>
      <c r="O662" s="11">
        <f>IFERROR(N662/L662, 0)</f>
        <v/>
      </c>
      <c r="P662" s="8">
        <f>YEAR(C662)</f>
        <v/>
      </c>
      <c r="Q662" s="8">
        <f>TEXT(C662, "yyyy-mm")</f>
        <v/>
      </c>
      <c r="R662" s="8" t="inlineStr">
        <is>
          <t>B2B Portal</t>
        </is>
      </c>
      <c r="S662" s="8" t="inlineStr">
        <is>
          <t>REG-EU</t>
        </is>
      </c>
    </row>
    <row r="663">
      <c r="A663" s="8" t="inlineStr">
        <is>
          <t>DTL-0000669</t>
        </is>
      </c>
      <c r="B663" s="8" t="inlineStr">
        <is>
          <t>ORD-000336</t>
        </is>
      </c>
      <c r="C663" s="10" t="inlineStr">
        <is>
          <t>2024-08-21</t>
        </is>
      </c>
      <c r="D663" s="8" t="inlineStr">
        <is>
          <t>CUST-02268</t>
        </is>
      </c>
      <c r="E663" s="8" t="inlineStr">
        <is>
          <t>PRD-0096</t>
        </is>
      </c>
      <c r="F663" s="8" t="n">
        <v>1</v>
      </c>
      <c r="G663" s="9">
        <f>IFERROR(XLOOKUP(E663, '04_Products'!$A:$A, '04_Products'!$G:$G), 66.14)</f>
        <v/>
      </c>
      <c r="H663" s="9">
        <f>IFERROR(XLOOKUP(E663, '04_Products'!$A:$A, '04_Products'!$F:$F), 0)</f>
        <v/>
      </c>
      <c r="I663" s="9">
        <f>F663*G663</f>
        <v/>
      </c>
      <c r="J663" s="11" t="n">
        <v>0</v>
      </c>
      <c r="K663" s="9">
        <f>I663*J663</f>
        <v/>
      </c>
      <c r="L663" s="9">
        <f>I663-K663</f>
        <v/>
      </c>
      <c r="M663" s="9">
        <f>F663*H663</f>
        <v/>
      </c>
      <c r="N663" s="9">
        <f>L663-M663</f>
        <v/>
      </c>
      <c r="O663" s="11">
        <f>IFERROR(N663/L663, 0)</f>
        <v/>
      </c>
      <c r="P663" s="8">
        <f>YEAR(C663)</f>
        <v/>
      </c>
      <c r="Q663" s="8">
        <f>TEXT(C663, "yyyy-mm")</f>
        <v/>
      </c>
      <c r="R663" s="8" t="inlineStr">
        <is>
          <t>Mobile App</t>
        </is>
      </c>
      <c r="S663" s="8" t="inlineStr">
        <is>
          <t>REG-NA</t>
        </is>
      </c>
    </row>
    <row r="664">
      <c r="A664" s="8" t="inlineStr">
        <is>
          <t>DTL-0000670</t>
        </is>
      </c>
      <c r="B664" s="8" t="inlineStr">
        <is>
          <t>ORD-000337</t>
        </is>
      </c>
      <c r="C664" s="10" t="inlineStr">
        <is>
          <t>2025-03-20</t>
        </is>
      </c>
      <c r="D664" s="8" t="inlineStr">
        <is>
          <t>CUST-06929</t>
        </is>
      </c>
      <c r="E664" s="8" t="inlineStr">
        <is>
          <t>PRD-0208</t>
        </is>
      </c>
      <c r="F664" s="8" t="n">
        <v>1</v>
      </c>
      <c r="G664" s="9">
        <f>IFERROR(XLOOKUP(E664, '04_Products'!$A:$A, '04_Products'!$G:$G), 47.15)</f>
        <v/>
      </c>
      <c r="H664" s="9">
        <f>IFERROR(XLOOKUP(E664, '04_Products'!$A:$A, '04_Products'!$F:$F), 0)</f>
        <v/>
      </c>
      <c r="I664" s="9">
        <f>F664*G664</f>
        <v/>
      </c>
      <c r="J664" s="11" t="n">
        <v>0</v>
      </c>
      <c r="K664" s="9">
        <f>I664*J664</f>
        <v/>
      </c>
      <c r="L664" s="9">
        <f>I664-K664</f>
        <v/>
      </c>
      <c r="M664" s="9">
        <f>F664*H664</f>
        <v/>
      </c>
      <c r="N664" s="9">
        <f>L664-M664</f>
        <v/>
      </c>
      <c r="O664" s="11">
        <f>IFERROR(N664/L664, 0)</f>
        <v/>
      </c>
      <c r="P664" s="8">
        <f>YEAR(C664)</f>
        <v/>
      </c>
      <c r="Q664" s="8">
        <f>TEXT(C664, "yyyy-mm")</f>
        <v/>
      </c>
      <c r="R664" s="8" t="inlineStr">
        <is>
          <t>Mobile App</t>
        </is>
      </c>
      <c r="S664" s="8" t="inlineStr">
        <is>
          <t>REG-NA</t>
        </is>
      </c>
    </row>
    <row r="665">
      <c r="A665" s="8" t="inlineStr">
        <is>
          <t>DTL-0000671</t>
        </is>
      </c>
      <c r="B665" s="8" t="inlineStr">
        <is>
          <t>ORD-000338</t>
        </is>
      </c>
      <c r="C665" s="10" t="inlineStr">
        <is>
          <t>2025-02-21</t>
        </is>
      </c>
      <c r="D665" s="8" t="inlineStr">
        <is>
          <t>CUST-03665</t>
        </is>
      </c>
      <c r="E665" s="8" t="inlineStr">
        <is>
          <t>PRD-0157</t>
        </is>
      </c>
      <c r="F665" s="8" t="n">
        <v>1</v>
      </c>
      <c r="G665" s="9">
        <f>IFERROR(XLOOKUP(E665, '04_Products'!$A:$A, '04_Products'!$G:$G), 227.80)</f>
        <v/>
      </c>
      <c r="H665" s="9">
        <f>IFERROR(XLOOKUP(E665, '04_Products'!$A:$A, '04_Products'!$F:$F), 0)</f>
        <v/>
      </c>
      <c r="I665" s="9">
        <f>F665*G665</f>
        <v/>
      </c>
      <c r="J665" s="11" t="n">
        <v>0</v>
      </c>
      <c r="K665" s="9">
        <f>I665*J665</f>
        <v/>
      </c>
      <c r="L665" s="9">
        <f>I665-K665</f>
        <v/>
      </c>
      <c r="M665" s="9">
        <f>F665*H665</f>
        <v/>
      </c>
      <c r="N665" s="9">
        <f>L665-M665</f>
        <v/>
      </c>
      <c r="O665" s="11">
        <f>IFERROR(N665/L665, 0)</f>
        <v/>
      </c>
      <c r="P665" s="8">
        <f>YEAR(C665)</f>
        <v/>
      </c>
      <c r="Q665" s="8">
        <f>TEXT(C665, "yyyy-mm")</f>
        <v/>
      </c>
      <c r="R665" s="8" t="inlineStr">
        <is>
          <t>Direct Web</t>
        </is>
      </c>
      <c r="S665" s="8" t="inlineStr">
        <is>
          <t>REG-APAC</t>
        </is>
      </c>
    </row>
    <row r="666">
      <c r="A666" s="8" t="inlineStr">
        <is>
          <t>DTL-0000672</t>
        </is>
      </c>
      <c r="B666" s="8" t="inlineStr">
        <is>
          <t>ORD-000339</t>
        </is>
      </c>
      <c r="C666" s="10" t="inlineStr">
        <is>
          <t>2025-12-29</t>
        </is>
      </c>
      <c r="D666" s="8" t="inlineStr">
        <is>
          <t>CUST-01090</t>
        </is>
      </c>
      <c r="E666" s="8" t="inlineStr">
        <is>
          <t>PRD-0370</t>
        </is>
      </c>
      <c r="F666" s="8" t="n">
        <v>1</v>
      </c>
      <c r="G666" s="9">
        <f>IFERROR(XLOOKUP(E666, '04_Products'!$A:$A, '04_Products'!$G:$G), 1113.54)</f>
        <v/>
      </c>
      <c r="H666" s="9">
        <f>IFERROR(XLOOKUP(E666, '04_Products'!$A:$A, '04_Products'!$F:$F), 0)</f>
        <v/>
      </c>
      <c r="I666" s="9">
        <f>F666*G666</f>
        <v/>
      </c>
      <c r="J666" s="11" t="n">
        <v>0.05</v>
      </c>
      <c r="K666" s="9">
        <f>I666*J666</f>
        <v/>
      </c>
      <c r="L666" s="9">
        <f>I666-K666</f>
        <v/>
      </c>
      <c r="M666" s="9">
        <f>F666*H666</f>
        <v/>
      </c>
      <c r="N666" s="9">
        <f>L666-M666</f>
        <v/>
      </c>
      <c r="O666" s="11">
        <f>IFERROR(N666/L666, 0)</f>
        <v/>
      </c>
      <c r="P666" s="8">
        <f>YEAR(C666)</f>
        <v/>
      </c>
      <c r="Q666" s="8">
        <f>TEXT(C666, "yyyy-mm")</f>
        <v/>
      </c>
      <c r="R666" s="8" t="inlineStr">
        <is>
          <t>Direct Web</t>
        </is>
      </c>
      <c r="S666" s="8" t="inlineStr">
        <is>
          <t>REG-NA</t>
        </is>
      </c>
    </row>
    <row r="667">
      <c r="A667" s="8" t="inlineStr">
        <is>
          <t>DTL-0000673</t>
        </is>
      </c>
      <c r="B667" s="8" t="inlineStr">
        <is>
          <t>ORD-000340</t>
        </is>
      </c>
      <c r="C667" s="10" t="inlineStr">
        <is>
          <t>2025-01-20</t>
        </is>
      </c>
      <c r="D667" s="8" t="inlineStr">
        <is>
          <t>CUST-01288</t>
        </is>
      </c>
      <c r="E667" s="8" t="inlineStr">
        <is>
          <t>PRD-0010</t>
        </is>
      </c>
      <c r="F667" s="8" t="n">
        <v>1</v>
      </c>
      <c r="G667" s="9">
        <f>IFERROR(XLOOKUP(E667, '04_Products'!$A:$A, '04_Products'!$G:$G), 863.30)</f>
        <v/>
      </c>
      <c r="H667" s="9">
        <f>IFERROR(XLOOKUP(E667, '04_Products'!$A:$A, '04_Products'!$F:$F), 0)</f>
        <v/>
      </c>
      <c r="I667" s="9">
        <f>F667*G667</f>
        <v/>
      </c>
      <c r="J667" s="11" t="n">
        <v>0</v>
      </c>
      <c r="K667" s="9">
        <f>I667*J667</f>
        <v/>
      </c>
      <c r="L667" s="9">
        <f>I667-K667</f>
        <v/>
      </c>
      <c r="M667" s="9">
        <f>F667*H667</f>
        <v/>
      </c>
      <c r="N667" s="9">
        <f>L667-M667</f>
        <v/>
      </c>
      <c r="O667" s="11">
        <f>IFERROR(N667/L667, 0)</f>
        <v/>
      </c>
      <c r="P667" s="8">
        <f>YEAR(C667)</f>
        <v/>
      </c>
      <c r="Q667" s="8">
        <f>TEXT(C667, "yyyy-mm")</f>
        <v/>
      </c>
      <c r="R667" s="8" t="inlineStr">
        <is>
          <t>Mobile App</t>
        </is>
      </c>
      <c r="S667" s="8" t="inlineStr">
        <is>
          <t>REG-NA</t>
        </is>
      </c>
    </row>
    <row r="668">
      <c r="A668" s="8" t="inlineStr">
        <is>
          <t>DTL-0000674</t>
        </is>
      </c>
      <c r="B668" s="8" t="inlineStr">
        <is>
          <t>ORD-000341</t>
        </is>
      </c>
      <c r="C668" s="10" t="inlineStr">
        <is>
          <t>2024-09-13</t>
        </is>
      </c>
      <c r="D668" s="8" t="inlineStr">
        <is>
          <t>CUST-01868</t>
        </is>
      </c>
      <c r="E668" s="8" t="inlineStr">
        <is>
          <t>PRD-0045</t>
        </is>
      </c>
      <c r="F668" s="8" t="n">
        <v>2</v>
      </c>
      <c r="G668" s="9">
        <f>IFERROR(XLOOKUP(E668, '04_Products'!$A:$A, '04_Products'!$G:$G), 30.53)</f>
        <v/>
      </c>
      <c r="H668" s="9">
        <f>IFERROR(XLOOKUP(E668, '04_Products'!$A:$A, '04_Products'!$F:$F), 0)</f>
        <v/>
      </c>
      <c r="I668" s="9">
        <f>F668*G668</f>
        <v/>
      </c>
      <c r="J668" s="11" t="n">
        <v>0.1</v>
      </c>
      <c r="K668" s="9">
        <f>I668*J668</f>
        <v/>
      </c>
      <c r="L668" s="9">
        <f>I668-K668</f>
        <v/>
      </c>
      <c r="M668" s="9">
        <f>F668*H668</f>
        <v/>
      </c>
      <c r="N668" s="9">
        <f>L668-M668</f>
        <v/>
      </c>
      <c r="O668" s="11">
        <f>IFERROR(N668/L668, 0)</f>
        <v/>
      </c>
      <c r="P668" s="8">
        <f>YEAR(C668)</f>
        <v/>
      </c>
      <c r="Q668" s="8">
        <f>TEXT(C668, "yyyy-mm")</f>
        <v/>
      </c>
      <c r="R668" s="8" t="inlineStr">
        <is>
          <t>B2B Portal</t>
        </is>
      </c>
      <c r="S668" s="8" t="inlineStr">
        <is>
          <t>REG-NA</t>
        </is>
      </c>
    </row>
    <row r="669">
      <c r="A669" s="8" t="inlineStr">
        <is>
          <t>DTL-0000675</t>
        </is>
      </c>
      <c r="B669" s="8" t="inlineStr">
        <is>
          <t>ORD-000342</t>
        </is>
      </c>
      <c r="C669" s="10" t="inlineStr">
        <is>
          <t>2024-02-04</t>
        </is>
      </c>
      <c r="D669" s="8" t="inlineStr">
        <is>
          <t>CUST-01708</t>
        </is>
      </c>
      <c r="E669" s="8" t="inlineStr">
        <is>
          <t>PRD-0398</t>
        </is>
      </c>
      <c r="F669" s="8" t="n">
        <v>2</v>
      </c>
      <c r="G669" s="9">
        <f>IFERROR(XLOOKUP(E669, '04_Products'!$A:$A, '04_Products'!$G:$G), 28.76)</f>
        <v/>
      </c>
      <c r="H669" s="9">
        <f>IFERROR(XLOOKUP(E669, '04_Products'!$A:$A, '04_Products'!$F:$F), 0)</f>
        <v/>
      </c>
      <c r="I669" s="9">
        <f>F669*G669</f>
        <v/>
      </c>
      <c r="J669" s="11" t="n">
        <v>0.1</v>
      </c>
      <c r="K669" s="9">
        <f>I669*J669</f>
        <v/>
      </c>
      <c r="L669" s="9">
        <f>I669-K669</f>
        <v/>
      </c>
      <c r="M669" s="9">
        <f>F669*H669</f>
        <v/>
      </c>
      <c r="N669" s="9">
        <f>L669-M669</f>
        <v/>
      </c>
      <c r="O669" s="11">
        <f>IFERROR(N669/L669, 0)</f>
        <v/>
      </c>
      <c r="P669" s="8">
        <f>YEAR(C669)</f>
        <v/>
      </c>
      <c r="Q669" s="8">
        <f>TEXT(C669, "yyyy-mm")</f>
        <v/>
      </c>
      <c r="R669" s="8" t="inlineStr">
        <is>
          <t>Direct Web</t>
        </is>
      </c>
      <c r="S669" s="8" t="inlineStr">
        <is>
          <t>REG-EU</t>
        </is>
      </c>
    </row>
    <row r="670">
      <c r="A670" s="8" t="inlineStr">
        <is>
          <t>DTL-0000676</t>
        </is>
      </c>
      <c r="B670" s="8" t="inlineStr">
        <is>
          <t>ORD-000342</t>
        </is>
      </c>
      <c r="C670" s="10" t="inlineStr">
        <is>
          <t>2024-02-04</t>
        </is>
      </c>
      <c r="D670" s="8" t="inlineStr">
        <is>
          <t>CUST-01708</t>
        </is>
      </c>
      <c r="E670" s="8" t="inlineStr">
        <is>
          <t>PRD-0406</t>
        </is>
      </c>
      <c r="F670" s="8" t="n">
        <v>1</v>
      </c>
      <c r="G670" s="9">
        <f>IFERROR(XLOOKUP(E670, '04_Products'!$A:$A, '04_Products'!$G:$G), 666.52)</f>
        <v/>
      </c>
      <c r="H670" s="9">
        <f>IFERROR(XLOOKUP(E670, '04_Products'!$A:$A, '04_Products'!$F:$F), 0)</f>
        <v/>
      </c>
      <c r="I670" s="9">
        <f>F670*G670</f>
        <v/>
      </c>
      <c r="J670" s="11" t="n">
        <v>0</v>
      </c>
      <c r="K670" s="9">
        <f>I670*J670</f>
        <v/>
      </c>
      <c r="L670" s="9">
        <f>I670-K670</f>
        <v/>
      </c>
      <c r="M670" s="9">
        <f>F670*H670</f>
        <v/>
      </c>
      <c r="N670" s="9">
        <f>L670-M670</f>
        <v/>
      </c>
      <c r="O670" s="11">
        <f>IFERROR(N670/L670, 0)</f>
        <v/>
      </c>
      <c r="P670" s="8">
        <f>YEAR(C670)</f>
        <v/>
      </c>
      <c r="Q670" s="8">
        <f>TEXT(C670, "yyyy-mm")</f>
        <v/>
      </c>
      <c r="R670" s="8" t="inlineStr">
        <is>
          <t>Direct Web</t>
        </is>
      </c>
      <c r="S670" s="8" t="inlineStr">
        <is>
          <t>REG-EU</t>
        </is>
      </c>
    </row>
    <row r="671">
      <c r="A671" s="8" t="inlineStr">
        <is>
          <t>DTL-0000677</t>
        </is>
      </c>
      <c r="B671" s="8" t="inlineStr">
        <is>
          <t>ORD-000343</t>
        </is>
      </c>
      <c r="C671" s="10" t="inlineStr">
        <is>
          <t>2025-12-16</t>
        </is>
      </c>
      <c r="D671" s="8" t="inlineStr">
        <is>
          <t>CUST-03684</t>
        </is>
      </c>
      <c r="E671" s="8" t="inlineStr">
        <is>
          <t>PRD-0409</t>
        </is>
      </c>
      <c r="F671" s="8" t="n">
        <v>1</v>
      </c>
      <c r="G671" s="9">
        <f>IFERROR(XLOOKUP(E671, '04_Products'!$A:$A, '04_Products'!$G:$G), 60.58)</f>
        <v/>
      </c>
      <c r="H671" s="9">
        <f>IFERROR(XLOOKUP(E671, '04_Products'!$A:$A, '04_Products'!$F:$F), 0)</f>
        <v/>
      </c>
      <c r="I671" s="9">
        <f>F671*G671</f>
        <v/>
      </c>
      <c r="J671" s="11" t="n">
        <v>0.05</v>
      </c>
      <c r="K671" s="9">
        <f>I671*J671</f>
        <v/>
      </c>
      <c r="L671" s="9">
        <f>I671-K671</f>
        <v/>
      </c>
      <c r="M671" s="9">
        <f>F671*H671</f>
        <v/>
      </c>
      <c r="N671" s="9">
        <f>L671-M671</f>
        <v/>
      </c>
      <c r="O671" s="11">
        <f>IFERROR(N671/L671, 0)</f>
        <v/>
      </c>
      <c r="P671" s="8">
        <f>YEAR(C671)</f>
        <v/>
      </c>
      <c r="Q671" s="8">
        <f>TEXT(C671, "yyyy-mm")</f>
        <v/>
      </c>
      <c r="R671" s="8" t="inlineStr">
        <is>
          <t>B2B Portal</t>
        </is>
      </c>
      <c r="S671" s="8" t="inlineStr">
        <is>
          <t>REG-NA</t>
        </is>
      </c>
    </row>
    <row r="672">
      <c r="A672" s="8" t="inlineStr">
        <is>
          <t>DTL-0000678</t>
        </is>
      </c>
      <c r="B672" s="8" t="inlineStr">
        <is>
          <t>ORD-000343</t>
        </is>
      </c>
      <c r="C672" s="10" t="inlineStr">
        <is>
          <t>2025-12-16</t>
        </is>
      </c>
      <c r="D672" s="8" t="inlineStr">
        <is>
          <t>CUST-03684</t>
        </is>
      </c>
      <c r="E672" s="8" t="inlineStr">
        <is>
          <t>PRD-0389</t>
        </is>
      </c>
      <c r="F672" s="8" t="n">
        <v>2</v>
      </c>
      <c r="G672" s="9">
        <f>IFERROR(XLOOKUP(E672, '04_Products'!$A:$A, '04_Products'!$G:$G), 355.70)</f>
        <v/>
      </c>
      <c r="H672" s="9">
        <f>IFERROR(XLOOKUP(E672, '04_Products'!$A:$A, '04_Products'!$F:$F), 0)</f>
        <v/>
      </c>
      <c r="I672" s="9">
        <f>F672*G672</f>
        <v/>
      </c>
      <c r="J672" s="11" t="n">
        <v>0.2</v>
      </c>
      <c r="K672" s="9">
        <f>I672*J672</f>
        <v/>
      </c>
      <c r="L672" s="9">
        <f>I672-K672</f>
        <v/>
      </c>
      <c r="M672" s="9">
        <f>F672*H672</f>
        <v/>
      </c>
      <c r="N672" s="9">
        <f>L672-M672</f>
        <v/>
      </c>
      <c r="O672" s="11">
        <f>IFERROR(N672/L672, 0)</f>
        <v/>
      </c>
      <c r="P672" s="8">
        <f>YEAR(C672)</f>
        <v/>
      </c>
      <c r="Q672" s="8">
        <f>TEXT(C672, "yyyy-mm")</f>
        <v/>
      </c>
      <c r="R672" s="8" t="inlineStr">
        <is>
          <t>B2B Portal</t>
        </is>
      </c>
      <c r="S672" s="8" t="inlineStr">
        <is>
          <t>REG-NA</t>
        </is>
      </c>
    </row>
    <row r="673">
      <c r="A673" s="8" t="inlineStr">
        <is>
          <t>DTL-0000679</t>
        </is>
      </c>
      <c r="B673" s="8" t="inlineStr">
        <is>
          <t>ORD-000344</t>
        </is>
      </c>
      <c r="C673" s="10" t="inlineStr">
        <is>
          <t>2023-04-05</t>
        </is>
      </c>
      <c r="D673" s="8" t="inlineStr">
        <is>
          <t>CUST-02175</t>
        </is>
      </c>
      <c r="E673" s="8" t="inlineStr">
        <is>
          <t>PRD-0459</t>
        </is>
      </c>
      <c r="F673" s="8" t="n">
        <v>1</v>
      </c>
      <c r="G673" s="9">
        <f>IFERROR(XLOOKUP(E673, '04_Products'!$A:$A, '04_Products'!$G:$G), 55.95)</f>
        <v/>
      </c>
      <c r="H673" s="9">
        <f>IFERROR(XLOOKUP(E673, '04_Products'!$A:$A, '04_Products'!$F:$F), 0)</f>
        <v/>
      </c>
      <c r="I673" s="9">
        <f>F673*G673</f>
        <v/>
      </c>
      <c r="J673" s="11" t="n">
        <v>0</v>
      </c>
      <c r="K673" s="9">
        <f>I673*J673</f>
        <v/>
      </c>
      <c r="L673" s="9">
        <f>I673-K673</f>
        <v/>
      </c>
      <c r="M673" s="9">
        <f>F673*H673</f>
        <v/>
      </c>
      <c r="N673" s="9">
        <f>L673-M673</f>
        <v/>
      </c>
      <c r="O673" s="11">
        <f>IFERROR(N673/L673, 0)</f>
        <v/>
      </c>
      <c r="P673" s="8">
        <f>YEAR(C673)</f>
        <v/>
      </c>
      <c r="Q673" s="8">
        <f>TEXT(C673, "yyyy-mm")</f>
        <v/>
      </c>
      <c r="R673" s="8" t="inlineStr">
        <is>
          <t>Mobile App</t>
        </is>
      </c>
      <c r="S673" s="8" t="inlineStr">
        <is>
          <t>REG-NA</t>
        </is>
      </c>
    </row>
    <row r="674">
      <c r="A674" s="8" t="inlineStr">
        <is>
          <t>DTL-0000680</t>
        </is>
      </c>
      <c r="B674" s="8" t="inlineStr">
        <is>
          <t>ORD-000345</t>
        </is>
      </c>
      <c r="C674" s="10" t="inlineStr">
        <is>
          <t>2024-12-30</t>
        </is>
      </c>
      <c r="D674" s="8" t="inlineStr">
        <is>
          <t>CUST-03862</t>
        </is>
      </c>
      <c r="E674" s="8" t="inlineStr">
        <is>
          <t>PRD-0109</t>
        </is>
      </c>
      <c r="F674" s="8" t="n">
        <v>2</v>
      </c>
      <c r="G674" s="9">
        <f>IFERROR(XLOOKUP(E674, '04_Products'!$A:$A, '04_Products'!$G:$G), 53.86)</f>
        <v/>
      </c>
      <c r="H674" s="9">
        <f>IFERROR(XLOOKUP(E674, '04_Products'!$A:$A, '04_Products'!$F:$F), 0)</f>
        <v/>
      </c>
      <c r="I674" s="9">
        <f>F674*G674</f>
        <v/>
      </c>
      <c r="J674" s="11" t="n">
        <v>0.15</v>
      </c>
      <c r="K674" s="9">
        <f>I674*J674</f>
        <v/>
      </c>
      <c r="L674" s="9">
        <f>I674-K674</f>
        <v/>
      </c>
      <c r="M674" s="9">
        <f>F674*H674</f>
        <v/>
      </c>
      <c r="N674" s="9">
        <f>L674-M674</f>
        <v/>
      </c>
      <c r="O674" s="11">
        <f>IFERROR(N674/L674, 0)</f>
        <v/>
      </c>
      <c r="P674" s="8">
        <f>YEAR(C674)</f>
        <v/>
      </c>
      <c r="Q674" s="8">
        <f>TEXT(C674, "yyyy-mm")</f>
        <v/>
      </c>
      <c r="R674" s="8" t="inlineStr">
        <is>
          <t>Mobile App</t>
        </is>
      </c>
      <c r="S674" s="8" t="inlineStr">
        <is>
          <t>REG-NA</t>
        </is>
      </c>
    </row>
    <row r="675">
      <c r="A675" s="8" t="inlineStr">
        <is>
          <t>DTL-0000681</t>
        </is>
      </c>
      <c r="B675" s="8" t="inlineStr">
        <is>
          <t>ORD-000346</t>
        </is>
      </c>
      <c r="C675" s="10" t="inlineStr">
        <is>
          <t>2023-07-11</t>
        </is>
      </c>
      <c r="D675" s="8" t="inlineStr">
        <is>
          <t>CUST-07021</t>
        </is>
      </c>
      <c r="E675" s="8" t="inlineStr">
        <is>
          <t>PRD-0310</t>
        </is>
      </c>
      <c r="F675" s="8" t="n">
        <v>1</v>
      </c>
      <c r="G675" s="9">
        <f>IFERROR(XLOOKUP(E675, '04_Products'!$A:$A, '04_Products'!$G:$G), 51.60)</f>
        <v/>
      </c>
      <c r="H675" s="9">
        <f>IFERROR(XLOOKUP(E675, '04_Products'!$A:$A, '04_Products'!$F:$F), 0)</f>
        <v/>
      </c>
      <c r="I675" s="9">
        <f>F675*G675</f>
        <v/>
      </c>
      <c r="J675" s="11" t="n">
        <v>0.1</v>
      </c>
      <c r="K675" s="9">
        <f>I675*J675</f>
        <v/>
      </c>
      <c r="L675" s="9">
        <f>I675-K675</f>
        <v/>
      </c>
      <c r="M675" s="9">
        <f>F675*H675</f>
        <v/>
      </c>
      <c r="N675" s="9">
        <f>L675-M675</f>
        <v/>
      </c>
      <c r="O675" s="11">
        <f>IFERROR(N675/L675, 0)</f>
        <v/>
      </c>
      <c r="P675" s="8">
        <f>YEAR(C675)</f>
        <v/>
      </c>
      <c r="Q675" s="8">
        <f>TEXT(C675, "yyyy-mm")</f>
        <v/>
      </c>
      <c r="R675" s="8" t="inlineStr">
        <is>
          <t>Affiliate Partner</t>
        </is>
      </c>
      <c r="S675" s="8" t="inlineStr">
        <is>
          <t>REG-NA</t>
        </is>
      </c>
    </row>
    <row r="676">
      <c r="A676" s="8" t="inlineStr">
        <is>
          <t>DTL-0000682</t>
        </is>
      </c>
      <c r="B676" s="8" t="inlineStr">
        <is>
          <t>ORD-000346</t>
        </is>
      </c>
      <c r="C676" s="10" t="inlineStr">
        <is>
          <t>2023-07-11</t>
        </is>
      </c>
      <c r="D676" s="8" t="inlineStr">
        <is>
          <t>CUST-07021</t>
        </is>
      </c>
      <c r="E676" s="8" t="inlineStr">
        <is>
          <t>PRD-0423</t>
        </is>
      </c>
      <c r="F676" s="8" t="n">
        <v>1</v>
      </c>
      <c r="G676" s="9">
        <f>IFERROR(XLOOKUP(E676, '04_Products'!$A:$A, '04_Products'!$G:$G), 922.78)</f>
        <v/>
      </c>
      <c r="H676" s="9">
        <f>IFERROR(XLOOKUP(E676, '04_Products'!$A:$A, '04_Products'!$F:$F), 0)</f>
        <v/>
      </c>
      <c r="I676" s="9">
        <f>F676*G676</f>
        <v/>
      </c>
      <c r="J676" s="11" t="n">
        <v>0.15</v>
      </c>
      <c r="K676" s="9">
        <f>I676*J676</f>
        <v/>
      </c>
      <c r="L676" s="9">
        <f>I676-K676</f>
        <v/>
      </c>
      <c r="M676" s="9">
        <f>F676*H676</f>
        <v/>
      </c>
      <c r="N676" s="9">
        <f>L676-M676</f>
        <v/>
      </c>
      <c r="O676" s="11">
        <f>IFERROR(N676/L676, 0)</f>
        <v/>
      </c>
      <c r="P676" s="8">
        <f>YEAR(C676)</f>
        <v/>
      </c>
      <c r="Q676" s="8">
        <f>TEXT(C676, "yyyy-mm")</f>
        <v/>
      </c>
      <c r="R676" s="8" t="inlineStr">
        <is>
          <t>Affiliate Partner</t>
        </is>
      </c>
      <c r="S676" s="8" t="inlineStr">
        <is>
          <t>REG-NA</t>
        </is>
      </c>
    </row>
    <row r="677">
      <c r="A677" s="8" t="inlineStr">
        <is>
          <t>DTL-0000683</t>
        </is>
      </c>
      <c r="B677" s="8" t="inlineStr">
        <is>
          <t>ORD-000347</t>
        </is>
      </c>
      <c r="C677" s="10" t="inlineStr">
        <is>
          <t>2024-05-09</t>
        </is>
      </c>
      <c r="D677" s="8" t="inlineStr">
        <is>
          <t>CUST-04076</t>
        </is>
      </c>
      <c r="E677" s="8" t="inlineStr">
        <is>
          <t>PRD-0074</t>
        </is>
      </c>
      <c r="F677" s="8" t="n">
        <v>1</v>
      </c>
      <c r="G677" s="9">
        <f>IFERROR(XLOOKUP(E677, '04_Products'!$A:$A, '04_Products'!$G:$G), 405.95)</f>
        <v/>
      </c>
      <c r="H677" s="9">
        <f>IFERROR(XLOOKUP(E677, '04_Products'!$A:$A, '04_Products'!$F:$F), 0)</f>
        <v/>
      </c>
      <c r="I677" s="9">
        <f>F677*G677</f>
        <v/>
      </c>
      <c r="J677" s="11" t="n">
        <v>0.15</v>
      </c>
      <c r="K677" s="9">
        <f>I677*J677</f>
        <v/>
      </c>
      <c r="L677" s="9">
        <f>I677-K677</f>
        <v/>
      </c>
      <c r="M677" s="9">
        <f>F677*H677</f>
        <v/>
      </c>
      <c r="N677" s="9">
        <f>L677-M677</f>
        <v/>
      </c>
      <c r="O677" s="11">
        <f>IFERROR(N677/L677, 0)</f>
        <v/>
      </c>
      <c r="P677" s="8">
        <f>YEAR(C677)</f>
        <v/>
      </c>
      <c r="Q677" s="8">
        <f>TEXT(C677, "yyyy-mm")</f>
        <v/>
      </c>
      <c r="R677" s="8" t="inlineStr">
        <is>
          <t>Affiliate Partner</t>
        </is>
      </c>
      <c r="S677" s="8" t="inlineStr">
        <is>
          <t>REG-APAC</t>
        </is>
      </c>
    </row>
    <row r="678">
      <c r="A678" s="8" t="inlineStr">
        <is>
          <t>DTL-0000684</t>
        </is>
      </c>
      <c r="B678" s="8" t="inlineStr">
        <is>
          <t>ORD-000347</t>
        </is>
      </c>
      <c r="C678" s="10" t="inlineStr">
        <is>
          <t>2024-05-09</t>
        </is>
      </c>
      <c r="D678" s="8" t="inlineStr">
        <is>
          <t>CUST-04076</t>
        </is>
      </c>
      <c r="E678" s="8" t="inlineStr">
        <is>
          <t>PRD-0257</t>
        </is>
      </c>
      <c r="F678" s="8" t="n">
        <v>2</v>
      </c>
      <c r="G678" s="9">
        <f>IFERROR(XLOOKUP(E678, '04_Products'!$A:$A, '04_Products'!$G:$G), 31.28)</f>
        <v/>
      </c>
      <c r="H678" s="9">
        <f>IFERROR(XLOOKUP(E678, '04_Products'!$A:$A, '04_Products'!$F:$F), 0)</f>
        <v/>
      </c>
      <c r="I678" s="9">
        <f>F678*G678</f>
        <v/>
      </c>
      <c r="J678" s="11" t="n">
        <v>0.05</v>
      </c>
      <c r="K678" s="9">
        <f>I678*J678</f>
        <v/>
      </c>
      <c r="L678" s="9">
        <f>I678-K678</f>
        <v/>
      </c>
      <c r="M678" s="9">
        <f>F678*H678</f>
        <v/>
      </c>
      <c r="N678" s="9">
        <f>L678-M678</f>
        <v/>
      </c>
      <c r="O678" s="11">
        <f>IFERROR(N678/L678, 0)</f>
        <v/>
      </c>
      <c r="P678" s="8">
        <f>YEAR(C678)</f>
        <v/>
      </c>
      <c r="Q678" s="8">
        <f>TEXT(C678, "yyyy-mm")</f>
        <v/>
      </c>
      <c r="R678" s="8" t="inlineStr">
        <is>
          <t>Affiliate Partner</t>
        </is>
      </c>
      <c r="S678" s="8" t="inlineStr">
        <is>
          <t>REG-APAC</t>
        </is>
      </c>
    </row>
    <row r="679">
      <c r="A679" s="8" t="inlineStr">
        <is>
          <t>DTL-0000685</t>
        </is>
      </c>
      <c r="B679" s="8" t="inlineStr">
        <is>
          <t>ORD-000348</t>
        </is>
      </c>
      <c r="C679" s="10" t="inlineStr">
        <is>
          <t>2023-11-26</t>
        </is>
      </c>
      <c r="D679" s="8" t="inlineStr">
        <is>
          <t>CUST-05283</t>
        </is>
      </c>
      <c r="E679" s="8" t="inlineStr">
        <is>
          <t>PRD-0300</t>
        </is>
      </c>
      <c r="F679" s="8" t="n">
        <v>1</v>
      </c>
      <c r="G679" s="9">
        <f>IFERROR(XLOOKUP(E679, '04_Products'!$A:$A, '04_Products'!$G:$G), 1041.76)</f>
        <v/>
      </c>
      <c r="H679" s="9">
        <f>IFERROR(XLOOKUP(E679, '04_Products'!$A:$A, '04_Products'!$F:$F), 0)</f>
        <v/>
      </c>
      <c r="I679" s="9">
        <f>F679*G679</f>
        <v/>
      </c>
      <c r="J679" s="11" t="n">
        <v>0</v>
      </c>
      <c r="K679" s="9">
        <f>I679*J679</f>
        <v/>
      </c>
      <c r="L679" s="9">
        <f>I679-K679</f>
        <v/>
      </c>
      <c r="M679" s="9">
        <f>F679*H679</f>
        <v/>
      </c>
      <c r="N679" s="9">
        <f>L679-M679</f>
        <v/>
      </c>
      <c r="O679" s="11">
        <f>IFERROR(N679/L679, 0)</f>
        <v/>
      </c>
      <c r="P679" s="8">
        <f>YEAR(C679)</f>
        <v/>
      </c>
      <c r="Q679" s="8">
        <f>TEXT(C679, "yyyy-mm")</f>
        <v/>
      </c>
      <c r="R679" s="8" t="inlineStr">
        <is>
          <t>Mobile App</t>
        </is>
      </c>
      <c r="S679" s="8" t="inlineStr">
        <is>
          <t>REG-NA</t>
        </is>
      </c>
    </row>
    <row r="680">
      <c r="A680" s="8" t="inlineStr">
        <is>
          <t>DTL-0000686</t>
        </is>
      </c>
      <c r="B680" s="8" t="inlineStr">
        <is>
          <t>ORD-000348</t>
        </is>
      </c>
      <c r="C680" s="10" t="inlineStr">
        <is>
          <t>2023-11-26</t>
        </is>
      </c>
      <c r="D680" s="8" t="inlineStr">
        <is>
          <t>CUST-05283</t>
        </is>
      </c>
      <c r="E680" s="8" t="inlineStr">
        <is>
          <t>PRD-0498</t>
        </is>
      </c>
      <c r="F680" s="8" t="n">
        <v>4</v>
      </c>
      <c r="G680" s="9">
        <f>IFERROR(XLOOKUP(E680, '04_Products'!$A:$A, '04_Products'!$G:$G), 63.17)</f>
        <v/>
      </c>
      <c r="H680" s="9">
        <f>IFERROR(XLOOKUP(E680, '04_Products'!$A:$A, '04_Products'!$F:$F), 0)</f>
        <v/>
      </c>
      <c r="I680" s="9">
        <f>F680*G680</f>
        <v/>
      </c>
      <c r="J680" s="11" t="n">
        <v>0.1</v>
      </c>
      <c r="K680" s="9">
        <f>I680*J680</f>
        <v/>
      </c>
      <c r="L680" s="9">
        <f>I680-K680</f>
        <v/>
      </c>
      <c r="M680" s="9">
        <f>F680*H680</f>
        <v/>
      </c>
      <c r="N680" s="9">
        <f>L680-M680</f>
        <v/>
      </c>
      <c r="O680" s="11">
        <f>IFERROR(N680/L680, 0)</f>
        <v/>
      </c>
      <c r="P680" s="8">
        <f>YEAR(C680)</f>
        <v/>
      </c>
      <c r="Q680" s="8">
        <f>TEXT(C680, "yyyy-mm")</f>
        <v/>
      </c>
      <c r="R680" s="8" t="inlineStr">
        <is>
          <t>Mobile App</t>
        </is>
      </c>
      <c r="S680" s="8" t="inlineStr">
        <is>
          <t>REG-NA</t>
        </is>
      </c>
    </row>
    <row r="681">
      <c r="A681" s="8" t="inlineStr">
        <is>
          <t>DTL-0000687</t>
        </is>
      </c>
      <c r="B681" s="8" t="inlineStr">
        <is>
          <t>ORD-000348</t>
        </is>
      </c>
      <c r="C681" s="10" t="inlineStr">
        <is>
          <t>2023-11-26</t>
        </is>
      </c>
      <c r="D681" s="8" t="inlineStr">
        <is>
          <t>CUST-05283</t>
        </is>
      </c>
      <c r="E681" s="8" t="inlineStr">
        <is>
          <t>PRD-0281</t>
        </is>
      </c>
      <c r="F681" s="8" t="n">
        <v>1</v>
      </c>
      <c r="G681" s="9">
        <f>IFERROR(XLOOKUP(E681, '04_Products'!$A:$A, '04_Products'!$G:$G), 19.01)</f>
        <v/>
      </c>
      <c r="H681" s="9">
        <f>IFERROR(XLOOKUP(E681, '04_Products'!$A:$A, '04_Products'!$F:$F), 0)</f>
        <v/>
      </c>
      <c r="I681" s="9">
        <f>F681*G681</f>
        <v/>
      </c>
      <c r="J681" s="11" t="n">
        <v>0</v>
      </c>
      <c r="K681" s="9">
        <f>I681*J681</f>
        <v/>
      </c>
      <c r="L681" s="9">
        <f>I681-K681</f>
        <v/>
      </c>
      <c r="M681" s="9">
        <f>F681*H681</f>
        <v/>
      </c>
      <c r="N681" s="9">
        <f>L681-M681</f>
        <v/>
      </c>
      <c r="O681" s="11">
        <f>IFERROR(N681/L681, 0)</f>
        <v/>
      </c>
      <c r="P681" s="8">
        <f>YEAR(C681)</f>
        <v/>
      </c>
      <c r="Q681" s="8">
        <f>TEXT(C681, "yyyy-mm")</f>
        <v/>
      </c>
      <c r="R681" s="8" t="inlineStr">
        <is>
          <t>Mobile App</t>
        </is>
      </c>
      <c r="S681" s="8" t="inlineStr">
        <is>
          <t>REG-NA</t>
        </is>
      </c>
    </row>
    <row r="682">
      <c r="A682" s="8" t="inlineStr">
        <is>
          <t>DTL-0000688</t>
        </is>
      </c>
      <c r="B682" s="8" t="inlineStr">
        <is>
          <t>ORD-000348</t>
        </is>
      </c>
      <c r="C682" s="10" t="inlineStr">
        <is>
          <t>2023-11-26</t>
        </is>
      </c>
      <c r="D682" s="8" t="inlineStr">
        <is>
          <t>CUST-05283</t>
        </is>
      </c>
      <c r="E682" s="8" t="inlineStr">
        <is>
          <t>PRD-0472</t>
        </is>
      </c>
      <c r="F682" s="8" t="n">
        <v>2</v>
      </c>
      <c r="G682" s="9">
        <f>IFERROR(XLOOKUP(E682, '04_Products'!$A:$A, '04_Products'!$G:$G), 40.64)</f>
        <v/>
      </c>
      <c r="H682" s="9">
        <f>IFERROR(XLOOKUP(E682, '04_Products'!$A:$A, '04_Products'!$F:$F), 0)</f>
        <v/>
      </c>
      <c r="I682" s="9">
        <f>F682*G682</f>
        <v/>
      </c>
      <c r="J682" s="11" t="n">
        <v>0</v>
      </c>
      <c r="K682" s="9">
        <f>I682*J682</f>
        <v/>
      </c>
      <c r="L682" s="9">
        <f>I682-K682</f>
        <v/>
      </c>
      <c r="M682" s="9">
        <f>F682*H682</f>
        <v/>
      </c>
      <c r="N682" s="9">
        <f>L682-M682</f>
        <v/>
      </c>
      <c r="O682" s="11">
        <f>IFERROR(N682/L682, 0)</f>
        <v/>
      </c>
      <c r="P682" s="8">
        <f>YEAR(C682)</f>
        <v/>
      </c>
      <c r="Q682" s="8">
        <f>TEXT(C682, "yyyy-mm")</f>
        <v/>
      </c>
      <c r="R682" s="8" t="inlineStr">
        <is>
          <t>Mobile App</t>
        </is>
      </c>
      <c r="S682" s="8" t="inlineStr">
        <is>
          <t>REG-NA</t>
        </is>
      </c>
    </row>
    <row r="683">
      <c r="A683" s="8" t="inlineStr">
        <is>
          <t>DTL-0000689</t>
        </is>
      </c>
      <c r="B683" s="8" t="inlineStr">
        <is>
          <t>ORD-000349</t>
        </is>
      </c>
      <c r="C683" s="10" t="inlineStr">
        <is>
          <t>2024-06-20</t>
        </is>
      </c>
      <c r="D683" s="8" t="inlineStr">
        <is>
          <t>CUST-05677</t>
        </is>
      </c>
      <c r="E683" s="8" t="inlineStr">
        <is>
          <t>PRD-0440</t>
        </is>
      </c>
      <c r="F683" s="8" t="n">
        <v>3</v>
      </c>
      <c r="G683" s="9">
        <f>IFERROR(XLOOKUP(E683, '04_Products'!$A:$A, '04_Products'!$G:$G), 791.74)</f>
        <v/>
      </c>
      <c r="H683" s="9">
        <f>IFERROR(XLOOKUP(E683, '04_Products'!$A:$A, '04_Products'!$F:$F), 0)</f>
        <v/>
      </c>
      <c r="I683" s="9">
        <f>F683*G683</f>
        <v/>
      </c>
      <c r="J683" s="11" t="n">
        <v>0</v>
      </c>
      <c r="K683" s="9">
        <f>I683*J683</f>
        <v/>
      </c>
      <c r="L683" s="9">
        <f>I683-K683</f>
        <v/>
      </c>
      <c r="M683" s="9">
        <f>F683*H683</f>
        <v/>
      </c>
      <c r="N683" s="9">
        <f>L683-M683</f>
        <v/>
      </c>
      <c r="O683" s="11">
        <f>IFERROR(N683/L683, 0)</f>
        <v/>
      </c>
      <c r="P683" s="8">
        <f>YEAR(C683)</f>
        <v/>
      </c>
      <c r="Q683" s="8">
        <f>TEXT(C683, "yyyy-mm")</f>
        <v/>
      </c>
      <c r="R683" s="8" t="inlineStr">
        <is>
          <t>Direct Web</t>
        </is>
      </c>
      <c r="S683" s="8" t="inlineStr">
        <is>
          <t>REG-NA</t>
        </is>
      </c>
    </row>
    <row r="684">
      <c r="A684" s="8" t="inlineStr">
        <is>
          <t>DTL-0000690</t>
        </is>
      </c>
      <c r="B684" s="8" t="inlineStr">
        <is>
          <t>ORD-000350</t>
        </is>
      </c>
      <c r="C684" s="10" t="inlineStr">
        <is>
          <t>2023-12-31</t>
        </is>
      </c>
      <c r="D684" s="8" t="inlineStr">
        <is>
          <t>CUST-04433</t>
        </is>
      </c>
      <c r="E684" s="8" t="inlineStr">
        <is>
          <t>PRD-0493</t>
        </is>
      </c>
      <c r="F684" s="8" t="n">
        <v>1</v>
      </c>
      <c r="G684" s="9">
        <f>IFERROR(XLOOKUP(E684, '04_Products'!$A:$A, '04_Products'!$G:$G), 502.97)</f>
        <v/>
      </c>
      <c r="H684" s="9">
        <f>IFERROR(XLOOKUP(E684, '04_Products'!$A:$A, '04_Products'!$F:$F), 0)</f>
        <v/>
      </c>
      <c r="I684" s="9">
        <f>F684*G684</f>
        <v/>
      </c>
      <c r="J684" s="11" t="n">
        <v>0.15</v>
      </c>
      <c r="K684" s="9">
        <f>I684*J684</f>
        <v/>
      </c>
      <c r="L684" s="9">
        <f>I684-K684</f>
        <v/>
      </c>
      <c r="M684" s="9">
        <f>F684*H684</f>
        <v/>
      </c>
      <c r="N684" s="9">
        <f>L684-M684</f>
        <v/>
      </c>
      <c r="O684" s="11">
        <f>IFERROR(N684/L684, 0)</f>
        <v/>
      </c>
      <c r="P684" s="8">
        <f>YEAR(C684)</f>
        <v/>
      </c>
      <c r="Q684" s="8">
        <f>TEXT(C684, "yyyy-mm")</f>
        <v/>
      </c>
      <c r="R684" s="8" t="inlineStr">
        <is>
          <t>Direct Web</t>
        </is>
      </c>
      <c r="S684" s="8" t="inlineStr">
        <is>
          <t>REG-NA</t>
        </is>
      </c>
    </row>
    <row r="685">
      <c r="A685" s="8" t="inlineStr">
        <is>
          <t>DTL-0000691</t>
        </is>
      </c>
      <c r="B685" s="8" t="inlineStr">
        <is>
          <t>ORD-000350</t>
        </is>
      </c>
      <c r="C685" s="10" t="inlineStr">
        <is>
          <t>2023-12-31</t>
        </is>
      </c>
      <c r="D685" s="8" t="inlineStr">
        <is>
          <t>CUST-04433</t>
        </is>
      </c>
      <c r="E685" s="8" t="inlineStr">
        <is>
          <t>PRD-0180</t>
        </is>
      </c>
      <c r="F685" s="8" t="n">
        <v>2</v>
      </c>
      <c r="G685" s="9">
        <f>IFERROR(XLOOKUP(E685, '04_Products'!$A:$A, '04_Products'!$G:$G), 1016.03)</f>
        <v/>
      </c>
      <c r="H685" s="9">
        <f>IFERROR(XLOOKUP(E685, '04_Products'!$A:$A, '04_Products'!$F:$F), 0)</f>
        <v/>
      </c>
      <c r="I685" s="9">
        <f>F685*G685</f>
        <v/>
      </c>
      <c r="J685" s="11" t="n">
        <v>0.05</v>
      </c>
      <c r="K685" s="9">
        <f>I685*J685</f>
        <v/>
      </c>
      <c r="L685" s="9">
        <f>I685-K685</f>
        <v/>
      </c>
      <c r="M685" s="9">
        <f>F685*H685</f>
        <v/>
      </c>
      <c r="N685" s="9">
        <f>L685-M685</f>
        <v/>
      </c>
      <c r="O685" s="11">
        <f>IFERROR(N685/L685, 0)</f>
        <v/>
      </c>
      <c r="P685" s="8">
        <f>YEAR(C685)</f>
        <v/>
      </c>
      <c r="Q685" s="8">
        <f>TEXT(C685, "yyyy-mm")</f>
        <v/>
      </c>
      <c r="R685" s="8" t="inlineStr">
        <is>
          <t>Direct Web</t>
        </is>
      </c>
      <c r="S685" s="8" t="inlineStr">
        <is>
          <t>REG-NA</t>
        </is>
      </c>
    </row>
    <row r="686">
      <c r="A686" s="8" t="inlineStr">
        <is>
          <t>DTL-0000692</t>
        </is>
      </c>
      <c r="B686" s="8" t="inlineStr">
        <is>
          <t>ORD-000350</t>
        </is>
      </c>
      <c r="C686" s="10" t="inlineStr">
        <is>
          <t>2023-12-31</t>
        </is>
      </c>
      <c r="D686" s="8" t="inlineStr">
        <is>
          <t>CUST-04433</t>
        </is>
      </c>
      <c r="E686" s="8" t="inlineStr">
        <is>
          <t>PRD-0062</t>
        </is>
      </c>
      <c r="F686" s="8" t="n">
        <v>2</v>
      </c>
      <c r="G686" s="9">
        <f>IFERROR(XLOOKUP(E686, '04_Products'!$A:$A, '04_Products'!$G:$G), 829.67)</f>
        <v/>
      </c>
      <c r="H686" s="9">
        <f>IFERROR(XLOOKUP(E686, '04_Products'!$A:$A, '04_Products'!$F:$F), 0)</f>
        <v/>
      </c>
      <c r="I686" s="9">
        <f>F686*G686</f>
        <v/>
      </c>
      <c r="J686" s="11" t="n">
        <v>0.05</v>
      </c>
      <c r="K686" s="9">
        <f>I686*J686</f>
        <v/>
      </c>
      <c r="L686" s="9">
        <f>I686-K686</f>
        <v/>
      </c>
      <c r="M686" s="9">
        <f>F686*H686</f>
        <v/>
      </c>
      <c r="N686" s="9">
        <f>L686-M686</f>
        <v/>
      </c>
      <c r="O686" s="11">
        <f>IFERROR(N686/L686, 0)</f>
        <v/>
      </c>
      <c r="P686" s="8">
        <f>YEAR(C686)</f>
        <v/>
      </c>
      <c r="Q686" s="8">
        <f>TEXT(C686, "yyyy-mm")</f>
        <v/>
      </c>
      <c r="R686" s="8" t="inlineStr">
        <is>
          <t>Direct Web</t>
        </is>
      </c>
      <c r="S686" s="8" t="inlineStr">
        <is>
          <t>REG-NA</t>
        </is>
      </c>
    </row>
    <row r="687">
      <c r="A687" s="8" t="inlineStr">
        <is>
          <t>DTL-0000693</t>
        </is>
      </c>
      <c r="B687" s="8" t="inlineStr">
        <is>
          <t>ORD-000351</t>
        </is>
      </c>
      <c r="C687" s="10" t="inlineStr">
        <is>
          <t>2025-06-09</t>
        </is>
      </c>
      <c r="D687" s="8" t="inlineStr">
        <is>
          <t>CUST-02521</t>
        </is>
      </c>
      <c r="E687" s="8" t="inlineStr">
        <is>
          <t>PRD-0156</t>
        </is>
      </c>
      <c r="F687" s="8" t="n">
        <v>1</v>
      </c>
      <c r="G687" s="9">
        <f>IFERROR(XLOOKUP(E687, '04_Products'!$A:$A, '04_Products'!$G:$G), 129.00)</f>
        <v/>
      </c>
      <c r="H687" s="9">
        <f>IFERROR(XLOOKUP(E687, '04_Products'!$A:$A, '04_Products'!$F:$F), 0)</f>
        <v/>
      </c>
      <c r="I687" s="9">
        <f>F687*G687</f>
        <v/>
      </c>
      <c r="J687" s="11" t="n">
        <v>0.05</v>
      </c>
      <c r="K687" s="9">
        <f>I687*J687</f>
        <v/>
      </c>
      <c r="L687" s="9">
        <f>I687-K687</f>
        <v/>
      </c>
      <c r="M687" s="9">
        <f>F687*H687</f>
        <v/>
      </c>
      <c r="N687" s="9">
        <f>L687-M687</f>
        <v/>
      </c>
      <c r="O687" s="11">
        <f>IFERROR(N687/L687, 0)</f>
        <v/>
      </c>
      <c r="P687" s="8">
        <f>YEAR(C687)</f>
        <v/>
      </c>
      <c r="Q687" s="8">
        <f>TEXT(C687, "yyyy-mm")</f>
        <v/>
      </c>
      <c r="R687" s="8" t="inlineStr">
        <is>
          <t>Direct Web</t>
        </is>
      </c>
      <c r="S687" s="8" t="inlineStr">
        <is>
          <t>REG-EU</t>
        </is>
      </c>
    </row>
    <row r="688">
      <c r="A688" s="8" t="inlineStr">
        <is>
          <t>DTL-0000694</t>
        </is>
      </c>
      <c r="B688" s="8" t="inlineStr">
        <is>
          <t>ORD-000352</t>
        </is>
      </c>
      <c r="C688" s="10" t="inlineStr">
        <is>
          <t>2025-05-14</t>
        </is>
      </c>
      <c r="D688" s="8" t="inlineStr">
        <is>
          <t>CUST-07557</t>
        </is>
      </c>
      <c r="E688" s="8" t="inlineStr">
        <is>
          <t>PRD-0493</t>
        </is>
      </c>
      <c r="F688" s="8" t="n">
        <v>2</v>
      </c>
      <c r="G688" s="9">
        <f>IFERROR(XLOOKUP(E688, '04_Products'!$A:$A, '04_Products'!$G:$G), 502.97)</f>
        <v/>
      </c>
      <c r="H688" s="9">
        <f>IFERROR(XLOOKUP(E688, '04_Products'!$A:$A, '04_Products'!$F:$F), 0)</f>
        <v/>
      </c>
      <c r="I688" s="9">
        <f>F688*G688</f>
        <v/>
      </c>
      <c r="J688" s="11" t="n">
        <v>0</v>
      </c>
      <c r="K688" s="9">
        <f>I688*J688</f>
        <v/>
      </c>
      <c r="L688" s="9">
        <f>I688-K688</f>
        <v/>
      </c>
      <c r="M688" s="9">
        <f>F688*H688</f>
        <v/>
      </c>
      <c r="N688" s="9">
        <f>L688-M688</f>
        <v/>
      </c>
      <c r="O688" s="11">
        <f>IFERROR(N688/L688, 0)</f>
        <v/>
      </c>
      <c r="P688" s="8">
        <f>YEAR(C688)</f>
        <v/>
      </c>
      <c r="Q688" s="8">
        <f>TEXT(C688, "yyyy-mm")</f>
        <v/>
      </c>
      <c r="R688" s="8" t="inlineStr">
        <is>
          <t>Direct Web</t>
        </is>
      </c>
      <c r="S688" s="8" t="inlineStr">
        <is>
          <t>REG-NA</t>
        </is>
      </c>
    </row>
    <row r="689">
      <c r="A689" s="8" t="inlineStr">
        <is>
          <t>DTL-0000695</t>
        </is>
      </c>
      <c r="B689" s="8" t="inlineStr">
        <is>
          <t>ORD-000353</t>
        </is>
      </c>
      <c r="C689" s="10" t="inlineStr">
        <is>
          <t>2024-04-11</t>
        </is>
      </c>
      <c r="D689" s="8" t="inlineStr">
        <is>
          <t>CUST-04110</t>
        </is>
      </c>
      <c r="E689" s="8" t="inlineStr">
        <is>
          <t>PRD-0200</t>
        </is>
      </c>
      <c r="F689" s="8" t="n">
        <v>1</v>
      </c>
      <c r="G689" s="9">
        <f>IFERROR(XLOOKUP(E689, '04_Products'!$A:$A, '04_Products'!$G:$G), 977.00)</f>
        <v/>
      </c>
      <c r="H689" s="9">
        <f>IFERROR(XLOOKUP(E689, '04_Products'!$A:$A, '04_Products'!$F:$F), 0)</f>
        <v/>
      </c>
      <c r="I689" s="9">
        <f>F689*G689</f>
        <v/>
      </c>
      <c r="J689" s="11" t="n">
        <v>0</v>
      </c>
      <c r="K689" s="9">
        <f>I689*J689</f>
        <v/>
      </c>
      <c r="L689" s="9">
        <f>I689-K689</f>
        <v/>
      </c>
      <c r="M689" s="9">
        <f>F689*H689</f>
        <v/>
      </c>
      <c r="N689" s="9">
        <f>L689-M689</f>
        <v/>
      </c>
      <c r="O689" s="11">
        <f>IFERROR(N689/L689, 0)</f>
        <v/>
      </c>
      <c r="P689" s="8">
        <f>YEAR(C689)</f>
        <v/>
      </c>
      <c r="Q689" s="8">
        <f>TEXT(C689, "yyyy-mm")</f>
        <v/>
      </c>
      <c r="R689" s="8" t="inlineStr">
        <is>
          <t>Mobile App</t>
        </is>
      </c>
      <c r="S689" s="8" t="inlineStr">
        <is>
          <t>REG-EU</t>
        </is>
      </c>
    </row>
    <row r="690">
      <c r="A690" s="8" t="inlineStr">
        <is>
          <t>DTL-0000696</t>
        </is>
      </c>
      <c r="B690" s="8" t="inlineStr">
        <is>
          <t>ORD-000354</t>
        </is>
      </c>
      <c r="C690" s="10" t="inlineStr">
        <is>
          <t>2025-12-20</t>
        </is>
      </c>
      <c r="D690" s="8" t="inlineStr">
        <is>
          <t>CUST-05545</t>
        </is>
      </c>
      <c r="E690" s="8" t="inlineStr">
        <is>
          <t>PRD-0448</t>
        </is>
      </c>
      <c r="F690" s="8" t="n">
        <v>1</v>
      </c>
      <c r="G690" s="9">
        <f>IFERROR(XLOOKUP(E690, '04_Products'!$A:$A, '04_Products'!$G:$G), 338.65)</f>
        <v/>
      </c>
      <c r="H690" s="9">
        <f>IFERROR(XLOOKUP(E690, '04_Products'!$A:$A, '04_Products'!$F:$F), 0)</f>
        <v/>
      </c>
      <c r="I690" s="9">
        <f>F690*G690</f>
        <v/>
      </c>
      <c r="J690" s="11" t="n">
        <v>0.05</v>
      </c>
      <c r="K690" s="9">
        <f>I690*J690</f>
        <v/>
      </c>
      <c r="L690" s="9">
        <f>I690-K690</f>
        <v/>
      </c>
      <c r="M690" s="9">
        <f>F690*H690</f>
        <v/>
      </c>
      <c r="N690" s="9">
        <f>L690-M690</f>
        <v/>
      </c>
      <c r="O690" s="11">
        <f>IFERROR(N690/L690, 0)</f>
        <v/>
      </c>
      <c r="P690" s="8">
        <f>YEAR(C690)</f>
        <v/>
      </c>
      <c r="Q690" s="8">
        <f>TEXT(C690, "yyyy-mm")</f>
        <v/>
      </c>
      <c r="R690" s="8" t="inlineStr">
        <is>
          <t>Mobile App</t>
        </is>
      </c>
      <c r="S690" s="8" t="inlineStr">
        <is>
          <t>REG-LATAM</t>
        </is>
      </c>
    </row>
    <row r="691">
      <c r="A691" s="8" t="inlineStr">
        <is>
          <t>DTL-0000697</t>
        </is>
      </c>
      <c r="B691" s="8" t="inlineStr">
        <is>
          <t>ORD-000355</t>
        </is>
      </c>
      <c r="C691" s="10" t="inlineStr">
        <is>
          <t>2025-12-26</t>
        </is>
      </c>
      <c r="D691" s="8" t="inlineStr">
        <is>
          <t>CUST-00880</t>
        </is>
      </c>
      <c r="E691" s="8" t="inlineStr">
        <is>
          <t>PRD-0399</t>
        </is>
      </c>
      <c r="F691" s="8" t="n">
        <v>3</v>
      </c>
      <c r="G691" s="9">
        <f>IFERROR(XLOOKUP(E691, '04_Products'!$A:$A, '04_Products'!$G:$G), 933.08)</f>
        <v/>
      </c>
      <c r="H691" s="9">
        <f>IFERROR(XLOOKUP(E691, '04_Products'!$A:$A, '04_Products'!$F:$F), 0)</f>
        <v/>
      </c>
      <c r="I691" s="9">
        <f>F691*G691</f>
        <v/>
      </c>
      <c r="J691" s="11" t="n">
        <v>0.1</v>
      </c>
      <c r="K691" s="9">
        <f>I691*J691</f>
        <v/>
      </c>
      <c r="L691" s="9">
        <f>I691-K691</f>
        <v/>
      </c>
      <c r="M691" s="9">
        <f>F691*H691</f>
        <v/>
      </c>
      <c r="N691" s="9">
        <f>L691-M691</f>
        <v/>
      </c>
      <c r="O691" s="11">
        <f>IFERROR(N691/L691, 0)</f>
        <v/>
      </c>
      <c r="P691" s="8">
        <f>YEAR(C691)</f>
        <v/>
      </c>
      <c r="Q691" s="8">
        <f>TEXT(C691, "yyyy-mm")</f>
        <v/>
      </c>
      <c r="R691" s="8" t="inlineStr">
        <is>
          <t>Mobile App</t>
        </is>
      </c>
      <c r="S691" s="8" t="inlineStr">
        <is>
          <t>REG-NA</t>
        </is>
      </c>
    </row>
    <row r="692">
      <c r="A692" s="8" t="inlineStr">
        <is>
          <t>DTL-0000698</t>
        </is>
      </c>
      <c r="B692" s="8" t="inlineStr">
        <is>
          <t>ORD-000356</t>
        </is>
      </c>
      <c r="C692" s="10" t="inlineStr">
        <is>
          <t>2023-04-07</t>
        </is>
      </c>
      <c r="D692" s="8" t="inlineStr">
        <is>
          <t>CUST-04159</t>
        </is>
      </c>
      <c r="E692" s="8" t="inlineStr">
        <is>
          <t>PRD-0180</t>
        </is>
      </c>
      <c r="F692" s="8" t="n">
        <v>1</v>
      </c>
      <c r="G692" s="9">
        <f>IFERROR(XLOOKUP(E692, '04_Products'!$A:$A, '04_Products'!$G:$G), 1016.03)</f>
        <v/>
      </c>
      <c r="H692" s="9">
        <f>IFERROR(XLOOKUP(E692, '04_Products'!$A:$A, '04_Products'!$F:$F), 0)</f>
        <v/>
      </c>
      <c r="I692" s="9">
        <f>F692*G692</f>
        <v/>
      </c>
      <c r="J692" s="11" t="n">
        <v>0.1</v>
      </c>
      <c r="K692" s="9">
        <f>I692*J692</f>
        <v/>
      </c>
      <c r="L692" s="9">
        <f>I692-K692</f>
        <v/>
      </c>
      <c r="M692" s="9">
        <f>F692*H692</f>
        <v/>
      </c>
      <c r="N692" s="9">
        <f>L692-M692</f>
        <v/>
      </c>
      <c r="O692" s="11">
        <f>IFERROR(N692/L692, 0)</f>
        <v/>
      </c>
      <c r="P692" s="8">
        <f>YEAR(C692)</f>
        <v/>
      </c>
      <c r="Q692" s="8">
        <f>TEXT(C692, "yyyy-mm")</f>
        <v/>
      </c>
      <c r="R692" s="8" t="inlineStr">
        <is>
          <t>Direct Web</t>
        </is>
      </c>
      <c r="S692" s="8" t="inlineStr">
        <is>
          <t>REG-EU</t>
        </is>
      </c>
    </row>
    <row r="693">
      <c r="A693" s="8" t="inlineStr">
        <is>
          <t>DTL-0000699</t>
        </is>
      </c>
      <c r="B693" s="8" t="inlineStr">
        <is>
          <t>ORD-000356</t>
        </is>
      </c>
      <c r="C693" s="10" t="inlineStr">
        <is>
          <t>2023-04-07</t>
        </is>
      </c>
      <c r="D693" s="8" t="inlineStr">
        <is>
          <t>CUST-04159</t>
        </is>
      </c>
      <c r="E693" s="8" t="inlineStr">
        <is>
          <t>PRD-0086</t>
        </is>
      </c>
      <c r="F693" s="8" t="n">
        <v>2</v>
      </c>
      <c r="G693" s="9">
        <f>IFERROR(XLOOKUP(E693, '04_Products'!$A:$A, '04_Products'!$G:$G), 996.20)</f>
        <v/>
      </c>
      <c r="H693" s="9">
        <f>IFERROR(XLOOKUP(E693, '04_Products'!$A:$A, '04_Products'!$F:$F), 0)</f>
        <v/>
      </c>
      <c r="I693" s="9">
        <f>F693*G693</f>
        <v/>
      </c>
      <c r="J693" s="11" t="n">
        <v>0.1</v>
      </c>
      <c r="K693" s="9">
        <f>I693*J693</f>
        <v/>
      </c>
      <c r="L693" s="9">
        <f>I693-K693</f>
        <v/>
      </c>
      <c r="M693" s="9">
        <f>F693*H693</f>
        <v/>
      </c>
      <c r="N693" s="9">
        <f>L693-M693</f>
        <v/>
      </c>
      <c r="O693" s="11">
        <f>IFERROR(N693/L693, 0)</f>
        <v/>
      </c>
      <c r="P693" s="8">
        <f>YEAR(C693)</f>
        <v/>
      </c>
      <c r="Q693" s="8">
        <f>TEXT(C693, "yyyy-mm")</f>
        <v/>
      </c>
      <c r="R693" s="8" t="inlineStr">
        <is>
          <t>Direct Web</t>
        </is>
      </c>
      <c r="S693" s="8" t="inlineStr">
        <is>
          <t>REG-EU</t>
        </is>
      </c>
    </row>
    <row r="694">
      <c r="A694" s="8" t="inlineStr">
        <is>
          <t>DTL-0000700</t>
        </is>
      </c>
      <c r="B694" s="8" t="inlineStr">
        <is>
          <t>ORD-000356</t>
        </is>
      </c>
      <c r="C694" s="10" t="inlineStr">
        <is>
          <t>2023-04-07</t>
        </is>
      </c>
      <c r="D694" s="8" t="inlineStr">
        <is>
          <t>CUST-04159</t>
        </is>
      </c>
      <c r="E694" s="8" t="inlineStr">
        <is>
          <t>PRD-0182</t>
        </is>
      </c>
      <c r="F694" s="8" t="n">
        <v>4</v>
      </c>
      <c r="G694" s="9">
        <f>IFERROR(XLOOKUP(E694, '04_Products'!$A:$A, '04_Products'!$G:$G), 1423.65)</f>
        <v/>
      </c>
      <c r="H694" s="9">
        <f>IFERROR(XLOOKUP(E694, '04_Products'!$A:$A, '04_Products'!$F:$F), 0)</f>
        <v/>
      </c>
      <c r="I694" s="9">
        <f>F694*G694</f>
        <v/>
      </c>
      <c r="J694" s="11" t="n">
        <v>0</v>
      </c>
      <c r="K694" s="9">
        <f>I694*J694</f>
        <v/>
      </c>
      <c r="L694" s="9">
        <f>I694-K694</f>
        <v/>
      </c>
      <c r="M694" s="9">
        <f>F694*H694</f>
        <v/>
      </c>
      <c r="N694" s="9">
        <f>L694-M694</f>
        <v/>
      </c>
      <c r="O694" s="11">
        <f>IFERROR(N694/L694, 0)</f>
        <v/>
      </c>
      <c r="P694" s="8">
        <f>YEAR(C694)</f>
        <v/>
      </c>
      <c r="Q694" s="8">
        <f>TEXT(C694, "yyyy-mm")</f>
        <v/>
      </c>
      <c r="R694" s="8" t="inlineStr">
        <is>
          <t>Direct Web</t>
        </is>
      </c>
      <c r="S694" s="8" t="inlineStr">
        <is>
          <t>REG-EU</t>
        </is>
      </c>
    </row>
    <row r="695">
      <c r="A695" s="8" t="inlineStr">
        <is>
          <t>DTL-0000701</t>
        </is>
      </c>
      <c r="B695" s="8" t="inlineStr">
        <is>
          <t>ORD-000356</t>
        </is>
      </c>
      <c r="C695" s="10" t="inlineStr">
        <is>
          <t>2023-04-07</t>
        </is>
      </c>
      <c r="D695" s="8" t="inlineStr">
        <is>
          <t>CUST-04159</t>
        </is>
      </c>
      <c r="E695" s="8" t="inlineStr">
        <is>
          <t>PRD-0256</t>
        </is>
      </c>
      <c r="F695" s="8" t="n">
        <v>1</v>
      </c>
      <c r="G695" s="9">
        <f>IFERROR(XLOOKUP(E695, '04_Products'!$A:$A, '04_Products'!$G:$G), 235.18)</f>
        <v/>
      </c>
      <c r="H695" s="9">
        <f>IFERROR(XLOOKUP(E695, '04_Products'!$A:$A, '04_Products'!$F:$F), 0)</f>
        <v/>
      </c>
      <c r="I695" s="9">
        <f>F695*G695</f>
        <v/>
      </c>
      <c r="J695" s="11" t="n">
        <v>0.05</v>
      </c>
      <c r="K695" s="9">
        <f>I695*J695</f>
        <v/>
      </c>
      <c r="L695" s="9">
        <f>I695-K695</f>
        <v/>
      </c>
      <c r="M695" s="9">
        <f>F695*H695</f>
        <v/>
      </c>
      <c r="N695" s="9">
        <f>L695-M695</f>
        <v/>
      </c>
      <c r="O695" s="11">
        <f>IFERROR(N695/L695, 0)</f>
        <v/>
      </c>
      <c r="P695" s="8">
        <f>YEAR(C695)</f>
        <v/>
      </c>
      <c r="Q695" s="8">
        <f>TEXT(C695, "yyyy-mm")</f>
        <v/>
      </c>
      <c r="R695" s="8" t="inlineStr">
        <is>
          <t>Direct Web</t>
        </is>
      </c>
      <c r="S695" s="8" t="inlineStr">
        <is>
          <t>REG-EU</t>
        </is>
      </c>
    </row>
    <row r="696">
      <c r="A696" s="8" t="inlineStr">
        <is>
          <t>DTL-0000702</t>
        </is>
      </c>
      <c r="B696" s="8" t="inlineStr">
        <is>
          <t>ORD-000356</t>
        </is>
      </c>
      <c r="C696" s="10" t="inlineStr">
        <is>
          <t>2023-04-07</t>
        </is>
      </c>
      <c r="D696" s="8" t="inlineStr">
        <is>
          <t>CUST-04159</t>
        </is>
      </c>
      <c r="E696" s="8" t="inlineStr">
        <is>
          <t>PRD-0369</t>
        </is>
      </c>
      <c r="F696" s="8" t="n">
        <v>3</v>
      </c>
      <c r="G696" s="9">
        <f>IFERROR(XLOOKUP(E696, '04_Products'!$A:$A, '04_Products'!$G:$G), 653.11)</f>
        <v/>
      </c>
      <c r="H696" s="9">
        <f>IFERROR(XLOOKUP(E696, '04_Products'!$A:$A, '04_Products'!$F:$F), 0)</f>
        <v/>
      </c>
      <c r="I696" s="9">
        <f>F696*G696</f>
        <v/>
      </c>
      <c r="J696" s="11" t="n">
        <v>0.15</v>
      </c>
      <c r="K696" s="9">
        <f>I696*J696</f>
        <v/>
      </c>
      <c r="L696" s="9">
        <f>I696-K696</f>
        <v/>
      </c>
      <c r="M696" s="9">
        <f>F696*H696</f>
        <v/>
      </c>
      <c r="N696" s="9">
        <f>L696-M696</f>
        <v/>
      </c>
      <c r="O696" s="11">
        <f>IFERROR(N696/L696, 0)</f>
        <v/>
      </c>
      <c r="P696" s="8">
        <f>YEAR(C696)</f>
        <v/>
      </c>
      <c r="Q696" s="8">
        <f>TEXT(C696, "yyyy-mm")</f>
        <v/>
      </c>
      <c r="R696" s="8" t="inlineStr">
        <is>
          <t>Direct Web</t>
        </is>
      </c>
      <c r="S696" s="8" t="inlineStr">
        <is>
          <t>REG-EU</t>
        </is>
      </c>
    </row>
    <row r="697">
      <c r="A697" s="8" t="inlineStr">
        <is>
          <t>DTL-0000703</t>
        </is>
      </c>
      <c r="B697" s="8" t="inlineStr">
        <is>
          <t>ORD-000357</t>
        </is>
      </c>
      <c r="C697" s="10" t="inlineStr">
        <is>
          <t>2025-01-26</t>
        </is>
      </c>
      <c r="D697" s="8" t="inlineStr">
        <is>
          <t>CUST-06925</t>
        </is>
      </c>
      <c r="E697" s="8" t="inlineStr">
        <is>
          <t>PRD-0097</t>
        </is>
      </c>
      <c r="F697" s="8" t="n">
        <v>2</v>
      </c>
      <c r="G697" s="9">
        <f>IFERROR(XLOOKUP(E697, '04_Products'!$A:$A, '04_Products'!$G:$G), 216.71)</f>
        <v/>
      </c>
      <c r="H697" s="9">
        <f>IFERROR(XLOOKUP(E697, '04_Products'!$A:$A, '04_Products'!$F:$F), 0)</f>
        <v/>
      </c>
      <c r="I697" s="9">
        <f>F697*G697</f>
        <v/>
      </c>
      <c r="J697" s="11" t="n">
        <v>0.05</v>
      </c>
      <c r="K697" s="9">
        <f>I697*J697</f>
        <v/>
      </c>
      <c r="L697" s="9">
        <f>I697-K697</f>
        <v/>
      </c>
      <c r="M697" s="9">
        <f>F697*H697</f>
        <v/>
      </c>
      <c r="N697" s="9">
        <f>L697-M697</f>
        <v/>
      </c>
      <c r="O697" s="11">
        <f>IFERROR(N697/L697, 0)</f>
        <v/>
      </c>
      <c r="P697" s="8">
        <f>YEAR(C697)</f>
        <v/>
      </c>
      <c r="Q697" s="8">
        <f>TEXT(C697, "yyyy-mm")</f>
        <v/>
      </c>
      <c r="R697" s="8" t="inlineStr">
        <is>
          <t>Direct Web</t>
        </is>
      </c>
      <c r="S697" s="8" t="inlineStr">
        <is>
          <t>REG-NA</t>
        </is>
      </c>
    </row>
    <row r="698">
      <c r="A698" s="8" t="inlineStr">
        <is>
          <t>DTL-0000704</t>
        </is>
      </c>
      <c r="B698" s="8" t="inlineStr">
        <is>
          <t>ORD-000357</t>
        </is>
      </c>
      <c r="C698" s="10" t="inlineStr">
        <is>
          <t>2025-01-26</t>
        </is>
      </c>
      <c r="D698" s="8" t="inlineStr">
        <is>
          <t>CUST-06925</t>
        </is>
      </c>
      <c r="E698" s="8" t="inlineStr">
        <is>
          <t>PRD-0353</t>
        </is>
      </c>
      <c r="F698" s="8" t="n">
        <v>1</v>
      </c>
      <c r="G698" s="9">
        <f>IFERROR(XLOOKUP(E698, '04_Products'!$A:$A, '04_Products'!$G:$G), 438.24)</f>
        <v/>
      </c>
      <c r="H698" s="9">
        <f>IFERROR(XLOOKUP(E698, '04_Products'!$A:$A, '04_Products'!$F:$F), 0)</f>
        <v/>
      </c>
      <c r="I698" s="9">
        <f>F698*G698</f>
        <v/>
      </c>
      <c r="J698" s="11" t="n">
        <v>0.3</v>
      </c>
      <c r="K698" s="9">
        <f>I698*J698</f>
        <v/>
      </c>
      <c r="L698" s="9">
        <f>I698-K698</f>
        <v/>
      </c>
      <c r="M698" s="9">
        <f>F698*H698</f>
        <v/>
      </c>
      <c r="N698" s="9">
        <f>L698-M698</f>
        <v/>
      </c>
      <c r="O698" s="11">
        <f>IFERROR(N698/L698, 0)</f>
        <v/>
      </c>
      <c r="P698" s="8">
        <f>YEAR(C698)</f>
        <v/>
      </c>
      <c r="Q698" s="8">
        <f>TEXT(C698, "yyyy-mm")</f>
        <v/>
      </c>
      <c r="R698" s="8" t="inlineStr">
        <is>
          <t>Direct Web</t>
        </is>
      </c>
      <c r="S698" s="8" t="inlineStr">
        <is>
          <t>REG-NA</t>
        </is>
      </c>
    </row>
    <row r="699">
      <c r="A699" s="8" t="inlineStr">
        <is>
          <t>DTL-0000705</t>
        </is>
      </c>
      <c r="B699" s="8" t="inlineStr">
        <is>
          <t>ORD-000358</t>
        </is>
      </c>
      <c r="C699" s="10" t="inlineStr">
        <is>
          <t>2023-09-09</t>
        </is>
      </c>
      <c r="D699" s="8" t="inlineStr">
        <is>
          <t>CUST-03792</t>
        </is>
      </c>
      <c r="E699" s="8" t="inlineStr">
        <is>
          <t>PRD-0171</t>
        </is>
      </c>
      <c r="F699" s="8" t="n">
        <v>2</v>
      </c>
      <c r="G699" s="9">
        <f>IFERROR(XLOOKUP(E699, '04_Products'!$A:$A, '04_Products'!$G:$G), 143.61)</f>
        <v/>
      </c>
      <c r="H699" s="9">
        <f>IFERROR(XLOOKUP(E699, '04_Products'!$A:$A, '04_Products'!$F:$F), 0)</f>
        <v/>
      </c>
      <c r="I699" s="9">
        <f>F699*G699</f>
        <v/>
      </c>
      <c r="J699" s="11" t="n">
        <v>0</v>
      </c>
      <c r="K699" s="9">
        <f>I699*J699</f>
        <v/>
      </c>
      <c r="L699" s="9">
        <f>I699-K699</f>
        <v/>
      </c>
      <c r="M699" s="9">
        <f>F699*H699</f>
        <v/>
      </c>
      <c r="N699" s="9">
        <f>L699-M699</f>
        <v/>
      </c>
      <c r="O699" s="11">
        <f>IFERROR(N699/L699, 0)</f>
        <v/>
      </c>
      <c r="P699" s="8">
        <f>YEAR(C699)</f>
        <v/>
      </c>
      <c r="Q699" s="8">
        <f>TEXT(C699, "yyyy-mm")</f>
        <v/>
      </c>
      <c r="R699" s="8" t="inlineStr">
        <is>
          <t>Mobile App</t>
        </is>
      </c>
      <c r="S699" s="8" t="inlineStr">
        <is>
          <t>REG-NA</t>
        </is>
      </c>
    </row>
    <row r="700">
      <c r="A700" s="8" t="inlineStr">
        <is>
          <t>DTL-0000706</t>
        </is>
      </c>
      <c r="B700" s="8" t="inlineStr">
        <is>
          <t>ORD-000358</t>
        </is>
      </c>
      <c r="C700" s="10" t="inlineStr">
        <is>
          <t>2023-09-09</t>
        </is>
      </c>
      <c r="D700" s="8" t="inlineStr">
        <is>
          <t>CUST-03792</t>
        </is>
      </c>
      <c r="E700" s="8" t="inlineStr">
        <is>
          <t>PRD-0375</t>
        </is>
      </c>
      <c r="F700" s="8" t="n">
        <v>2</v>
      </c>
      <c r="G700" s="9">
        <f>IFERROR(XLOOKUP(E700, '04_Products'!$A:$A, '04_Products'!$G:$G), 141.42)</f>
        <v/>
      </c>
      <c r="H700" s="9">
        <f>IFERROR(XLOOKUP(E700, '04_Products'!$A:$A, '04_Products'!$F:$F), 0)</f>
        <v/>
      </c>
      <c r="I700" s="9">
        <f>F700*G700</f>
        <v/>
      </c>
      <c r="J700" s="11" t="n">
        <v>0.15</v>
      </c>
      <c r="K700" s="9">
        <f>I700*J700</f>
        <v/>
      </c>
      <c r="L700" s="9">
        <f>I700-K700</f>
        <v/>
      </c>
      <c r="M700" s="9">
        <f>F700*H700</f>
        <v/>
      </c>
      <c r="N700" s="9">
        <f>L700-M700</f>
        <v/>
      </c>
      <c r="O700" s="11">
        <f>IFERROR(N700/L700, 0)</f>
        <v/>
      </c>
      <c r="P700" s="8">
        <f>YEAR(C700)</f>
        <v/>
      </c>
      <c r="Q700" s="8">
        <f>TEXT(C700, "yyyy-mm")</f>
        <v/>
      </c>
      <c r="R700" s="8" t="inlineStr">
        <is>
          <t>Mobile App</t>
        </is>
      </c>
      <c r="S700" s="8" t="inlineStr">
        <is>
          <t>REG-NA</t>
        </is>
      </c>
    </row>
    <row r="701">
      <c r="A701" s="8" t="inlineStr">
        <is>
          <t>DTL-0000707</t>
        </is>
      </c>
      <c r="B701" s="8" t="inlineStr">
        <is>
          <t>ORD-000359</t>
        </is>
      </c>
      <c r="C701" s="10" t="inlineStr">
        <is>
          <t>2025-08-15</t>
        </is>
      </c>
      <c r="D701" s="8" t="inlineStr">
        <is>
          <t>CUST-03675</t>
        </is>
      </c>
      <c r="E701" s="8" t="inlineStr">
        <is>
          <t>PRD-0235</t>
        </is>
      </c>
      <c r="F701" s="8" t="n">
        <v>5</v>
      </c>
      <c r="G701" s="9">
        <f>IFERROR(XLOOKUP(E701, '04_Products'!$A:$A, '04_Products'!$G:$G), 640.49)</f>
        <v/>
      </c>
      <c r="H701" s="9">
        <f>IFERROR(XLOOKUP(E701, '04_Products'!$A:$A, '04_Products'!$F:$F), 0)</f>
        <v/>
      </c>
      <c r="I701" s="9">
        <f>F701*G701</f>
        <v/>
      </c>
      <c r="J701" s="11" t="n">
        <v>0</v>
      </c>
      <c r="K701" s="9">
        <f>I701*J701</f>
        <v/>
      </c>
      <c r="L701" s="9">
        <f>I701-K701</f>
        <v/>
      </c>
      <c r="M701" s="9">
        <f>F701*H701</f>
        <v/>
      </c>
      <c r="N701" s="9">
        <f>L701-M701</f>
        <v/>
      </c>
      <c r="O701" s="11">
        <f>IFERROR(N701/L701, 0)</f>
        <v/>
      </c>
      <c r="P701" s="8">
        <f>YEAR(C701)</f>
        <v/>
      </c>
      <c r="Q701" s="8">
        <f>TEXT(C701, "yyyy-mm")</f>
        <v/>
      </c>
      <c r="R701" s="8" t="inlineStr">
        <is>
          <t>B2B Portal</t>
        </is>
      </c>
      <c r="S701" s="8" t="inlineStr">
        <is>
          <t>REG-NA</t>
        </is>
      </c>
    </row>
    <row r="702">
      <c r="A702" s="8" t="inlineStr">
        <is>
          <t>DTL-0000708</t>
        </is>
      </c>
      <c r="B702" s="8" t="inlineStr">
        <is>
          <t>ORD-000359</t>
        </is>
      </c>
      <c r="C702" s="10" t="inlineStr">
        <is>
          <t>2025-08-15</t>
        </is>
      </c>
      <c r="D702" s="8" t="inlineStr">
        <is>
          <t>CUST-03675</t>
        </is>
      </c>
      <c r="E702" s="8" t="inlineStr">
        <is>
          <t>PRD-0081</t>
        </is>
      </c>
      <c r="F702" s="8" t="n">
        <v>1</v>
      </c>
      <c r="G702" s="9">
        <f>IFERROR(XLOOKUP(E702, '04_Products'!$A:$A, '04_Products'!$G:$G), 62.94)</f>
        <v/>
      </c>
      <c r="H702" s="9">
        <f>IFERROR(XLOOKUP(E702, '04_Products'!$A:$A, '04_Products'!$F:$F), 0)</f>
        <v/>
      </c>
      <c r="I702" s="9">
        <f>F702*G702</f>
        <v/>
      </c>
      <c r="J702" s="11" t="n">
        <v>0.1</v>
      </c>
      <c r="K702" s="9">
        <f>I702*J702</f>
        <v/>
      </c>
      <c r="L702" s="9">
        <f>I702-K702</f>
        <v/>
      </c>
      <c r="M702" s="9">
        <f>F702*H702</f>
        <v/>
      </c>
      <c r="N702" s="9">
        <f>L702-M702</f>
        <v/>
      </c>
      <c r="O702" s="11">
        <f>IFERROR(N702/L702, 0)</f>
        <v/>
      </c>
      <c r="P702" s="8">
        <f>YEAR(C702)</f>
        <v/>
      </c>
      <c r="Q702" s="8">
        <f>TEXT(C702, "yyyy-mm")</f>
        <v/>
      </c>
      <c r="R702" s="8" t="inlineStr">
        <is>
          <t>B2B Portal</t>
        </is>
      </c>
      <c r="S702" s="8" t="inlineStr">
        <is>
          <t>REG-NA</t>
        </is>
      </c>
    </row>
    <row r="703">
      <c r="A703" s="8" t="inlineStr">
        <is>
          <t>DTL-0000709</t>
        </is>
      </c>
      <c r="B703" s="8" t="inlineStr">
        <is>
          <t>ORD-000359</t>
        </is>
      </c>
      <c r="C703" s="10" t="inlineStr">
        <is>
          <t>2025-08-15</t>
        </is>
      </c>
      <c r="D703" s="8" t="inlineStr">
        <is>
          <t>CUST-03675</t>
        </is>
      </c>
      <c r="E703" s="8" t="inlineStr">
        <is>
          <t>PRD-0329</t>
        </is>
      </c>
      <c r="F703" s="8" t="n">
        <v>1</v>
      </c>
      <c r="G703" s="9">
        <f>IFERROR(XLOOKUP(E703, '04_Products'!$A:$A, '04_Products'!$G:$G), 1014.02)</f>
        <v/>
      </c>
      <c r="H703" s="9">
        <f>IFERROR(XLOOKUP(E703, '04_Products'!$A:$A, '04_Products'!$F:$F), 0)</f>
        <v/>
      </c>
      <c r="I703" s="9">
        <f>F703*G703</f>
        <v/>
      </c>
      <c r="J703" s="11" t="n">
        <v>0.1</v>
      </c>
      <c r="K703" s="9">
        <f>I703*J703</f>
        <v/>
      </c>
      <c r="L703" s="9">
        <f>I703-K703</f>
        <v/>
      </c>
      <c r="M703" s="9">
        <f>F703*H703</f>
        <v/>
      </c>
      <c r="N703" s="9">
        <f>L703-M703</f>
        <v/>
      </c>
      <c r="O703" s="11">
        <f>IFERROR(N703/L703, 0)</f>
        <v/>
      </c>
      <c r="P703" s="8">
        <f>YEAR(C703)</f>
        <v/>
      </c>
      <c r="Q703" s="8">
        <f>TEXT(C703, "yyyy-mm")</f>
        <v/>
      </c>
      <c r="R703" s="8" t="inlineStr">
        <is>
          <t>B2B Portal</t>
        </is>
      </c>
      <c r="S703" s="8" t="inlineStr">
        <is>
          <t>REG-NA</t>
        </is>
      </c>
    </row>
    <row r="704">
      <c r="A704" s="8" t="inlineStr">
        <is>
          <t>DTL-0000710</t>
        </is>
      </c>
      <c r="B704" s="8" t="inlineStr">
        <is>
          <t>ORD-000359</t>
        </is>
      </c>
      <c r="C704" s="10" t="inlineStr">
        <is>
          <t>2025-08-15</t>
        </is>
      </c>
      <c r="D704" s="8" t="inlineStr">
        <is>
          <t>CUST-03675</t>
        </is>
      </c>
      <c r="E704" s="8" t="inlineStr">
        <is>
          <t>PRD-0021</t>
        </is>
      </c>
      <c r="F704" s="8" t="n">
        <v>1</v>
      </c>
      <c r="G704" s="9">
        <f>IFERROR(XLOOKUP(E704, '04_Products'!$A:$A, '04_Products'!$G:$G), 41.09)</f>
        <v/>
      </c>
      <c r="H704" s="9">
        <f>IFERROR(XLOOKUP(E704, '04_Products'!$A:$A, '04_Products'!$F:$F), 0)</f>
        <v/>
      </c>
      <c r="I704" s="9">
        <f>F704*G704</f>
        <v/>
      </c>
      <c r="J704" s="11" t="n">
        <v>0.15</v>
      </c>
      <c r="K704" s="9">
        <f>I704*J704</f>
        <v/>
      </c>
      <c r="L704" s="9">
        <f>I704-K704</f>
        <v/>
      </c>
      <c r="M704" s="9">
        <f>F704*H704</f>
        <v/>
      </c>
      <c r="N704" s="9">
        <f>L704-M704</f>
        <v/>
      </c>
      <c r="O704" s="11">
        <f>IFERROR(N704/L704, 0)</f>
        <v/>
      </c>
      <c r="P704" s="8">
        <f>YEAR(C704)</f>
        <v/>
      </c>
      <c r="Q704" s="8">
        <f>TEXT(C704, "yyyy-mm")</f>
        <v/>
      </c>
      <c r="R704" s="8" t="inlineStr">
        <is>
          <t>B2B Portal</t>
        </is>
      </c>
      <c r="S704" s="8" t="inlineStr">
        <is>
          <t>REG-NA</t>
        </is>
      </c>
    </row>
    <row r="705">
      <c r="A705" s="8" t="inlineStr">
        <is>
          <t>DTL-0000711</t>
        </is>
      </c>
      <c r="B705" s="8" t="inlineStr">
        <is>
          <t>ORD-000359</t>
        </is>
      </c>
      <c r="C705" s="10" t="inlineStr">
        <is>
          <t>2025-08-15</t>
        </is>
      </c>
      <c r="D705" s="8" t="inlineStr">
        <is>
          <t>CUST-03675</t>
        </is>
      </c>
      <c r="E705" s="8" t="inlineStr">
        <is>
          <t>PRD-0236</t>
        </is>
      </c>
      <c r="F705" s="8" t="n">
        <v>1</v>
      </c>
      <c r="G705" s="9">
        <f>IFERROR(XLOOKUP(E705, '04_Products'!$A:$A, '04_Products'!$G:$G), 128.74)</f>
        <v/>
      </c>
      <c r="H705" s="9">
        <f>IFERROR(XLOOKUP(E705, '04_Products'!$A:$A, '04_Products'!$F:$F), 0)</f>
        <v/>
      </c>
      <c r="I705" s="9">
        <f>F705*G705</f>
        <v/>
      </c>
      <c r="J705" s="11" t="n">
        <v>0</v>
      </c>
      <c r="K705" s="9">
        <f>I705*J705</f>
        <v/>
      </c>
      <c r="L705" s="9">
        <f>I705-K705</f>
        <v/>
      </c>
      <c r="M705" s="9">
        <f>F705*H705</f>
        <v/>
      </c>
      <c r="N705" s="9">
        <f>L705-M705</f>
        <v/>
      </c>
      <c r="O705" s="11">
        <f>IFERROR(N705/L705, 0)</f>
        <v/>
      </c>
      <c r="P705" s="8">
        <f>YEAR(C705)</f>
        <v/>
      </c>
      <c r="Q705" s="8">
        <f>TEXT(C705, "yyyy-mm")</f>
        <v/>
      </c>
      <c r="R705" s="8" t="inlineStr">
        <is>
          <t>B2B Portal</t>
        </is>
      </c>
      <c r="S705" s="8" t="inlineStr">
        <is>
          <t>REG-NA</t>
        </is>
      </c>
    </row>
    <row r="706">
      <c r="A706" s="8" t="inlineStr">
        <is>
          <t>DTL-0000712</t>
        </is>
      </c>
      <c r="B706" s="8" t="inlineStr">
        <is>
          <t>ORD-000360</t>
        </is>
      </c>
      <c r="C706" s="10" t="inlineStr">
        <is>
          <t>2025-05-23</t>
        </is>
      </c>
      <c r="D706" s="8" t="inlineStr">
        <is>
          <t>CUST-00207</t>
        </is>
      </c>
      <c r="E706" s="8" t="inlineStr">
        <is>
          <t>PRD-0496</t>
        </is>
      </c>
      <c r="F706" s="8" t="n">
        <v>2</v>
      </c>
      <c r="G706" s="9">
        <f>IFERROR(XLOOKUP(E706, '04_Products'!$A:$A, '04_Products'!$G:$G), 555.47)</f>
        <v/>
      </c>
      <c r="H706" s="9">
        <f>IFERROR(XLOOKUP(E706, '04_Products'!$A:$A, '04_Products'!$F:$F), 0)</f>
        <v/>
      </c>
      <c r="I706" s="9">
        <f>F706*G706</f>
        <v/>
      </c>
      <c r="J706" s="11" t="n">
        <v>0.15</v>
      </c>
      <c r="K706" s="9">
        <f>I706*J706</f>
        <v/>
      </c>
      <c r="L706" s="9">
        <f>I706-K706</f>
        <v/>
      </c>
      <c r="M706" s="9">
        <f>F706*H706</f>
        <v/>
      </c>
      <c r="N706" s="9">
        <f>L706-M706</f>
        <v/>
      </c>
      <c r="O706" s="11">
        <f>IFERROR(N706/L706, 0)</f>
        <v/>
      </c>
      <c r="P706" s="8">
        <f>YEAR(C706)</f>
        <v/>
      </c>
      <c r="Q706" s="8">
        <f>TEXT(C706, "yyyy-mm")</f>
        <v/>
      </c>
      <c r="R706" s="8" t="inlineStr">
        <is>
          <t>Mobile App</t>
        </is>
      </c>
      <c r="S706" s="8" t="inlineStr">
        <is>
          <t>REG-EU</t>
        </is>
      </c>
    </row>
    <row r="707">
      <c r="A707" s="8" t="inlineStr">
        <is>
          <t>DTL-0000713</t>
        </is>
      </c>
      <c r="B707" s="8" t="inlineStr">
        <is>
          <t>ORD-000361</t>
        </is>
      </c>
      <c r="C707" s="10" t="inlineStr">
        <is>
          <t>2023-12-04</t>
        </is>
      </c>
      <c r="D707" s="8" t="inlineStr">
        <is>
          <t>CUST-02532</t>
        </is>
      </c>
      <c r="E707" s="8" t="inlineStr">
        <is>
          <t>PRD-0253</t>
        </is>
      </c>
      <c r="F707" s="8" t="n">
        <v>10</v>
      </c>
      <c r="G707" s="9">
        <f>IFERROR(XLOOKUP(E707, '04_Products'!$A:$A, '04_Products'!$G:$G), 514.94)</f>
        <v/>
      </c>
      <c r="H707" s="9">
        <f>IFERROR(XLOOKUP(E707, '04_Products'!$A:$A, '04_Products'!$F:$F), 0)</f>
        <v/>
      </c>
      <c r="I707" s="9">
        <f>F707*G707</f>
        <v/>
      </c>
      <c r="J707" s="11" t="n">
        <v>0.15</v>
      </c>
      <c r="K707" s="9">
        <f>I707*J707</f>
        <v/>
      </c>
      <c r="L707" s="9">
        <f>I707-K707</f>
        <v/>
      </c>
      <c r="M707" s="9">
        <f>F707*H707</f>
        <v/>
      </c>
      <c r="N707" s="9">
        <f>L707-M707</f>
        <v/>
      </c>
      <c r="O707" s="11">
        <f>IFERROR(N707/L707, 0)</f>
        <v/>
      </c>
      <c r="P707" s="8">
        <f>YEAR(C707)</f>
        <v/>
      </c>
      <c r="Q707" s="8">
        <f>TEXT(C707, "yyyy-mm")</f>
        <v/>
      </c>
      <c r="R707" s="8" t="inlineStr">
        <is>
          <t>B2B Portal</t>
        </is>
      </c>
      <c r="S707" s="8" t="inlineStr">
        <is>
          <t>REG-APAC</t>
        </is>
      </c>
    </row>
    <row r="708">
      <c r="A708" s="8" t="inlineStr">
        <is>
          <t>DTL-0000714</t>
        </is>
      </c>
      <c r="B708" s="8" t="inlineStr">
        <is>
          <t>ORD-000362</t>
        </is>
      </c>
      <c r="C708" s="10" t="inlineStr">
        <is>
          <t>2024-12-31</t>
        </is>
      </c>
      <c r="D708" s="8" t="inlineStr">
        <is>
          <t>CUST-04251</t>
        </is>
      </c>
      <c r="E708" s="8" t="inlineStr">
        <is>
          <t>PRD-0390</t>
        </is>
      </c>
      <c r="F708" s="8" t="n">
        <v>1</v>
      </c>
      <c r="G708" s="9">
        <f>IFERROR(XLOOKUP(E708, '04_Products'!$A:$A, '04_Products'!$G:$G), 260.60)</f>
        <v/>
      </c>
      <c r="H708" s="9">
        <f>IFERROR(XLOOKUP(E708, '04_Products'!$A:$A, '04_Products'!$F:$F), 0)</f>
        <v/>
      </c>
      <c r="I708" s="9">
        <f>F708*G708</f>
        <v/>
      </c>
      <c r="J708" s="11" t="n">
        <v>0.05</v>
      </c>
      <c r="K708" s="9">
        <f>I708*J708</f>
        <v/>
      </c>
      <c r="L708" s="9">
        <f>I708-K708</f>
        <v/>
      </c>
      <c r="M708" s="9">
        <f>F708*H708</f>
        <v/>
      </c>
      <c r="N708" s="9">
        <f>L708-M708</f>
        <v/>
      </c>
      <c r="O708" s="11">
        <f>IFERROR(N708/L708, 0)</f>
        <v/>
      </c>
      <c r="P708" s="8">
        <f>YEAR(C708)</f>
        <v/>
      </c>
      <c r="Q708" s="8">
        <f>TEXT(C708, "yyyy-mm")</f>
        <v/>
      </c>
      <c r="R708" s="8" t="inlineStr">
        <is>
          <t>Mobile App</t>
        </is>
      </c>
      <c r="S708" s="8" t="inlineStr">
        <is>
          <t>REG-NA</t>
        </is>
      </c>
    </row>
    <row r="709">
      <c r="A709" s="8" t="inlineStr">
        <is>
          <t>DTL-0000715</t>
        </is>
      </c>
      <c r="B709" s="8" t="inlineStr">
        <is>
          <t>ORD-000363</t>
        </is>
      </c>
      <c r="C709" s="10" t="inlineStr">
        <is>
          <t>2024-11-10</t>
        </is>
      </c>
      <c r="D709" s="8" t="inlineStr">
        <is>
          <t>CUST-04698</t>
        </is>
      </c>
      <c r="E709" s="8" t="inlineStr">
        <is>
          <t>PRD-0035</t>
        </is>
      </c>
      <c r="F709" s="8" t="n">
        <v>2</v>
      </c>
      <c r="G709" s="9">
        <f>IFERROR(XLOOKUP(E709, '04_Products'!$A:$A, '04_Products'!$G:$G), 584.68)</f>
        <v/>
      </c>
      <c r="H709" s="9">
        <f>IFERROR(XLOOKUP(E709, '04_Products'!$A:$A, '04_Products'!$F:$F), 0)</f>
        <v/>
      </c>
      <c r="I709" s="9">
        <f>F709*G709</f>
        <v/>
      </c>
      <c r="J709" s="11" t="n">
        <v>0</v>
      </c>
      <c r="K709" s="9">
        <f>I709*J709</f>
        <v/>
      </c>
      <c r="L709" s="9">
        <f>I709-K709</f>
        <v/>
      </c>
      <c r="M709" s="9">
        <f>F709*H709</f>
        <v/>
      </c>
      <c r="N709" s="9">
        <f>L709-M709</f>
        <v/>
      </c>
      <c r="O709" s="11">
        <f>IFERROR(N709/L709, 0)</f>
        <v/>
      </c>
      <c r="P709" s="8">
        <f>YEAR(C709)</f>
        <v/>
      </c>
      <c r="Q709" s="8">
        <f>TEXT(C709, "yyyy-mm")</f>
        <v/>
      </c>
      <c r="R709" s="8" t="inlineStr">
        <is>
          <t>Mobile App</t>
        </is>
      </c>
      <c r="S709" s="8" t="inlineStr">
        <is>
          <t>REG-NA</t>
        </is>
      </c>
    </row>
    <row r="710">
      <c r="A710" s="8" t="inlineStr">
        <is>
          <t>DTL-0000716</t>
        </is>
      </c>
      <c r="B710" s="8" t="inlineStr">
        <is>
          <t>ORD-000364</t>
        </is>
      </c>
      <c r="C710" s="10" t="inlineStr">
        <is>
          <t>2025-09-16</t>
        </is>
      </c>
      <c r="D710" s="8" t="inlineStr">
        <is>
          <t>CUST-02551</t>
        </is>
      </c>
      <c r="E710" s="8" t="inlineStr">
        <is>
          <t>PRD-0171</t>
        </is>
      </c>
      <c r="F710" s="8" t="n">
        <v>4</v>
      </c>
      <c r="G710" s="9">
        <f>IFERROR(XLOOKUP(E710, '04_Products'!$A:$A, '04_Products'!$G:$G), 143.61)</f>
        <v/>
      </c>
      <c r="H710" s="9">
        <f>IFERROR(XLOOKUP(E710, '04_Products'!$A:$A, '04_Products'!$F:$F), 0)</f>
        <v/>
      </c>
      <c r="I710" s="9">
        <f>F710*G710</f>
        <v/>
      </c>
      <c r="J710" s="11" t="n">
        <v>0.25</v>
      </c>
      <c r="K710" s="9">
        <f>I710*J710</f>
        <v/>
      </c>
      <c r="L710" s="9">
        <f>I710-K710</f>
        <v/>
      </c>
      <c r="M710" s="9">
        <f>F710*H710</f>
        <v/>
      </c>
      <c r="N710" s="9">
        <f>L710-M710</f>
        <v/>
      </c>
      <c r="O710" s="11">
        <f>IFERROR(N710/L710, 0)</f>
        <v/>
      </c>
      <c r="P710" s="8">
        <f>YEAR(C710)</f>
        <v/>
      </c>
      <c r="Q710" s="8">
        <f>TEXT(C710, "yyyy-mm")</f>
        <v/>
      </c>
      <c r="R710" s="8" t="inlineStr">
        <is>
          <t>Direct Web</t>
        </is>
      </c>
      <c r="S710" s="8" t="inlineStr">
        <is>
          <t>REG-APAC</t>
        </is>
      </c>
    </row>
    <row r="711">
      <c r="A711" s="8" t="inlineStr">
        <is>
          <t>DTL-0000717</t>
        </is>
      </c>
      <c r="B711" s="8" t="inlineStr">
        <is>
          <t>ORD-000365</t>
        </is>
      </c>
      <c r="C711" s="10" t="inlineStr">
        <is>
          <t>2025-08-31</t>
        </is>
      </c>
      <c r="D711" s="8" t="inlineStr">
        <is>
          <t>CUST-00692</t>
        </is>
      </c>
      <c r="E711" s="8" t="inlineStr">
        <is>
          <t>PRD-0148</t>
        </is>
      </c>
      <c r="F711" s="8" t="n">
        <v>2</v>
      </c>
      <c r="G711" s="9">
        <f>IFERROR(XLOOKUP(E711, '04_Products'!$A:$A, '04_Products'!$G:$G), 641.47)</f>
        <v/>
      </c>
      <c r="H711" s="9">
        <f>IFERROR(XLOOKUP(E711, '04_Products'!$A:$A, '04_Products'!$F:$F), 0)</f>
        <v/>
      </c>
      <c r="I711" s="9">
        <f>F711*G711</f>
        <v/>
      </c>
      <c r="J711" s="11" t="n">
        <v>0.1</v>
      </c>
      <c r="K711" s="9">
        <f>I711*J711</f>
        <v/>
      </c>
      <c r="L711" s="9">
        <f>I711-K711</f>
        <v/>
      </c>
      <c r="M711" s="9">
        <f>F711*H711</f>
        <v/>
      </c>
      <c r="N711" s="9">
        <f>L711-M711</f>
        <v/>
      </c>
      <c r="O711" s="11">
        <f>IFERROR(N711/L711, 0)</f>
        <v/>
      </c>
      <c r="P711" s="8">
        <f>YEAR(C711)</f>
        <v/>
      </c>
      <c r="Q711" s="8">
        <f>TEXT(C711, "yyyy-mm")</f>
        <v/>
      </c>
      <c r="R711" s="8" t="inlineStr">
        <is>
          <t>Direct Web</t>
        </is>
      </c>
      <c r="S711" s="8" t="inlineStr">
        <is>
          <t>REG-NA</t>
        </is>
      </c>
    </row>
    <row r="712">
      <c r="A712" s="8" t="inlineStr">
        <is>
          <t>DTL-0000718</t>
        </is>
      </c>
      <c r="B712" s="8" t="inlineStr">
        <is>
          <t>ORD-000366</t>
        </is>
      </c>
      <c r="C712" s="10" t="inlineStr">
        <is>
          <t>2024-01-07</t>
        </is>
      </c>
      <c r="D712" s="8" t="inlineStr">
        <is>
          <t>CUST-00701</t>
        </is>
      </c>
      <c r="E712" s="8" t="inlineStr">
        <is>
          <t>PRD-0420</t>
        </is>
      </c>
      <c r="F712" s="8" t="n">
        <v>5</v>
      </c>
      <c r="G712" s="9">
        <f>IFERROR(XLOOKUP(E712, '04_Products'!$A:$A, '04_Products'!$G:$G), 923.98)</f>
        <v/>
      </c>
      <c r="H712" s="9">
        <f>IFERROR(XLOOKUP(E712, '04_Products'!$A:$A, '04_Products'!$F:$F), 0)</f>
        <v/>
      </c>
      <c r="I712" s="9">
        <f>F712*G712</f>
        <v/>
      </c>
      <c r="J712" s="11" t="n">
        <v>0</v>
      </c>
      <c r="K712" s="9">
        <f>I712*J712</f>
        <v/>
      </c>
      <c r="L712" s="9">
        <f>I712-K712</f>
        <v/>
      </c>
      <c r="M712" s="9">
        <f>F712*H712</f>
        <v/>
      </c>
      <c r="N712" s="9">
        <f>L712-M712</f>
        <v/>
      </c>
      <c r="O712" s="11">
        <f>IFERROR(N712/L712, 0)</f>
        <v/>
      </c>
      <c r="P712" s="8">
        <f>YEAR(C712)</f>
        <v/>
      </c>
      <c r="Q712" s="8">
        <f>TEXT(C712, "yyyy-mm")</f>
        <v/>
      </c>
      <c r="R712" s="8" t="inlineStr">
        <is>
          <t>Mobile App</t>
        </is>
      </c>
      <c r="S712" s="8" t="inlineStr">
        <is>
          <t>REG-NA</t>
        </is>
      </c>
    </row>
    <row r="713">
      <c r="A713" s="8" t="inlineStr">
        <is>
          <t>DTL-0000719</t>
        </is>
      </c>
      <c r="B713" s="8" t="inlineStr">
        <is>
          <t>ORD-000367</t>
        </is>
      </c>
      <c r="C713" s="10" t="inlineStr">
        <is>
          <t>2025-11-08</t>
        </is>
      </c>
      <c r="D713" s="8" t="inlineStr">
        <is>
          <t>CUST-01153</t>
        </is>
      </c>
      <c r="E713" s="8" t="inlineStr">
        <is>
          <t>PRD-0099</t>
        </is>
      </c>
      <c r="F713" s="8" t="n">
        <v>1</v>
      </c>
      <c r="G713" s="9">
        <f>IFERROR(XLOOKUP(E713, '04_Products'!$A:$A, '04_Products'!$G:$G), 201.48)</f>
        <v/>
      </c>
      <c r="H713" s="9">
        <f>IFERROR(XLOOKUP(E713, '04_Products'!$A:$A, '04_Products'!$F:$F), 0)</f>
        <v/>
      </c>
      <c r="I713" s="9">
        <f>F713*G713</f>
        <v/>
      </c>
      <c r="J713" s="11" t="n">
        <v>0</v>
      </c>
      <c r="K713" s="9">
        <f>I713*J713</f>
        <v/>
      </c>
      <c r="L713" s="9">
        <f>I713-K713</f>
        <v/>
      </c>
      <c r="M713" s="9">
        <f>F713*H713</f>
        <v/>
      </c>
      <c r="N713" s="9">
        <f>L713-M713</f>
        <v/>
      </c>
      <c r="O713" s="11">
        <f>IFERROR(N713/L713, 0)</f>
        <v/>
      </c>
      <c r="P713" s="8">
        <f>YEAR(C713)</f>
        <v/>
      </c>
      <c r="Q713" s="8">
        <f>TEXT(C713, "yyyy-mm")</f>
        <v/>
      </c>
      <c r="R713" s="8" t="inlineStr">
        <is>
          <t>Mobile App</t>
        </is>
      </c>
      <c r="S713" s="8" t="inlineStr">
        <is>
          <t>REG-EU</t>
        </is>
      </c>
    </row>
    <row r="714">
      <c r="A714" s="8" t="inlineStr">
        <is>
          <t>DTL-0000720</t>
        </is>
      </c>
      <c r="B714" s="8" t="inlineStr">
        <is>
          <t>ORD-000367</t>
        </is>
      </c>
      <c r="C714" s="10" t="inlineStr">
        <is>
          <t>2025-11-08</t>
        </is>
      </c>
      <c r="D714" s="8" t="inlineStr">
        <is>
          <t>CUST-01153</t>
        </is>
      </c>
      <c r="E714" s="8" t="inlineStr">
        <is>
          <t>PRD-0273</t>
        </is>
      </c>
      <c r="F714" s="8" t="n">
        <v>3</v>
      </c>
      <c r="G714" s="9">
        <f>IFERROR(XLOOKUP(E714, '04_Products'!$A:$A, '04_Products'!$G:$G), 19.23)</f>
        <v/>
      </c>
      <c r="H714" s="9">
        <f>IFERROR(XLOOKUP(E714, '04_Products'!$A:$A, '04_Products'!$F:$F), 0)</f>
        <v/>
      </c>
      <c r="I714" s="9">
        <f>F714*G714</f>
        <v/>
      </c>
      <c r="J714" s="11" t="n">
        <v>0.1</v>
      </c>
      <c r="K714" s="9">
        <f>I714*J714</f>
        <v/>
      </c>
      <c r="L714" s="9">
        <f>I714-K714</f>
        <v/>
      </c>
      <c r="M714" s="9">
        <f>F714*H714</f>
        <v/>
      </c>
      <c r="N714" s="9">
        <f>L714-M714</f>
        <v/>
      </c>
      <c r="O714" s="11">
        <f>IFERROR(N714/L714, 0)</f>
        <v/>
      </c>
      <c r="P714" s="8">
        <f>YEAR(C714)</f>
        <v/>
      </c>
      <c r="Q714" s="8">
        <f>TEXT(C714, "yyyy-mm")</f>
        <v/>
      </c>
      <c r="R714" s="8" t="inlineStr">
        <is>
          <t>Mobile App</t>
        </is>
      </c>
      <c r="S714" s="8" t="inlineStr">
        <is>
          <t>REG-EU</t>
        </is>
      </c>
    </row>
    <row r="715">
      <c r="A715" s="8" t="inlineStr">
        <is>
          <t>DTL-0000721</t>
        </is>
      </c>
      <c r="B715" s="8" t="inlineStr">
        <is>
          <t>ORD-000368</t>
        </is>
      </c>
      <c r="C715" s="10" t="inlineStr">
        <is>
          <t>2024-12-09</t>
        </is>
      </c>
      <c r="D715" s="8" t="inlineStr">
        <is>
          <t>CUST-05176</t>
        </is>
      </c>
      <c r="E715" s="8" t="inlineStr">
        <is>
          <t>PRD-0020</t>
        </is>
      </c>
      <c r="F715" s="8" t="n">
        <v>1</v>
      </c>
      <c r="G715" s="9">
        <f>IFERROR(XLOOKUP(E715, '04_Products'!$A:$A, '04_Products'!$G:$G), 22.42)</f>
        <v/>
      </c>
      <c r="H715" s="9">
        <f>IFERROR(XLOOKUP(E715, '04_Products'!$A:$A, '04_Products'!$F:$F), 0)</f>
        <v/>
      </c>
      <c r="I715" s="9">
        <f>F715*G715</f>
        <v/>
      </c>
      <c r="J715" s="11" t="n">
        <v>0</v>
      </c>
      <c r="K715" s="9">
        <f>I715*J715</f>
        <v/>
      </c>
      <c r="L715" s="9">
        <f>I715-K715</f>
        <v/>
      </c>
      <c r="M715" s="9">
        <f>F715*H715</f>
        <v/>
      </c>
      <c r="N715" s="9">
        <f>L715-M715</f>
        <v/>
      </c>
      <c r="O715" s="11">
        <f>IFERROR(N715/L715, 0)</f>
        <v/>
      </c>
      <c r="P715" s="8">
        <f>YEAR(C715)</f>
        <v/>
      </c>
      <c r="Q715" s="8">
        <f>TEXT(C715, "yyyy-mm")</f>
        <v/>
      </c>
      <c r="R715" s="8" t="inlineStr">
        <is>
          <t>B2B Portal</t>
        </is>
      </c>
      <c r="S715" s="8" t="inlineStr">
        <is>
          <t>REG-APAC</t>
        </is>
      </c>
    </row>
    <row r="716">
      <c r="A716" s="8" t="inlineStr">
        <is>
          <t>DTL-0000722</t>
        </is>
      </c>
      <c r="B716" s="8" t="inlineStr">
        <is>
          <t>ORD-000369</t>
        </is>
      </c>
      <c r="C716" s="10" t="inlineStr">
        <is>
          <t>2024-08-28</t>
        </is>
      </c>
      <c r="D716" s="8" t="inlineStr">
        <is>
          <t>CUST-06522</t>
        </is>
      </c>
      <c r="E716" s="8" t="inlineStr">
        <is>
          <t>PRD-0099</t>
        </is>
      </c>
      <c r="F716" s="8" t="n">
        <v>1</v>
      </c>
      <c r="G716" s="9">
        <f>IFERROR(XLOOKUP(E716, '04_Products'!$A:$A, '04_Products'!$G:$G), 201.48)</f>
        <v/>
      </c>
      <c r="H716" s="9">
        <f>IFERROR(XLOOKUP(E716, '04_Products'!$A:$A, '04_Products'!$F:$F), 0)</f>
        <v/>
      </c>
      <c r="I716" s="9">
        <f>F716*G716</f>
        <v/>
      </c>
      <c r="J716" s="11" t="n">
        <v>0.1</v>
      </c>
      <c r="K716" s="9">
        <f>I716*J716</f>
        <v/>
      </c>
      <c r="L716" s="9">
        <f>I716-K716</f>
        <v/>
      </c>
      <c r="M716" s="9">
        <f>F716*H716</f>
        <v/>
      </c>
      <c r="N716" s="9">
        <f>L716-M716</f>
        <v/>
      </c>
      <c r="O716" s="11">
        <f>IFERROR(N716/L716, 0)</f>
        <v/>
      </c>
      <c r="P716" s="8">
        <f>YEAR(C716)</f>
        <v/>
      </c>
      <c r="Q716" s="8">
        <f>TEXT(C716, "yyyy-mm")</f>
        <v/>
      </c>
      <c r="R716" s="8" t="inlineStr">
        <is>
          <t>Direct Web</t>
        </is>
      </c>
      <c r="S716" s="8" t="inlineStr">
        <is>
          <t>REG-EU</t>
        </is>
      </c>
    </row>
    <row r="717">
      <c r="A717" s="8" t="inlineStr">
        <is>
          <t>DTL-0000723</t>
        </is>
      </c>
      <c r="B717" s="8" t="inlineStr">
        <is>
          <t>ORD-000370</t>
        </is>
      </c>
      <c r="C717" s="10" t="inlineStr">
        <is>
          <t>2024-11-30</t>
        </is>
      </c>
      <c r="D717" s="8" t="inlineStr">
        <is>
          <t>CUST-05884</t>
        </is>
      </c>
      <c r="E717" s="8" t="inlineStr">
        <is>
          <t>PRD-0454</t>
        </is>
      </c>
      <c r="F717" s="8" t="n">
        <v>1</v>
      </c>
      <c r="G717" s="9">
        <f>IFERROR(XLOOKUP(E717, '04_Products'!$A:$A, '04_Products'!$G:$G), 745.94)</f>
        <v/>
      </c>
      <c r="H717" s="9">
        <f>IFERROR(XLOOKUP(E717, '04_Products'!$A:$A, '04_Products'!$F:$F), 0)</f>
        <v/>
      </c>
      <c r="I717" s="9">
        <f>F717*G717</f>
        <v/>
      </c>
      <c r="J717" s="11" t="n">
        <v>0</v>
      </c>
      <c r="K717" s="9">
        <f>I717*J717</f>
        <v/>
      </c>
      <c r="L717" s="9">
        <f>I717-K717</f>
        <v/>
      </c>
      <c r="M717" s="9">
        <f>F717*H717</f>
        <v/>
      </c>
      <c r="N717" s="9">
        <f>L717-M717</f>
        <v/>
      </c>
      <c r="O717" s="11">
        <f>IFERROR(N717/L717, 0)</f>
        <v/>
      </c>
      <c r="P717" s="8">
        <f>YEAR(C717)</f>
        <v/>
      </c>
      <c r="Q717" s="8">
        <f>TEXT(C717, "yyyy-mm")</f>
        <v/>
      </c>
      <c r="R717" s="8" t="inlineStr">
        <is>
          <t>Affiliate Partner</t>
        </is>
      </c>
      <c r="S717" s="8" t="inlineStr">
        <is>
          <t>REG-NA</t>
        </is>
      </c>
    </row>
    <row r="718">
      <c r="A718" s="8" t="inlineStr">
        <is>
          <t>DTL-0000724</t>
        </is>
      </c>
      <c r="B718" s="8" t="inlineStr">
        <is>
          <t>ORD-000370</t>
        </is>
      </c>
      <c r="C718" s="10" t="inlineStr">
        <is>
          <t>2024-11-30</t>
        </is>
      </c>
      <c r="D718" s="8" t="inlineStr">
        <is>
          <t>CUST-05884</t>
        </is>
      </c>
      <c r="E718" s="8" t="inlineStr">
        <is>
          <t>PRD-0037</t>
        </is>
      </c>
      <c r="F718" s="8" t="n">
        <v>1</v>
      </c>
      <c r="G718" s="9">
        <f>IFERROR(XLOOKUP(E718, '04_Products'!$A:$A, '04_Products'!$G:$G), 499.93)</f>
        <v/>
      </c>
      <c r="H718" s="9">
        <f>IFERROR(XLOOKUP(E718, '04_Products'!$A:$A, '04_Products'!$F:$F), 0)</f>
        <v/>
      </c>
      <c r="I718" s="9">
        <f>F718*G718</f>
        <v/>
      </c>
      <c r="J718" s="11" t="n">
        <v>0</v>
      </c>
      <c r="K718" s="9">
        <f>I718*J718</f>
        <v/>
      </c>
      <c r="L718" s="9">
        <f>I718-K718</f>
        <v/>
      </c>
      <c r="M718" s="9">
        <f>F718*H718</f>
        <v/>
      </c>
      <c r="N718" s="9">
        <f>L718-M718</f>
        <v/>
      </c>
      <c r="O718" s="11">
        <f>IFERROR(N718/L718, 0)</f>
        <v/>
      </c>
      <c r="P718" s="8">
        <f>YEAR(C718)</f>
        <v/>
      </c>
      <c r="Q718" s="8">
        <f>TEXT(C718, "yyyy-mm")</f>
        <v/>
      </c>
      <c r="R718" s="8" t="inlineStr">
        <is>
          <t>Affiliate Partner</t>
        </is>
      </c>
      <c r="S718" s="8" t="inlineStr">
        <is>
          <t>REG-NA</t>
        </is>
      </c>
    </row>
    <row r="719">
      <c r="A719" s="8" t="inlineStr">
        <is>
          <t>DTL-0000725</t>
        </is>
      </c>
      <c r="B719" s="8" t="inlineStr">
        <is>
          <t>ORD-000370</t>
        </is>
      </c>
      <c r="C719" s="10" t="inlineStr">
        <is>
          <t>2024-11-30</t>
        </is>
      </c>
      <c r="D719" s="8" t="inlineStr">
        <is>
          <t>CUST-05884</t>
        </is>
      </c>
      <c r="E719" s="8" t="inlineStr">
        <is>
          <t>PRD-0310</t>
        </is>
      </c>
      <c r="F719" s="8" t="n">
        <v>1</v>
      </c>
      <c r="G719" s="9">
        <f>IFERROR(XLOOKUP(E719, '04_Products'!$A:$A, '04_Products'!$G:$G), 51.60)</f>
        <v/>
      </c>
      <c r="H719" s="9">
        <f>IFERROR(XLOOKUP(E719, '04_Products'!$A:$A, '04_Products'!$F:$F), 0)</f>
        <v/>
      </c>
      <c r="I719" s="9">
        <f>F719*G719</f>
        <v/>
      </c>
      <c r="J719" s="11" t="n">
        <v>0.1</v>
      </c>
      <c r="K719" s="9">
        <f>I719*J719</f>
        <v/>
      </c>
      <c r="L719" s="9">
        <f>I719-K719</f>
        <v/>
      </c>
      <c r="M719" s="9">
        <f>F719*H719</f>
        <v/>
      </c>
      <c r="N719" s="9">
        <f>L719-M719</f>
        <v/>
      </c>
      <c r="O719" s="11">
        <f>IFERROR(N719/L719, 0)</f>
        <v/>
      </c>
      <c r="P719" s="8">
        <f>YEAR(C719)</f>
        <v/>
      </c>
      <c r="Q719" s="8">
        <f>TEXT(C719, "yyyy-mm")</f>
        <v/>
      </c>
      <c r="R719" s="8" t="inlineStr">
        <is>
          <t>Affiliate Partner</t>
        </is>
      </c>
      <c r="S719" s="8" t="inlineStr">
        <is>
          <t>REG-NA</t>
        </is>
      </c>
    </row>
    <row r="720">
      <c r="A720" s="8" t="inlineStr">
        <is>
          <t>DTL-0000726</t>
        </is>
      </c>
      <c r="B720" s="8" t="inlineStr">
        <is>
          <t>ORD-000371</t>
        </is>
      </c>
      <c r="C720" s="10" t="inlineStr">
        <is>
          <t>2025-04-02</t>
        </is>
      </c>
      <c r="D720" s="8" t="inlineStr">
        <is>
          <t>CUST-05008</t>
        </is>
      </c>
      <c r="E720" s="8" t="inlineStr">
        <is>
          <t>PRD-0330</t>
        </is>
      </c>
      <c r="F720" s="8" t="n">
        <v>2</v>
      </c>
      <c r="G720" s="9">
        <f>IFERROR(XLOOKUP(E720, '04_Products'!$A:$A, '04_Products'!$G:$G), 36.63)</f>
        <v/>
      </c>
      <c r="H720" s="9">
        <f>IFERROR(XLOOKUP(E720, '04_Products'!$A:$A, '04_Products'!$F:$F), 0)</f>
        <v/>
      </c>
      <c r="I720" s="9">
        <f>F720*G720</f>
        <v/>
      </c>
      <c r="J720" s="11" t="n">
        <v>0.05</v>
      </c>
      <c r="K720" s="9">
        <f>I720*J720</f>
        <v/>
      </c>
      <c r="L720" s="9">
        <f>I720-K720</f>
        <v/>
      </c>
      <c r="M720" s="9">
        <f>F720*H720</f>
        <v/>
      </c>
      <c r="N720" s="9">
        <f>L720-M720</f>
        <v/>
      </c>
      <c r="O720" s="11">
        <f>IFERROR(N720/L720, 0)</f>
        <v/>
      </c>
      <c r="P720" s="8">
        <f>YEAR(C720)</f>
        <v/>
      </c>
      <c r="Q720" s="8">
        <f>TEXT(C720, "yyyy-mm")</f>
        <v/>
      </c>
      <c r="R720" s="8" t="inlineStr">
        <is>
          <t>Mobile App</t>
        </is>
      </c>
      <c r="S720" s="8" t="inlineStr">
        <is>
          <t>REG-NA</t>
        </is>
      </c>
    </row>
    <row r="721">
      <c r="A721" s="8" t="inlineStr">
        <is>
          <t>DTL-0000727</t>
        </is>
      </c>
      <c r="B721" s="8" t="inlineStr">
        <is>
          <t>ORD-000371</t>
        </is>
      </c>
      <c r="C721" s="10" t="inlineStr">
        <is>
          <t>2025-04-02</t>
        </is>
      </c>
      <c r="D721" s="8" t="inlineStr">
        <is>
          <t>CUST-05008</t>
        </is>
      </c>
      <c r="E721" s="8" t="inlineStr">
        <is>
          <t>PRD-0065</t>
        </is>
      </c>
      <c r="F721" s="8" t="n">
        <v>1</v>
      </c>
      <c r="G721" s="9">
        <f>IFERROR(XLOOKUP(E721, '04_Products'!$A:$A, '04_Products'!$G:$G), 184.25)</f>
        <v/>
      </c>
      <c r="H721" s="9">
        <f>IFERROR(XLOOKUP(E721, '04_Products'!$A:$A, '04_Products'!$F:$F), 0)</f>
        <v/>
      </c>
      <c r="I721" s="9">
        <f>F721*G721</f>
        <v/>
      </c>
      <c r="J721" s="11" t="n">
        <v>0.05</v>
      </c>
      <c r="K721" s="9">
        <f>I721*J721</f>
        <v/>
      </c>
      <c r="L721" s="9">
        <f>I721-K721</f>
        <v/>
      </c>
      <c r="M721" s="9">
        <f>F721*H721</f>
        <v/>
      </c>
      <c r="N721" s="9">
        <f>L721-M721</f>
        <v/>
      </c>
      <c r="O721" s="11">
        <f>IFERROR(N721/L721, 0)</f>
        <v/>
      </c>
      <c r="P721" s="8">
        <f>YEAR(C721)</f>
        <v/>
      </c>
      <c r="Q721" s="8">
        <f>TEXT(C721, "yyyy-mm")</f>
        <v/>
      </c>
      <c r="R721" s="8" t="inlineStr">
        <is>
          <t>Mobile App</t>
        </is>
      </c>
      <c r="S721" s="8" t="inlineStr">
        <is>
          <t>REG-NA</t>
        </is>
      </c>
    </row>
    <row r="722">
      <c r="A722" s="8" t="inlineStr">
        <is>
          <t>DTL-0000728</t>
        </is>
      </c>
      <c r="B722" s="8" t="inlineStr">
        <is>
          <t>ORD-000371</t>
        </is>
      </c>
      <c r="C722" s="10" t="inlineStr">
        <is>
          <t>2025-04-02</t>
        </is>
      </c>
      <c r="D722" s="8" t="inlineStr">
        <is>
          <t>CUST-05008</t>
        </is>
      </c>
      <c r="E722" s="8" t="inlineStr">
        <is>
          <t>PRD-0224</t>
        </is>
      </c>
      <c r="F722" s="8" t="n">
        <v>1</v>
      </c>
      <c r="G722" s="9">
        <f>IFERROR(XLOOKUP(E722, '04_Products'!$A:$A, '04_Products'!$G:$G), 60.54)</f>
        <v/>
      </c>
      <c r="H722" s="9">
        <f>IFERROR(XLOOKUP(E722, '04_Products'!$A:$A, '04_Products'!$F:$F), 0)</f>
        <v/>
      </c>
      <c r="I722" s="9">
        <f>F722*G722</f>
        <v/>
      </c>
      <c r="J722" s="11" t="n">
        <v>0</v>
      </c>
      <c r="K722" s="9">
        <f>I722*J722</f>
        <v/>
      </c>
      <c r="L722" s="9">
        <f>I722-K722</f>
        <v/>
      </c>
      <c r="M722" s="9">
        <f>F722*H722</f>
        <v/>
      </c>
      <c r="N722" s="9">
        <f>L722-M722</f>
        <v/>
      </c>
      <c r="O722" s="11">
        <f>IFERROR(N722/L722, 0)</f>
        <v/>
      </c>
      <c r="P722" s="8">
        <f>YEAR(C722)</f>
        <v/>
      </c>
      <c r="Q722" s="8">
        <f>TEXT(C722, "yyyy-mm")</f>
        <v/>
      </c>
      <c r="R722" s="8" t="inlineStr">
        <is>
          <t>Mobile App</t>
        </is>
      </c>
      <c r="S722" s="8" t="inlineStr">
        <is>
          <t>REG-NA</t>
        </is>
      </c>
    </row>
    <row r="723">
      <c r="A723" s="8" t="inlineStr">
        <is>
          <t>DTL-0000729</t>
        </is>
      </c>
      <c r="B723" s="8" t="inlineStr">
        <is>
          <t>ORD-000372</t>
        </is>
      </c>
      <c r="C723" s="10" t="inlineStr">
        <is>
          <t>2023-01-26</t>
        </is>
      </c>
      <c r="D723" s="8" t="inlineStr">
        <is>
          <t>CUST-05392</t>
        </is>
      </c>
      <c r="E723" s="8" t="inlineStr">
        <is>
          <t>PRD-0331</t>
        </is>
      </c>
      <c r="F723" s="8" t="n">
        <v>1</v>
      </c>
      <c r="G723" s="9">
        <f>IFERROR(XLOOKUP(E723, '04_Products'!$A:$A, '04_Products'!$G:$G), 1076.14)</f>
        <v/>
      </c>
      <c r="H723" s="9">
        <f>IFERROR(XLOOKUP(E723, '04_Products'!$A:$A, '04_Products'!$F:$F), 0)</f>
        <v/>
      </c>
      <c r="I723" s="9">
        <f>F723*G723</f>
        <v/>
      </c>
      <c r="J723" s="11" t="n">
        <v>0.05</v>
      </c>
      <c r="K723" s="9">
        <f>I723*J723</f>
        <v/>
      </c>
      <c r="L723" s="9">
        <f>I723-K723</f>
        <v/>
      </c>
      <c r="M723" s="9">
        <f>F723*H723</f>
        <v/>
      </c>
      <c r="N723" s="9">
        <f>L723-M723</f>
        <v/>
      </c>
      <c r="O723" s="11">
        <f>IFERROR(N723/L723, 0)</f>
        <v/>
      </c>
      <c r="P723" s="8">
        <f>YEAR(C723)</f>
        <v/>
      </c>
      <c r="Q723" s="8">
        <f>TEXT(C723, "yyyy-mm")</f>
        <v/>
      </c>
      <c r="R723" s="8" t="inlineStr">
        <is>
          <t>Direct Web</t>
        </is>
      </c>
      <c r="S723" s="8" t="inlineStr">
        <is>
          <t>REG-LATAM</t>
        </is>
      </c>
    </row>
    <row r="724">
      <c r="A724" s="8" t="inlineStr">
        <is>
          <t>DTL-0000730</t>
        </is>
      </c>
      <c r="B724" s="8" t="inlineStr">
        <is>
          <t>ORD-000372</t>
        </is>
      </c>
      <c r="C724" s="10" t="inlineStr">
        <is>
          <t>2023-01-26</t>
        </is>
      </c>
      <c r="D724" s="8" t="inlineStr">
        <is>
          <t>CUST-05392</t>
        </is>
      </c>
      <c r="E724" s="8" t="inlineStr">
        <is>
          <t>PRD-0224</t>
        </is>
      </c>
      <c r="F724" s="8" t="n">
        <v>1</v>
      </c>
      <c r="G724" s="9">
        <f>IFERROR(XLOOKUP(E724, '04_Products'!$A:$A, '04_Products'!$G:$G), 60.54)</f>
        <v/>
      </c>
      <c r="H724" s="9">
        <f>IFERROR(XLOOKUP(E724, '04_Products'!$A:$A, '04_Products'!$F:$F), 0)</f>
        <v/>
      </c>
      <c r="I724" s="9">
        <f>F724*G724</f>
        <v/>
      </c>
      <c r="J724" s="11" t="n">
        <v>0</v>
      </c>
      <c r="K724" s="9">
        <f>I724*J724</f>
        <v/>
      </c>
      <c r="L724" s="9">
        <f>I724-K724</f>
        <v/>
      </c>
      <c r="M724" s="9">
        <f>F724*H724</f>
        <v/>
      </c>
      <c r="N724" s="9">
        <f>L724-M724</f>
        <v/>
      </c>
      <c r="O724" s="11">
        <f>IFERROR(N724/L724, 0)</f>
        <v/>
      </c>
      <c r="P724" s="8">
        <f>YEAR(C724)</f>
        <v/>
      </c>
      <c r="Q724" s="8">
        <f>TEXT(C724, "yyyy-mm")</f>
        <v/>
      </c>
      <c r="R724" s="8" t="inlineStr">
        <is>
          <t>Direct Web</t>
        </is>
      </c>
      <c r="S724" s="8" t="inlineStr">
        <is>
          <t>REG-LATAM</t>
        </is>
      </c>
    </row>
    <row r="725">
      <c r="A725" s="8" t="inlineStr">
        <is>
          <t>DTL-0000731</t>
        </is>
      </c>
      <c r="B725" s="8" t="inlineStr">
        <is>
          <t>ORD-000373</t>
        </is>
      </c>
      <c r="C725" s="10" t="inlineStr">
        <is>
          <t>2024-12-18</t>
        </is>
      </c>
      <c r="D725" s="8" t="inlineStr">
        <is>
          <t>CUST-02996</t>
        </is>
      </c>
      <c r="E725" s="8" t="inlineStr">
        <is>
          <t>PRD-0383</t>
        </is>
      </c>
      <c r="F725" s="8" t="n">
        <v>2</v>
      </c>
      <c r="G725" s="9">
        <f>IFERROR(XLOOKUP(E725, '04_Products'!$A:$A, '04_Products'!$G:$G), 752.81)</f>
        <v/>
      </c>
      <c r="H725" s="9">
        <f>IFERROR(XLOOKUP(E725, '04_Products'!$A:$A, '04_Products'!$F:$F), 0)</f>
        <v/>
      </c>
      <c r="I725" s="9">
        <f>F725*G725</f>
        <v/>
      </c>
      <c r="J725" s="11" t="n">
        <v>0</v>
      </c>
      <c r="K725" s="9">
        <f>I725*J725</f>
        <v/>
      </c>
      <c r="L725" s="9">
        <f>I725-K725</f>
        <v/>
      </c>
      <c r="M725" s="9">
        <f>F725*H725</f>
        <v/>
      </c>
      <c r="N725" s="9">
        <f>L725-M725</f>
        <v/>
      </c>
      <c r="O725" s="11">
        <f>IFERROR(N725/L725, 0)</f>
        <v/>
      </c>
      <c r="P725" s="8">
        <f>YEAR(C725)</f>
        <v/>
      </c>
      <c r="Q725" s="8">
        <f>TEXT(C725, "yyyy-mm")</f>
        <v/>
      </c>
      <c r="R725" s="8" t="inlineStr">
        <is>
          <t>Affiliate Partner</t>
        </is>
      </c>
      <c r="S725" s="8" t="inlineStr">
        <is>
          <t>REG-NA</t>
        </is>
      </c>
    </row>
    <row r="726">
      <c r="A726" s="8" t="inlineStr">
        <is>
          <t>DTL-0000732</t>
        </is>
      </c>
      <c r="B726" s="8" t="inlineStr">
        <is>
          <t>ORD-000373</t>
        </is>
      </c>
      <c r="C726" s="10" t="inlineStr">
        <is>
          <t>2024-12-18</t>
        </is>
      </c>
      <c r="D726" s="8" t="inlineStr">
        <is>
          <t>CUST-02996</t>
        </is>
      </c>
      <c r="E726" s="8" t="inlineStr">
        <is>
          <t>PRD-0448</t>
        </is>
      </c>
      <c r="F726" s="8" t="n">
        <v>1</v>
      </c>
      <c r="G726" s="9">
        <f>IFERROR(XLOOKUP(E726, '04_Products'!$A:$A, '04_Products'!$G:$G), 338.65)</f>
        <v/>
      </c>
      <c r="H726" s="9">
        <f>IFERROR(XLOOKUP(E726, '04_Products'!$A:$A, '04_Products'!$F:$F), 0)</f>
        <v/>
      </c>
      <c r="I726" s="9">
        <f>F726*G726</f>
        <v/>
      </c>
      <c r="J726" s="11" t="n">
        <v>0.15</v>
      </c>
      <c r="K726" s="9">
        <f>I726*J726</f>
        <v/>
      </c>
      <c r="L726" s="9">
        <f>I726-K726</f>
        <v/>
      </c>
      <c r="M726" s="9">
        <f>F726*H726</f>
        <v/>
      </c>
      <c r="N726" s="9">
        <f>L726-M726</f>
        <v/>
      </c>
      <c r="O726" s="11">
        <f>IFERROR(N726/L726, 0)</f>
        <v/>
      </c>
      <c r="P726" s="8">
        <f>YEAR(C726)</f>
        <v/>
      </c>
      <c r="Q726" s="8">
        <f>TEXT(C726, "yyyy-mm")</f>
        <v/>
      </c>
      <c r="R726" s="8" t="inlineStr">
        <is>
          <t>Affiliate Partner</t>
        </is>
      </c>
      <c r="S726" s="8" t="inlineStr">
        <is>
          <t>REG-NA</t>
        </is>
      </c>
    </row>
    <row r="727">
      <c r="A727" s="8" t="inlineStr">
        <is>
          <t>DTL-0000733</t>
        </is>
      </c>
      <c r="B727" s="8" t="inlineStr">
        <is>
          <t>ORD-000373</t>
        </is>
      </c>
      <c r="C727" s="10" t="inlineStr">
        <is>
          <t>2024-12-18</t>
        </is>
      </c>
      <c r="D727" s="8" t="inlineStr">
        <is>
          <t>CUST-02996</t>
        </is>
      </c>
      <c r="E727" s="8" t="inlineStr">
        <is>
          <t>PRD-0054</t>
        </is>
      </c>
      <c r="F727" s="8" t="n">
        <v>3</v>
      </c>
      <c r="G727" s="9">
        <f>IFERROR(XLOOKUP(E727, '04_Products'!$A:$A, '04_Products'!$G:$G), 873.80)</f>
        <v/>
      </c>
      <c r="H727" s="9">
        <f>IFERROR(XLOOKUP(E727, '04_Products'!$A:$A, '04_Products'!$F:$F), 0)</f>
        <v/>
      </c>
      <c r="I727" s="9">
        <f>F727*G727</f>
        <v/>
      </c>
      <c r="J727" s="11" t="n">
        <v>0</v>
      </c>
      <c r="K727" s="9">
        <f>I727*J727</f>
        <v/>
      </c>
      <c r="L727" s="9">
        <f>I727-K727</f>
        <v/>
      </c>
      <c r="M727" s="9">
        <f>F727*H727</f>
        <v/>
      </c>
      <c r="N727" s="9">
        <f>L727-M727</f>
        <v/>
      </c>
      <c r="O727" s="11">
        <f>IFERROR(N727/L727, 0)</f>
        <v/>
      </c>
      <c r="P727" s="8">
        <f>YEAR(C727)</f>
        <v/>
      </c>
      <c r="Q727" s="8">
        <f>TEXT(C727, "yyyy-mm")</f>
        <v/>
      </c>
      <c r="R727" s="8" t="inlineStr">
        <is>
          <t>Affiliate Partner</t>
        </is>
      </c>
      <c r="S727" s="8" t="inlineStr">
        <is>
          <t>REG-NA</t>
        </is>
      </c>
    </row>
    <row r="728">
      <c r="A728" s="8" t="inlineStr">
        <is>
          <t>DTL-0000734</t>
        </is>
      </c>
      <c r="B728" s="8" t="inlineStr">
        <is>
          <t>ORD-000374</t>
        </is>
      </c>
      <c r="C728" s="10" t="inlineStr">
        <is>
          <t>2025-10-30</t>
        </is>
      </c>
      <c r="D728" s="8" t="inlineStr">
        <is>
          <t>CUST-04541</t>
        </is>
      </c>
      <c r="E728" s="8" t="inlineStr">
        <is>
          <t>PRD-0376</t>
        </is>
      </c>
      <c r="F728" s="8" t="n">
        <v>3</v>
      </c>
      <c r="G728" s="9">
        <f>IFERROR(XLOOKUP(E728, '04_Products'!$A:$A, '04_Products'!$G:$G), 219.88)</f>
        <v/>
      </c>
      <c r="H728" s="9">
        <f>IFERROR(XLOOKUP(E728, '04_Products'!$A:$A, '04_Products'!$F:$F), 0)</f>
        <v/>
      </c>
      <c r="I728" s="9">
        <f>F728*G728</f>
        <v/>
      </c>
      <c r="J728" s="11" t="n">
        <v>0.15</v>
      </c>
      <c r="K728" s="9">
        <f>I728*J728</f>
        <v/>
      </c>
      <c r="L728" s="9">
        <f>I728-K728</f>
        <v/>
      </c>
      <c r="M728" s="9">
        <f>F728*H728</f>
        <v/>
      </c>
      <c r="N728" s="9">
        <f>L728-M728</f>
        <v/>
      </c>
      <c r="O728" s="11">
        <f>IFERROR(N728/L728, 0)</f>
        <v/>
      </c>
      <c r="P728" s="8">
        <f>YEAR(C728)</f>
        <v/>
      </c>
      <c r="Q728" s="8">
        <f>TEXT(C728, "yyyy-mm")</f>
        <v/>
      </c>
      <c r="R728" s="8" t="inlineStr">
        <is>
          <t>Mobile App</t>
        </is>
      </c>
      <c r="S728" s="8" t="inlineStr">
        <is>
          <t>REG-EU</t>
        </is>
      </c>
    </row>
    <row r="729">
      <c r="A729" s="8" t="inlineStr">
        <is>
          <t>DTL-0000735</t>
        </is>
      </c>
      <c r="B729" s="8" t="inlineStr">
        <is>
          <t>ORD-000375</t>
        </is>
      </c>
      <c r="C729" s="10" t="inlineStr">
        <is>
          <t>2023-04-01</t>
        </is>
      </c>
      <c r="D729" s="8" t="inlineStr">
        <is>
          <t>CUST-01163</t>
        </is>
      </c>
      <c r="E729" s="8" t="inlineStr">
        <is>
          <t>PRD-0398</t>
        </is>
      </c>
      <c r="F729" s="8" t="n">
        <v>1</v>
      </c>
      <c r="G729" s="9">
        <f>IFERROR(XLOOKUP(E729, '04_Products'!$A:$A, '04_Products'!$G:$G), 28.76)</f>
        <v/>
      </c>
      <c r="H729" s="9">
        <f>IFERROR(XLOOKUP(E729, '04_Products'!$A:$A, '04_Products'!$F:$F), 0)</f>
        <v/>
      </c>
      <c r="I729" s="9">
        <f>F729*G729</f>
        <v/>
      </c>
      <c r="J729" s="11" t="n">
        <v>0.1</v>
      </c>
      <c r="K729" s="9">
        <f>I729*J729</f>
        <v/>
      </c>
      <c r="L729" s="9">
        <f>I729-K729</f>
        <v/>
      </c>
      <c r="M729" s="9">
        <f>F729*H729</f>
        <v/>
      </c>
      <c r="N729" s="9">
        <f>L729-M729</f>
        <v/>
      </c>
      <c r="O729" s="11">
        <f>IFERROR(N729/L729, 0)</f>
        <v/>
      </c>
      <c r="P729" s="8">
        <f>YEAR(C729)</f>
        <v/>
      </c>
      <c r="Q729" s="8">
        <f>TEXT(C729, "yyyy-mm")</f>
        <v/>
      </c>
      <c r="R729" s="8" t="inlineStr">
        <is>
          <t>Mobile App</t>
        </is>
      </c>
      <c r="S729" s="8" t="inlineStr">
        <is>
          <t>REG-APAC</t>
        </is>
      </c>
    </row>
    <row r="730">
      <c r="A730" s="8" t="inlineStr">
        <is>
          <t>DTL-0000736</t>
        </is>
      </c>
      <c r="B730" s="8" t="inlineStr">
        <is>
          <t>ORD-000375</t>
        </is>
      </c>
      <c r="C730" s="10" t="inlineStr">
        <is>
          <t>2023-04-01</t>
        </is>
      </c>
      <c r="D730" s="8" t="inlineStr">
        <is>
          <t>CUST-01163</t>
        </is>
      </c>
      <c r="E730" s="8" t="inlineStr">
        <is>
          <t>PRD-0219</t>
        </is>
      </c>
      <c r="F730" s="8" t="n">
        <v>1</v>
      </c>
      <c r="G730" s="9">
        <f>IFERROR(XLOOKUP(E730, '04_Products'!$A:$A, '04_Products'!$G:$G), 20.51)</f>
        <v/>
      </c>
      <c r="H730" s="9">
        <f>IFERROR(XLOOKUP(E730, '04_Products'!$A:$A, '04_Products'!$F:$F), 0)</f>
        <v/>
      </c>
      <c r="I730" s="9">
        <f>F730*G730</f>
        <v/>
      </c>
      <c r="J730" s="11" t="n">
        <v>0</v>
      </c>
      <c r="K730" s="9">
        <f>I730*J730</f>
        <v/>
      </c>
      <c r="L730" s="9">
        <f>I730-K730</f>
        <v/>
      </c>
      <c r="M730" s="9">
        <f>F730*H730</f>
        <v/>
      </c>
      <c r="N730" s="9">
        <f>L730-M730</f>
        <v/>
      </c>
      <c r="O730" s="11">
        <f>IFERROR(N730/L730, 0)</f>
        <v/>
      </c>
      <c r="P730" s="8">
        <f>YEAR(C730)</f>
        <v/>
      </c>
      <c r="Q730" s="8">
        <f>TEXT(C730, "yyyy-mm")</f>
        <v/>
      </c>
      <c r="R730" s="8" t="inlineStr">
        <is>
          <t>Mobile App</t>
        </is>
      </c>
      <c r="S730" s="8" t="inlineStr">
        <is>
          <t>REG-APAC</t>
        </is>
      </c>
    </row>
    <row r="731">
      <c r="A731" s="8" t="inlineStr">
        <is>
          <t>DTL-0000737</t>
        </is>
      </c>
      <c r="B731" s="8" t="inlineStr">
        <is>
          <t>ORD-000376</t>
        </is>
      </c>
      <c r="C731" s="10" t="inlineStr">
        <is>
          <t>2025-08-17</t>
        </is>
      </c>
      <c r="D731" s="8" t="inlineStr">
        <is>
          <t>CUST-04168</t>
        </is>
      </c>
      <c r="E731" s="8" t="inlineStr">
        <is>
          <t>PRD-0497</t>
        </is>
      </c>
      <c r="F731" s="8" t="n">
        <v>2</v>
      </c>
      <c r="G731" s="9">
        <f>IFERROR(XLOOKUP(E731, '04_Products'!$A:$A, '04_Products'!$G:$G), 620.15)</f>
        <v/>
      </c>
      <c r="H731" s="9">
        <f>IFERROR(XLOOKUP(E731, '04_Products'!$A:$A, '04_Products'!$F:$F), 0)</f>
        <v/>
      </c>
      <c r="I731" s="9">
        <f>F731*G731</f>
        <v/>
      </c>
      <c r="J731" s="11" t="n">
        <v>0.15</v>
      </c>
      <c r="K731" s="9">
        <f>I731*J731</f>
        <v/>
      </c>
      <c r="L731" s="9">
        <f>I731-K731</f>
        <v/>
      </c>
      <c r="M731" s="9">
        <f>F731*H731</f>
        <v/>
      </c>
      <c r="N731" s="9">
        <f>L731-M731</f>
        <v/>
      </c>
      <c r="O731" s="11">
        <f>IFERROR(N731/L731, 0)</f>
        <v/>
      </c>
      <c r="P731" s="8">
        <f>YEAR(C731)</f>
        <v/>
      </c>
      <c r="Q731" s="8">
        <f>TEXT(C731, "yyyy-mm")</f>
        <v/>
      </c>
      <c r="R731" s="8" t="inlineStr">
        <is>
          <t>Direct Web</t>
        </is>
      </c>
      <c r="S731" s="8" t="inlineStr">
        <is>
          <t>REG-NA</t>
        </is>
      </c>
    </row>
    <row r="732">
      <c r="A732" s="8" t="inlineStr">
        <is>
          <t>DTL-0000738</t>
        </is>
      </c>
      <c r="B732" s="8" t="inlineStr">
        <is>
          <t>ORD-000376</t>
        </is>
      </c>
      <c r="C732" s="10" t="inlineStr">
        <is>
          <t>2025-08-17</t>
        </is>
      </c>
      <c r="D732" s="8" t="inlineStr">
        <is>
          <t>CUST-04168</t>
        </is>
      </c>
      <c r="E732" s="8" t="inlineStr">
        <is>
          <t>PRD-0401</t>
        </is>
      </c>
      <c r="F732" s="8" t="n">
        <v>1</v>
      </c>
      <c r="G732" s="9">
        <f>IFERROR(XLOOKUP(E732, '04_Products'!$A:$A, '04_Products'!$G:$G), 57.89)</f>
        <v/>
      </c>
      <c r="H732" s="9">
        <f>IFERROR(XLOOKUP(E732, '04_Products'!$A:$A, '04_Products'!$F:$F), 0)</f>
        <v/>
      </c>
      <c r="I732" s="9">
        <f>F732*G732</f>
        <v/>
      </c>
      <c r="J732" s="11" t="n">
        <v>0.15</v>
      </c>
      <c r="K732" s="9">
        <f>I732*J732</f>
        <v/>
      </c>
      <c r="L732" s="9">
        <f>I732-K732</f>
        <v/>
      </c>
      <c r="M732" s="9">
        <f>F732*H732</f>
        <v/>
      </c>
      <c r="N732" s="9">
        <f>L732-M732</f>
        <v/>
      </c>
      <c r="O732" s="11">
        <f>IFERROR(N732/L732, 0)</f>
        <v/>
      </c>
      <c r="P732" s="8">
        <f>YEAR(C732)</f>
        <v/>
      </c>
      <c r="Q732" s="8">
        <f>TEXT(C732, "yyyy-mm")</f>
        <v/>
      </c>
      <c r="R732" s="8" t="inlineStr">
        <is>
          <t>Direct Web</t>
        </is>
      </c>
      <c r="S732" s="8" t="inlineStr">
        <is>
          <t>REG-NA</t>
        </is>
      </c>
    </row>
    <row r="733">
      <c r="A733" s="8" t="inlineStr">
        <is>
          <t>DTL-0000739</t>
        </is>
      </c>
      <c r="B733" s="8" t="inlineStr">
        <is>
          <t>ORD-000376</t>
        </is>
      </c>
      <c r="C733" s="10" t="inlineStr">
        <is>
          <t>2025-08-17</t>
        </is>
      </c>
      <c r="D733" s="8" t="inlineStr">
        <is>
          <t>CUST-04168</t>
        </is>
      </c>
      <c r="E733" s="8" t="inlineStr">
        <is>
          <t>PRD-0165</t>
        </is>
      </c>
      <c r="F733" s="8" t="n">
        <v>1</v>
      </c>
      <c r="G733" s="9">
        <f>IFERROR(XLOOKUP(E733, '04_Products'!$A:$A, '04_Products'!$G:$G), 37.40)</f>
        <v/>
      </c>
      <c r="H733" s="9">
        <f>IFERROR(XLOOKUP(E733, '04_Products'!$A:$A, '04_Products'!$F:$F), 0)</f>
        <v/>
      </c>
      <c r="I733" s="9">
        <f>F733*G733</f>
        <v/>
      </c>
      <c r="J733" s="11" t="n">
        <v>0.05</v>
      </c>
      <c r="K733" s="9">
        <f>I733*J733</f>
        <v/>
      </c>
      <c r="L733" s="9">
        <f>I733-K733</f>
        <v/>
      </c>
      <c r="M733" s="9">
        <f>F733*H733</f>
        <v/>
      </c>
      <c r="N733" s="9">
        <f>L733-M733</f>
        <v/>
      </c>
      <c r="O733" s="11">
        <f>IFERROR(N733/L733, 0)</f>
        <v/>
      </c>
      <c r="P733" s="8">
        <f>YEAR(C733)</f>
        <v/>
      </c>
      <c r="Q733" s="8">
        <f>TEXT(C733, "yyyy-mm")</f>
        <v/>
      </c>
      <c r="R733" s="8" t="inlineStr">
        <is>
          <t>Direct Web</t>
        </is>
      </c>
      <c r="S733" s="8" t="inlineStr">
        <is>
          <t>REG-NA</t>
        </is>
      </c>
    </row>
    <row r="734">
      <c r="A734" s="8" t="inlineStr">
        <is>
          <t>DTL-0000740</t>
        </is>
      </c>
      <c r="B734" s="8" t="inlineStr">
        <is>
          <t>ORD-000377</t>
        </is>
      </c>
      <c r="C734" s="10" t="inlineStr">
        <is>
          <t>2025-06-22</t>
        </is>
      </c>
      <c r="D734" s="8" t="inlineStr">
        <is>
          <t>CUST-07747</t>
        </is>
      </c>
      <c r="E734" s="8" t="inlineStr">
        <is>
          <t>PRD-0284</t>
        </is>
      </c>
      <c r="F734" s="8" t="n">
        <v>1</v>
      </c>
      <c r="G734" s="9">
        <f>IFERROR(XLOOKUP(E734, '04_Products'!$A:$A, '04_Products'!$G:$G), 621.83)</f>
        <v/>
      </c>
      <c r="H734" s="9">
        <f>IFERROR(XLOOKUP(E734, '04_Products'!$A:$A, '04_Products'!$F:$F), 0)</f>
        <v/>
      </c>
      <c r="I734" s="9">
        <f>F734*G734</f>
        <v/>
      </c>
      <c r="J734" s="11" t="n">
        <v>0</v>
      </c>
      <c r="K734" s="9">
        <f>I734*J734</f>
        <v/>
      </c>
      <c r="L734" s="9">
        <f>I734-K734</f>
        <v/>
      </c>
      <c r="M734" s="9">
        <f>F734*H734</f>
        <v/>
      </c>
      <c r="N734" s="9">
        <f>L734-M734</f>
        <v/>
      </c>
      <c r="O734" s="11">
        <f>IFERROR(N734/L734, 0)</f>
        <v/>
      </c>
      <c r="P734" s="8">
        <f>YEAR(C734)</f>
        <v/>
      </c>
      <c r="Q734" s="8">
        <f>TEXT(C734, "yyyy-mm")</f>
        <v/>
      </c>
      <c r="R734" s="8" t="inlineStr">
        <is>
          <t>Direct Web</t>
        </is>
      </c>
      <c r="S734" s="8" t="inlineStr">
        <is>
          <t>REG-NA</t>
        </is>
      </c>
    </row>
    <row r="735">
      <c r="A735" s="8" t="inlineStr">
        <is>
          <t>DTL-0000741</t>
        </is>
      </c>
      <c r="B735" s="8" t="inlineStr">
        <is>
          <t>ORD-000378</t>
        </is>
      </c>
      <c r="C735" s="10" t="inlineStr">
        <is>
          <t>2023-12-22</t>
        </is>
      </c>
      <c r="D735" s="8" t="inlineStr">
        <is>
          <t>CUST-03291</t>
        </is>
      </c>
      <c r="E735" s="8" t="inlineStr">
        <is>
          <t>PRD-0218</t>
        </is>
      </c>
      <c r="F735" s="8" t="n">
        <v>1</v>
      </c>
      <c r="G735" s="9">
        <f>IFERROR(XLOOKUP(E735, '04_Products'!$A:$A, '04_Products'!$G:$G), 468.61)</f>
        <v/>
      </c>
      <c r="H735" s="9">
        <f>IFERROR(XLOOKUP(E735, '04_Products'!$A:$A, '04_Products'!$F:$F), 0)</f>
        <v/>
      </c>
      <c r="I735" s="9">
        <f>F735*G735</f>
        <v/>
      </c>
      <c r="J735" s="11" t="n">
        <v>0.05</v>
      </c>
      <c r="K735" s="9">
        <f>I735*J735</f>
        <v/>
      </c>
      <c r="L735" s="9">
        <f>I735-K735</f>
        <v/>
      </c>
      <c r="M735" s="9">
        <f>F735*H735</f>
        <v/>
      </c>
      <c r="N735" s="9">
        <f>L735-M735</f>
        <v/>
      </c>
      <c r="O735" s="11">
        <f>IFERROR(N735/L735, 0)</f>
        <v/>
      </c>
      <c r="P735" s="8">
        <f>YEAR(C735)</f>
        <v/>
      </c>
      <c r="Q735" s="8">
        <f>TEXT(C735, "yyyy-mm")</f>
        <v/>
      </c>
      <c r="R735" s="8" t="inlineStr">
        <is>
          <t>Mobile App</t>
        </is>
      </c>
      <c r="S735" s="8" t="inlineStr">
        <is>
          <t>REG-NA</t>
        </is>
      </c>
    </row>
    <row r="736">
      <c r="A736" s="8" t="inlineStr">
        <is>
          <t>DTL-0000742</t>
        </is>
      </c>
      <c r="B736" s="8" t="inlineStr">
        <is>
          <t>ORD-000378</t>
        </is>
      </c>
      <c r="C736" s="10" t="inlineStr">
        <is>
          <t>2023-12-22</t>
        </is>
      </c>
      <c r="D736" s="8" t="inlineStr">
        <is>
          <t>CUST-03291</t>
        </is>
      </c>
      <c r="E736" s="8" t="inlineStr">
        <is>
          <t>PRD-0293</t>
        </is>
      </c>
      <c r="F736" s="8" t="n">
        <v>1</v>
      </c>
      <c r="G736" s="9">
        <f>IFERROR(XLOOKUP(E736, '04_Products'!$A:$A, '04_Products'!$G:$G), 231.64)</f>
        <v/>
      </c>
      <c r="H736" s="9">
        <f>IFERROR(XLOOKUP(E736, '04_Products'!$A:$A, '04_Products'!$F:$F), 0)</f>
        <v/>
      </c>
      <c r="I736" s="9">
        <f>F736*G736</f>
        <v/>
      </c>
      <c r="J736" s="11" t="n">
        <v>0.05</v>
      </c>
      <c r="K736" s="9">
        <f>I736*J736</f>
        <v/>
      </c>
      <c r="L736" s="9">
        <f>I736-K736</f>
        <v/>
      </c>
      <c r="M736" s="9">
        <f>F736*H736</f>
        <v/>
      </c>
      <c r="N736" s="9">
        <f>L736-M736</f>
        <v/>
      </c>
      <c r="O736" s="11">
        <f>IFERROR(N736/L736, 0)</f>
        <v/>
      </c>
      <c r="P736" s="8">
        <f>YEAR(C736)</f>
        <v/>
      </c>
      <c r="Q736" s="8">
        <f>TEXT(C736, "yyyy-mm")</f>
        <v/>
      </c>
      <c r="R736" s="8" t="inlineStr">
        <is>
          <t>Mobile App</t>
        </is>
      </c>
      <c r="S736" s="8" t="inlineStr">
        <is>
          <t>REG-NA</t>
        </is>
      </c>
    </row>
    <row r="737">
      <c r="A737" s="8" t="inlineStr">
        <is>
          <t>DTL-0000743</t>
        </is>
      </c>
      <c r="B737" s="8" t="inlineStr">
        <is>
          <t>ORD-000378</t>
        </is>
      </c>
      <c r="C737" s="10" t="inlineStr">
        <is>
          <t>2023-12-22</t>
        </is>
      </c>
      <c r="D737" s="8" t="inlineStr">
        <is>
          <t>CUST-03291</t>
        </is>
      </c>
      <c r="E737" s="8" t="inlineStr">
        <is>
          <t>PRD-0333</t>
        </is>
      </c>
      <c r="F737" s="8" t="n">
        <v>1</v>
      </c>
      <c r="G737" s="9">
        <f>IFERROR(XLOOKUP(E737, '04_Products'!$A:$A, '04_Products'!$G:$G), 71.71)</f>
        <v/>
      </c>
      <c r="H737" s="9">
        <f>IFERROR(XLOOKUP(E737, '04_Products'!$A:$A, '04_Products'!$F:$F), 0)</f>
        <v/>
      </c>
      <c r="I737" s="9">
        <f>F737*G737</f>
        <v/>
      </c>
      <c r="J737" s="11" t="n">
        <v>0.1</v>
      </c>
      <c r="K737" s="9">
        <f>I737*J737</f>
        <v/>
      </c>
      <c r="L737" s="9">
        <f>I737-K737</f>
        <v/>
      </c>
      <c r="M737" s="9">
        <f>F737*H737</f>
        <v/>
      </c>
      <c r="N737" s="9">
        <f>L737-M737</f>
        <v/>
      </c>
      <c r="O737" s="11">
        <f>IFERROR(N737/L737, 0)</f>
        <v/>
      </c>
      <c r="P737" s="8">
        <f>YEAR(C737)</f>
        <v/>
      </c>
      <c r="Q737" s="8">
        <f>TEXT(C737, "yyyy-mm")</f>
        <v/>
      </c>
      <c r="R737" s="8" t="inlineStr">
        <is>
          <t>Mobile App</t>
        </is>
      </c>
      <c r="S737" s="8" t="inlineStr">
        <is>
          <t>REG-NA</t>
        </is>
      </c>
    </row>
    <row r="738">
      <c r="A738" s="8" t="inlineStr">
        <is>
          <t>DTL-0000744</t>
        </is>
      </c>
      <c r="B738" s="8" t="inlineStr">
        <is>
          <t>ORD-000379</t>
        </is>
      </c>
      <c r="C738" s="10" t="inlineStr">
        <is>
          <t>2025-12-10</t>
        </is>
      </c>
      <c r="D738" s="8" t="inlineStr">
        <is>
          <t>CUST-05057</t>
        </is>
      </c>
      <c r="E738" s="8" t="inlineStr">
        <is>
          <t>PRD-0280</t>
        </is>
      </c>
      <c r="F738" s="8" t="n">
        <v>1</v>
      </c>
      <c r="G738" s="9">
        <f>IFERROR(XLOOKUP(E738, '04_Products'!$A:$A, '04_Products'!$G:$G), 408.85)</f>
        <v/>
      </c>
      <c r="H738" s="9">
        <f>IFERROR(XLOOKUP(E738, '04_Products'!$A:$A, '04_Products'!$F:$F), 0)</f>
        <v/>
      </c>
      <c r="I738" s="9">
        <f>F738*G738</f>
        <v/>
      </c>
      <c r="J738" s="11" t="n">
        <v>0</v>
      </c>
      <c r="K738" s="9">
        <f>I738*J738</f>
        <v/>
      </c>
      <c r="L738" s="9">
        <f>I738-K738</f>
        <v/>
      </c>
      <c r="M738" s="9">
        <f>F738*H738</f>
        <v/>
      </c>
      <c r="N738" s="9">
        <f>L738-M738</f>
        <v/>
      </c>
      <c r="O738" s="11">
        <f>IFERROR(N738/L738, 0)</f>
        <v/>
      </c>
      <c r="P738" s="8">
        <f>YEAR(C738)</f>
        <v/>
      </c>
      <c r="Q738" s="8">
        <f>TEXT(C738, "yyyy-mm")</f>
        <v/>
      </c>
      <c r="R738" s="8" t="inlineStr">
        <is>
          <t>Mobile App</t>
        </is>
      </c>
      <c r="S738" s="8" t="inlineStr">
        <is>
          <t>REG-NA</t>
        </is>
      </c>
    </row>
    <row r="739">
      <c r="A739" s="8" t="inlineStr">
        <is>
          <t>DTL-0000745</t>
        </is>
      </c>
      <c r="B739" s="8" t="inlineStr">
        <is>
          <t>ORD-000379</t>
        </is>
      </c>
      <c r="C739" s="10" t="inlineStr">
        <is>
          <t>2025-12-10</t>
        </is>
      </c>
      <c r="D739" s="8" t="inlineStr">
        <is>
          <t>CUST-05057</t>
        </is>
      </c>
      <c r="E739" s="8" t="inlineStr">
        <is>
          <t>PRD-0115</t>
        </is>
      </c>
      <c r="F739" s="8" t="n">
        <v>1</v>
      </c>
      <c r="G739" s="9">
        <f>IFERROR(XLOOKUP(E739, '04_Products'!$A:$A, '04_Products'!$G:$G), 256.68)</f>
        <v/>
      </c>
      <c r="H739" s="9">
        <f>IFERROR(XLOOKUP(E739, '04_Products'!$A:$A, '04_Products'!$F:$F), 0)</f>
        <v/>
      </c>
      <c r="I739" s="9">
        <f>F739*G739</f>
        <v/>
      </c>
      <c r="J739" s="11" t="n">
        <v>0</v>
      </c>
      <c r="K739" s="9">
        <f>I739*J739</f>
        <v/>
      </c>
      <c r="L739" s="9">
        <f>I739-K739</f>
        <v/>
      </c>
      <c r="M739" s="9">
        <f>F739*H739</f>
        <v/>
      </c>
      <c r="N739" s="9">
        <f>L739-M739</f>
        <v/>
      </c>
      <c r="O739" s="11">
        <f>IFERROR(N739/L739, 0)</f>
        <v/>
      </c>
      <c r="P739" s="8">
        <f>YEAR(C739)</f>
        <v/>
      </c>
      <c r="Q739" s="8">
        <f>TEXT(C739, "yyyy-mm")</f>
        <v/>
      </c>
      <c r="R739" s="8" t="inlineStr">
        <is>
          <t>Mobile App</t>
        </is>
      </c>
      <c r="S739" s="8" t="inlineStr">
        <is>
          <t>REG-NA</t>
        </is>
      </c>
    </row>
    <row r="740">
      <c r="A740" s="8" t="inlineStr">
        <is>
          <t>DTL-0000746</t>
        </is>
      </c>
      <c r="B740" s="8" t="inlineStr">
        <is>
          <t>ORD-000379</t>
        </is>
      </c>
      <c r="C740" s="10" t="inlineStr">
        <is>
          <t>2025-12-10</t>
        </is>
      </c>
      <c r="D740" s="8" t="inlineStr">
        <is>
          <t>CUST-05057</t>
        </is>
      </c>
      <c r="E740" s="8" t="inlineStr">
        <is>
          <t>PRD-0358</t>
        </is>
      </c>
      <c r="F740" s="8" t="n">
        <v>2</v>
      </c>
      <c r="G740" s="9">
        <f>IFERROR(XLOOKUP(E740, '04_Products'!$A:$A, '04_Products'!$G:$G), 795.41)</f>
        <v/>
      </c>
      <c r="H740" s="9">
        <f>IFERROR(XLOOKUP(E740, '04_Products'!$A:$A, '04_Products'!$F:$F), 0)</f>
        <v/>
      </c>
      <c r="I740" s="9">
        <f>F740*G740</f>
        <v/>
      </c>
      <c r="J740" s="11" t="n">
        <v>0.1</v>
      </c>
      <c r="K740" s="9">
        <f>I740*J740</f>
        <v/>
      </c>
      <c r="L740" s="9">
        <f>I740-K740</f>
        <v/>
      </c>
      <c r="M740" s="9">
        <f>F740*H740</f>
        <v/>
      </c>
      <c r="N740" s="9">
        <f>L740-M740</f>
        <v/>
      </c>
      <c r="O740" s="11">
        <f>IFERROR(N740/L740, 0)</f>
        <v/>
      </c>
      <c r="P740" s="8">
        <f>YEAR(C740)</f>
        <v/>
      </c>
      <c r="Q740" s="8">
        <f>TEXT(C740, "yyyy-mm")</f>
        <v/>
      </c>
      <c r="R740" s="8" t="inlineStr">
        <is>
          <t>Mobile App</t>
        </is>
      </c>
      <c r="S740" s="8" t="inlineStr">
        <is>
          <t>REG-NA</t>
        </is>
      </c>
    </row>
    <row r="741">
      <c r="A741" s="8" t="inlineStr">
        <is>
          <t>DTL-0000747</t>
        </is>
      </c>
      <c r="B741" s="8" t="inlineStr">
        <is>
          <t>ORD-000380</t>
        </is>
      </c>
      <c r="C741" s="10" t="inlineStr">
        <is>
          <t>2023-09-24</t>
        </is>
      </c>
      <c r="D741" s="8" t="inlineStr">
        <is>
          <t>CUST-02785</t>
        </is>
      </c>
      <c r="E741" s="8" t="inlineStr">
        <is>
          <t>PRD-0284</t>
        </is>
      </c>
      <c r="F741" s="8" t="n">
        <v>1</v>
      </c>
      <c r="G741" s="9">
        <f>IFERROR(XLOOKUP(E741, '04_Products'!$A:$A, '04_Products'!$G:$G), 621.83)</f>
        <v/>
      </c>
      <c r="H741" s="9">
        <f>IFERROR(XLOOKUP(E741, '04_Products'!$A:$A, '04_Products'!$F:$F), 0)</f>
        <v/>
      </c>
      <c r="I741" s="9">
        <f>F741*G741</f>
        <v/>
      </c>
      <c r="J741" s="11" t="n">
        <v>0.05</v>
      </c>
      <c r="K741" s="9">
        <f>I741*J741</f>
        <v/>
      </c>
      <c r="L741" s="9">
        <f>I741-K741</f>
        <v/>
      </c>
      <c r="M741" s="9">
        <f>F741*H741</f>
        <v/>
      </c>
      <c r="N741" s="9">
        <f>L741-M741</f>
        <v/>
      </c>
      <c r="O741" s="11">
        <f>IFERROR(N741/L741, 0)</f>
        <v/>
      </c>
      <c r="P741" s="8">
        <f>YEAR(C741)</f>
        <v/>
      </c>
      <c r="Q741" s="8">
        <f>TEXT(C741, "yyyy-mm")</f>
        <v/>
      </c>
      <c r="R741" s="8" t="inlineStr">
        <is>
          <t>Direct Web</t>
        </is>
      </c>
      <c r="S741" s="8" t="inlineStr">
        <is>
          <t>REG-LATAM</t>
        </is>
      </c>
    </row>
    <row r="742">
      <c r="A742" s="8" t="inlineStr">
        <is>
          <t>DTL-0000748</t>
        </is>
      </c>
      <c r="B742" s="8" t="inlineStr">
        <is>
          <t>ORD-000381</t>
        </is>
      </c>
      <c r="C742" s="10" t="inlineStr">
        <is>
          <t>2024-12-26</t>
        </is>
      </c>
      <c r="D742" s="8" t="inlineStr">
        <is>
          <t>CUST-06071</t>
        </is>
      </c>
      <c r="E742" s="8" t="inlineStr">
        <is>
          <t>PRD-0233</t>
        </is>
      </c>
      <c r="F742" s="8" t="n">
        <v>1</v>
      </c>
      <c r="G742" s="9">
        <f>IFERROR(XLOOKUP(E742, '04_Products'!$A:$A, '04_Products'!$G:$G), 65.61)</f>
        <v/>
      </c>
      <c r="H742" s="9">
        <f>IFERROR(XLOOKUP(E742, '04_Products'!$A:$A, '04_Products'!$F:$F), 0)</f>
        <v/>
      </c>
      <c r="I742" s="9">
        <f>F742*G742</f>
        <v/>
      </c>
      <c r="J742" s="11" t="n">
        <v>0</v>
      </c>
      <c r="K742" s="9">
        <f>I742*J742</f>
        <v/>
      </c>
      <c r="L742" s="9">
        <f>I742-K742</f>
        <v/>
      </c>
      <c r="M742" s="9">
        <f>F742*H742</f>
        <v/>
      </c>
      <c r="N742" s="9">
        <f>L742-M742</f>
        <v/>
      </c>
      <c r="O742" s="11">
        <f>IFERROR(N742/L742, 0)</f>
        <v/>
      </c>
      <c r="P742" s="8">
        <f>YEAR(C742)</f>
        <v/>
      </c>
      <c r="Q742" s="8">
        <f>TEXT(C742, "yyyy-mm")</f>
        <v/>
      </c>
      <c r="R742" s="8" t="inlineStr">
        <is>
          <t>Direct Web</t>
        </is>
      </c>
      <c r="S742" s="8" t="inlineStr">
        <is>
          <t>REG-NA</t>
        </is>
      </c>
    </row>
    <row r="743">
      <c r="A743" s="8" t="inlineStr">
        <is>
          <t>DTL-0000749</t>
        </is>
      </c>
      <c r="B743" s="8" t="inlineStr">
        <is>
          <t>ORD-000381</t>
        </is>
      </c>
      <c r="C743" s="10" t="inlineStr">
        <is>
          <t>2024-12-26</t>
        </is>
      </c>
      <c r="D743" s="8" t="inlineStr">
        <is>
          <t>CUST-06071</t>
        </is>
      </c>
      <c r="E743" s="8" t="inlineStr">
        <is>
          <t>PRD-0041</t>
        </is>
      </c>
      <c r="F743" s="8" t="n">
        <v>1</v>
      </c>
      <c r="G743" s="9">
        <f>IFERROR(XLOOKUP(E743, '04_Products'!$A:$A, '04_Products'!$G:$G), 71.67)</f>
        <v/>
      </c>
      <c r="H743" s="9">
        <f>IFERROR(XLOOKUP(E743, '04_Products'!$A:$A, '04_Products'!$F:$F), 0)</f>
        <v/>
      </c>
      <c r="I743" s="9">
        <f>F743*G743</f>
        <v/>
      </c>
      <c r="J743" s="11" t="n">
        <v>0</v>
      </c>
      <c r="K743" s="9">
        <f>I743*J743</f>
        <v/>
      </c>
      <c r="L743" s="9">
        <f>I743-K743</f>
        <v/>
      </c>
      <c r="M743" s="9">
        <f>F743*H743</f>
        <v/>
      </c>
      <c r="N743" s="9">
        <f>L743-M743</f>
        <v/>
      </c>
      <c r="O743" s="11">
        <f>IFERROR(N743/L743, 0)</f>
        <v/>
      </c>
      <c r="P743" s="8">
        <f>YEAR(C743)</f>
        <v/>
      </c>
      <c r="Q743" s="8">
        <f>TEXT(C743, "yyyy-mm")</f>
        <v/>
      </c>
      <c r="R743" s="8" t="inlineStr">
        <is>
          <t>Direct Web</t>
        </is>
      </c>
      <c r="S743" s="8" t="inlineStr">
        <is>
          <t>REG-NA</t>
        </is>
      </c>
    </row>
    <row r="744">
      <c r="A744" s="8" t="inlineStr">
        <is>
          <t>DTL-0000750</t>
        </is>
      </c>
      <c r="B744" s="8" t="inlineStr">
        <is>
          <t>ORD-000381</t>
        </is>
      </c>
      <c r="C744" s="10" t="inlineStr">
        <is>
          <t>2024-12-26</t>
        </is>
      </c>
      <c r="D744" s="8" t="inlineStr">
        <is>
          <t>CUST-06071</t>
        </is>
      </c>
      <c r="E744" s="8" t="inlineStr">
        <is>
          <t>PRD-0438</t>
        </is>
      </c>
      <c r="F744" s="8" t="n">
        <v>1</v>
      </c>
      <c r="G744" s="9">
        <f>IFERROR(XLOOKUP(E744, '04_Products'!$A:$A, '04_Products'!$G:$G), 981.00)</f>
        <v/>
      </c>
      <c r="H744" s="9">
        <f>IFERROR(XLOOKUP(E744, '04_Products'!$A:$A, '04_Products'!$F:$F), 0)</f>
        <v/>
      </c>
      <c r="I744" s="9">
        <f>F744*G744</f>
        <v/>
      </c>
      <c r="J744" s="11" t="n">
        <v>0.1</v>
      </c>
      <c r="K744" s="9">
        <f>I744*J744</f>
        <v/>
      </c>
      <c r="L744" s="9">
        <f>I744-K744</f>
        <v/>
      </c>
      <c r="M744" s="9">
        <f>F744*H744</f>
        <v/>
      </c>
      <c r="N744" s="9">
        <f>L744-M744</f>
        <v/>
      </c>
      <c r="O744" s="11">
        <f>IFERROR(N744/L744, 0)</f>
        <v/>
      </c>
      <c r="P744" s="8">
        <f>YEAR(C744)</f>
        <v/>
      </c>
      <c r="Q744" s="8">
        <f>TEXT(C744, "yyyy-mm")</f>
        <v/>
      </c>
      <c r="R744" s="8" t="inlineStr">
        <is>
          <t>Direct Web</t>
        </is>
      </c>
      <c r="S744" s="8" t="inlineStr">
        <is>
          <t>REG-NA</t>
        </is>
      </c>
    </row>
    <row r="745">
      <c r="A745" s="8" t="inlineStr">
        <is>
          <t>DTL-0000751</t>
        </is>
      </c>
      <c r="B745" s="8" t="inlineStr">
        <is>
          <t>ORD-000381</t>
        </is>
      </c>
      <c r="C745" s="10" t="inlineStr">
        <is>
          <t>2024-12-26</t>
        </is>
      </c>
      <c r="D745" s="8" t="inlineStr">
        <is>
          <t>CUST-06071</t>
        </is>
      </c>
      <c r="E745" s="8" t="inlineStr">
        <is>
          <t>PRD-0344</t>
        </is>
      </c>
      <c r="F745" s="8" t="n">
        <v>3</v>
      </c>
      <c r="G745" s="9">
        <f>IFERROR(XLOOKUP(E745, '04_Products'!$A:$A, '04_Products'!$G:$G), 337.02)</f>
        <v/>
      </c>
      <c r="H745" s="9">
        <f>IFERROR(XLOOKUP(E745, '04_Products'!$A:$A, '04_Products'!$F:$F), 0)</f>
        <v/>
      </c>
      <c r="I745" s="9">
        <f>F745*G745</f>
        <v/>
      </c>
      <c r="J745" s="11" t="n">
        <v>0.15</v>
      </c>
      <c r="K745" s="9">
        <f>I745*J745</f>
        <v/>
      </c>
      <c r="L745" s="9">
        <f>I745-K745</f>
        <v/>
      </c>
      <c r="M745" s="9">
        <f>F745*H745</f>
        <v/>
      </c>
      <c r="N745" s="9">
        <f>L745-M745</f>
        <v/>
      </c>
      <c r="O745" s="11">
        <f>IFERROR(N745/L745, 0)</f>
        <v/>
      </c>
      <c r="P745" s="8">
        <f>YEAR(C745)</f>
        <v/>
      </c>
      <c r="Q745" s="8">
        <f>TEXT(C745, "yyyy-mm")</f>
        <v/>
      </c>
      <c r="R745" s="8" t="inlineStr">
        <is>
          <t>Direct Web</t>
        </is>
      </c>
      <c r="S745" s="8" t="inlineStr">
        <is>
          <t>REG-NA</t>
        </is>
      </c>
    </row>
    <row r="746">
      <c r="A746" s="8" t="inlineStr">
        <is>
          <t>DTL-0000752</t>
        </is>
      </c>
      <c r="B746" s="8" t="inlineStr">
        <is>
          <t>ORD-000382</t>
        </is>
      </c>
      <c r="C746" s="10" t="inlineStr">
        <is>
          <t>2025-01-28</t>
        </is>
      </c>
      <c r="D746" s="8" t="inlineStr">
        <is>
          <t>CUST-03079</t>
        </is>
      </c>
      <c r="E746" s="8" t="inlineStr">
        <is>
          <t>PRD-0425</t>
        </is>
      </c>
      <c r="F746" s="8" t="n">
        <v>5</v>
      </c>
      <c r="G746" s="9">
        <f>IFERROR(XLOOKUP(E746, '04_Products'!$A:$A, '04_Products'!$G:$G), 805.83)</f>
        <v/>
      </c>
      <c r="H746" s="9">
        <f>IFERROR(XLOOKUP(E746, '04_Products'!$A:$A, '04_Products'!$F:$F), 0)</f>
        <v/>
      </c>
      <c r="I746" s="9">
        <f>F746*G746</f>
        <v/>
      </c>
      <c r="J746" s="11" t="n">
        <v>0.15</v>
      </c>
      <c r="K746" s="9">
        <f>I746*J746</f>
        <v/>
      </c>
      <c r="L746" s="9">
        <f>I746-K746</f>
        <v/>
      </c>
      <c r="M746" s="9">
        <f>F746*H746</f>
        <v/>
      </c>
      <c r="N746" s="9">
        <f>L746-M746</f>
        <v/>
      </c>
      <c r="O746" s="11">
        <f>IFERROR(N746/L746, 0)</f>
        <v/>
      </c>
      <c r="P746" s="8">
        <f>YEAR(C746)</f>
        <v/>
      </c>
      <c r="Q746" s="8">
        <f>TEXT(C746, "yyyy-mm")</f>
        <v/>
      </c>
      <c r="R746" s="8" t="inlineStr">
        <is>
          <t>Direct Web</t>
        </is>
      </c>
      <c r="S746" s="8" t="inlineStr">
        <is>
          <t>REG-NA</t>
        </is>
      </c>
    </row>
    <row r="747">
      <c r="A747" s="8" t="inlineStr">
        <is>
          <t>DTL-0000753</t>
        </is>
      </c>
      <c r="B747" s="8" t="inlineStr">
        <is>
          <t>ORD-000383</t>
        </is>
      </c>
      <c r="C747" s="10" t="inlineStr">
        <is>
          <t>2025-03-29</t>
        </is>
      </c>
      <c r="D747" s="8" t="inlineStr">
        <is>
          <t>CUST-01514</t>
        </is>
      </c>
      <c r="E747" s="8" t="inlineStr">
        <is>
          <t>PRD-0332</t>
        </is>
      </c>
      <c r="F747" s="8" t="n">
        <v>1</v>
      </c>
      <c r="G747" s="9">
        <f>IFERROR(XLOOKUP(E747, '04_Products'!$A:$A, '04_Products'!$G:$G), 82.03)</f>
        <v/>
      </c>
      <c r="H747" s="9">
        <f>IFERROR(XLOOKUP(E747, '04_Products'!$A:$A, '04_Products'!$F:$F), 0)</f>
        <v/>
      </c>
      <c r="I747" s="9">
        <f>F747*G747</f>
        <v/>
      </c>
      <c r="J747" s="11" t="n">
        <v>0.1</v>
      </c>
      <c r="K747" s="9">
        <f>I747*J747</f>
        <v/>
      </c>
      <c r="L747" s="9">
        <f>I747-K747</f>
        <v/>
      </c>
      <c r="M747" s="9">
        <f>F747*H747</f>
        <v/>
      </c>
      <c r="N747" s="9">
        <f>L747-M747</f>
        <v/>
      </c>
      <c r="O747" s="11">
        <f>IFERROR(N747/L747, 0)</f>
        <v/>
      </c>
      <c r="P747" s="8">
        <f>YEAR(C747)</f>
        <v/>
      </c>
      <c r="Q747" s="8">
        <f>TEXT(C747, "yyyy-mm")</f>
        <v/>
      </c>
      <c r="R747" s="8" t="inlineStr">
        <is>
          <t>Affiliate Partner</t>
        </is>
      </c>
      <c r="S747" s="8" t="inlineStr">
        <is>
          <t>REG-NA</t>
        </is>
      </c>
    </row>
    <row r="748">
      <c r="A748" s="8" t="inlineStr">
        <is>
          <t>DTL-0000754</t>
        </is>
      </c>
      <c r="B748" s="8" t="inlineStr">
        <is>
          <t>ORD-000384</t>
        </is>
      </c>
      <c r="C748" s="10" t="inlineStr">
        <is>
          <t>2025-05-23</t>
        </is>
      </c>
      <c r="D748" s="8" t="inlineStr">
        <is>
          <t>CUST-00220</t>
        </is>
      </c>
      <c r="E748" s="8" t="inlineStr">
        <is>
          <t>PRD-0265</t>
        </is>
      </c>
      <c r="F748" s="8" t="n">
        <v>1</v>
      </c>
      <c r="G748" s="9">
        <f>IFERROR(XLOOKUP(E748, '04_Products'!$A:$A, '04_Products'!$G:$G), 426.80)</f>
        <v/>
      </c>
      <c r="H748" s="9">
        <f>IFERROR(XLOOKUP(E748, '04_Products'!$A:$A, '04_Products'!$F:$F), 0)</f>
        <v/>
      </c>
      <c r="I748" s="9">
        <f>F748*G748</f>
        <v/>
      </c>
      <c r="J748" s="11" t="n">
        <v>0</v>
      </c>
      <c r="K748" s="9">
        <f>I748*J748</f>
        <v/>
      </c>
      <c r="L748" s="9">
        <f>I748-K748</f>
        <v/>
      </c>
      <c r="M748" s="9">
        <f>F748*H748</f>
        <v/>
      </c>
      <c r="N748" s="9">
        <f>L748-M748</f>
        <v/>
      </c>
      <c r="O748" s="11">
        <f>IFERROR(N748/L748, 0)</f>
        <v/>
      </c>
      <c r="P748" s="8">
        <f>YEAR(C748)</f>
        <v/>
      </c>
      <c r="Q748" s="8">
        <f>TEXT(C748, "yyyy-mm")</f>
        <v/>
      </c>
      <c r="R748" s="8" t="inlineStr">
        <is>
          <t>Affiliate Partner</t>
        </is>
      </c>
      <c r="S748" s="8" t="inlineStr">
        <is>
          <t>REG-APAC</t>
        </is>
      </c>
    </row>
    <row r="749">
      <c r="A749" s="8" t="inlineStr">
        <is>
          <t>DTL-0000755</t>
        </is>
      </c>
      <c r="B749" s="8" t="inlineStr">
        <is>
          <t>ORD-000385</t>
        </is>
      </c>
      <c r="C749" s="10" t="inlineStr">
        <is>
          <t>2023-08-01</t>
        </is>
      </c>
      <c r="D749" s="8" t="inlineStr">
        <is>
          <t>CUST-03944</t>
        </is>
      </c>
      <c r="E749" s="8" t="inlineStr">
        <is>
          <t>PRD-0359</t>
        </is>
      </c>
      <c r="F749" s="8" t="n">
        <v>2</v>
      </c>
      <c r="G749" s="9">
        <f>IFERROR(XLOOKUP(E749, '04_Products'!$A:$A, '04_Products'!$G:$G), 1075.75)</f>
        <v/>
      </c>
      <c r="H749" s="9">
        <f>IFERROR(XLOOKUP(E749, '04_Products'!$A:$A, '04_Products'!$F:$F), 0)</f>
        <v/>
      </c>
      <c r="I749" s="9">
        <f>F749*G749</f>
        <v/>
      </c>
      <c r="J749" s="11" t="n">
        <v>0</v>
      </c>
      <c r="K749" s="9">
        <f>I749*J749</f>
        <v/>
      </c>
      <c r="L749" s="9">
        <f>I749-K749</f>
        <v/>
      </c>
      <c r="M749" s="9">
        <f>F749*H749</f>
        <v/>
      </c>
      <c r="N749" s="9">
        <f>L749-M749</f>
        <v/>
      </c>
      <c r="O749" s="11">
        <f>IFERROR(N749/L749, 0)</f>
        <v/>
      </c>
      <c r="P749" s="8">
        <f>YEAR(C749)</f>
        <v/>
      </c>
      <c r="Q749" s="8">
        <f>TEXT(C749, "yyyy-mm")</f>
        <v/>
      </c>
      <c r="R749" s="8" t="inlineStr">
        <is>
          <t>Direct Web</t>
        </is>
      </c>
      <c r="S749" s="8" t="inlineStr">
        <is>
          <t>REG-NA</t>
        </is>
      </c>
    </row>
    <row r="750">
      <c r="A750" s="8" t="inlineStr">
        <is>
          <t>DTL-0000756</t>
        </is>
      </c>
      <c r="B750" s="8" t="inlineStr">
        <is>
          <t>ORD-000385</t>
        </is>
      </c>
      <c r="C750" s="10" t="inlineStr">
        <is>
          <t>2023-08-01</t>
        </is>
      </c>
      <c r="D750" s="8" t="inlineStr">
        <is>
          <t>CUST-03944</t>
        </is>
      </c>
      <c r="E750" s="8" t="inlineStr">
        <is>
          <t>PRD-0029</t>
        </is>
      </c>
      <c r="F750" s="8" t="n">
        <v>1</v>
      </c>
      <c r="G750" s="9">
        <f>IFERROR(XLOOKUP(E750, '04_Products'!$A:$A, '04_Products'!$G:$G), 9.40)</f>
        <v/>
      </c>
      <c r="H750" s="9">
        <f>IFERROR(XLOOKUP(E750, '04_Products'!$A:$A, '04_Products'!$F:$F), 0)</f>
        <v/>
      </c>
      <c r="I750" s="9">
        <f>F750*G750</f>
        <v/>
      </c>
      <c r="J750" s="11" t="n">
        <v>0</v>
      </c>
      <c r="K750" s="9">
        <f>I750*J750</f>
        <v/>
      </c>
      <c r="L750" s="9">
        <f>I750-K750</f>
        <v/>
      </c>
      <c r="M750" s="9">
        <f>F750*H750</f>
        <v/>
      </c>
      <c r="N750" s="9">
        <f>L750-M750</f>
        <v/>
      </c>
      <c r="O750" s="11">
        <f>IFERROR(N750/L750, 0)</f>
        <v/>
      </c>
      <c r="P750" s="8">
        <f>YEAR(C750)</f>
        <v/>
      </c>
      <c r="Q750" s="8">
        <f>TEXT(C750, "yyyy-mm")</f>
        <v/>
      </c>
      <c r="R750" s="8" t="inlineStr">
        <is>
          <t>Direct Web</t>
        </is>
      </c>
      <c r="S750" s="8" t="inlineStr">
        <is>
          <t>REG-NA</t>
        </is>
      </c>
    </row>
    <row r="751">
      <c r="A751" s="8" t="inlineStr">
        <is>
          <t>DTL-0000757</t>
        </is>
      </c>
      <c r="B751" s="8" t="inlineStr">
        <is>
          <t>ORD-000386</t>
        </is>
      </c>
      <c r="C751" s="10" t="inlineStr">
        <is>
          <t>2024-09-24</t>
        </is>
      </c>
      <c r="D751" s="8" t="inlineStr">
        <is>
          <t>CUST-07858</t>
        </is>
      </c>
      <c r="E751" s="8" t="inlineStr">
        <is>
          <t>PRD-0025</t>
        </is>
      </c>
      <c r="F751" s="8" t="n">
        <v>1</v>
      </c>
      <c r="G751" s="9">
        <f>IFERROR(XLOOKUP(E751, '04_Products'!$A:$A, '04_Products'!$G:$G), 537.57)</f>
        <v/>
      </c>
      <c r="H751" s="9">
        <f>IFERROR(XLOOKUP(E751, '04_Products'!$A:$A, '04_Products'!$F:$F), 0)</f>
        <v/>
      </c>
      <c r="I751" s="9">
        <f>F751*G751</f>
        <v/>
      </c>
      <c r="J751" s="11" t="n">
        <v>0.05</v>
      </c>
      <c r="K751" s="9">
        <f>I751*J751</f>
        <v/>
      </c>
      <c r="L751" s="9">
        <f>I751-K751</f>
        <v/>
      </c>
      <c r="M751" s="9">
        <f>F751*H751</f>
        <v/>
      </c>
      <c r="N751" s="9">
        <f>L751-M751</f>
        <v/>
      </c>
      <c r="O751" s="11">
        <f>IFERROR(N751/L751, 0)</f>
        <v/>
      </c>
      <c r="P751" s="8">
        <f>YEAR(C751)</f>
        <v/>
      </c>
      <c r="Q751" s="8">
        <f>TEXT(C751, "yyyy-mm")</f>
        <v/>
      </c>
      <c r="R751" s="8" t="inlineStr">
        <is>
          <t>Direct Web</t>
        </is>
      </c>
      <c r="S751" s="8" t="inlineStr">
        <is>
          <t>REG-NA</t>
        </is>
      </c>
    </row>
    <row r="752">
      <c r="A752" s="8" t="inlineStr">
        <is>
          <t>DTL-0000758</t>
        </is>
      </c>
      <c r="B752" s="8" t="inlineStr">
        <is>
          <t>ORD-000387</t>
        </is>
      </c>
      <c r="C752" s="10" t="inlineStr">
        <is>
          <t>2024-11-05</t>
        </is>
      </c>
      <c r="D752" s="8" t="inlineStr">
        <is>
          <t>CUST-00815</t>
        </is>
      </c>
      <c r="E752" s="8" t="inlineStr">
        <is>
          <t>PRD-0371</t>
        </is>
      </c>
      <c r="F752" s="8" t="n">
        <v>1</v>
      </c>
      <c r="G752" s="9">
        <f>IFERROR(XLOOKUP(E752, '04_Products'!$A:$A, '04_Products'!$G:$G), 41.78)</f>
        <v/>
      </c>
      <c r="H752" s="9">
        <f>IFERROR(XLOOKUP(E752, '04_Products'!$A:$A, '04_Products'!$F:$F), 0)</f>
        <v/>
      </c>
      <c r="I752" s="9">
        <f>F752*G752</f>
        <v/>
      </c>
      <c r="J752" s="11" t="n">
        <v>0.1</v>
      </c>
      <c r="K752" s="9">
        <f>I752*J752</f>
        <v/>
      </c>
      <c r="L752" s="9">
        <f>I752-K752</f>
        <v/>
      </c>
      <c r="M752" s="9">
        <f>F752*H752</f>
        <v/>
      </c>
      <c r="N752" s="9">
        <f>L752-M752</f>
        <v/>
      </c>
      <c r="O752" s="11">
        <f>IFERROR(N752/L752, 0)</f>
        <v/>
      </c>
      <c r="P752" s="8">
        <f>YEAR(C752)</f>
        <v/>
      </c>
      <c r="Q752" s="8">
        <f>TEXT(C752, "yyyy-mm")</f>
        <v/>
      </c>
      <c r="R752" s="8" t="inlineStr">
        <is>
          <t>Direct Web</t>
        </is>
      </c>
      <c r="S752" s="8" t="inlineStr">
        <is>
          <t>REG-APAC</t>
        </is>
      </c>
    </row>
    <row r="753">
      <c r="A753" s="8" t="inlineStr">
        <is>
          <t>DTL-0000759</t>
        </is>
      </c>
      <c r="B753" s="8" t="inlineStr">
        <is>
          <t>ORD-000387</t>
        </is>
      </c>
      <c r="C753" s="10" t="inlineStr">
        <is>
          <t>2024-11-05</t>
        </is>
      </c>
      <c r="D753" s="8" t="inlineStr">
        <is>
          <t>CUST-00815</t>
        </is>
      </c>
      <c r="E753" s="8" t="inlineStr">
        <is>
          <t>PRD-0466</t>
        </is>
      </c>
      <c r="F753" s="8" t="n">
        <v>1</v>
      </c>
      <c r="G753" s="9">
        <f>IFERROR(XLOOKUP(E753, '04_Products'!$A:$A, '04_Products'!$G:$G), 18.36)</f>
        <v/>
      </c>
      <c r="H753" s="9">
        <f>IFERROR(XLOOKUP(E753, '04_Products'!$A:$A, '04_Products'!$F:$F), 0)</f>
        <v/>
      </c>
      <c r="I753" s="9">
        <f>F753*G753</f>
        <v/>
      </c>
      <c r="J753" s="11" t="n">
        <v>0</v>
      </c>
      <c r="K753" s="9">
        <f>I753*J753</f>
        <v/>
      </c>
      <c r="L753" s="9">
        <f>I753-K753</f>
        <v/>
      </c>
      <c r="M753" s="9">
        <f>F753*H753</f>
        <v/>
      </c>
      <c r="N753" s="9">
        <f>L753-M753</f>
        <v/>
      </c>
      <c r="O753" s="11">
        <f>IFERROR(N753/L753, 0)</f>
        <v/>
      </c>
      <c r="P753" s="8">
        <f>YEAR(C753)</f>
        <v/>
      </c>
      <c r="Q753" s="8">
        <f>TEXT(C753, "yyyy-mm")</f>
        <v/>
      </c>
      <c r="R753" s="8" t="inlineStr">
        <is>
          <t>Direct Web</t>
        </is>
      </c>
      <c r="S753" s="8" t="inlineStr">
        <is>
          <t>REG-APAC</t>
        </is>
      </c>
    </row>
    <row r="754">
      <c r="A754" s="8" t="inlineStr">
        <is>
          <t>DTL-0000760</t>
        </is>
      </c>
      <c r="B754" s="8" t="inlineStr">
        <is>
          <t>ORD-000387</t>
        </is>
      </c>
      <c r="C754" s="10" t="inlineStr">
        <is>
          <t>2024-11-05</t>
        </is>
      </c>
      <c r="D754" s="8" t="inlineStr">
        <is>
          <t>CUST-00815</t>
        </is>
      </c>
      <c r="E754" s="8" t="inlineStr">
        <is>
          <t>PRD-0129</t>
        </is>
      </c>
      <c r="F754" s="8" t="n">
        <v>1</v>
      </c>
      <c r="G754" s="9">
        <f>IFERROR(XLOOKUP(E754, '04_Products'!$A:$A, '04_Products'!$G:$G), 31.56)</f>
        <v/>
      </c>
      <c r="H754" s="9">
        <f>IFERROR(XLOOKUP(E754, '04_Products'!$A:$A, '04_Products'!$F:$F), 0)</f>
        <v/>
      </c>
      <c r="I754" s="9">
        <f>F754*G754</f>
        <v/>
      </c>
      <c r="J754" s="11" t="n">
        <v>0.1</v>
      </c>
      <c r="K754" s="9">
        <f>I754*J754</f>
        <v/>
      </c>
      <c r="L754" s="9">
        <f>I754-K754</f>
        <v/>
      </c>
      <c r="M754" s="9">
        <f>F754*H754</f>
        <v/>
      </c>
      <c r="N754" s="9">
        <f>L754-M754</f>
        <v/>
      </c>
      <c r="O754" s="11">
        <f>IFERROR(N754/L754, 0)</f>
        <v/>
      </c>
      <c r="P754" s="8">
        <f>YEAR(C754)</f>
        <v/>
      </c>
      <c r="Q754" s="8">
        <f>TEXT(C754, "yyyy-mm")</f>
        <v/>
      </c>
      <c r="R754" s="8" t="inlineStr">
        <is>
          <t>Direct Web</t>
        </is>
      </c>
      <c r="S754" s="8" t="inlineStr">
        <is>
          <t>REG-APAC</t>
        </is>
      </c>
    </row>
    <row r="755">
      <c r="A755" s="8" t="inlineStr">
        <is>
          <t>DTL-0000761</t>
        </is>
      </c>
      <c r="B755" s="8" t="inlineStr">
        <is>
          <t>ORD-000388</t>
        </is>
      </c>
      <c r="C755" s="10" t="inlineStr">
        <is>
          <t>2025-07-31</t>
        </is>
      </c>
      <c r="D755" s="8" t="inlineStr">
        <is>
          <t>CUST-06977</t>
        </is>
      </c>
      <c r="E755" s="8" t="inlineStr">
        <is>
          <t>PRD-0288</t>
        </is>
      </c>
      <c r="F755" s="8" t="n">
        <v>3</v>
      </c>
      <c r="G755" s="9">
        <f>IFERROR(XLOOKUP(E755, '04_Products'!$A:$A, '04_Products'!$G:$G), 41.37)</f>
        <v/>
      </c>
      <c r="H755" s="9">
        <f>IFERROR(XLOOKUP(E755, '04_Products'!$A:$A, '04_Products'!$F:$F), 0)</f>
        <v/>
      </c>
      <c r="I755" s="9">
        <f>F755*G755</f>
        <v/>
      </c>
      <c r="J755" s="11" t="n">
        <v>0.05</v>
      </c>
      <c r="K755" s="9">
        <f>I755*J755</f>
        <v/>
      </c>
      <c r="L755" s="9">
        <f>I755-K755</f>
        <v/>
      </c>
      <c r="M755" s="9">
        <f>F755*H755</f>
        <v/>
      </c>
      <c r="N755" s="9">
        <f>L755-M755</f>
        <v/>
      </c>
      <c r="O755" s="11">
        <f>IFERROR(N755/L755, 0)</f>
        <v/>
      </c>
      <c r="P755" s="8">
        <f>YEAR(C755)</f>
        <v/>
      </c>
      <c r="Q755" s="8">
        <f>TEXT(C755, "yyyy-mm")</f>
        <v/>
      </c>
      <c r="R755" s="8" t="inlineStr">
        <is>
          <t>Mobile App</t>
        </is>
      </c>
      <c r="S755" s="8" t="inlineStr">
        <is>
          <t>REG-EU</t>
        </is>
      </c>
    </row>
    <row r="756">
      <c r="A756" s="8" t="inlineStr">
        <is>
          <t>DTL-0000762</t>
        </is>
      </c>
      <c r="B756" s="8" t="inlineStr">
        <is>
          <t>ORD-000389</t>
        </is>
      </c>
      <c r="C756" s="10" t="inlineStr">
        <is>
          <t>2023-12-09</t>
        </is>
      </c>
      <c r="D756" s="8" t="inlineStr">
        <is>
          <t>CUST-03242</t>
        </is>
      </c>
      <c r="E756" s="8" t="inlineStr">
        <is>
          <t>PRD-0033</t>
        </is>
      </c>
      <c r="F756" s="8" t="n">
        <v>1</v>
      </c>
      <c r="G756" s="9">
        <f>IFERROR(XLOOKUP(E756, '04_Products'!$A:$A, '04_Products'!$G:$G), 87.68)</f>
        <v/>
      </c>
      <c r="H756" s="9">
        <f>IFERROR(XLOOKUP(E756, '04_Products'!$A:$A, '04_Products'!$F:$F), 0)</f>
        <v/>
      </c>
      <c r="I756" s="9">
        <f>F756*G756</f>
        <v/>
      </c>
      <c r="J756" s="11" t="n">
        <v>0.2</v>
      </c>
      <c r="K756" s="9">
        <f>I756*J756</f>
        <v/>
      </c>
      <c r="L756" s="9">
        <f>I756-K756</f>
        <v/>
      </c>
      <c r="M756" s="9">
        <f>F756*H756</f>
        <v/>
      </c>
      <c r="N756" s="9">
        <f>L756-M756</f>
        <v/>
      </c>
      <c r="O756" s="11">
        <f>IFERROR(N756/L756, 0)</f>
        <v/>
      </c>
      <c r="P756" s="8">
        <f>YEAR(C756)</f>
        <v/>
      </c>
      <c r="Q756" s="8">
        <f>TEXT(C756, "yyyy-mm")</f>
        <v/>
      </c>
      <c r="R756" s="8" t="inlineStr">
        <is>
          <t>Affiliate Partner</t>
        </is>
      </c>
      <c r="S756" s="8" t="inlineStr">
        <is>
          <t>REG-EU</t>
        </is>
      </c>
    </row>
    <row r="757">
      <c r="A757" s="8" t="inlineStr">
        <is>
          <t>DTL-0000763</t>
        </is>
      </c>
      <c r="B757" s="8" t="inlineStr">
        <is>
          <t>ORD-000389</t>
        </is>
      </c>
      <c r="C757" s="10" t="inlineStr">
        <is>
          <t>2023-12-09</t>
        </is>
      </c>
      <c r="D757" s="8" t="inlineStr">
        <is>
          <t>CUST-03242</t>
        </is>
      </c>
      <c r="E757" s="8" t="inlineStr">
        <is>
          <t>PRD-0236</t>
        </is>
      </c>
      <c r="F757" s="8" t="n">
        <v>1</v>
      </c>
      <c r="G757" s="9">
        <f>IFERROR(XLOOKUP(E757, '04_Products'!$A:$A, '04_Products'!$G:$G), 128.74)</f>
        <v/>
      </c>
      <c r="H757" s="9">
        <f>IFERROR(XLOOKUP(E757, '04_Products'!$A:$A, '04_Products'!$F:$F), 0)</f>
        <v/>
      </c>
      <c r="I757" s="9">
        <f>F757*G757</f>
        <v/>
      </c>
      <c r="J757" s="11" t="n">
        <v>0.1</v>
      </c>
      <c r="K757" s="9">
        <f>I757*J757</f>
        <v/>
      </c>
      <c r="L757" s="9">
        <f>I757-K757</f>
        <v/>
      </c>
      <c r="M757" s="9">
        <f>F757*H757</f>
        <v/>
      </c>
      <c r="N757" s="9">
        <f>L757-M757</f>
        <v/>
      </c>
      <c r="O757" s="11">
        <f>IFERROR(N757/L757, 0)</f>
        <v/>
      </c>
      <c r="P757" s="8">
        <f>YEAR(C757)</f>
        <v/>
      </c>
      <c r="Q757" s="8">
        <f>TEXT(C757, "yyyy-mm")</f>
        <v/>
      </c>
      <c r="R757" s="8" t="inlineStr">
        <is>
          <t>Affiliate Partner</t>
        </is>
      </c>
      <c r="S757" s="8" t="inlineStr">
        <is>
          <t>REG-EU</t>
        </is>
      </c>
    </row>
    <row r="758">
      <c r="A758" s="8" t="inlineStr">
        <is>
          <t>DTL-0000764</t>
        </is>
      </c>
      <c r="B758" s="8" t="inlineStr">
        <is>
          <t>ORD-000389</t>
        </is>
      </c>
      <c r="C758" s="10" t="inlineStr">
        <is>
          <t>2023-12-09</t>
        </is>
      </c>
      <c r="D758" s="8" t="inlineStr">
        <is>
          <t>CUST-03242</t>
        </is>
      </c>
      <c r="E758" s="8" t="inlineStr">
        <is>
          <t>PRD-0364</t>
        </is>
      </c>
      <c r="F758" s="8" t="n">
        <v>1</v>
      </c>
      <c r="G758" s="9">
        <f>IFERROR(XLOOKUP(E758, '04_Products'!$A:$A, '04_Products'!$G:$G), 1083.88)</f>
        <v/>
      </c>
      <c r="H758" s="9">
        <f>IFERROR(XLOOKUP(E758, '04_Products'!$A:$A, '04_Products'!$F:$F), 0)</f>
        <v/>
      </c>
      <c r="I758" s="9">
        <f>F758*G758</f>
        <v/>
      </c>
      <c r="J758" s="11" t="n">
        <v>0.1</v>
      </c>
      <c r="K758" s="9">
        <f>I758*J758</f>
        <v/>
      </c>
      <c r="L758" s="9">
        <f>I758-K758</f>
        <v/>
      </c>
      <c r="M758" s="9">
        <f>F758*H758</f>
        <v/>
      </c>
      <c r="N758" s="9">
        <f>L758-M758</f>
        <v/>
      </c>
      <c r="O758" s="11">
        <f>IFERROR(N758/L758, 0)</f>
        <v/>
      </c>
      <c r="P758" s="8">
        <f>YEAR(C758)</f>
        <v/>
      </c>
      <c r="Q758" s="8">
        <f>TEXT(C758, "yyyy-mm")</f>
        <v/>
      </c>
      <c r="R758" s="8" t="inlineStr">
        <is>
          <t>Affiliate Partner</t>
        </is>
      </c>
      <c r="S758" s="8" t="inlineStr">
        <is>
          <t>REG-EU</t>
        </is>
      </c>
    </row>
    <row r="759">
      <c r="A759" s="8" t="inlineStr">
        <is>
          <t>DTL-0000765</t>
        </is>
      </c>
      <c r="B759" s="8" t="inlineStr">
        <is>
          <t>ORD-000390</t>
        </is>
      </c>
      <c r="C759" s="10" t="inlineStr">
        <is>
          <t>2025-10-15</t>
        </is>
      </c>
      <c r="D759" s="8" t="inlineStr">
        <is>
          <t>CUST-02452</t>
        </is>
      </c>
      <c r="E759" s="8" t="inlineStr">
        <is>
          <t>PRD-0404</t>
        </is>
      </c>
      <c r="F759" s="8" t="n">
        <v>1</v>
      </c>
      <c r="G759" s="9">
        <f>IFERROR(XLOOKUP(E759, '04_Products'!$A:$A, '04_Products'!$G:$G), 23.86)</f>
        <v/>
      </c>
      <c r="H759" s="9">
        <f>IFERROR(XLOOKUP(E759, '04_Products'!$A:$A, '04_Products'!$F:$F), 0)</f>
        <v/>
      </c>
      <c r="I759" s="9">
        <f>F759*G759</f>
        <v/>
      </c>
      <c r="J759" s="11" t="n">
        <v>0.05</v>
      </c>
      <c r="K759" s="9">
        <f>I759*J759</f>
        <v/>
      </c>
      <c r="L759" s="9">
        <f>I759-K759</f>
        <v/>
      </c>
      <c r="M759" s="9">
        <f>F759*H759</f>
        <v/>
      </c>
      <c r="N759" s="9">
        <f>L759-M759</f>
        <v/>
      </c>
      <c r="O759" s="11">
        <f>IFERROR(N759/L759, 0)</f>
        <v/>
      </c>
      <c r="P759" s="8">
        <f>YEAR(C759)</f>
        <v/>
      </c>
      <c r="Q759" s="8">
        <f>TEXT(C759, "yyyy-mm")</f>
        <v/>
      </c>
      <c r="R759" s="8" t="inlineStr">
        <is>
          <t>Affiliate Partner</t>
        </is>
      </c>
      <c r="S759" s="8" t="inlineStr">
        <is>
          <t>REG-NA</t>
        </is>
      </c>
    </row>
    <row r="760">
      <c r="A760" s="8" t="inlineStr">
        <is>
          <t>DTL-0000766</t>
        </is>
      </c>
      <c r="B760" s="8" t="inlineStr">
        <is>
          <t>ORD-000391</t>
        </is>
      </c>
      <c r="C760" s="10" t="inlineStr">
        <is>
          <t>2024-03-16</t>
        </is>
      </c>
      <c r="D760" s="8" t="inlineStr">
        <is>
          <t>CUST-02751</t>
        </is>
      </c>
      <c r="E760" s="8" t="inlineStr">
        <is>
          <t>PRD-0020</t>
        </is>
      </c>
      <c r="F760" s="8" t="n">
        <v>1</v>
      </c>
      <c r="G760" s="9">
        <f>IFERROR(XLOOKUP(E760, '04_Products'!$A:$A, '04_Products'!$G:$G), 22.42)</f>
        <v/>
      </c>
      <c r="H760" s="9">
        <f>IFERROR(XLOOKUP(E760, '04_Products'!$A:$A, '04_Products'!$F:$F), 0)</f>
        <v/>
      </c>
      <c r="I760" s="9">
        <f>F760*G760</f>
        <v/>
      </c>
      <c r="J760" s="11" t="n">
        <v>0.1</v>
      </c>
      <c r="K760" s="9">
        <f>I760*J760</f>
        <v/>
      </c>
      <c r="L760" s="9">
        <f>I760-K760</f>
        <v/>
      </c>
      <c r="M760" s="9">
        <f>F760*H760</f>
        <v/>
      </c>
      <c r="N760" s="9">
        <f>L760-M760</f>
        <v/>
      </c>
      <c r="O760" s="11">
        <f>IFERROR(N760/L760, 0)</f>
        <v/>
      </c>
      <c r="P760" s="8">
        <f>YEAR(C760)</f>
        <v/>
      </c>
      <c r="Q760" s="8">
        <f>TEXT(C760, "yyyy-mm")</f>
        <v/>
      </c>
      <c r="R760" s="8" t="inlineStr">
        <is>
          <t>Mobile App</t>
        </is>
      </c>
      <c r="S760" s="8" t="inlineStr">
        <is>
          <t>REG-NA</t>
        </is>
      </c>
    </row>
    <row r="761">
      <c r="A761" s="8" t="inlineStr">
        <is>
          <t>DTL-0000767</t>
        </is>
      </c>
      <c r="B761" s="8" t="inlineStr">
        <is>
          <t>ORD-000391</t>
        </is>
      </c>
      <c r="C761" s="10" t="inlineStr">
        <is>
          <t>2024-03-16</t>
        </is>
      </c>
      <c r="D761" s="8" t="inlineStr">
        <is>
          <t>CUST-02751</t>
        </is>
      </c>
      <c r="E761" s="8" t="inlineStr">
        <is>
          <t>PRD-0087</t>
        </is>
      </c>
      <c r="F761" s="8" t="n">
        <v>1</v>
      </c>
      <c r="G761" s="9">
        <f>IFERROR(XLOOKUP(E761, '04_Products'!$A:$A, '04_Products'!$G:$G), 1103.24)</f>
        <v/>
      </c>
      <c r="H761" s="9">
        <f>IFERROR(XLOOKUP(E761, '04_Products'!$A:$A, '04_Products'!$F:$F), 0)</f>
        <v/>
      </c>
      <c r="I761" s="9">
        <f>F761*G761</f>
        <v/>
      </c>
      <c r="J761" s="11" t="n">
        <v>0.1</v>
      </c>
      <c r="K761" s="9">
        <f>I761*J761</f>
        <v/>
      </c>
      <c r="L761" s="9">
        <f>I761-K761</f>
        <v/>
      </c>
      <c r="M761" s="9">
        <f>F761*H761</f>
        <v/>
      </c>
      <c r="N761" s="9">
        <f>L761-M761</f>
        <v/>
      </c>
      <c r="O761" s="11">
        <f>IFERROR(N761/L761, 0)</f>
        <v/>
      </c>
      <c r="P761" s="8">
        <f>YEAR(C761)</f>
        <v/>
      </c>
      <c r="Q761" s="8">
        <f>TEXT(C761, "yyyy-mm")</f>
        <v/>
      </c>
      <c r="R761" s="8" t="inlineStr">
        <is>
          <t>Mobile App</t>
        </is>
      </c>
      <c r="S761" s="8" t="inlineStr">
        <is>
          <t>REG-NA</t>
        </is>
      </c>
    </row>
    <row r="762">
      <c r="A762" s="8" t="inlineStr">
        <is>
          <t>DTL-0000768</t>
        </is>
      </c>
      <c r="B762" s="8" t="inlineStr">
        <is>
          <t>ORD-000392</t>
        </is>
      </c>
      <c r="C762" s="10" t="inlineStr">
        <is>
          <t>2025-07-22</t>
        </is>
      </c>
      <c r="D762" s="8" t="inlineStr">
        <is>
          <t>CUST-06875</t>
        </is>
      </c>
      <c r="E762" s="8" t="inlineStr">
        <is>
          <t>PRD-0380</t>
        </is>
      </c>
      <c r="F762" s="8" t="n">
        <v>1</v>
      </c>
      <c r="G762" s="9">
        <f>IFERROR(XLOOKUP(E762, '04_Products'!$A:$A, '04_Products'!$G:$G), 141.11)</f>
        <v/>
      </c>
      <c r="H762" s="9">
        <f>IFERROR(XLOOKUP(E762, '04_Products'!$A:$A, '04_Products'!$F:$F), 0)</f>
        <v/>
      </c>
      <c r="I762" s="9">
        <f>F762*G762</f>
        <v/>
      </c>
      <c r="J762" s="11" t="n">
        <v>0.05</v>
      </c>
      <c r="K762" s="9">
        <f>I762*J762</f>
        <v/>
      </c>
      <c r="L762" s="9">
        <f>I762-K762</f>
        <v/>
      </c>
      <c r="M762" s="9">
        <f>F762*H762</f>
        <v/>
      </c>
      <c r="N762" s="9">
        <f>L762-M762</f>
        <v/>
      </c>
      <c r="O762" s="11">
        <f>IFERROR(N762/L762, 0)</f>
        <v/>
      </c>
      <c r="P762" s="8">
        <f>YEAR(C762)</f>
        <v/>
      </c>
      <c r="Q762" s="8">
        <f>TEXT(C762, "yyyy-mm")</f>
        <v/>
      </c>
      <c r="R762" s="8" t="inlineStr">
        <is>
          <t>B2B Portal</t>
        </is>
      </c>
      <c r="S762" s="8" t="inlineStr">
        <is>
          <t>REG-APAC</t>
        </is>
      </c>
    </row>
    <row r="763">
      <c r="A763" s="8" t="inlineStr">
        <is>
          <t>DTL-0000769</t>
        </is>
      </c>
      <c r="B763" s="8" t="inlineStr">
        <is>
          <t>ORD-000392</t>
        </is>
      </c>
      <c r="C763" s="10" t="inlineStr">
        <is>
          <t>2025-07-22</t>
        </is>
      </c>
      <c r="D763" s="8" t="inlineStr">
        <is>
          <t>CUST-06875</t>
        </is>
      </c>
      <c r="E763" s="8" t="inlineStr">
        <is>
          <t>PRD-0415</t>
        </is>
      </c>
      <c r="F763" s="8" t="n">
        <v>2</v>
      </c>
      <c r="G763" s="9">
        <f>IFERROR(XLOOKUP(E763, '04_Products'!$A:$A, '04_Products'!$G:$G), 934.21)</f>
        <v/>
      </c>
      <c r="H763" s="9">
        <f>IFERROR(XLOOKUP(E763, '04_Products'!$A:$A, '04_Products'!$F:$F), 0)</f>
        <v/>
      </c>
      <c r="I763" s="9">
        <f>F763*G763</f>
        <v/>
      </c>
      <c r="J763" s="11" t="n">
        <v>0.15</v>
      </c>
      <c r="K763" s="9">
        <f>I763*J763</f>
        <v/>
      </c>
      <c r="L763" s="9">
        <f>I763-K763</f>
        <v/>
      </c>
      <c r="M763" s="9">
        <f>F763*H763</f>
        <v/>
      </c>
      <c r="N763" s="9">
        <f>L763-M763</f>
        <v/>
      </c>
      <c r="O763" s="11">
        <f>IFERROR(N763/L763, 0)</f>
        <v/>
      </c>
      <c r="P763" s="8">
        <f>YEAR(C763)</f>
        <v/>
      </c>
      <c r="Q763" s="8">
        <f>TEXT(C763, "yyyy-mm")</f>
        <v/>
      </c>
      <c r="R763" s="8" t="inlineStr">
        <is>
          <t>B2B Portal</t>
        </is>
      </c>
      <c r="S763" s="8" t="inlineStr">
        <is>
          <t>REG-APAC</t>
        </is>
      </c>
    </row>
    <row r="764">
      <c r="A764" s="8" t="inlineStr">
        <is>
          <t>DTL-0000770</t>
        </is>
      </c>
      <c r="B764" s="8" t="inlineStr">
        <is>
          <t>ORD-000392</t>
        </is>
      </c>
      <c r="C764" s="10" t="inlineStr">
        <is>
          <t>2025-07-22</t>
        </is>
      </c>
      <c r="D764" s="8" t="inlineStr">
        <is>
          <t>CUST-06875</t>
        </is>
      </c>
      <c r="E764" s="8" t="inlineStr">
        <is>
          <t>PRD-0068</t>
        </is>
      </c>
      <c r="F764" s="8" t="n">
        <v>2</v>
      </c>
      <c r="G764" s="9">
        <f>IFERROR(XLOOKUP(E764, '04_Products'!$A:$A, '04_Products'!$G:$G), 1340.27)</f>
        <v/>
      </c>
      <c r="H764" s="9">
        <f>IFERROR(XLOOKUP(E764, '04_Products'!$A:$A, '04_Products'!$F:$F), 0)</f>
        <v/>
      </c>
      <c r="I764" s="9">
        <f>F764*G764</f>
        <v/>
      </c>
      <c r="J764" s="11" t="n">
        <v>0.25</v>
      </c>
      <c r="K764" s="9">
        <f>I764*J764</f>
        <v/>
      </c>
      <c r="L764" s="9">
        <f>I764-K764</f>
        <v/>
      </c>
      <c r="M764" s="9">
        <f>F764*H764</f>
        <v/>
      </c>
      <c r="N764" s="9">
        <f>L764-M764</f>
        <v/>
      </c>
      <c r="O764" s="11">
        <f>IFERROR(N764/L764, 0)</f>
        <v/>
      </c>
      <c r="P764" s="8">
        <f>YEAR(C764)</f>
        <v/>
      </c>
      <c r="Q764" s="8">
        <f>TEXT(C764, "yyyy-mm")</f>
        <v/>
      </c>
      <c r="R764" s="8" t="inlineStr">
        <is>
          <t>B2B Portal</t>
        </is>
      </c>
      <c r="S764" s="8" t="inlineStr">
        <is>
          <t>REG-APAC</t>
        </is>
      </c>
    </row>
    <row r="765">
      <c r="A765" s="8" t="inlineStr">
        <is>
          <t>DTL-0000771</t>
        </is>
      </c>
      <c r="B765" s="8" t="inlineStr">
        <is>
          <t>ORD-000392</t>
        </is>
      </c>
      <c r="C765" s="10" t="inlineStr">
        <is>
          <t>2025-07-22</t>
        </is>
      </c>
      <c r="D765" s="8" t="inlineStr">
        <is>
          <t>CUST-06875</t>
        </is>
      </c>
      <c r="E765" s="8" t="inlineStr">
        <is>
          <t>PRD-0432</t>
        </is>
      </c>
      <c r="F765" s="8" t="n">
        <v>3</v>
      </c>
      <c r="G765" s="9">
        <f>IFERROR(XLOOKUP(E765, '04_Products'!$A:$A, '04_Products'!$G:$G), 25.28)</f>
        <v/>
      </c>
      <c r="H765" s="9">
        <f>IFERROR(XLOOKUP(E765, '04_Products'!$A:$A, '04_Products'!$F:$F), 0)</f>
        <v/>
      </c>
      <c r="I765" s="9">
        <f>F765*G765</f>
        <v/>
      </c>
      <c r="J765" s="11" t="n">
        <v>0.05</v>
      </c>
      <c r="K765" s="9">
        <f>I765*J765</f>
        <v/>
      </c>
      <c r="L765" s="9">
        <f>I765-K765</f>
        <v/>
      </c>
      <c r="M765" s="9">
        <f>F765*H765</f>
        <v/>
      </c>
      <c r="N765" s="9">
        <f>L765-M765</f>
        <v/>
      </c>
      <c r="O765" s="11">
        <f>IFERROR(N765/L765, 0)</f>
        <v/>
      </c>
      <c r="P765" s="8">
        <f>YEAR(C765)</f>
        <v/>
      </c>
      <c r="Q765" s="8">
        <f>TEXT(C765, "yyyy-mm")</f>
        <v/>
      </c>
      <c r="R765" s="8" t="inlineStr">
        <is>
          <t>B2B Portal</t>
        </is>
      </c>
      <c r="S765" s="8" t="inlineStr">
        <is>
          <t>REG-APAC</t>
        </is>
      </c>
    </row>
    <row r="766">
      <c r="A766" s="8" t="inlineStr">
        <is>
          <t>DTL-0000772</t>
        </is>
      </c>
      <c r="B766" s="8" t="inlineStr">
        <is>
          <t>ORD-000392</t>
        </is>
      </c>
      <c r="C766" s="10" t="inlineStr">
        <is>
          <t>2025-07-22</t>
        </is>
      </c>
      <c r="D766" s="8" t="inlineStr">
        <is>
          <t>CUST-06875</t>
        </is>
      </c>
      <c r="E766" s="8" t="inlineStr">
        <is>
          <t>PRD-0250</t>
        </is>
      </c>
      <c r="F766" s="8" t="n">
        <v>1</v>
      </c>
      <c r="G766" s="9">
        <f>IFERROR(XLOOKUP(E766, '04_Products'!$A:$A, '04_Products'!$G:$G), 91.75)</f>
        <v/>
      </c>
      <c r="H766" s="9">
        <f>IFERROR(XLOOKUP(E766, '04_Products'!$A:$A, '04_Products'!$F:$F), 0)</f>
        <v/>
      </c>
      <c r="I766" s="9">
        <f>F766*G766</f>
        <v/>
      </c>
      <c r="J766" s="11" t="n">
        <v>0.15</v>
      </c>
      <c r="K766" s="9">
        <f>I766*J766</f>
        <v/>
      </c>
      <c r="L766" s="9">
        <f>I766-K766</f>
        <v/>
      </c>
      <c r="M766" s="9">
        <f>F766*H766</f>
        <v/>
      </c>
      <c r="N766" s="9">
        <f>L766-M766</f>
        <v/>
      </c>
      <c r="O766" s="11">
        <f>IFERROR(N766/L766, 0)</f>
        <v/>
      </c>
      <c r="P766" s="8">
        <f>YEAR(C766)</f>
        <v/>
      </c>
      <c r="Q766" s="8">
        <f>TEXT(C766, "yyyy-mm")</f>
        <v/>
      </c>
      <c r="R766" s="8" t="inlineStr">
        <is>
          <t>B2B Portal</t>
        </is>
      </c>
      <c r="S766" s="8" t="inlineStr">
        <is>
          <t>REG-APAC</t>
        </is>
      </c>
    </row>
    <row r="767">
      <c r="A767" s="8" t="inlineStr">
        <is>
          <t>DTL-0000773</t>
        </is>
      </c>
      <c r="B767" s="8" t="inlineStr">
        <is>
          <t>ORD-000393</t>
        </is>
      </c>
      <c r="C767" s="10" t="inlineStr">
        <is>
          <t>2024-08-13</t>
        </is>
      </c>
      <c r="D767" s="8" t="inlineStr">
        <is>
          <t>CUST-06245</t>
        </is>
      </c>
      <c r="E767" s="8" t="inlineStr">
        <is>
          <t>PRD-0133</t>
        </is>
      </c>
      <c r="F767" s="8" t="n">
        <v>3</v>
      </c>
      <c r="G767" s="9">
        <f>IFERROR(XLOOKUP(E767, '04_Products'!$A:$A, '04_Products'!$G:$G), 673.35)</f>
        <v/>
      </c>
      <c r="H767" s="9">
        <f>IFERROR(XLOOKUP(E767, '04_Products'!$A:$A, '04_Products'!$F:$F), 0)</f>
        <v/>
      </c>
      <c r="I767" s="9">
        <f>F767*G767</f>
        <v/>
      </c>
      <c r="J767" s="11" t="n">
        <v>0</v>
      </c>
      <c r="K767" s="9">
        <f>I767*J767</f>
        <v/>
      </c>
      <c r="L767" s="9">
        <f>I767-K767</f>
        <v/>
      </c>
      <c r="M767" s="9">
        <f>F767*H767</f>
        <v/>
      </c>
      <c r="N767" s="9">
        <f>L767-M767</f>
        <v/>
      </c>
      <c r="O767" s="11">
        <f>IFERROR(N767/L767, 0)</f>
        <v/>
      </c>
      <c r="P767" s="8">
        <f>YEAR(C767)</f>
        <v/>
      </c>
      <c r="Q767" s="8">
        <f>TEXT(C767, "yyyy-mm")</f>
        <v/>
      </c>
      <c r="R767" s="8" t="inlineStr">
        <is>
          <t>Mobile App</t>
        </is>
      </c>
      <c r="S767" s="8" t="inlineStr">
        <is>
          <t>REG-APAC</t>
        </is>
      </c>
    </row>
    <row r="768">
      <c r="A768" s="8" t="inlineStr">
        <is>
          <t>DTL-0000774</t>
        </is>
      </c>
      <c r="B768" s="8" t="inlineStr">
        <is>
          <t>ORD-000393</t>
        </is>
      </c>
      <c r="C768" s="10" t="inlineStr">
        <is>
          <t>2024-08-13</t>
        </is>
      </c>
      <c r="D768" s="8" t="inlineStr">
        <is>
          <t>CUST-06245</t>
        </is>
      </c>
      <c r="E768" s="8" t="inlineStr">
        <is>
          <t>PRD-0075</t>
        </is>
      </c>
      <c r="F768" s="8" t="n">
        <v>4</v>
      </c>
      <c r="G768" s="9">
        <f>IFERROR(XLOOKUP(E768, '04_Products'!$A:$A, '04_Products'!$G:$G), 20.47)</f>
        <v/>
      </c>
      <c r="H768" s="9">
        <f>IFERROR(XLOOKUP(E768, '04_Products'!$A:$A, '04_Products'!$F:$F), 0)</f>
        <v/>
      </c>
      <c r="I768" s="9">
        <f>F768*G768</f>
        <v/>
      </c>
      <c r="J768" s="11" t="n">
        <v>0.2</v>
      </c>
      <c r="K768" s="9">
        <f>I768*J768</f>
        <v/>
      </c>
      <c r="L768" s="9">
        <f>I768-K768</f>
        <v/>
      </c>
      <c r="M768" s="9">
        <f>F768*H768</f>
        <v/>
      </c>
      <c r="N768" s="9">
        <f>L768-M768</f>
        <v/>
      </c>
      <c r="O768" s="11">
        <f>IFERROR(N768/L768, 0)</f>
        <v/>
      </c>
      <c r="P768" s="8">
        <f>YEAR(C768)</f>
        <v/>
      </c>
      <c r="Q768" s="8">
        <f>TEXT(C768, "yyyy-mm")</f>
        <v/>
      </c>
      <c r="R768" s="8" t="inlineStr">
        <is>
          <t>Mobile App</t>
        </is>
      </c>
      <c r="S768" s="8" t="inlineStr">
        <is>
          <t>REG-APAC</t>
        </is>
      </c>
    </row>
    <row r="769">
      <c r="A769" s="8" t="inlineStr">
        <is>
          <t>DTL-0000775</t>
        </is>
      </c>
      <c r="B769" s="8" t="inlineStr">
        <is>
          <t>ORD-000394</t>
        </is>
      </c>
      <c r="C769" s="10" t="inlineStr">
        <is>
          <t>2023-02-20</t>
        </is>
      </c>
      <c r="D769" s="8" t="inlineStr">
        <is>
          <t>CUST-00039</t>
        </is>
      </c>
      <c r="E769" s="8" t="inlineStr">
        <is>
          <t>PRD-0098</t>
        </is>
      </c>
      <c r="F769" s="8" t="n">
        <v>4</v>
      </c>
      <c r="G769" s="9">
        <f>IFERROR(XLOOKUP(E769, '04_Products'!$A:$A, '04_Products'!$G:$G), 100.75)</f>
        <v/>
      </c>
      <c r="H769" s="9">
        <f>IFERROR(XLOOKUP(E769, '04_Products'!$A:$A, '04_Products'!$F:$F), 0)</f>
        <v/>
      </c>
      <c r="I769" s="9">
        <f>F769*G769</f>
        <v/>
      </c>
      <c r="J769" s="11" t="n">
        <v>0</v>
      </c>
      <c r="K769" s="9">
        <f>I769*J769</f>
        <v/>
      </c>
      <c r="L769" s="9">
        <f>I769-K769</f>
        <v/>
      </c>
      <c r="M769" s="9">
        <f>F769*H769</f>
        <v/>
      </c>
      <c r="N769" s="9">
        <f>L769-M769</f>
        <v/>
      </c>
      <c r="O769" s="11">
        <f>IFERROR(N769/L769, 0)</f>
        <v/>
      </c>
      <c r="P769" s="8">
        <f>YEAR(C769)</f>
        <v/>
      </c>
      <c r="Q769" s="8">
        <f>TEXT(C769, "yyyy-mm")</f>
        <v/>
      </c>
      <c r="R769" s="8" t="inlineStr">
        <is>
          <t>Direct Web</t>
        </is>
      </c>
      <c r="S769" s="8" t="inlineStr">
        <is>
          <t>REG-NA</t>
        </is>
      </c>
    </row>
    <row r="770">
      <c r="A770" s="8" t="inlineStr">
        <is>
          <t>DTL-0000776</t>
        </is>
      </c>
      <c r="B770" s="8" t="inlineStr">
        <is>
          <t>ORD-000395</t>
        </is>
      </c>
      <c r="C770" s="10" t="inlineStr">
        <is>
          <t>2025-09-30</t>
        </is>
      </c>
      <c r="D770" s="8" t="inlineStr">
        <is>
          <t>CUST-06084</t>
        </is>
      </c>
      <c r="E770" s="8" t="inlineStr">
        <is>
          <t>PRD-0369</t>
        </is>
      </c>
      <c r="F770" s="8" t="n">
        <v>3</v>
      </c>
      <c r="G770" s="9">
        <f>IFERROR(XLOOKUP(E770, '04_Products'!$A:$A, '04_Products'!$G:$G), 653.11)</f>
        <v/>
      </c>
      <c r="H770" s="9">
        <f>IFERROR(XLOOKUP(E770, '04_Products'!$A:$A, '04_Products'!$F:$F), 0)</f>
        <v/>
      </c>
      <c r="I770" s="9">
        <f>F770*G770</f>
        <v/>
      </c>
      <c r="J770" s="11" t="n">
        <v>0.3</v>
      </c>
      <c r="K770" s="9">
        <f>I770*J770</f>
        <v/>
      </c>
      <c r="L770" s="9">
        <f>I770-K770</f>
        <v/>
      </c>
      <c r="M770" s="9">
        <f>F770*H770</f>
        <v/>
      </c>
      <c r="N770" s="9">
        <f>L770-M770</f>
        <v/>
      </c>
      <c r="O770" s="11">
        <f>IFERROR(N770/L770, 0)</f>
        <v/>
      </c>
      <c r="P770" s="8">
        <f>YEAR(C770)</f>
        <v/>
      </c>
      <c r="Q770" s="8">
        <f>TEXT(C770, "yyyy-mm")</f>
        <v/>
      </c>
      <c r="R770" s="8" t="inlineStr">
        <is>
          <t>Mobile App</t>
        </is>
      </c>
      <c r="S770" s="8" t="inlineStr">
        <is>
          <t>REG-NA</t>
        </is>
      </c>
    </row>
    <row r="771">
      <c r="A771" s="8" t="inlineStr">
        <is>
          <t>DTL-0000777</t>
        </is>
      </c>
      <c r="B771" s="8" t="inlineStr">
        <is>
          <t>ORD-000395</t>
        </is>
      </c>
      <c r="C771" s="10" t="inlineStr">
        <is>
          <t>2025-09-30</t>
        </is>
      </c>
      <c r="D771" s="8" t="inlineStr">
        <is>
          <t>CUST-06084</t>
        </is>
      </c>
      <c r="E771" s="8" t="inlineStr">
        <is>
          <t>PRD-0476</t>
        </is>
      </c>
      <c r="F771" s="8" t="n">
        <v>1</v>
      </c>
      <c r="G771" s="9">
        <f>IFERROR(XLOOKUP(E771, '04_Products'!$A:$A, '04_Products'!$G:$G), 1060.38)</f>
        <v/>
      </c>
      <c r="H771" s="9">
        <f>IFERROR(XLOOKUP(E771, '04_Products'!$A:$A, '04_Products'!$F:$F), 0)</f>
        <v/>
      </c>
      <c r="I771" s="9">
        <f>F771*G771</f>
        <v/>
      </c>
      <c r="J771" s="11" t="n">
        <v>0</v>
      </c>
      <c r="K771" s="9">
        <f>I771*J771</f>
        <v/>
      </c>
      <c r="L771" s="9">
        <f>I771-K771</f>
        <v/>
      </c>
      <c r="M771" s="9">
        <f>F771*H771</f>
        <v/>
      </c>
      <c r="N771" s="9">
        <f>L771-M771</f>
        <v/>
      </c>
      <c r="O771" s="11">
        <f>IFERROR(N771/L771, 0)</f>
        <v/>
      </c>
      <c r="P771" s="8">
        <f>YEAR(C771)</f>
        <v/>
      </c>
      <c r="Q771" s="8">
        <f>TEXT(C771, "yyyy-mm")</f>
        <v/>
      </c>
      <c r="R771" s="8" t="inlineStr">
        <is>
          <t>Mobile App</t>
        </is>
      </c>
      <c r="S771" s="8" t="inlineStr">
        <is>
          <t>REG-NA</t>
        </is>
      </c>
    </row>
    <row r="772">
      <c r="A772" s="8" t="inlineStr">
        <is>
          <t>DTL-0000778</t>
        </is>
      </c>
      <c r="B772" s="8" t="inlineStr">
        <is>
          <t>ORD-000395</t>
        </is>
      </c>
      <c r="C772" s="10" t="inlineStr">
        <is>
          <t>2025-09-30</t>
        </is>
      </c>
      <c r="D772" s="8" t="inlineStr">
        <is>
          <t>CUST-06084</t>
        </is>
      </c>
      <c r="E772" s="8" t="inlineStr">
        <is>
          <t>PRD-0386</t>
        </is>
      </c>
      <c r="F772" s="8" t="n">
        <v>1</v>
      </c>
      <c r="G772" s="9">
        <f>IFERROR(XLOOKUP(E772, '04_Products'!$A:$A, '04_Products'!$G:$G), 339.98)</f>
        <v/>
      </c>
      <c r="H772" s="9">
        <f>IFERROR(XLOOKUP(E772, '04_Products'!$A:$A, '04_Products'!$F:$F), 0)</f>
        <v/>
      </c>
      <c r="I772" s="9">
        <f>F772*G772</f>
        <v/>
      </c>
      <c r="J772" s="11" t="n">
        <v>0</v>
      </c>
      <c r="K772" s="9">
        <f>I772*J772</f>
        <v/>
      </c>
      <c r="L772" s="9">
        <f>I772-K772</f>
        <v/>
      </c>
      <c r="M772" s="9">
        <f>F772*H772</f>
        <v/>
      </c>
      <c r="N772" s="9">
        <f>L772-M772</f>
        <v/>
      </c>
      <c r="O772" s="11">
        <f>IFERROR(N772/L772, 0)</f>
        <v/>
      </c>
      <c r="P772" s="8">
        <f>YEAR(C772)</f>
        <v/>
      </c>
      <c r="Q772" s="8">
        <f>TEXT(C772, "yyyy-mm")</f>
        <v/>
      </c>
      <c r="R772" s="8" t="inlineStr">
        <is>
          <t>Mobile App</t>
        </is>
      </c>
      <c r="S772" s="8" t="inlineStr">
        <is>
          <t>REG-NA</t>
        </is>
      </c>
    </row>
    <row r="773">
      <c r="A773" s="8" t="inlineStr">
        <is>
          <t>DTL-0000779</t>
        </is>
      </c>
      <c r="B773" s="8" t="inlineStr">
        <is>
          <t>ORD-000396</t>
        </is>
      </c>
      <c r="C773" s="10" t="inlineStr">
        <is>
          <t>2024-10-14</t>
        </is>
      </c>
      <c r="D773" s="8" t="inlineStr">
        <is>
          <t>CUST-01987</t>
        </is>
      </c>
      <c r="E773" s="8" t="inlineStr">
        <is>
          <t>PRD-0007</t>
        </is>
      </c>
      <c r="F773" s="8" t="n">
        <v>2</v>
      </c>
      <c r="G773" s="9">
        <f>IFERROR(XLOOKUP(E773, '04_Products'!$A:$A, '04_Products'!$G:$G), 254.43)</f>
        <v/>
      </c>
      <c r="H773" s="9">
        <f>IFERROR(XLOOKUP(E773, '04_Products'!$A:$A, '04_Products'!$F:$F), 0)</f>
        <v/>
      </c>
      <c r="I773" s="9">
        <f>F773*G773</f>
        <v/>
      </c>
      <c r="J773" s="11" t="n">
        <v>0</v>
      </c>
      <c r="K773" s="9">
        <f>I773*J773</f>
        <v/>
      </c>
      <c r="L773" s="9">
        <f>I773-K773</f>
        <v/>
      </c>
      <c r="M773" s="9">
        <f>F773*H773</f>
        <v/>
      </c>
      <c r="N773" s="9">
        <f>L773-M773</f>
        <v/>
      </c>
      <c r="O773" s="11">
        <f>IFERROR(N773/L773, 0)</f>
        <v/>
      </c>
      <c r="P773" s="8">
        <f>YEAR(C773)</f>
        <v/>
      </c>
      <c r="Q773" s="8">
        <f>TEXT(C773, "yyyy-mm")</f>
        <v/>
      </c>
      <c r="R773" s="8" t="inlineStr">
        <is>
          <t>Direct Web</t>
        </is>
      </c>
      <c r="S773" s="8" t="inlineStr">
        <is>
          <t>REG-NA</t>
        </is>
      </c>
    </row>
    <row r="774">
      <c r="A774" s="8" t="inlineStr">
        <is>
          <t>DTL-0000780</t>
        </is>
      </c>
      <c r="B774" s="8" t="inlineStr">
        <is>
          <t>ORD-000396</t>
        </is>
      </c>
      <c r="C774" s="10" t="inlineStr">
        <is>
          <t>2024-10-14</t>
        </is>
      </c>
      <c r="D774" s="8" t="inlineStr">
        <is>
          <t>CUST-01987</t>
        </is>
      </c>
      <c r="E774" s="8" t="inlineStr">
        <is>
          <t>PRD-0126</t>
        </is>
      </c>
      <c r="F774" s="8" t="n">
        <v>3</v>
      </c>
      <c r="G774" s="9">
        <f>IFERROR(XLOOKUP(E774, '04_Products'!$A:$A, '04_Products'!$G:$G), 195.24)</f>
        <v/>
      </c>
      <c r="H774" s="9">
        <f>IFERROR(XLOOKUP(E774, '04_Products'!$A:$A, '04_Products'!$F:$F), 0)</f>
        <v/>
      </c>
      <c r="I774" s="9">
        <f>F774*G774</f>
        <v/>
      </c>
      <c r="J774" s="11" t="n">
        <v>0</v>
      </c>
      <c r="K774" s="9">
        <f>I774*J774</f>
        <v/>
      </c>
      <c r="L774" s="9">
        <f>I774-K774</f>
        <v/>
      </c>
      <c r="M774" s="9">
        <f>F774*H774</f>
        <v/>
      </c>
      <c r="N774" s="9">
        <f>L774-M774</f>
        <v/>
      </c>
      <c r="O774" s="11">
        <f>IFERROR(N774/L774, 0)</f>
        <v/>
      </c>
      <c r="P774" s="8">
        <f>YEAR(C774)</f>
        <v/>
      </c>
      <c r="Q774" s="8">
        <f>TEXT(C774, "yyyy-mm")</f>
        <v/>
      </c>
      <c r="R774" s="8" t="inlineStr">
        <is>
          <t>Direct Web</t>
        </is>
      </c>
      <c r="S774" s="8" t="inlineStr">
        <is>
          <t>REG-NA</t>
        </is>
      </c>
    </row>
    <row r="775">
      <c r="A775" s="8" t="inlineStr">
        <is>
          <t>DTL-0000781</t>
        </is>
      </c>
      <c r="B775" s="8" t="inlineStr">
        <is>
          <t>ORD-000396</t>
        </is>
      </c>
      <c r="C775" s="10" t="inlineStr">
        <is>
          <t>2024-10-14</t>
        </is>
      </c>
      <c r="D775" s="8" t="inlineStr">
        <is>
          <t>CUST-01987</t>
        </is>
      </c>
      <c r="E775" s="8" t="inlineStr">
        <is>
          <t>PRD-0370</t>
        </is>
      </c>
      <c r="F775" s="8" t="n">
        <v>2</v>
      </c>
      <c r="G775" s="9">
        <f>IFERROR(XLOOKUP(E775, '04_Products'!$A:$A, '04_Products'!$G:$G), 1113.54)</f>
        <v/>
      </c>
      <c r="H775" s="9">
        <f>IFERROR(XLOOKUP(E775, '04_Products'!$A:$A, '04_Products'!$F:$F), 0)</f>
        <v/>
      </c>
      <c r="I775" s="9">
        <f>F775*G775</f>
        <v/>
      </c>
      <c r="J775" s="11" t="n">
        <v>0.1</v>
      </c>
      <c r="K775" s="9">
        <f>I775*J775</f>
        <v/>
      </c>
      <c r="L775" s="9">
        <f>I775-K775</f>
        <v/>
      </c>
      <c r="M775" s="9">
        <f>F775*H775</f>
        <v/>
      </c>
      <c r="N775" s="9">
        <f>L775-M775</f>
        <v/>
      </c>
      <c r="O775" s="11">
        <f>IFERROR(N775/L775, 0)</f>
        <v/>
      </c>
      <c r="P775" s="8">
        <f>YEAR(C775)</f>
        <v/>
      </c>
      <c r="Q775" s="8">
        <f>TEXT(C775, "yyyy-mm")</f>
        <v/>
      </c>
      <c r="R775" s="8" t="inlineStr">
        <is>
          <t>Direct Web</t>
        </is>
      </c>
      <c r="S775" s="8" t="inlineStr">
        <is>
          <t>REG-NA</t>
        </is>
      </c>
    </row>
    <row r="776">
      <c r="A776" s="8" t="inlineStr">
        <is>
          <t>DTL-0000782</t>
        </is>
      </c>
      <c r="B776" s="8" t="inlineStr">
        <is>
          <t>ORD-000396</t>
        </is>
      </c>
      <c r="C776" s="10" t="inlineStr">
        <is>
          <t>2024-10-14</t>
        </is>
      </c>
      <c r="D776" s="8" t="inlineStr">
        <is>
          <t>CUST-01987</t>
        </is>
      </c>
      <c r="E776" s="8" t="inlineStr">
        <is>
          <t>PRD-0118</t>
        </is>
      </c>
      <c r="F776" s="8" t="n">
        <v>1</v>
      </c>
      <c r="G776" s="9">
        <f>IFERROR(XLOOKUP(E776, '04_Products'!$A:$A, '04_Products'!$G:$G), 513.16)</f>
        <v/>
      </c>
      <c r="H776" s="9">
        <f>IFERROR(XLOOKUP(E776, '04_Products'!$A:$A, '04_Products'!$F:$F), 0)</f>
        <v/>
      </c>
      <c r="I776" s="9">
        <f>F776*G776</f>
        <v/>
      </c>
      <c r="J776" s="11" t="n">
        <v>0.05</v>
      </c>
      <c r="K776" s="9">
        <f>I776*J776</f>
        <v/>
      </c>
      <c r="L776" s="9">
        <f>I776-K776</f>
        <v/>
      </c>
      <c r="M776" s="9">
        <f>F776*H776</f>
        <v/>
      </c>
      <c r="N776" s="9">
        <f>L776-M776</f>
        <v/>
      </c>
      <c r="O776" s="11">
        <f>IFERROR(N776/L776, 0)</f>
        <v/>
      </c>
      <c r="P776" s="8">
        <f>YEAR(C776)</f>
        <v/>
      </c>
      <c r="Q776" s="8">
        <f>TEXT(C776, "yyyy-mm")</f>
        <v/>
      </c>
      <c r="R776" s="8" t="inlineStr">
        <is>
          <t>Direct Web</t>
        </is>
      </c>
      <c r="S776" s="8" t="inlineStr">
        <is>
          <t>REG-NA</t>
        </is>
      </c>
    </row>
    <row r="777">
      <c r="A777" s="8" t="inlineStr">
        <is>
          <t>DTL-0000783</t>
        </is>
      </c>
      <c r="B777" s="8" t="inlineStr">
        <is>
          <t>ORD-000397</t>
        </is>
      </c>
      <c r="C777" s="10" t="inlineStr">
        <is>
          <t>2024-11-15</t>
        </is>
      </c>
      <c r="D777" s="8" t="inlineStr">
        <is>
          <t>CUST-01144</t>
        </is>
      </c>
      <c r="E777" s="8" t="inlineStr">
        <is>
          <t>PRD-0285</t>
        </is>
      </c>
      <c r="F777" s="8" t="n">
        <v>4</v>
      </c>
      <c r="G777" s="9">
        <f>IFERROR(XLOOKUP(E777, '04_Products'!$A:$A, '04_Products'!$G:$G), 269.59)</f>
        <v/>
      </c>
      <c r="H777" s="9">
        <f>IFERROR(XLOOKUP(E777, '04_Products'!$A:$A, '04_Products'!$F:$F), 0)</f>
        <v/>
      </c>
      <c r="I777" s="9">
        <f>F777*G777</f>
        <v/>
      </c>
      <c r="J777" s="11" t="n">
        <v>0.05</v>
      </c>
      <c r="K777" s="9">
        <f>I777*J777</f>
        <v/>
      </c>
      <c r="L777" s="9">
        <f>I777-K777</f>
        <v/>
      </c>
      <c r="M777" s="9">
        <f>F777*H777</f>
        <v/>
      </c>
      <c r="N777" s="9">
        <f>L777-M777</f>
        <v/>
      </c>
      <c r="O777" s="11">
        <f>IFERROR(N777/L777, 0)</f>
        <v/>
      </c>
      <c r="P777" s="8">
        <f>YEAR(C777)</f>
        <v/>
      </c>
      <c r="Q777" s="8">
        <f>TEXT(C777, "yyyy-mm")</f>
        <v/>
      </c>
      <c r="R777" s="8" t="inlineStr">
        <is>
          <t>Mobile App</t>
        </is>
      </c>
      <c r="S777" s="8" t="inlineStr">
        <is>
          <t>REG-NA</t>
        </is>
      </c>
    </row>
    <row r="778">
      <c r="A778" s="8" t="inlineStr">
        <is>
          <t>DTL-0000784</t>
        </is>
      </c>
      <c r="B778" s="8" t="inlineStr">
        <is>
          <t>ORD-000398</t>
        </is>
      </c>
      <c r="C778" s="10" t="inlineStr">
        <is>
          <t>2024-11-12</t>
        </is>
      </c>
      <c r="D778" s="8" t="inlineStr">
        <is>
          <t>CUST-02678</t>
        </is>
      </c>
      <c r="E778" s="8" t="inlineStr">
        <is>
          <t>PRD-0318</t>
        </is>
      </c>
      <c r="F778" s="8" t="n">
        <v>2</v>
      </c>
      <c r="G778" s="9">
        <f>IFERROR(XLOOKUP(E778, '04_Products'!$A:$A, '04_Products'!$G:$G), 130.98)</f>
        <v/>
      </c>
      <c r="H778" s="9">
        <f>IFERROR(XLOOKUP(E778, '04_Products'!$A:$A, '04_Products'!$F:$F), 0)</f>
        <v/>
      </c>
      <c r="I778" s="9">
        <f>F778*G778</f>
        <v/>
      </c>
      <c r="J778" s="11" t="n">
        <v>0</v>
      </c>
      <c r="K778" s="9">
        <f>I778*J778</f>
        <v/>
      </c>
      <c r="L778" s="9">
        <f>I778-K778</f>
        <v/>
      </c>
      <c r="M778" s="9">
        <f>F778*H778</f>
        <v/>
      </c>
      <c r="N778" s="9">
        <f>L778-M778</f>
        <v/>
      </c>
      <c r="O778" s="11">
        <f>IFERROR(N778/L778, 0)</f>
        <v/>
      </c>
      <c r="P778" s="8">
        <f>YEAR(C778)</f>
        <v/>
      </c>
      <c r="Q778" s="8">
        <f>TEXT(C778, "yyyy-mm")</f>
        <v/>
      </c>
      <c r="R778" s="8" t="inlineStr">
        <is>
          <t>Direct Web</t>
        </is>
      </c>
      <c r="S778" s="8" t="inlineStr">
        <is>
          <t>REG-NA</t>
        </is>
      </c>
    </row>
    <row r="779">
      <c r="A779" s="8" t="inlineStr">
        <is>
          <t>DTL-0000785</t>
        </is>
      </c>
      <c r="B779" s="8" t="inlineStr">
        <is>
          <t>ORD-000398</t>
        </is>
      </c>
      <c r="C779" s="10" t="inlineStr">
        <is>
          <t>2024-11-12</t>
        </is>
      </c>
      <c r="D779" s="8" t="inlineStr">
        <is>
          <t>CUST-02678</t>
        </is>
      </c>
      <c r="E779" s="8" t="inlineStr">
        <is>
          <t>PRD-0001</t>
        </is>
      </c>
      <c r="F779" s="8" t="n">
        <v>3</v>
      </c>
      <c r="G779" s="9">
        <f>IFERROR(XLOOKUP(E779, '04_Products'!$A:$A, '04_Products'!$G:$G), 9.00)</f>
        <v/>
      </c>
      <c r="H779" s="9">
        <f>IFERROR(XLOOKUP(E779, '04_Products'!$A:$A, '04_Products'!$F:$F), 0)</f>
        <v/>
      </c>
      <c r="I779" s="9">
        <f>F779*G779</f>
        <v/>
      </c>
      <c r="J779" s="11" t="n">
        <v>0.1</v>
      </c>
      <c r="K779" s="9">
        <f>I779*J779</f>
        <v/>
      </c>
      <c r="L779" s="9">
        <f>I779-K779</f>
        <v/>
      </c>
      <c r="M779" s="9">
        <f>F779*H779</f>
        <v/>
      </c>
      <c r="N779" s="9">
        <f>L779-M779</f>
        <v/>
      </c>
      <c r="O779" s="11">
        <f>IFERROR(N779/L779, 0)</f>
        <v/>
      </c>
      <c r="P779" s="8">
        <f>YEAR(C779)</f>
        <v/>
      </c>
      <c r="Q779" s="8">
        <f>TEXT(C779, "yyyy-mm")</f>
        <v/>
      </c>
      <c r="R779" s="8" t="inlineStr">
        <is>
          <t>Direct Web</t>
        </is>
      </c>
      <c r="S779" s="8" t="inlineStr">
        <is>
          <t>REG-NA</t>
        </is>
      </c>
    </row>
    <row r="780">
      <c r="A780" s="8" t="inlineStr">
        <is>
          <t>DTL-0000786</t>
        </is>
      </c>
      <c r="B780" s="8" t="inlineStr">
        <is>
          <t>ORD-000398</t>
        </is>
      </c>
      <c r="C780" s="10" t="inlineStr">
        <is>
          <t>2024-11-12</t>
        </is>
      </c>
      <c r="D780" s="8" t="inlineStr">
        <is>
          <t>CUST-02678</t>
        </is>
      </c>
      <c r="E780" s="8" t="inlineStr">
        <is>
          <t>PRD-0446</t>
        </is>
      </c>
      <c r="F780" s="8" t="n">
        <v>2</v>
      </c>
      <c r="G780" s="9">
        <f>IFERROR(XLOOKUP(E780, '04_Products'!$A:$A, '04_Products'!$G:$G), 610.12)</f>
        <v/>
      </c>
      <c r="H780" s="9">
        <f>IFERROR(XLOOKUP(E780, '04_Products'!$A:$A, '04_Products'!$F:$F), 0)</f>
        <v/>
      </c>
      <c r="I780" s="9">
        <f>F780*G780</f>
        <v/>
      </c>
      <c r="J780" s="11" t="n">
        <v>0</v>
      </c>
      <c r="K780" s="9">
        <f>I780*J780</f>
        <v/>
      </c>
      <c r="L780" s="9">
        <f>I780-K780</f>
        <v/>
      </c>
      <c r="M780" s="9">
        <f>F780*H780</f>
        <v/>
      </c>
      <c r="N780" s="9">
        <f>L780-M780</f>
        <v/>
      </c>
      <c r="O780" s="11">
        <f>IFERROR(N780/L780, 0)</f>
        <v/>
      </c>
      <c r="P780" s="8">
        <f>YEAR(C780)</f>
        <v/>
      </c>
      <c r="Q780" s="8">
        <f>TEXT(C780, "yyyy-mm")</f>
        <v/>
      </c>
      <c r="R780" s="8" t="inlineStr">
        <is>
          <t>Direct Web</t>
        </is>
      </c>
      <c r="S780" s="8" t="inlineStr">
        <is>
          <t>REG-NA</t>
        </is>
      </c>
    </row>
    <row r="781">
      <c r="A781" s="8" t="inlineStr">
        <is>
          <t>DTL-0000787</t>
        </is>
      </c>
      <c r="B781" s="8" t="inlineStr">
        <is>
          <t>ORD-000399</t>
        </is>
      </c>
      <c r="C781" s="10" t="inlineStr">
        <is>
          <t>2024-06-28</t>
        </is>
      </c>
      <c r="D781" s="8" t="inlineStr">
        <is>
          <t>CUST-02497</t>
        </is>
      </c>
      <c r="E781" s="8" t="inlineStr">
        <is>
          <t>PRD-0150</t>
        </is>
      </c>
      <c r="F781" s="8" t="n">
        <v>1</v>
      </c>
      <c r="G781" s="9">
        <f>IFERROR(XLOOKUP(E781, '04_Products'!$A:$A, '04_Products'!$G:$G), 384.86)</f>
        <v/>
      </c>
      <c r="H781" s="9">
        <f>IFERROR(XLOOKUP(E781, '04_Products'!$A:$A, '04_Products'!$F:$F), 0)</f>
        <v/>
      </c>
      <c r="I781" s="9">
        <f>F781*G781</f>
        <v/>
      </c>
      <c r="J781" s="11" t="n">
        <v>0.3</v>
      </c>
      <c r="K781" s="9">
        <f>I781*J781</f>
        <v/>
      </c>
      <c r="L781" s="9">
        <f>I781-K781</f>
        <v/>
      </c>
      <c r="M781" s="9">
        <f>F781*H781</f>
        <v/>
      </c>
      <c r="N781" s="9">
        <f>L781-M781</f>
        <v/>
      </c>
      <c r="O781" s="11">
        <f>IFERROR(N781/L781, 0)</f>
        <v/>
      </c>
      <c r="P781" s="8">
        <f>YEAR(C781)</f>
        <v/>
      </c>
      <c r="Q781" s="8">
        <f>TEXT(C781, "yyyy-mm")</f>
        <v/>
      </c>
      <c r="R781" s="8" t="inlineStr">
        <is>
          <t>Direct Web</t>
        </is>
      </c>
      <c r="S781" s="8" t="inlineStr">
        <is>
          <t>REG-APAC</t>
        </is>
      </c>
    </row>
    <row r="782">
      <c r="A782" s="8" t="inlineStr">
        <is>
          <t>DTL-0000788</t>
        </is>
      </c>
      <c r="B782" s="8" t="inlineStr">
        <is>
          <t>ORD-000400</t>
        </is>
      </c>
      <c r="C782" s="10" t="inlineStr">
        <is>
          <t>2024-08-05</t>
        </is>
      </c>
      <c r="D782" s="8" t="inlineStr">
        <is>
          <t>CUST-00751</t>
        </is>
      </c>
      <c r="E782" s="8" t="inlineStr">
        <is>
          <t>PRD-0218</t>
        </is>
      </c>
      <c r="F782" s="8" t="n">
        <v>3</v>
      </c>
      <c r="G782" s="9">
        <f>IFERROR(XLOOKUP(E782, '04_Products'!$A:$A, '04_Products'!$G:$G), 468.61)</f>
        <v/>
      </c>
      <c r="H782" s="9">
        <f>IFERROR(XLOOKUP(E782, '04_Products'!$A:$A, '04_Products'!$F:$F), 0)</f>
        <v/>
      </c>
      <c r="I782" s="9">
        <f>F782*G782</f>
        <v/>
      </c>
      <c r="J782" s="11" t="n">
        <v>0.15</v>
      </c>
      <c r="K782" s="9">
        <f>I782*J782</f>
        <v/>
      </c>
      <c r="L782" s="9">
        <f>I782-K782</f>
        <v/>
      </c>
      <c r="M782" s="9">
        <f>F782*H782</f>
        <v/>
      </c>
      <c r="N782" s="9">
        <f>L782-M782</f>
        <v/>
      </c>
      <c r="O782" s="11">
        <f>IFERROR(N782/L782, 0)</f>
        <v/>
      </c>
      <c r="P782" s="8">
        <f>YEAR(C782)</f>
        <v/>
      </c>
      <c r="Q782" s="8">
        <f>TEXT(C782, "yyyy-mm")</f>
        <v/>
      </c>
      <c r="R782" s="8" t="inlineStr">
        <is>
          <t>B2B Portal</t>
        </is>
      </c>
      <c r="S782" s="8" t="inlineStr">
        <is>
          <t>REG-LATAM</t>
        </is>
      </c>
    </row>
    <row r="783">
      <c r="A783" s="8" t="inlineStr">
        <is>
          <t>DTL-0000789</t>
        </is>
      </c>
      <c r="B783" s="8" t="inlineStr">
        <is>
          <t>ORD-000400</t>
        </is>
      </c>
      <c r="C783" s="10" t="inlineStr">
        <is>
          <t>2024-08-05</t>
        </is>
      </c>
      <c r="D783" s="8" t="inlineStr">
        <is>
          <t>CUST-00751</t>
        </is>
      </c>
      <c r="E783" s="8" t="inlineStr">
        <is>
          <t>PRD-0139</t>
        </is>
      </c>
      <c r="F783" s="8" t="n">
        <v>2</v>
      </c>
      <c r="G783" s="9">
        <f>IFERROR(XLOOKUP(E783, '04_Products'!$A:$A, '04_Products'!$G:$G), 402.87)</f>
        <v/>
      </c>
      <c r="H783" s="9">
        <f>IFERROR(XLOOKUP(E783, '04_Products'!$A:$A, '04_Products'!$F:$F), 0)</f>
        <v/>
      </c>
      <c r="I783" s="9">
        <f>F783*G783</f>
        <v/>
      </c>
      <c r="J783" s="11" t="n">
        <v>0.05</v>
      </c>
      <c r="K783" s="9">
        <f>I783*J783</f>
        <v/>
      </c>
      <c r="L783" s="9">
        <f>I783-K783</f>
        <v/>
      </c>
      <c r="M783" s="9">
        <f>F783*H783</f>
        <v/>
      </c>
      <c r="N783" s="9">
        <f>L783-M783</f>
        <v/>
      </c>
      <c r="O783" s="11">
        <f>IFERROR(N783/L783, 0)</f>
        <v/>
      </c>
      <c r="P783" s="8">
        <f>YEAR(C783)</f>
        <v/>
      </c>
      <c r="Q783" s="8">
        <f>TEXT(C783, "yyyy-mm")</f>
        <v/>
      </c>
      <c r="R783" s="8" t="inlineStr">
        <is>
          <t>B2B Portal</t>
        </is>
      </c>
      <c r="S783" s="8" t="inlineStr">
        <is>
          <t>REG-LATAM</t>
        </is>
      </c>
    </row>
    <row r="784">
      <c r="A784" s="8" t="inlineStr">
        <is>
          <t>DTL-0000790</t>
        </is>
      </c>
      <c r="B784" s="8" t="inlineStr">
        <is>
          <t>ORD-000401</t>
        </is>
      </c>
      <c r="C784" s="10" t="inlineStr">
        <is>
          <t>2025-06-15</t>
        </is>
      </c>
      <c r="D784" s="8" t="inlineStr">
        <is>
          <t>CUST-00596</t>
        </is>
      </c>
      <c r="E784" s="8" t="inlineStr">
        <is>
          <t>PRD-0439</t>
        </is>
      </c>
      <c r="F784" s="8" t="n">
        <v>1</v>
      </c>
      <c r="G784" s="9">
        <f>IFERROR(XLOOKUP(E784, '04_Products'!$A:$A, '04_Products'!$G:$G), 807.98)</f>
        <v/>
      </c>
      <c r="H784" s="9">
        <f>IFERROR(XLOOKUP(E784, '04_Products'!$A:$A, '04_Products'!$F:$F), 0)</f>
        <v/>
      </c>
      <c r="I784" s="9">
        <f>F784*G784</f>
        <v/>
      </c>
      <c r="J784" s="11" t="n">
        <v>0.1</v>
      </c>
      <c r="K784" s="9">
        <f>I784*J784</f>
        <v/>
      </c>
      <c r="L784" s="9">
        <f>I784-K784</f>
        <v/>
      </c>
      <c r="M784" s="9">
        <f>F784*H784</f>
        <v/>
      </c>
      <c r="N784" s="9">
        <f>L784-M784</f>
        <v/>
      </c>
      <c r="O784" s="11">
        <f>IFERROR(N784/L784, 0)</f>
        <v/>
      </c>
      <c r="P784" s="8">
        <f>YEAR(C784)</f>
        <v/>
      </c>
      <c r="Q784" s="8">
        <f>TEXT(C784, "yyyy-mm")</f>
        <v/>
      </c>
      <c r="R784" s="8" t="inlineStr">
        <is>
          <t>Direct Web</t>
        </is>
      </c>
      <c r="S784" s="8" t="inlineStr">
        <is>
          <t>REG-NA</t>
        </is>
      </c>
    </row>
    <row r="785">
      <c r="A785" s="8" t="inlineStr">
        <is>
          <t>DTL-0000791</t>
        </is>
      </c>
      <c r="B785" s="8" t="inlineStr">
        <is>
          <t>ORD-000401</t>
        </is>
      </c>
      <c r="C785" s="10" t="inlineStr">
        <is>
          <t>2025-06-15</t>
        </is>
      </c>
      <c r="D785" s="8" t="inlineStr">
        <is>
          <t>CUST-00596</t>
        </is>
      </c>
      <c r="E785" s="8" t="inlineStr">
        <is>
          <t>PRD-0393</t>
        </is>
      </c>
      <c r="F785" s="8" t="n">
        <v>1</v>
      </c>
      <c r="G785" s="9">
        <f>IFERROR(XLOOKUP(E785, '04_Products'!$A:$A, '04_Products'!$G:$G), 577.02)</f>
        <v/>
      </c>
      <c r="H785" s="9">
        <f>IFERROR(XLOOKUP(E785, '04_Products'!$A:$A, '04_Products'!$F:$F), 0)</f>
        <v/>
      </c>
      <c r="I785" s="9">
        <f>F785*G785</f>
        <v/>
      </c>
      <c r="J785" s="11" t="n">
        <v>0</v>
      </c>
      <c r="K785" s="9">
        <f>I785*J785</f>
        <v/>
      </c>
      <c r="L785" s="9">
        <f>I785-K785</f>
        <v/>
      </c>
      <c r="M785" s="9">
        <f>F785*H785</f>
        <v/>
      </c>
      <c r="N785" s="9">
        <f>L785-M785</f>
        <v/>
      </c>
      <c r="O785" s="11">
        <f>IFERROR(N785/L785, 0)</f>
        <v/>
      </c>
      <c r="P785" s="8">
        <f>YEAR(C785)</f>
        <v/>
      </c>
      <c r="Q785" s="8">
        <f>TEXT(C785, "yyyy-mm")</f>
        <v/>
      </c>
      <c r="R785" s="8" t="inlineStr">
        <is>
          <t>Direct Web</t>
        </is>
      </c>
      <c r="S785" s="8" t="inlineStr">
        <is>
          <t>REG-NA</t>
        </is>
      </c>
    </row>
    <row r="786">
      <c r="A786" s="8" t="inlineStr">
        <is>
          <t>DTL-0000792</t>
        </is>
      </c>
      <c r="B786" s="8" t="inlineStr">
        <is>
          <t>ORD-000401</t>
        </is>
      </c>
      <c r="C786" s="10" t="inlineStr">
        <is>
          <t>2025-06-15</t>
        </is>
      </c>
      <c r="D786" s="8" t="inlineStr">
        <is>
          <t>CUST-00596</t>
        </is>
      </c>
      <c r="E786" s="8" t="inlineStr">
        <is>
          <t>PRD-0048</t>
        </is>
      </c>
      <c r="F786" s="8" t="n">
        <v>8</v>
      </c>
      <c r="G786" s="9">
        <f>IFERROR(XLOOKUP(E786, '04_Products'!$A:$A, '04_Products'!$G:$G), 39.00)</f>
        <v/>
      </c>
      <c r="H786" s="9">
        <f>IFERROR(XLOOKUP(E786, '04_Products'!$A:$A, '04_Products'!$F:$F), 0)</f>
        <v/>
      </c>
      <c r="I786" s="9">
        <f>F786*G786</f>
        <v/>
      </c>
      <c r="J786" s="11" t="n">
        <v>0.1</v>
      </c>
      <c r="K786" s="9">
        <f>I786*J786</f>
        <v/>
      </c>
      <c r="L786" s="9">
        <f>I786-K786</f>
        <v/>
      </c>
      <c r="M786" s="9">
        <f>F786*H786</f>
        <v/>
      </c>
      <c r="N786" s="9">
        <f>L786-M786</f>
        <v/>
      </c>
      <c r="O786" s="11">
        <f>IFERROR(N786/L786, 0)</f>
        <v/>
      </c>
      <c r="P786" s="8">
        <f>YEAR(C786)</f>
        <v/>
      </c>
      <c r="Q786" s="8">
        <f>TEXT(C786, "yyyy-mm")</f>
        <v/>
      </c>
      <c r="R786" s="8" t="inlineStr">
        <is>
          <t>Direct Web</t>
        </is>
      </c>
      <c r="S786" s="8" t="inlineStr">
        <is>
          <t>REG-NA</t>
        </is>
      </c>
    </row>
    <row r="787">
      <c r="A787" s="8" t="inlineStr">
        <is>
          <t>DTL-0000793</t>
        </is>
      </c>
      <c r="B787" s="8" t="inlineStr">
        <is>
          <t>ORD-000402</t>
        </is>
      </c>
      <c r="C787" s="10" t="inlineStr">
        <is>
          <t>2024-11-24</t>
        </is>
      </c>
      <c r="D787" s="8" t="inlineStr">
        <is>
          <t>CUST-01132</t>
        </is>
      </c>
      <c r="E787" s="8" t="inlineStr">
        <is>
          <t>PRD-0415</t>
        </is>
      </c>
      <c r="F787" s="8" t="n">
        <v>2</v>
      </c>
      <c r="G787" s="9">
        <f>IFERROR(XLOOKUP(E787, '04_Products'!$A:$A, '04_Products'!$G:$G), 934.21)</f>
        <v/>
      </c>
      <c r="H787" s="9">
        <f>IFERROR(XLOOKUP(E787, '04_Products'!$A:$A, '04_Products'!$F:$F), 0)</f>
        <v/>
      </c>
      <c r="I787" s="9">
        <f>F787*G787</f>
        <v/>
      </c>
      <c r="J787" s="11" t="n">
        <v>0.25</v>
      </c>
      <c r="K787" s="9">
        <f>I787*J787</f>
        <v/>
      </c>
      <c r="L787" s="9">
        <f>I787-K787</f>
        <v/>
      </c>
      <c r="M787" s="9">
        <f>F787*H787</f>
        <v/>
      </c>
      <c r="N787" s="9">
        <f>L787-M787</f>
        <v/>
      </c>
      <c r="O787" s="11">
        <f>IFERROR(N787/L787, 0)</f>
        <v/>
      </c>
      <c r="P787" s="8">
        <f>YEAR(C787)</f>
        <v/>
      </c>
      <c r="Q787" s="8">
        <f>TEXT(C787, "yyyy-mm")</f>
        <v/>
      </c>
      <c r="R787" s="8" t="inlineStr">
        <is>
          <t>Direct Web</t>
        </is>
      </c>
      <c r="S787" s="8" t="inlineStr">
        <is>
          <t>REG-LATAM</t>
        </is>
      </c>
    </row>
    <row r="788">
      <c r="A788" s="8" t="inlineStr">
        <is>
          <t>DTL-0000794</t>
        </is>
      </c>
      <c r="B788" s="8" t="inlineStr">
        <is>
          <t>ORD-000403</t>
        </is>
      </c>
      <c r="C788" s="10" t="inlineStr">
        <is>
          <t>2025-11-25</t>
        </is>
      </c>
      <c r="D788" s="8" t="inlineStr">
        <is>
          <t>CUST-02300</t>
        </is>
      </c>
      <c r="E788" s="8" t="inlineStr">
        <is>
          <t>PRD-0389</t>
        </is>
      </c>
      <c r="F788" s="8" t="n">
        <v>5</v>
      </c>
      <c r="G788" s="9">
        <f>IFERROR(XLOOKUP(E788, '04_Products'!$A:$A, '04_Products'!$G:$G), 355.70)</f>
        <v/>
      </c>
      <c r="H788" s="9">
        <f>IFERROR(XLOOKUP(E788, '04_Products'!$A:$A, '04_Products'!$F:$F), 0)</f>
        <v/>
      </c>
      <c r="I788" s="9">
        <f>F788*G788</f>
        <v/>
      </c>
      <c r="J788" s="11" t="n">
        <v>0</v>
      </c>
      <c r="K788" s="9">
        <f>I788*J788</f>
        <v/>
      </c>
      <c r="L788" s="9">
        <f>I788-K788</f>
        <v/>
      </c>
      <c r="M788" s="9">
        <f>F788*H788</f>
        <v/>
      </c>
      <c r="N788" s="9">
        <f>L788-M788</f>
        <v/>
      </c>
      <c r="O788" s="11">
        <f>IFERROR(N788/L788, 0)</f>
        <v/>
      </c>
      <c r="P788" s="8">
        <f>YEAR(C788)</f>
        <v/>
      </c>
      <c r="Q788" s="8">
        <f>TEXT(C788, "yyyy-mm")</f>
        <v/>
      </c>
      <c r="R788" s="8" t="inlineStr">
        <is>
          <t>Direct Web</t>
        </is>
      </c>
      <c r="S788" s="8" t="inlineStr">
        <is>
          <t>REG-NA</t>
        </is>
      </c>
    </row>
    <row r="789">
      <c r="A789" s="8" t="inlineStr">
        <is>
          <t>DTL-0000795</t>
        </is>
      </c>
      <c r="B789" s="8" t="inlineStr">
        <is>
          <t>ORD-000403</t>
        </is>
      </c>
      <c r="C789" s="10" t="inlineStr">
        <is>
          <t>2025-11-25</t>
        </is>
      </c>
      <c r="D789" s="8" t="inlineStr">
        <is>
          <t>CUST-02300</t>
        </is>
      </c>
      <c r="E789" s="8" t="inlineStr">
        <is>
          <t>PRD-0438</t>
        </is>
      </c>
      <c r="F789" s="8" t="n">
        <v>1</v>
      </c>
      <c r="G789" s="9">
        <f>IFERROR(XLOOKUP(E789, '04_Products'!$A:$A, '04_Products'!$G:$G), 981.00)</f>
        <v/>
      </c>
      <c r="H789" s="9">
        <f>IFERROR(XLOOKUP(E789, '04_Products'!$A:$A, '04_Products'!$F:$F), 0)</f>
        <v/>
      </c>
      <c r="I789" s="9">
        <f>F789*G789</f>
        <v/>
      </c>
      <c r="J789" s="11" t="n">
        <v>0</v>
      </c>
      <c r="K789" s="9">
        <f>I789*J789</f>
        <v/>
      </c>
      <c r="L789" s="9">
        <f>I789-K789</f>
        <v/>
      </c>
      <c r="M789" s="9">
        <f>F789*H789</f>
        <v/>
      </c>
      <c r="N789" s="9">
        <f>L789-M789</f>
        <v/>
      </c>
      <c r="O789" s="11">
        <f>IFERROR(N789/L789, 0)</f>
        <v/>
      </c>
      <c r="P789" s="8">
        <f>YEAR(C789)</f>
        <v/>
      </c>
      <c r="Q789" s="8">
        <f>TEXT(C789, "yyyy-mm")</f>
        <v/>
      </c>
      <c r="R789" s="8" t="inlineStr">
        <is>
          <t>Direct Web</t>
        </is>
      </c>
      <c r="S789" s="8" t="inlineStr">
        <is>
          <t>REG-NA</t>
        </is>
      </c>
    </row>
    <row r="790">
      <c r="A790" s="8" t="inlineStr">
        <is>
          <t>DTL-0000796</t>
        </is>
      </c>
      <c r="B790" s="8" t="inlineStr">
        <is>
          <t>ORD-000403</t>
        </is>
      </c>
      <c r="C790" s="10" t="inlineStr">
        <is>
          <t>2025-11-25</t>
        </is>
      </c>
      <c r="D790" s="8" t="inlineStr">
        <is>
          <t>CUST-02300</t>
        </is>
      </c>
      <c r="E790" s="8" t="inlineStr">
        <is>
          <t>PRD-0241</t>
        </is>
      </c>
      <c r="F790" s="8" t="n">
        <v>10</v>
      </c>
      <c r="G790" s="9">
        <f>IFERROR(XLOOKUP(E790, '04_Products'!$A:$A, '04_Products'!$G:$G), 91.47)</f>
        <v/>
      </c>
      <c r="H790" s="9">
        <f>IFERROR(XLOOKUP(E790, '04_Products'!$A:$A, '04_Products'!$F:$F), 0)</f>
        <v/>
      </c>
      <c r="I790" s="9">
        <f>F790*G790</f>
        <v/>
      </c>
      <c r="J790" s="11" t="n">
        <v>0</v>
      </c>
      <c r="K790" s="9">
        <f>I790*J790</f>
        <v/>
      </c>
      <c r="L790" s="9">
        <f>I790-K790</f>
        <v/>
      </c>
      <c r="M790" s="9">
        <f>F790*H790</f>
        <v/>
      </c>
      <c r="N790" s="9">
        <f>L790-M790</f>
        <v/>
      </c>
      <c r="O790" s="11">
        <f>IFERROR(N790/L790, 0)</f>
        <v/>
      </c>
      <c r="P790" s="8">
        <f>YEAR(C790)</f>
        <v/>
      </c>
      <c r="Q790" s="8">
        <f>TEXT(C790, "yyyy-mm")</f>
        <v/>
      </c>
      <c r="R790" s="8" t="inlineStr">
        <is>
          <t>Direct Web</t>
        </is>
      </c>
      <c r="S790" s="8" t="inlineStr">
        <is>
          <t>REG-NA</t>
        </is>
      </c>
    </row>
    <row r="791">
      <c r="A791" s="8" t="inlineStr">
        <is>
          <t>DTL-0000797</t>
        </is>
      </c>
      <c r="B791" s="8" t="inlineStr">
        <is>
          <t>ORD-000404</t>
        </is>
      </c>
      <c r="C791" s="10" t="inlineStr">
        <is>
          <t>2025-01-22</t>
        </is>
      </c>
      <c r="D791" s="8" t="inlineStr">
        <is>
          <t>CUST-01184</t>
        </is>
      </c>
      <c r="E791" s="8" t="inlineStr">
        <is>
          <t>PRD-0203</t>
        </is>
      </c>
      <c r="F791" s="8" t="n">
        <v>1</v>
      </c>
      <c r="G791" s="9">
        <f>IFERROR(XLOOKUP(E791, '04_Products'!$A:$A, '04_Products'!$G:$G), 991.36)</f>
        <v/>
      </c>
      <c r="H791" s="9">
        <f>IFERROR(XLOOKUP(E791, '04_Products'!$A:$A, '04_Products'!$F:$F), 0)</f>
        <v/>
      </c>
      <c r="I791" s="9">
        <f>F791*G791</f>
        <v/>
      </c>
      <c r="J791" s="11" t="n">
        <v>0.05</v>
      </c>
      <c r="K791" s="9">
        <f>I791*J791</f>
        <v/>
      </c>
      <c r="L791" s="9">
        <f>I791-K791</f>
        <v/>
      </c>
      <c r="M791" s="9">
        <f>F791*H791</f>
        <v/>
      </c>
      <c r="N791" s="9">
        <f>L791-M791</f>
        <v/>
      </c>
      <c r="O791" s="11">
        <f>IFERROR(N791/L791, 0)</f>
        <v/>
      </c>
      <c r="P791" s="8">
        <f>YEAR(C791)</f>
        <v/>
      </c>
      <c r="Q791" s="8">
        <f>TEXT(C791, "yyyy-mm")</f>
        <v/>
      </c>
      <c r="R791" s="8" t="inlineStr">
        <is>
          <t>Direct Web</t>
        </is>
      </c>
      <c r="S791" s="8" t="inlineStr">
        <is>
          <t>REG-NA</t>
        </is>
      </c>
    </row>
    <row r="792">
      <c r="A792" s="8" t="inlineStr">
        <is>
          <t>DTL-0000798</t>
        </is>
      </c>
      <c r="B792" s="8" t="inlineStr">
        <is>
          <t>ORD-000405</t>
        </is>
      </c>
      <c r="C792" s="10" t="inlineStr">
        <is>
          <t>2023-03-23</t>
        </is>
      </c>
      <c r="D792" s="8" t="inlineStr">
        <is>
          <t>CUST-02261</t>
        </is>
      </c>
      <c r="E792" s="8" t="inlineStr">
        <is>
          <t>PRD-0391</t>
        </is>
      </c>
      <c r="F792" s="8" t="n">
        <v>1</v>
      </c>
      <c r="G792" s="9">
        <f>IFERROR(XLOOKUP(E792, '04_Products'!$A:$A, '04_Products'!$G:$G), 468.85)</f>
        <v/>
      </c>
      <c r="H792" s="9">
        <f>IFERROR(XLOOKUP(E792, '04_Products'!$A:$A, '04_Products'!$F:$F), 0)</f>
        <v/>
      </c>
      <c r="I792" s="9">
        <f>F792*G792</f>
        <v/>
      </c>
      <c r="J792" s="11" t="n">
        <v>0.1</v>
      </c>
      <c r="K792" s="9">
        <f>I792*J792</f>
        <v/>
      </c>
      <c r="L792" s="9">
        <f>I792-K792</f>
        <v/>
      </c>
      <c r="M792" s="9">
        <f>F792*H792</f>
        <v/>
      </c>
      <c r="N792" s="9">
        <f>L792-M792</f>
        <v/>
      </c>
      <c r="O792" s="11">
        <f>IFERROR(N792/L792, 0)</f>
        <v/>
      </c>
      <c r="P792" s="8">
        <f>YEAR(C792)</f>
        <v/>
      </c>
      <c r="Q792" s="8">
        <f>TEXT(C792, "yyyy-mm")</f>
        <v/>
      </c>
      <c r="R792" s="8" t="inlineStr">
        <is>
          <t>B2B Portal</t>
        </is>
      </c>
      <c r="S792" s="8" t="inlineStr">
        <is>
          <t>REG-APAC</t>
        </is>
      </c>
    </row>
    <row r="793">
      <c r="A793" s="8" t="inlineStr">
        <is>
          <t>DTL-0000799</t>
        </is>
      </c>
      <c r="B793" s="8" t="inlineStr">
        <is>
          <t>ORD-000405</t>
        </is>
      </c>
      <c r="C793" s="10" t="inlineStr">
        <is>
          <t>2023-03-23</t>
        </is>
      </c>
      <c r="D793" s="8" t="inlineStr">
        <is>
          <t>CUST-02261</t>
        </is>
      </c>
      <c r="E793" s="8" t="inlineStr">
        <is>
          <t>PRD-0489</t>
        </is>
      </c>
      <c r="F793" s="8" t="n">
        <v>1</v>
      </c>
      <c r="G793" s="9">
        <f>IFERROR(XLOOKUP(E793, '04_Products'!$A:$A, '04_Products'!$G:$G), 61.45)</f>
        <v/>
      </c>
      <c r="H793" s="9">
        <f>IFERROR(XLOOKUP(E793, '04_Products'!$A:$A, '04_Products'!$F:$F), 0)</f>
        <v/>
      </c>
      <c r="I793" s="9">
        <f>F793*G793</f>
        <v/>
      </c>
      <c r="J793" s="11" t="n">
        <v>0.15</v>
      </c>
      <c r="K793" s="9">
        <f>I793*J793</f>
        <v/>
      </c>
      <c r="L793" s="9">
        <f>I793-K793</f>
        <v/>
      </c>
      <c r="M793" s="9">
        <f>F793*H793</f>
        <v/>
      </c>
      <c r="N793" s="9">
        <f>L793-M793</f>
        <v/>
      </c>
      <c r="O793" s="11">
        <f>IFERROR(N793/L793, 0)</f>
        <v/>
      </c>
      <c r="P793" s="8">
        <f>YEAR(C793)</f>
        <v/>
      </c>
      <c r="Q793" s="8">
        <f>TEXT(C793, "yyyy-mm")</f>
        <v/>
      </c>
      <c r="R793" s="8" t="inlineStr">
        <is>
          <t>B2B Portal</t>
        </is>
      </c>
      <c r="S793" s="8" t="inlineStr">
        <is>
          <t>REG-APAC</t>
        </is>
      </c>
    </row>
    <row r="794">
      <c r="A794" s="8" t="inlineStr">
        <is>
          <t>DTL-0000800</t>
        </is>
      </c>
      <c r="B794" s="8" t="inlineStr">
        <is>
          <t>ORD-000405</t>
        </is>
      </c>
      <c r="C794" s="10" t="inlineStr">
        <is>
          <t>2023-03-23</t>
        </is>
      </c>
      <c r="D794" s="8" t="inlineStr">
        <is>
          <t>CUST-02261</t>
        </is>
      </c>
      <c r="E794" s="8" t="inlineStr">
        <is>
          <t>PRD-0341</t>
        </is>
      </c>
      <c r="F794" s="8" t="n">
        <v>1</v>
      </c>
      <c r="G794" s="9">
        <f>IFERROR(XLOOKUP(E794, '04_Products'!$A:$A, '04_Products'!$G:$G), 26.88)</f>
        <v/>
      </c>
      <c r="H794" s="9">
        <f>IFERROR(XLOOKUP(E794, '04_Products'!$A:$A, '04_Products'!$F:$F), 0)</f>
        <v/>
      </c>
      <c r="I794" s="9">
        <f>F794*G794</f>
        <v/>
      </c>
      <c r="J794" s="11" t="n">
        <v>0.15</v>
      </c>
      <c r="K794" s="9">
        <f>I794*J794</f>
        <v/>
      </c>
      <c r="L794" s="9">
        <f>I794-K794</f>
        <v/>
      </c>
      <c r="M794" s="9">
        <f>F794*H794</f>
        <v/>
      </c>
      <c r="N794" s="9">
        <f>L794-M794</f>
        <v/>
      </c>
      <c r="O794" s="11">
        <f>IFERROR(N794/L794, 0)</f>
        <v/>
      </c>
      <c r="P794" s="8">
        <f>YEAR(C794)</f>
        <v/>
      </c>
      <c r="Q794" s="8">
        <f>TEXT(C794, "yyyy-mm")</f>
        <v/>
      </c>
      <c r="R794" s="8" t="inlineStr">
        <is>
          <t>B2B Portal</t>
        </is>
      </c>
      <c r="S794" s="8" t="inlineStr">
        <is>
          <t>REG-APAC</t>
        </is>
      </c>
    </row>
    <row r="795">
      <c r="A795" s="8" t="inlineStr">
        <is>
          <t>DTL-0000801</t>
        </is>
      </c>
      <c r="B795" s="8" t="inlineStr">
        <is>
          <t>ORD-000406</t>
        </is>
      </c>
      <c r="C795" s="10" t="inlineStr">
        <is>
          <t>2025-12-10</t>
        </is>
      </c>
      <c r="D795" s="8" t="inlineStr">
        <is>
          <t>CUST-05924</t>
        </is>
      </c>
      <c r="E795" s="8" t="inlineStr">
        <is>
          <t>PRD-0305</t>
        </is>
      </c>
      <c r="F795" s="8" t="n">
        <v>2</v>
      </c>
      <c r="G795" s="9">
        <f>IFERROR(XLOOKUP(E795, '04_Products'!$A:$A, '04_Products'!$G:$G), 713.99)</f>
        <v/>
      </c>
      <c r="H795" s="9">
        <f>IFERROR(XLOOKUP(E795, '04_Products'!$A:$A, '04_Products'!$F:$F), 0)</f>
        <v/>
      </c>
      <c r="I795" s="9">
        <f>F795*G795</f>
        <v/>
      </c>
      <c r="J795" s="11" t="n">
        <v>0.15</v>
      </c>
      <c r="K795" s="9">
        <f>I795*J795</f>
        <v/>
      </c>
      <c r="L795" s="9">
        <f>I795-K795</f>
        <v/>
      </c>
      <c r="M795" s="9">
        <f>F795*H795</f>
        <v/>
      </c>
      <c r="N795" s="9">
        <f>L795-M795</f>
        <v/>
      </c>
      <c r="O795" s="11">
        <f>IFERROR(N795/L795, 0)</f>
        <v/>
      </c>
      <c r="P795" s="8">
        <f>YEAR(C795)</f>
        <v/>
      </c>
      <c r="Q795" s="8">
        <f>TEXT(C795, "yyyy-mm")</f>
        <v/>
      </c>
      <c r="R795" s="8" t="inlineStr">
        <is>
          <t>Direct Web</t>
        </is>
      </c>
      <c r="S795" s="8" t="inlineStr">
        <is>
          <t>REG-EU</t>
        </is>
      </c>
    </row>
    <row r="796">
      <c r="A796" s="8" t="inlineStr">
        <is>
          <t>DTL-0000802</t>
        </is>
      </c>
      <c r="B796" s="8" t="inlineStr">
        <is>
          <t>ORD-000406</t>
        </is>
      </c>
      <c r="C796" s="10" t="inlineStr">
        <is>
          <t>2025-12-10</t>
        </is>
      </c>
      <c r="D796" s="8" t="inlineStr">
        <is>
          <t>CUST-05924</t>
        </is>
      </c>
      <c r="E796" s="8" t="inlineStr">
        <is>
          <t>PRD-0068</t>
        </is>
      </c>
      <c r="F796" s="8" t="n">
        <v>4</v>
      </c>
      <c r="G796" s="9">
        <f>IFERROR(XLOOKUP(E796, '04_Products'!$A:$A, '04_Products'!$G:$G), 1340.27)</f>
        <v/>
      </c>
      <c r="H796" s="9">
        <f>IFERROR(XLOOKUP(E796, '04_Products'!$A:$A, '04_Products'!$F:$F), 0)</f>
        <v/>
      </c>
      <c r="I796" s="9">
        <f>F796*G796</f>
        <v/>
      </c>
      <c r="J796" s="11" t="n">
        <v>0.05</v>
      </c>
      <c r="K796" s="9">
        <f>I796*J796</f>
        <v/>
      </c>
      <c r="L796" s="9">
        <f>I796-K796</f>
        <v/>
      </c>
      <c r="M796" s="9">
        <f>F796*H796</f>
        <v/>
      </c>
      <c r="N796" s="9">
        <f>L796-M796</f>
        <v/>
      </c>
      <c r="O796" s="11">
        <f>IFERROR(N796/L796, 0)</f>
        <v/>
      </c>
      <c r="P796" s="8">
        <f>YEAR(C796)</f>
        <v/>
      </c>
      <c r="Q796" s="8">
        <f>TEXT(C796, "yyyy-mm")</f>
        <v/>
      </c>
      <c r="R796" s="8" t="inlineStr">
        <is>
          <t>Direct Web</t>
        </is>
      </c>
      <c r="S796" s="8" t="inlineStr">
        <is>
          <t>REG-EU</t>
        </is>
      </c>
    </row>
    <row r="797">
      <c r="A797" s="8" t="inlineStr">
        <is>
          <t>DTL-0000803</t>
        </is>
      </c>
      <c r="B797" s="8" t="inlineStr">
        <is>
          <t>ORD-000407</t>
        </is>
      </c>
      <c r="C797" s="10" t="inlineStr">
        <is>
          <t>2023-01-16</t>
        </is>
      </c>
      <c r="D797" s="8" t="inlineStr">
        <is>
          <t>CUST-03181</t>
        </is>
      </c>
      <c r="E797" s="8" t="inlineStr">
        <is>
          <t>PRD-0057</t>
        </is>
      </c>
      <c r="F797" s="8" t="n">
        <v>2</v>
      </c>
      <c r="G797" s="9">
        <f>IFERROR(XLOOKUP(E797, '04_Products'!$A:$A, '04_Products'!$G:$G), 1083.72)</f>
        <v/>
      </c>
      <c r="H797" s="9">
        <f>IFERROR(XLOOKUP(E797, '04_Products'!$A:$A, '04_Products'!$F:$F), 0)</f>
        <v/>
      </c>
      <c r="I797" s="9">
        <f>F797*G797</f>
        <v/>
      </c>
      <c r="J797" s="11" t="n">
        <v>0</v>
      </c>
      <c r="K797" s="9">
        <f>I797*J797</f>
        <v/>
      </c>
      <c r="L797" s="9">
        <f>I797-K797</f>
        <v/>
      </c>
      <c r="M797" s="9">
        <f>F797*H797</f>
        <v/>
      </c>
      <c r="N797" s="9">
        <f>L797-M797</f>
        <v/>
      </c>
      <c r="O797" s="11">
        <f>IFERROR(N797/L797, 0)</f>
        <v/>
      </c>
      <c r="P797" s="8">
        <f>YEAR(C797)</f>
        <v/>
      </c>
      <c r="Q797" s="8">
        <f>TEXT(C797, "yyyy-mm")</f>
        <v/>
      </c>
      <c r="R797" s="8" t="inlineStr">
        <is>
          <t>B2B Portal</t>
        </is>
      </c>
      <c r="S797" s="8" t="inlineStr">
        <is>
          <t>REG-APAC</t>
        </is>
      </c>
    </row>
    <row r="798">
      <c r="A798" s="8" t="inlineStr">
        <is>
          <t>DTL-0000804</t>
        </is>
      </c>
      <c r="B798" s="8" t="inlineStr">
        <is>
          <t>ORD-000408</t>
        </is>
      </c>
      <c r="C798" s="10" t="inlineStr">
        <is>
          <t>2025-07-26</t>
        </is>
      </c>
      <c r="D798" s="8" t="inlineStr">
        <is>
          <t>CUST-01695</t>
        </is>
      </c>
      <c r="E798" s="8" t="inlineStr">
        <is>
          <t>PRD-0465</t>
        </is>
      </c>
      <c r="F798" s="8" t="n">
        <v>10</v>
      </c>
      <c r="G798" s="9">
        <f>IFERROR(XLOOKUP(E798, '04_Products'!$A:$A, '04_Products'!$G:$G), 36.72)</f>
        <v/>
      </c>
      <c r="H798" s="9">
        <f>IFERROR(XLOOKUP(E798, '04_Products'!$A:$A, '04_Products'!$F:$F), 0)</f>
        <v/>
      </c>
      <c r="I798" s="9">
        <f>F798*G798</f>
        <v/>
      </c>
      <c r="J798" s="11" t="n">
        <v>0.05</v>
      </c>
      <c r="K798" s="9">
        <f>I798*J798</f>
        <v/>
      </c>
      <c r="L798" s="9">
        <f>I798-K798</f>
        <v/>
      </c>
      <c r="M798" s="9">
        <f>F798*H798</f>
        <v/>
      </c>
      <c r="N798" s="9">
        <f>L798-M798</f>
        <v/>
      </c>
      <c r="O798" s="11">
        <f>IFERROR(N798/L798, 0)</f>
        <v/>
      </c>
      <c r="P798" s="8">
        <f>YEAR(C798)</f>
        <v/>
      </c>
      <c r="Q798" s="8">
        <f>TEXT(C798, "yyyy-mm")</f>
        <v/>
      </c>
      <c r="R798" s="8" t="inlineStr">
        <is>
          <t>Affiliate Partner</t>
        </is>
      </c>
      <c r="S798" s="8" t="inlineStr">
        <is>
          <t>REG-EU</t>
        </is>
      </c>
    </row>
    <row r="799">
      <c r="A799" s="8" t="inlineStr">
        <is>
          <t>DTL-0000805</t>
        </is>
      </c>
      <c r="B799" s="8" t="inlineStr">
        <is>
          <t>ORD-000408</t>
        </is>
      </c>
      <c r="C799" s="10" t="inlineStr">
        <is>
          <t>2025-07-26</t>
        </is>
      </c>
      <c r="D799" s="8" t="inlineStr">
        <is>
          <t>CUST-01695</t>
        </is>
      </c>
      <c r="E799" s="8" t="inlineStr">
        <is>
          <t>PRD-0272</t>
        </is>
      </c>
      <c r="F799" s="8" t="n">
        <v>1</v>
      </c>
      <c r="G799" s="9">
        <f>IFERROR(XLOOKUP(E799, '04_Products'!$A:$A, '04_Products'!$G:$G), 109.11)</f>
        <v/>
      </c>
      <c r="H799" s="9">
        <f>IFERROR(XLOOKUP(E799, '04_Products'!$A:$A, '04_Products'!$F:$F), 0)</f>
        <v/>
      </c>
      <c r="I799" s="9">
        <f>F799*G799</f>
        <v/>
      </c>
      <c r="J799" s="11" t="n">
        <v>0.05</v>
      </c>
      <c r="K799" s="9">
        <f>I799*J799</f>
        <v/>
      </c>
      <c r="L799" s="9">
        <f>I799-K799</f>
        <v/>
      </c>
      <c r="M799" s="9">
        <f>F799*H799</f>
        <v/>
      </c>
      <c r="N799" s="9">
        <f>L799-M799</f>
        <v/>
      </c>
      <c r="O799" s="11">
        <f>IFERROR(N799/L799, 0)</f>
        <v/>
      </c>
      <c r="P799" s="8">
        <f>YEAR(C799)</f>
        <v/>
      </c>
      <c r="Q799" s="8">
        <f>TEXT(C799, "yyyy-mm")</f>
        <v/>
      </c>
      <c r="R799" s="8" t="inlineStr">
        <is>
          <t>Affiliate Partner</t>
        </is>
      </c>
      <c r="S799" s="8" t="inlineStr">
        <is>
          <t>REG-EU</t>
        </is>
      </c>
    </row>
    <row r="800">
      <c r="A800" s="8" t="inlineStr">
        <is>
          <t>DTL-0000806</t>
        </is>
      </c>
      <c r="B800" s="8" t="inlineStr">
        <is>
          <t>ORD-000409</t>
        </is>
      </c>
      <c r="C800" s="10" t="inlineStr">
        <is>
          <t>2023-09-03</t>
        </is>
      </c>
      <c r="D800" s="8" t="inlineStr">
        <is>
          <t>CUST-01678</t>
        </is>
      </c>
      <c r="E800" s="8" t="inlineStr">
        <is>
          <t>PRD-0205</t>
        </is>
      </c>
      <c r="F800" s="8" t="n">
        <v>1</v>
      </c>
      <c r="G800" s="9">
        <f>IFERROR(XLOOKUP(E800, '04_Products'!$A:$A, '04_Products'!$G:$G), 385.35)</f>
        <v/>
      </c>
      <c r="H800" s="9">
        <f>IFERROR(XLOOKUP(E800, '04_Products'!$A:$A, '04_Products'!$F:$F), 0)</f>
        <v/>
      </c>
      <c r="I800" s="9">
        <f>F800*G800</f>
        <v/>
      </c>
      <c r="J800" s="11" t="n">
        <v>0.05</v>
      </c>
      <c r="K800" s="9">
        <f>I800*J800</f>
        <v/>
      </c>
      <c r="L800" s="9">
        <f>I800-K800</f>
        <v/>
      </c>
      <c r="M800" s="9">
        <f>F800*H800</f>
        <v/>
      </c>
      <c r="N800" s="9">
        <f>L800-M800</f>
        <v/>
      </c>
      <c r="O800" s="11">
        <f>IFERROR(N800/L800, 0)</f>
        <v/>
      </c>
      <c r="P800" s="8">
        <f>YEAR(C800)</f>
        <v/>
      </c>
      <c r="Q800" s="8">
        <f>TEXT(C800, "yyyy-mm")</f>
        <v/>
      </c>
      <c r="R800" s="8" t="inlineStr">
        <is>
          <t>Mobile App</t>
        </is>
      </c>
      <c r="S800" s="8" t="inlineStr">
        <is>
          <t>REG-NA</t>
        </is>
      </c>
    </row>
    <row r="801">
      <c r="A801" s="8" t="inlineStr">
        <is>
          <t>DTL-0000807</t>
        </is>
      </c>
      <c r="B801" s="8" t="inlineStr">
        <is>
          <t>ORD-000409</t>
        </is>
      </c>
      <c r="C801" s="10" t="inlineStr">
        <is>
          <t>2023-09-03</t>
        </is>
      </c>
      <c r="D801" s="8" t="inlineStr">
        <is>
          <t>CUST-01678</t>
        </is>
      </c>
      <c r="E801" s="8" t="inlineStr">
        <is>
          <t>PRD-0400</t>
        </is>
      </c>
      <c r="F801" s="8" t="n">
        <v>1</v>
      </c>
      <c r="G801" s="9">
        <f>IFERROR(XLOOKUP(E801, '04_Products'!$A:$A, '04_Products'!$G:$G), 409.11)</f>
        <v/>
      </c>
      <c r="H801" s="9">
        <f>IFERROR(XLOOKUP(E801, '04_Products'!$A:$A, '04_Products'!$F:$F), 0)</f>
        <v/>
      </c>
      <c r="I801" s="9">
        <f>F801*G801</f>
        <v/>
      </c>
      <c r="J801" s="11" t="n">
        <v>0.15</v>
      </c>
      <c r="K801" s="9">
        <f>I801*J801</f>
        <v/>
      </c>
      <c r="L801" s="9">
        <f>I801-K801</f>
        <v/>
      </c>
      <c r="M801" s="9">
        <f>F801*H801</f>
        <v/>
      </c>
      <c r="N801" s="9">
        <f>L801-M801</f>
        <v/>
      </c>
      <c r="O801" s="11">
        <f>IFERROR(N801/L801, 0)</f>
        <v/>
      </c>
      <c r="P801" s="8">
        <f>YEAR(C801)</f>
        <v/>
      </c>
      <c r="Q801" s="8">
        <f>TEXT(C801, "yyyy-mm")</f>
        <v/>
      </c>
      <c r="R801" s="8" t="inlineStr">
        <is>
          <t>Mobile App</t>
        </is>
      </c>
      <c r="S801" s="8" t="inlineStr">
        <is>
          <t>REG-NA</t>
        </is>
      </c>
    </row>
    <row r="802">
      <c r="A802" s="8" t="inlineStr">
        <is>
          <t>DTL-0000808</t>
        </is>
      </c>
      <c r="B802" s="8" t="inlineStr">
        <is>
          <t>ORD-000409</t>
        </is>
      </c>
      <c r="C802" s="10" t="inlineStr">
        <is>
          <t>2023-09-03</t>
        </is>
      </c>
      <c r="D802" s="8" t="inlineStr">
        <is>
          <t>CUST-01678</t>
        </is>
      </c>
      <c r="E802" s="8" t="inlineStr">
        <is>
          <t>PRD-0391</t>
        </is>
      </c>
      <c r="F802" s="8" t="n">
        <v>2</v>
      </c>
      <c r="G802" s="9">
        <f>IFERROR(XLOOKUP(E802, '04_Products'!$A:$A, '04_Products'!$G:$G), 468.85)</f>
        <v/>
      </c>
      <c r="H802" s="9">
        <f>IFERROR(XLOOKUP(E802, '04_Products'!$A:$A, '04_Products'!$F:$F), 0)</f>
        <v/>
      </c>
      <c r="I802" s="9">
        <f>F802*G802</f>
        <v/>
      </c>
      <c r="J802" s="11" t="n">
        <v>0</v>
      </c>
      <c r="K802" s="9">
        <f>I802*J802</f>
        <v/>
      </c>
      <c r="L802" s="9">
        <f>I802-K802</f>
        <v/>
      </c>
      <c r="M802" s="9">
        <f>F802*H802</f>
        <v/>
      </c>
      <c r="N802" s="9">
        <f>L802-M802</f>
        <v/>
      </c>
      <c r="O802" s="11">
        <f>IFERROR(N802/L802, 0)</f>
        <v/>
      </c>
      <c r="P802" s="8">
        <f>YEAR(C802)</f>
        <v/>
      </c>
      <c r="Q802" s="8">
        <f>TEXT(C802, "yyyy-mm")</f>
        <v/>
      </c>
      <c r="R802" s="8" t="inlineStr">
        <is>
          <t>Mobile App</t>
        </is>
      </c>
      <c r="S802" s="8" t="inlineStr">
        <is>
          <t>REG-NA</t>
        </is>
      </c>
    </row>
    <row r="803">
      <c r="A803" s="8" t="inlineStr">
        <is>
          <t>DTL-0000809</t>
        </is>
      </c>
      <c r="B803" s="8" t="inlineStr">
        <is>
          <t>ORD-000409</t>
        </is>
      </c>
      <c r="C803" s="10" t="inlineStr">
        <is>
          <t>2023-09-03</t>
        </is>
      </c>
      <c r="D803" s="8" t="inlineStr">
        <is>
          <t>CUST-01678</t>
        </is>
      </c>
      <c r="E803" s="8" t="inlineStr">
        <is>
          <t>PRD-0317</t>
        </is>
      </c>
      <c r="F803" s="8" t="n">
        <v>1</v>
      </c>
      <c r="G803" s="9">
        <f>IFERROR(XLOOKUP(E803, '04_Products'!$A:$A, '04_Products'!$G:$G), 484.56)</f>
        <v/>
      </c>
      <c r="H803" s="9">
        <f>IFERROR(XLOOKUP(E803, '04_Products'!$A:$A, '04_Products'!$F:$F), 0)</f>
        <v/>
      </c>
      <c r="I803" s="9">
        <f>F803*G803</f>
        <v/>
      </c>
      <c r="J803" s="11" t="n">
        <v>0.25</v>
      </c>
      <c r="K803" s="9">
        <f>I803*J803</f>
        <v/>
      </c>
      <c r="L803" s="9">
        <f>I803-K803</f>
        <v/>
      </c>
      <c r="M803" s="9">
        <f>F803*H803</f>
        <v/>
      </c>
      <c r="N803" s="9">
        <f>L803-M803</f>
        <v/>
      </c>
      <c r="O803" s="11">
        <f>IFERROR(N803/L803, 0)</f>
        <v/>
      </c>
      <c r="P803" s="8">
        <f>YEAR(C803)</f>
        <v/>
      </c>
      <c r="Q803" s="8">
        <f>TEXT(C803, "yyyy-mm")</f>
        <v/>
      </c>
      <c r="R803" s="8" t="inlineStr">
        <is>
          <t>Mobile App</t>
        </is>
      </c>
      <c r="S803" s="8" t="inlineStr">
        <is>
          <t>REG-NA</t>
        </is>
      </c>
    </row>
    <row r="804">
      <c r="A804" s="8" t="inlineStr">
        <is>
          <t>DTL-0000810</t>
        </is>
      </c>
      <c r="B804" s="8" t="inlineStr">
        <is>
          <t>ORD-000410</t>
        </is>
      </c>
      <c r="C804" s="10" t="inlineStr">
        <is>
          <t>2024-08-30</t>
        </is>
      </c>
      <c r="D804" s="8" t="inlineStr">
        <is>
          <t>CUST-05205</t>
        </is>
      </c>
      <c r="E804" s="8" t="inlineStr">
        <is>
          <t>PRD-0084</t>
        </is>
      </c>
      <c r="F804" s="8" t="n">
        <v>3</v>
      </c>
      <c r="G804" s="9">
        <f>IFERROR(XLOOKUP(E804, '04_Products'!$A:$A, '04_Products'!$G:$G), 72.68)</f>
        <v/>
      </c>
      <c r="H804" s="9">
        <f>IFERROR(XLOOKUP(E804, '04_Products'!$A:$A, '04_Products'!$F:$F), 0)</f>
        <v/>
      </c>
      <c r="I804" s="9">
        <f>F804*G804</f>
        <v/>
      </c>
      <c r="J804" s="11" t="n">
        <v>0</v>
      </c>
      <c r="K804" s="9">
        <f>I804*J804</f>
        <v/>
      </c>
      <c r="L804" s="9">
        <f>I804-K804</f>
        <v/>
      </c>
      <c r="M804" s="9">
        <f>F804*H804</f>
        <v/>
      </c>
      <c r="N804" s="9">
        <f>L804-M804</f>
        <v/>
      </c>
      <c r="O804" s="11">
        <f>IFERROR(N804/L804, 0)</f>
        <v/>
      </c>
      <c r="P804" s="8">
        <f>YEAR(C804)</f>
        <v/>
      </c>
      <c r="Q804" s="8">
        <f>TEXT(C804, "yyyy-mm")</f>
        <v/>
      </c>
      <c r="R804" s="8" t="inlineStr">
        <is>
          <t>Direct Web</t>
        </is>
      </c>
      <c r="S804" s="8" t="inlineStr">
        <is>
          <t>REG-NA</t>
        </is>
      </c>
    </row>
    <row r="805">
      <c r="A805" s="8" t="inlineStr">
        <is>
          <t>DTL-0000811</t>
        </is>
      </c>
      <c r="B805" s="8" t="inlineStr">
        <is>
          <t>ORD-000410</t>
        </is>
      </c>
      <c r="C805" s="10" t="inlineStr">
        <is>
          <t>2024-08-30</t>
        </is>
      </c>
      <c r="D805" s="8" t="inlineStr">
        <is>
          <t>CUST-05205</t>
        </is>
      </c>
      <c r="E805" s="8" t="inlineStr">
        <is>
          <t>PRD-0457</t>
        </is>
      </c>
      <c r="F805" s="8" t="n">
        <v>1</v>
      </c>
      <c r="G805" s="9">
        <f>IFERROR(XLOOKUP(E805, '04_Products'!$A:$A, '04_Products'!$G:$G), 29.97)</f>
        <v/>
      </c>
      <c r="H805" s="9">
        <f>IFERROR(XLOOKUP(E805, '04_Products'!$A:$A, '04_Products'!$F:$F), 0)</f>
        <v/>
      </c>
      <c r="I805" s="9">
        <f>F805*G805</f>
        <v/>
      </c>
      <c r="J805" s="11" t="n">
        <v>0.05</v>
      </c>
      <c r="K805" s="9">
        <f>I805*J805</f>
        <v/>
      </c>
      <c r="L805" s="9">
        <f>I805-K805</f>
        <v/>
      </c>
      <c r="M805" s="9">
        <f>F805*H805</f>
        <v/>
      </c>
      <c r="N805" s="9">
        <f>L805-M805</f>
        <v/>
      </c>
      <c r="O805" s="11">
        <f>IFERROR(N805/L805, 0)</f>
        <v/>
      </c>
      <c r="P805" s="8">
        <f>YEAR(C805)</f>
        <v/>
      </c>
      <c r="Q805" s="8">
        <f>TEXT(C805, "yyyy-mm")</f>
        <v/>
      </c>
      <c r="R805" s="8" t="inlineStr">
        <is>
          <t>Direct Web</t>
        </is>
      </c>
      <c r="S805" s="8" t="inlineStr">
        <is>
          <t>REG-NA</t>
        </is>
      </c>
    </row>
    <row r="806">
      <c r="A806" s="8" t="inlineStr">
        <is>
          <t>DTL-0000812</t>
        </is>
      </c>
      <c r="B806" s="8" t="inlineStr">
        <is>
          <t>ORD-000410</t>
        </is>
      </c>
      <c r="C806" s="10" t="inlineStr">
        <is>
          <t>2024-08-30</t>
        </is>
      </c>
      <c r="D806" s="8" t="inlineStr">
        <is>
          <t>CUST-05205</t>
        </is>
      </c>
      <c r="E806" s="8" t="inlineStr">
        <is>
          <t>PRD-0286</t>
        </is>
      </c>
      <c r="F806" s="8" t="n">
        <v>2</v>
      </c>
      <c r="G806" s="9">
        <f>IFERROR(XLOOKUP(E806, '04_Products'!$A:$A, '04_Products'!$G:$G), 232.89)</f>
        <v/>
      </c>
      <c r="H806" s="9">
        <f>IFERROR(XLOOKUP(E806, '04_Products'!$A:$A, '04_Products'!$F:$F), 0)</f>
        <v/>
      </c>
      <c r="I806" s="9">
        <f>F806*G806</f>
        <v/>
      </c>
      <c r="J806" s="11" t="n">
        <v>0.1</v>
      </c>
      <c r="K806" s="9">
        <f>I806*J806</f>
        <v/>
      </c>
      <c r="L806" s="9">
        <f>I806-K806</f>
        <v/>
      </c>
      <c r="M806" s="9">
        <f>F806*H806</f>
        <v/>
      </c>
      <c r="N806" s="9">
        <f>L806-M806</f>
        <v/>
      </c>
      <c r="O806" s="11">
        <f>IFERROR(N806/L806, 0)</f>
        <v/>
      </c>
      <c r="P806" s="8">
        <f>YEAR(C806)</f>
        <v/>
      </c>
      <c r="Q806" s="8">
        <f>TEXT(C806, "yyyy-mm")</f>
        <v/>
      </c>
      <c r="R806" s="8" t="inlineStr">
        <is>
          <t>Direct Web</t>
        </is>
      </c>
      <c r="S806" s="8" t="inlineStr">
        <is>
          <t>REG-NA</t>
        </is>
      </c>
    </row>
    <row r="807">
      <c r="A807" s="8" t="inlineStr">
        <is>
          <t>DTL-0000813</t>
        </is>
      </c>
      <c r="B807" s="8" t="inlineStr">
        <is>
          <t>ORD-000411</t>
        </is>
      </c>
      <c r="C807" s="10" t="inlineStr">
        <is>
          <t>2024-12-05</t>
        </is>
      </c>
      <c r="D807" s="8" t="inlineStr">
        <is>
          <t>CUST-04904</t>
        </is>
      </c>
      <c r="E807" s="8" t="inlineStr">
        <is>
          <t>PRD-0297</t>
        </is>
      </c>
      <c r="F807" s="8" t="n">
        <v>1</v>
      </c>
      <c r="G807" s="9">
        <f>IFERROR(XLOOKUP(E807, '04_Products'!$A:$A, '04_Products'!$G:$G), 47.74)</f>
        <v/>
      </c>
      <c r="H807" s="9">
        <f>IFERROR(XLOOKUP(E807, '04_Products'!$A:$A, '04_Products'!$F:$F), 0)</f>
        <v/>
      </c>
      <c r="I807" s="9">
        <f>F807*G807</f>
        <v/>
      </c>
      <c r="J807" s="11" t="n">
        <v>0</v>
      </c>
      <c r="K807" s="9">
        <f>I807*J807</f>
        <v/>
      </c>
      <c r="L807" s="9">
        <f>I807-K807</f>
        <v/>
      </c>
      <c r="M807" s="9">
        <f>F807*H807</f>
        <v/>
      </c>
      <c r="N807" s="9">
        <f>L807-M807</f>
        <v/>
      </c>
      <c r="O807" s="11">
        <f>IFERROR(N807/L807, 0)</f>
        <v/>
      </c>
      <c r="P807" s="8">
        <f>YEAR(C807)</f>
        <v/>
      </c>
      <c r="Q807" s="8">
        <f>TEXT(C807, "yyyy-mm")</f>
        <v/>
      </c>
      <c r="R807" s="8" t="inlineStr">
        <is>
          <t>Mobile App</t>
        </is>
      </c>
      <c r="S807" s="8" t="inlineStr">
        <is>
          <t>REG-EU</t>
        </is>
      </c>
    </row>
    <row r="808">
      <c r="A808" s="8" t="inlineStr">
        <is>
          <t>DTL-0000814</t>
        </is>
      </c>
      <c r="B808" s="8" t="inlineStr">
        <is>
          <t>ORD-000412</t>
        </is>
      </c>
      <c r="C808" s="10" t="inlineStr">
        <is>
          <t>2024-02-04</t>
        </is>
      </c>
      <c r="D808" s="8" t="inlineStr">
        <is>
          <t>CUST-03440</t>
        </is>
      </c>
      <c r="E808" s="8" t="inlineStr">
        <is>
          <t>PRD-0027</t>
        </is>
      </c>
      <c r="F808" s="8" t="n">
        <v>2</v>
      </c>
      <c r="G808" s="9">
        <f>IFERROR(XLOOKUP(E808, '04_Products'!$A:$A, '04_Products'!$G:$G), 11.10)</f>
        <v/>
      </c>
      <c r="H808" s="9">
        <f>IFERROR(XLOOKUP(E808, '04_Products'!$A:$A, '04_Products'!$F:$F), 0)</f>
        <v/>
      </c>
      <c r="I808" s="9">
        <f>F808*G808</f>
        <v/>
      </c>
      <c r="J808" s="11" t="n">
        <v>0</v>
      </c>
      <c r="K808" s="9">
        <f>I808*J808</f>
        <v/>
      </c>
      <c r="L808" s="9">
        <f>I808-K808</f>
        <v/>
      </c>
      <c r="M808" s="9">
        <f>F808*H808</f>
        <v/>
      </c>
      <c r="N808" s="9">
        <f>L808-M808</f>
        <v/>
      </c>
      <c r="O808" s="11">
        <f>IFERROR(N808/L808, 0)</f>
        <v/>
      </c>
      <c r="P808" s="8">
        <f>YEAR(C808)</f>
        <v/>
      </c>
      <c r="Q808" s="8">
        <f>TEXT(C808, "yyyy-mm")</f>
        <v/>
      </c>
      <c r="R808" s="8" t="inlineStr">
        <is>
          <t>Mobile App</t>
        </is>
      </c>
      <c r="S808" s="8" t="inlineStr">
        <is>
          <t>REG-NA</t>
        </is>
      </c>
    </row>
    <row r="809">
      <c r="A809" s="8" t="inlineStr">
        <is>
          <t>DTL-0000815</t>
        </is>
      </c>
      <c r="B809" s="8" t="inlineStr">
        <is>
          <t>ORD-000412</t>
        </is>
      </c>
      <c r="C809" s="10" t="inlineStr">
        <is>
          <t>2024-02-04</t>
        </is>
      </c>
      <c r="D809" s="8" t="inlineStr">
        <is>
          <t>CUST-03440</t>
        </is>
      </c>
      <c r="E809" s="8" t="inlineStr">
        <is>
          <t>PRD-0307</t>
        </is>
      </c>
      <c r="F809" s="8" t="n">
        <v>1</v>
      </c>
      <c r="G809" s="9">
        <f>IFERROR(XLOOKUP(E809, '04_Products'!$A:$A, '04_Products'!$G:$G), 762.88)</f>
        <v/>
      </c>
      <c r="H809" s="9">
        <f>IFERROR(XLOOKUP(E809, '04_Products'!$A:$A, '04_Products'!$F:$F), 0)</f>
        <v/>
      </c>
      <c r="I809" s="9">
        <f>F809*G809</f>
        <v/>
      </c>
      <c r="J809" s="11" t="n">
        <v>0.05</v>
      </c>
      <c r="K809" s="9">
        <f>I809*J809</f>
        <v/>
      </c>
      <c r="L809" s="9">
        <f>I809-K809</f>
        <v/>
      </c>
      <c r="M809" s="9">
        <f>F809*H809</f>
        <v/>
      </c>
      <c r="N809" s="9">
        <f>L809-M809</f>
        <v/>
      </c>
      <c r="O809" s="11">
        <f>IFERROR(N809/L809, 0)</f>
        <v/>
      </c>
      <c r="P809" s="8">
        <f>YEAR(C809)</f>
        <v/>
      </c>
      <c r="Q809" s="8">
        <f>TEXT(C809, "yyyy-mm")</f>
        <v/>
      </c>
      <c r="R809" s="8" t="inlineStr">
        <is>
          <t>Mobile App</t>
        </is>
      </c>
      <c r="S809" s="8" t="inlineStr">
        <is>
          <t>REG-NA</t>
        </is>
      </c>
    </row>
    <row r="810">
      <c r="A810" s="8" t="inlineStr">
        <is>
          <t>DTL-0000816</t>
        </is>
      </c>
      <c r="B810" s="8" t="inlineStr">
        <is>
          <t>ORD-000412</t>
        </is>
      </c>
      <c r="C810" s="10" t="inlineStr">
        <is>
          <t>2024-02-04</t>
        </is>
      </c>
      <c r="D810" s="8" t="inlineStr">
        <is>
          <t>CUST-03440</t>
        </is>
      </c>
      <c r="E810" s="8" t="inlineStr">
        <is>
          <t>PRD-0351</t>
        </is>
      </c>
      <c r="F810" s="8" t="n">
        <v>1</v>
      </c>
      <c r="G810" s="9">
        <f>IFERROR(XLOOKUP(E810, '04_Products'!$A:$A, '04_Products'!$G:$G), 65.14)</f>
        <v/>
      </c>
      <c r="H810" s="9">
        <f>IFERROR(XLOOKUP(E810, '04_Products'!$A:$A, '04_Products'!$F:$F), 0)</f>
        <v/>
      </c>
      <c r="I810" s="9">
        <f>F810*G810</f>
        <v/>
      </c>
      <c r="J810" s="11" t="n">
        <v>0.1</v>
      </c>
      <c r="K810" s="9">
        <f>I810*J810</f>
        <v/>
      </c>
      <c r="L810" s="9">
        <f>I810-K810</f>
        <v/>
      </c>
      <c r="M810" s="9">
        <f>F810*H810</f>
        <v/>
      </c>
      <c r="N810" s="9">
        <f>L810-M810</f>
        <v/>
      </c>
      <c r="O810" s="11">
        <f>IFERROR(N810/L810, 0)</f>
        <v/>
      </c>
      <c r="P810" s="8">
        <f>YEAR(C810)</f>
        <v/>
      </c>
      <c r="Q810" s="8">
        <f>TEXT(C810, "yyyy-mm")</f>
        <v/>
      </c>
      <c r="R810" s="8" t="inlineStr">
        <is>
          <t>Mobile App</t>
        </is>
      </c>
      <c r="S810" s="8" t="inlineStr">
        <is>
          <t>REG-NA</t>
        </is>
      </c>
    </row>
    <row r="811">
      <c r="A811" s="8" t="inlineStr">
        <is>
          <t>DTL-0000817</t>
        </is>
      </c>
      <c r="B811" s="8" t="inlineStr">
        <is>
          <t>ORD-000413</t>
        </is>
      </c>
      <c r="C811" s="10" t="inlineStr">
        <is>
          <t>2025-05-09</t>
        </is>
      </c>
      <c r="D811" s="8" t="inlineStr">
        <is>
          <t>CUST-02033</t>
        </is>
      </c>
      <c r="E811" s="8" t="inlineStr">
        <is>
          <t>PRD-0407</t>
        </is>
      </c>
      <c r="F811" s="8" t="n">
        <v>2</v>
      </c>
      <c r="G811" s="9">
        <f>IFERROR(XLOOKUP(E811, '04_Products'!$A:$A, '04_Products'!$G:$G), 515.93)</f>
        <v/>
      </c>
      <c r="H811" s="9">
        <f>IFERROR(XLOOKUP(E811, '04_Products'!$A:$A, '04_Products'!$F:$F), 0)</f>
        <v/>
      </c>
      <c r="I811" s="9">
        <f>F811*G811</f>
        <v/>
      </c>
      <c r="J811" s="11" t="n">
        <v>0</v>
      </c>
      <c r="K811" s="9">
        <f>I811*J811</f>
        <v/>
      </c>
      <c r="L811" s="9">
        <f>I811-K811</f>
        <v/>
      </c>
      <c r="M811" s="9">
        <f>F811*H811</f>
        <v/>
      </c>
      <c r="N811" s="9">
        <f>L811-M811</f>
        <v/>
      </c>
      <c r="O811" s="11">
        <f>IFERROR(N811/L811, 0)</f>
        <v/>
      </c>
      <c r="P811" s="8">
        <f>YEAR(C811)</f>
        <v/>
      </c>
      <c r="Q811" s="8">
        <f>TEXT(C811, "yyyy-mm")</f>
        <v/>
      </c>
      <c r="R811" s="8" t="inlineStr">
        <is>
          <t>Mobile App</t>
        </is>
      </c>
      <c r="S811" s="8" t="inlineStr">
        <is>
          <t>REG-NA</t>
        </is>
      </c>
    </row>
    <row r="812">
      <c r="A812" s="8" t="inlineStr">
        <is>
          <t>DTL-0000818</t>
        </is>
      </c>
      <c r="B812" s="8" t="inlineStr">
        <is>
          <t>ORD-000413</t>
        </is>
      </c>
      <c r="C812" s="10" t="inlineStr">
        <is>
          <t>2025-05-09</t>
        </is>
      </c>
      <c r="D812" s="8" t="inlineStr">
        <is>
          <t>CUST-02033</t>
        </is>
      </c>
      <c r="E812" s="8" t="inlineStr">
        <is>
          <t>PRD-0126</t>
        </is>
      </c>
      <c r="F812" s="8" t="n">
        <v>3</v>
      </c>
      <c r="G812" s="9">
        <f>IFERROR(XLOOKUP(E812, '04_Products'!$A:$A, '04_Products'!$G:$G), 195.24)</f>
        <v/>
      </c>
      <c r="H812" s="9">
        <f>IFERROR(XLOOKUP(E812, '04_Products'!$A:$A, '04_Products'!$F:$F), 0)</f>
        <v/>
      </c>
      <c r="I812" s="9">
        <f>F812*G812</f>
        <v/>
      </c>
      <c r="J812" s="11" t="n">
        <v>0</v>
      </c>
      <c r="K812" s="9">
        <f>I812*J812</f>
        <v/>
      </c>
      <c r="L812" s="9">
        <f>I812-K812</f>
        <v/>
      </c>
      <c r="M812" s="9">
        <f>F812*H812</f>
        <v/>
      </c>
      <c r="N812" s="9">
        <f>L812-M812</f>
        <v/>
      </c>
      <c r="O812" s="11">
        <f>IFERROR(N812/L812, 0)</f>
        <v/>
      </c>
      <c r="P812" s="8">
        <f>YEAR(C812)</f>
        <v/>
      </c>
      <c r="Q812" s="8">
        <f>TEXT(C812, "yyyy-mm")</f>
        <v/>
      </c>
      <c r="R812" s="8" t="inlineStr">
        <is>
          <t>Mobile App</t>
        </is>
      </c>
      <c r="S812" s="8" t="inlineStr">
        <is>
          <t>REG-NA</t>
        </is>
      </c>
    </row>
    <row r="813">
      <c r="A813" s="8" t="inlineStr">
        <is>
          <t>DTL-0000819</t>
        </is>
      </c>
      <c r="B813" s="8" t="inlineStr">
        <is>
          <t>ORD-000414</t>
        </is>
      </c>
      <c r="C813" s="10" t="inlineStr">
        <is>
          <t>2025-03-25</t>
        </is>
      </c>
      <c r="D813" s="8" t="inlineStr">
        <is>
          <t>CUST-05345</t>
        </is>
      </c>
      <c r="E813" s="8" t="inlineStr">
        <is>
          <t>PRD-0207</t>
        </is>
      </c>
      <c r="F813" s="8" t="n">
        <v>1</v>
      </c>
      <c r="G813" s="9">
        <f>IFERROR(XLOOKUP(E813, '04_Products'!$A:$A, '04_Products'!$G:$G), 1025.22)</f>
        <v/>
      </c>
      <c r="H813" s="9">
        <f>IFERROR(XLOOKUP(E813, '04_Products'!$A:$A, '04_Products'!$F:$F), 0)</f>
        <v/>
      </c>
      <c r="I813" s="9">
        <f>F813*G813</f>
        <v/>
      </c>
      <c r="J813" s="11" t="n">
        <v>0.15</v>
      </c>
      <c r="K813" s="9">
        <f>I813*J813</f>
        <v/>
      </c>
      <c r="L813" s="9">
        <f>I813-K813</f>
        <v/>
      </c>
      <c r="M813" s="9">
        <f>F813*H813</f>
        <v/>
      </c>
      <c r="N813" s="9">
        <f>L813-M813</f>
        <v/>
      </c>
      <c r="O813" s="11">
        <f>IFERROR(N813/L813, 0)</f>
        <v/>
      </c>
      <c r="P813" s="8">
        <f>YEAR(C813)</f>
        <v/>
      </c>
      <c r="Q813" s="8">
        <f>TEXT(C813, "yyyy-mm")</f>
        <v/>
      </c>
      <c r="R813" s="8" t="inlineStr">
        <is>
          <t>Direct Web</t>
        </is>
      </c>
      <c r="S813" s="8" t="inlineStr">
        <is>
          <t>REG-APAC</t>
        </is>
      </c>
    </row>
    <row r="814">
      <c r="A814" s="8" t="inlineStr">
        <is>
          <t>DTL-0000820</t>
        </is>
      </c>
      <c r="B814" s="8" t="inlineStr">
        <is>
          <t>ORD-000415</t>
        </is>
      </c>
      <c r="C814" s="10" t="inlineStr">
        <is>
          <t>2025-11-02</t>
        </is>
      </c>
      <c r="D814" s="8" t="inlineStr">
        <is>
          <t>CUST-05358</t>
        </is>
      </c>
      <c r="E814" s="8" t="inlineStr">
        <is>
          <t>PRD-0391</t>
        </is>
      </c>
      <c r="F814" s="8" t="n">
        <v>2</v>
      </c>
      <c r="G814" s="9">
        <f>IFERROR(XLOOKUP(E814, '04_Products'!$A:$A, '04_Products'!$G:$G), 468.85)</f>
        <v/>
      </c>
      <c r="H814" s="9">
        <f>IFERROR(XLOOKUP(E814, '04_Products'!$A:$A, '04_Products'!$F:$F), 0)</f>
        <v/>
      </c>
      <c r="I814" s="9">
        <f>F814*G814</f>
        <v/>
      </c>
      <c r="J814" s="11" t="n">
        <v>0</v>
      </c>
      <c r="K814" s="9">
        <f>I814*J814</f>
        <v/>
      </c>
      <c r="L814" s="9">
        <f>I814-K814</f>
        <v/>
      </c>
      <c r="M814" s="9">
        <f>F814*H814</f>
        <v/>
      </c>
      <c r="N814" s="9">
        <f>L814-M814</f>
        <v/>
      </c>
      <c r="O814" s="11">
        <f>IFERROR(N814/L814, 0)</f>
        <v/>
      </c>
      <c r="P814" s="8">
        <f>YEAR(C814)</f>
        <v/>
      </c>
      <c r="Q814" s="8">
        <f>TEXT(C814, "yyyy-mm")</f>
        <v/>
      </c>
      <c r="R814" s="8" t="inlineStr">
        <is>
          <t>Direct Web</t>
        </is>
      </c>
      <c r="S814" s="8" t="inlineStr">
        <is>
          <t>REG-EU</t>
        </is>
      </c>
    </row>
    <row r="815">
      <c r="A815" s="8" t="inlineStr">
        <is>
          <t>DTL-0000821</t>
        </is>
      </c>
      <c r="B815" s="8" t="inlineStr">
        <is>
          <t>ORD-000416</t>
        </is>
      </c>
      <c r="C815" s="10" t="inlineStr">
        <is>
          <t>2024-04-28</t>
        </is>
      </c>
      <c r="D815" s="8" t="inlineStr">
        <is>
          <t>CUST-00878</t>
        </is>
      </c>
      <c r="E815" s="8" t="inlineStr">
        <is>
          <t>PRD-0093</t>
        </is>
      </c>
      <c r="F815" s="8" t="n">
        <v>1</v>
      </c>
      <c r="G815" s="9">
        <f>IFERROR(XLOOKUP(E815, '04_Products'!$A:$A, '04_Products'!$G:$G), 1324.37)</f>
        <v/>
      </c>
      <c r="H815" s="9">
        <f>IFERROR(XLOOKUP(E815, '04_Products'!$A:$A, '04_Products'!$F:$F), 0)</f>
        <v/>
      </c>
      <c r="I815" s="9">
        <f>F815*G815</f>
        <v/>
      </c>
      <c r="J815" s="11" t="n">
        <v>0.2</v>
      </c>
      <c r="K815" s="9">
        <f>I815*J815</f>
        <v/>
      </c>
      <c r="L815" s="9">
        <f>I815-K815</f>
        <v/>
      </c>
      <c r="M815" s="9">
        <f>F815*H815</f>
        <v/>
      </c>
      <c r="N815" s="9">
        <f>L815-M815</f>
        <v/>
      </c>
      <c r="O815" s="11">
        <f>IFERROR(N815/L815, 0)</f>
        <v/>
      </c>
      <c r="P815" s="8">
        <f>YEAR(C815)</f>
        <v/>
      </c>
      <c r="Q815" s="8">
        <f>TEXT(C815, "yyyy-mm")</f>
        <v/>
      </c>
      <c r="R815" s="8" t="inlineStr">
        <is>
          <t>Mobile App</t>
        </is>
      </c>
      <c r="S815" s="8" t="inlineStr">
        <is>
          <t>REG-EU</t>
        </is>
      </c>
    </row>
    <row r="816">
      <c r="A816" s="8" t="inlineStr">
        <is>
          <t>DTL-0000822</t>
        </is>
      </c>
      <c r="B816" s="8" t="inlineStr">
        <is>
          <t>ORD-000417</t>
        </is>
      </c>
      <c r="C816" s="10" t="inlineStr">
        <is>
          <t>2025-06-01</t>
        </is>
      </c>
      <c r="D816" s="8" t="inlineStr">
        <is>
          <t>CUST-03319</t>
        </is>
      </c>
      <c r="E816" s="8" t="inlineStr">
        <is>
          <t>PRD-0233</t>
        </is>
      </c>
      <c r="F816" s="8" t="n">
        <v>1</v>
      </c>
      <c r="G816" s="9">
        <f>IFERROR(XLOOKUP(E816, '04_Products'!$A:$A, '04_Products'!$G:$G), 65.61)</f>
        <v/>
      </c>
      <c r="H816" s="9">
        <f>IFERROR(XLOOKUP(E816, '04_Products'!$A:$A, '04_Products'!$F:$F), 0)</f>
        <v/>
      </c>
      <c r="I816" s="9">
        <f>F816*G816</f>
        <v/>
      </c>
      <c r="J816" s="11" t="n">
        <v>0</v>
      </c>
      <c r="K816" s="9">
        <f>I816*J816</f>
        <v/>
      </c>
      <c r="L816" s="9">
        <f>I816-K816</f>
        <v/>
      </c>
      <c r="M816" s="9">
        <f>F816*H816</f>
        <v/>
      </c>
      <c r="N816" s="9">
        <f>L816-M816</f>
        <v/>
      </c>
      <c r="O816" s="11">
        <f>IFERROR(N816/L816, 0)</f>
        <v/>
      </c>
      <c r="P816" s="8">
        <f>YEAR(C816)</f>
        <v/>
      </c>
      <c r="Q816" s="8">
        <f>TEXT(C816, "yyyy-mm")</f>
        <v/>
      </c>
      <c r="R816" s="8" t="inlineStr">
        <is>
          <t>Affiliate Partner</t>
        </is>
      </c>
      <c r="S816" s="8" t="inlineStr">
        <is>
          <t>REG-APAC</t>
        </is>
      </c>
    </row>
    <row r="817">
      <c r="A817" s="8" t="inlineStr">
        <is>
          <t>DTL-0000823</t>
        </is>
      </c>
      <c r="B817" s="8" t="inlineStr">
        <is>
          <t>ORD-000417</t>
        </is>
      </c>
      <c r="C817" s="10" t="inlineStr">
        <is>
          <t>2025-06-01</t>
        </is>
      </c>
      <c r="D817" s="8" t="inlineStr">
        <is>
          <t>CUST-03319</t>
        </is>
      </c>
      <c r="E817" s="8" t="inlineStr">
        <is>
          <t>PRD-0124</t>
        </is>
      </c>
      <c r="F817" s="8" t="n">
        <v>1</v>
      </c>
      <c r="G817" s="9">
        <f>IFERROR(XLOOKUP(E817, '04_Products'!$A:$A, '04_Products'!$G:$G), 265.24)</f>
        <v/>
      </c>
      <c r="H817" s="9">
        <f>IFERROR(XLOOKUP(E817, '04_Products'!$A:$A, '04_Products'!$F:$F), 0)</f>
        <v/>
      </c>
      <c r="I817" s="9">
        <f>F817*G817</f>
        <v/>
      </c>
      <c r="J817" s="11" t="n">
        <v>0.15</v>
      </c>
      <c r="K817" s="9">
        <f>I817*J817</f>
        <v/>
      </c>
      <c r="L817" s="9">
        <f>I817-K817</f>
        <v/>
      </c>
      <c r="M817" s="9">
        <f>F817*H817</f>
        <v/>
      </c>
      <c r="N817" s="9">
        <f>L817-M817</f>
        <v/>
      </c>
      <c r="O817" s="11">
        <f>IFERROR(N817/L817, 0)</f>
        <v/>
      </c>
      <c r="P817" s="8">
        <f>YEAR(C817)</f>
        <v/>
      </c>
      <c r="Q817" s="8">
        <f>TEXT(C817, "yyyy-mm")</f>
        <v/>
      </c>
      <c r="R817" s="8" t="inlineStr">
        <is>
          <t>Affiliate Partner</t>
        </is>
      </c>
      <c r="S817" s="8" t="inlineStr">
        <is>
          <t>REG-APAC</t>
        </is>
      </c>
    </row>
    <row r="818">
      <c r="A818" s="8" t="inlineStr">
        <is>
          <t>DTL-0000824</t>
        </is>
      </c>
      <c r="B818" s="8" t="inlineStr">
        <is>
          <t>ORD-000418</t>
        </is>
      </c>
      <c r="C818" s="10" t="inlineStr">
        <is>
          <t>2024-07-21</t>
        </is>
      </c>
      <c r="D818" s="8" t="inlineStr">
        <is>
          <t>CUST-01480</t>
        </is>
      </c>
      <c r="E818" s="8" t="inlineStr">
        <is>
          <t>PRD-0222</t>
        </is>
      </c>
      <c r="F818" s="8" t="n">
        <v>2</v>
      </c>
      <c r="G818" s="9">
        <f>IFERROR(XLOOKUP(E818, '04_Products'!$A:$A, '04_Products'!$G:$G), 748.03)</f>
        <v/>
      </c>
      <c r="H818" s="9">
        <f>IFERROR(XLOOKUP(E818, '04_Products'!$A:$A, '04_Products'!$F:$F), 0)</f>
        <v/>
      </c>
      <c r="I818" s="9">
        <f>F818*G818</f>
        <v/>
      </c>
      <c r="J818" s="11" t="n">
        <v>0.05</v>
      </c>
      <c r="K818" s="9">
        <f>I818*J818</f>
        <v/>
      </c>
      <c r="L818" s="9">
        <f>I818-K818</f>
        <v/>
      </c>
      <c r="M818" s="9">
        <f>F818*H818</f>
        <v/>
      </c>
      <c r="N818" s="9">
        <f>L818-M818</f>
        <v/>
      </c>
      <c r="O818" s="11">
        <f>IFERROR(N818/L818, 0)</f>
        <v/>
      </c>
      <c r="P818" s="8">
        <f>YEAR(C818)</f>
        <v/>
      </c>
      <c r="Q818" s="8">
        <f>TEXT(C818, "yyyy-mm")</f>
        <v/>
      </c>
      <c r="R818" s="8" t="inlineStr">
        <is>
          <t>Mobile App</t>
        </is>
      </c>
      <c r="S818" s="8" t="inlineStr">
        <is>
          <t>REG-NA</t>
        </is>
      </c>
    </row>
    <row r="819">
      <c r="A819" s="8" t="inlineStr">
        <is>
          <t>DTL-0000825</t>
        </is>
      </c>
      <c r="B819" s="8" t="inlineStr">
        <is>
          <t>ORD-000419</t>
        </is>
      </c>
      <c r="C819" s="10" t="inlineStr">
        <is>
          <t>2025-11-17</t>
        </is>
      </c>
      <c r="D819" s="8" t="inlineStr">
        <is>
          <t>CUST-06533</t>
        </is>
      </c>
      <c r="E819" s="8" t="inlineStr">
        <is>
          <t>PRD-0467</t>
        </is>
      </c>
      <c r="F819" s="8" t="n">
        <v>1</v>
      </c>
      <c r="G819" s="9">
        <f>IFERROR(XLOOKUP(E819, '04_Products'!$A:$A, '04_Products'!$G:$G), 976.54)</f>
        <v/>
      </c>
      <c r="H819" s="9">
        <f>IFERROR(XLOOKUP(E819, '04_Products'!$A:$A, '04_Products'!$F:$F), 0)</f>
        <v/>
      </c>
      <c r="I819" s="9">
        <f>F819*G819</f>
        <v/>
      </c>
      <c r="J819" s="11" t="n">
        <v>0.1</v>
      </c>
      <c r="K819" s="9">
        <f>I819*J819</f>
        <v/>
      </c>
      <c r="L819" s="9">
        <f>I819-K819</f>
        <v/>
      </c>
      <c r="M819" s="9">
        <f>F819*H819</f>
        <v/>
      </c>
      <c r="N819" s="9">
        <f>L819-M819</f>
        <v/>
      </c>
      <c r="O819" s="11">
        <f>IFERROR(N819/L819, 0)</f>
        <v/>
      </c>
      <c r="P819" s="8">
        <f>YEAR(C819)</f>
        <v/>
      </c>
      <c r="Q819" s="8">
        <f>TEXT(C819, "yyyy-mm")</f>
        <v/>
      </c>
      <c r="R819" s="8" t="inlineStr">
        <is>
          <t>Direct Web</t>
        </is>
      </c>
      <c r="S819" s="8" t="inlineStr">
        <is>
          <t>REG-NA</t>
        </is>
      </c>
    </row>
    <row r="820">
      <c r="A820" s="8" t="inlineStr">
        <is>
          <t>DTL-0000826</t>
        </is>
      </c>
      <c r="B820" s="8" t="inlineStr">
        <is>
          <t>ORD-000420</t>
        </is>
      </c>
      <c r="C820" s="10" t="inlineStr">
        <is>
          <t>2024-02-20</t>
        </is>
      </c>
      <c r="D820" s="8" t="inlineStr">
        <is>
          <t>CUST-03206</t>
        </is>
      </c>
      <c r="E820" s="8" t="inlineStr">
        <is>
          <t>PRD-0050</t>
        </is>
      </c>
      <c r="F820" s="8" t="n">
        <v>2</v>
      </c>
      <c r="G820" s="9">
        <f>IFERROR(XLOOKUP(E820, '04_Products'!$A:$A, '04_Products'!$G:$G), 73.20)</f>
        <v/>
      </c>
      <c r="H820" s="9">
        <f>IFERROR(XLOOKUP(E820, '04_Products'!$A:$A, '04_Products'!$F:$F), 0)</f>
        <v/>
      </c>
      <c r="I820" s="9">
        <f>F820*G820</f>
        <v/>
      </c>
      <c r="J820" s="11" t="n">
        <v>0.05</v>
      </c>
      <c r="K820" s="9">
        <f>I820*J820</f>
        <v/>
      </c>
      <c r="L820" s="9">
        <f>I820-K820</f>
        <v/>
      </c>
      <c r="M820" s="9">
        <f>F820*H820</f>
        <v/>
      </c>
      <c r="N820" s="9">
        <f>L820-M820</f>
        <v/>
      </c>
      <c r="O820" s="11">
        <f>IFERROR(N820/L820, 0)</f>
        <v/>
      </c>
      <c r="P820" s="8">
        <f>YEAR(C820)</f>
        <v/>
      </c>
      <c r="Q820" s="8">
        <f>TEXT(C820, "yyyy-mm")</f>
        <v/>
      </c>
      <c r="R820" s="8" t="inlineStr">
        <is>
          <t>Affiliate Partner</t>
        </is>
      </c>
      <c r="S820" s="8" t="inlineStr">
        <is>
          <t>REG-NA</t>
        </is>
      </c>
    </row>
    <row r="821">
      <c r="A821" s="8" t="inlineStr">
        <is>
          <t>DTL-0000827</t>
        </is>
      </c>
      <c r="B821" s="8" t="inlineStr">
        <is>
          <t>ORD-000420</t>
        </is>
      </c>
      <c r="C821" s="10" t="inlineStr">
        <is>
          <t>2024-02-20</t>
        </is>
      </c>
      <c r="D821" s="8" t="inlineStr">
        <is>
          <t>CUST-03206</t>
        </is>
      </c>
      <c r="E821" s="8" t="inlineStr">
        <is>
          <t>PRD-0291</t>
        </is>
      </c>
      <c r="F821" s="8" t="n">
        <v>10</v>
      </c>
      <c r="G821" s="9">
        <f>IFERROR(XLOOKUP(E821, '04_Products'!$A:$A, '04_Products'!$G:$G), 52.44)</f>
        <v/>
      </c>
      <c r="H821" s="9">
        <f>IFERROR(XLOOKUP(E821, '04_Products'!$A:$A, '04_Products'!$F:$F), 0)</f>
        <v/>
      </c>
      <c r="I821" s="9">
        <f>F821*G821</f>
        <v/>
      </c>
      <c r="J821" s="11" t="n">
        <v>0</v>
      </c>
      <c r="K821" s="9">
        <f>I821*J821</f>
        <v/>
      </c>
      <c r="L821" s="9">
        <f>I821-K821</f>
        <v/>
      </c>
      <c r="M821" s="9">
        <f>F821*H821</f>
        <v/>
      </c>
      <c r="N821" s="9">
        <f>L821-M821</f>
        <v/>
      </c>
      <c r="O821" s="11">
        <f>IFERROR(N821/L821, 0)</f>
        <v/>
      </c>
      <c r="P821" s="8">
        <f>YEAR(C821)</f>
        <v/>
      </c>
      <c r="Q821" s="8">
        <f>TEXT(C821, "yyyy-mm")</f>
        <v/>
      </c>
      <c r="R821" s="8" t="inlineStr">
        <is>
          <t>Affiliate Partner</t>
        </is>
      </c>
      <c r="S821" s="8" t="inlineStr">
        <is>
          <t>REG-NA</t>
        </is>
      </c>
    </row>
    <row r="822">
      <c r="A822" s="8" t="inlineStr">
        <is>
          <t>DTL-0000828</t>
        </is>
      </c>
      <c r="B822" s="8" t="inlineStr">
        <is>
          <t>ORD-000420</t>
        </is>
      </c>
      <c r="C822" s="10" t="inlineStr">
        <is>
          <t>2024-02-20</t>
        </is>
      </c>
      <c r="D822" s="8" t="inlineStr">
        <is>
          <t>CUST-03206</t>
        </is>
      </c>
      <c r="E822" s="8" t="inlineStr">
        <is>
          <t>PRD-0336</t>
        </is>
      </c>
      <c r="F822" s="8" t="n">
        <v>1</v>
      </c>
      <c r="G822" s="9">
        <f>IFERROR(XLOOKUP(E822, '04_Products'!$A:$A, '04_Products'!$G:$G), 216.76)</f>
        <v/>
      </c>
      <c r="H822" s="9">
        <f>IFERROR(XLOOKUP(E822, '04_Products'!$A:$A, '04_Products'!$F:$F), 0)</f>
        <v/>
      </c>
      <c r="I822" s="9">
        <f>F822*G822</f>
        <v/>
      </c>
      <c r="J822" s="11" t="n">
        <v>0</v>
      </c>
      <c r="K822" s="9">
        <f>I822*J822</f>
        <v/>
      </c>
      <c r="L822" s="9">
        <f>I822-K822</f>
        <v/>
      </c>
      <c r="M822" s="9">
        <f>F822*H822</f>
        <v/>
      </c>
      <c r="N822" s="9">
        <f>L822-M822</f>
        <v/>
      </c>
      <c r="O822" s="11">
        <f>IFERROR(N822/L822, 0)</f>
        <v/>
      </c>
      <c r="P822" s="8">
        <f>YEAR(C822)</f>
        <v/>
      </c>
      <c r="Q822" s="8">
        <f>TEXT(C822, "yyyy-mm")</f>
        <v/>
      </c>
      <c r="R822" s="8" t="inlineStr">
        <is>
          <t>Affiliate Partner</t>
        </is>
      </c>
      <c r="S822" s="8" t="inlineStr">
        <is>
          <t>REG-NA</t>
        </is>
      </c>
    </row>
    <row r="823">
      <c r="A823" s="8" t="inlineStr">
        <is>
          <t>DTL-0000829</t>
        </is>
      </c>
      <c r="B823" s="8" t="inlineStr">
        <is>
          <t>ORD-000421</t>
        </is>
      </c>
      <c r="C823" s="10" t="inlineStr">
        <is>
          <t>2024-02-27</t>
        </is>
      </c>
      <c r="D823" s="8" t="inlineStr">
        <is>
          <t>CUST-05785</t>
        </is>
      </c>
      <c r="E823" s="8" t="inlineStr">
        <is>
          <t>PRD-0259</t>
        </is>
      </c>
      <c r="F823" s="8" t="n">
        <v>2</v>
      </c>
      <c r="G823" s="9">
        <f>IFERROR(XLOOKUP(E823, '04_Products'!$A:$A, '04_Products'!$G:$G), 427.15)</f>
        <v/>
      </c>
      <c r="H823" s="9">
        <f>IFERROR(XLOOKUP(E823, '04_Products'!$A:$A, '04_Products'!$F:$F), 0)</f>
        <v/>
      </c>
      <c r="I823" s="9">
        <f>F823*G823</f>
        <v/>
      </c>
      <c r="J823" s="11" t="n">
        <v>0.1</v>
      </c>
      <c r="K823" s="9">
        <f>I823*J823</f>
        <v/>
      </c>
      <c r="L823" s="9">
        <f>I823-K823</f>
        <v/>
      </c>
      <c r="M823" s="9">
        <f>F823*H823</f>
        <v/>
      </c>
      <c r="N823" s="9">
        <f>L823-M823</f>
        <v/>
      </c>
      <c r="O823" s="11">
        <f>IFERROR(N823/L823, 0)</f>
        <v/>
      </c>
      <c r="P823" s="8">
        <f>YEAR(C823)</f>
        <v/>
      </c>
      <c r="Q823" s="8">
        <f>TEXT(C823, "yyyy-mm")</f>
        <v/>
      </c>
      <c r="R823" s="8" t="inlineStr">
        <is>
          <t>Mobile App</t>
        </is>
      </c>
      <c r="S823" s="8" t="inlineStr">
        <is>
          <t>REG-NA</t>
        </is>
      </c>
    </row>
    <row r="824">
      <c r="A824" s="8" t="inlineStr">
        <is>
          <t>DTL-0000830</t>
        </is>
      </c>
      <c r="B824" s="8" t="inlineStr">
        <is>
          <t>ORD-000422</t>
        </is>
      </c>
      <c r="C824" s="10" t="inlineStr">
        <is>
          <t>2025-07-23</t>
        </is>
      </c>
      <c r="D824" s="8" t="inlineStr">
        <is>
          <t>CUST-06958</t>
        </is>
      </c>
      <c r="E824" s="8" t="inlineStr">
        <is>
          <t>PRD-0085</t>
        </is>
      </c>
      <c r="F824" s="8" t="n">
        <v>3</v>
      </c>
      <c r="G824" s="9">
        <f>IFERROR(XLOOKUP(E824, '04_Products'!$A:$A, '04_Products'!$G:$G), 202.10)</f>
        <v/>
      </c>
      <c r="H824" s="9">
        <f>IFERROR(XLOOKUP(E824, '04_Products'!$A:$A, '04_Products'!$F:$F), 0)</f>
        <v/>
      </c>
      <c r="I824" s="9">
        <f>F824*G824</f>
        <v/>
      </c>
      <c r="J824" s="11" t="n">
        <v>0.1</v>
      </c>
      <c r="K824" s="9">
        <f>I824*J824</f>
        <v/>
      </c>
      <c r="L824" s="9">
        <f>I824-K824</f>
        <v/>
      </c>
      <c r="M824" s="9">
        <f>F824*H824</f>
        <v/>
      </c>
      <c r="N824" s="9">
        <f>L824-M824</f>
        <v/>
      </c>
      <c r="O824" s="11">
        <f>IFERROR(N824/L824, 0)</f>
        <v/>
      </c>
      <c r="P824" s="8">
        <f>YEAR(C824)</f>
        <v/>
      </c>
      <c r="Q824" s="8">
        <f>TEXT(C824, "yyyy-mm")</f>
        <v/>
      </c>
      <c r="R824" s="8" t="inlineStr">
        <is>
          <t>Affiliate Partner</t>
        </is>
      </c>
      <c r="S824" s="8" t="inlineStr">
        <is>
          <t>REG-APAC</t>
        </is>
      </c>
    </row>
    <row r="825">
      <c r="A825" s="8" t="inlineStr">
        <is>
          <t>DTL-0000831</t>
        </is>
      </c>
      <c r="B825" s="8" t="inlineStr">
        <is>
          <t>ORD-000423</t>
        </is>
      </c>
      <c r="C825" s="10" t="inlineStr">
        <is>
          <t>2024-10-28</t>
        </is>
      </c>
      <c r="D825" s="8" t="inlineStr">
        <is>
          <t>CUST-02801</t>
        </is>
      </c>
      <c r="E825" s="8" t="inlineStr">
        <is>
          <t>PRD-0173</t>
        </is>
      </c>
      <c r="F825" s="8" t="n">
        <v>1</v>
      </c>
      <c r="G825" s="9">
        <f>IFERROR(XLOOKUP(E825, '04_Products'!$A:$A, '04_Products'!$G:$G), 62.36)</f>
        <v/>
      </c>
      <c r="H825" s="9">
        <f>IFERROR(XLOOKUP(E825, '04_Products'!$A:$A, '04_Products'!$F:$F), 0)</f>
        <v/>
      </c>
      <c r="I825" s="9">
        <f>F825*G825</f>
        <v/>
      </c>
      <c r="J825" s="11" t="n">
        <v>0</v>
      </c>
      <c r="K825" s="9">
        <f>I825*J825</f>
        <v/>
      </c>
      <c r="L825" s="9">
        <f>I825-K825</f>
        <v/>
      </c>
      <c r="M825" s="9">
        <f>F825*H825</f>
        <v/>
      </c>
      <c r="N825" s="9">
        <f>L825-M825</f>
        <v/>
      </c>
      <c r="O825" s="11">
        <f>IFERROR(N825/L825, 0)</f>
        <v/>
      </c>
      <c r="P825" s="8">
        <f>YEAR(C825)</f>
        <v/>
      </c>
      <c r="Q825" s="8">
        <f>TEXT(C825, "yyyy-mm")</f>
        <v/>
      </c>
      <c r="R825" s="8" t="inlineStr">
        <is>
          <t>Affiliate Partner</t>
        </is>
      </c>
      <c r="S825" s="8" t="inlineStr">
        <is>
          <t>REG-LATAM</t>
        </is>
      </c>
    </row>
    <row r="826">
      <c r="A826" s="8" t="inlineStr">
        <is>
          <t>DTL-0000832</t>
        </is>
      </c>
      <c r="B826" s="8" t="inlineStr">
        <is>
          <t>ORD-000423</t>
        </is>
      </c>
      <c r="C826" s="10" t="inlineStr">
        <is>
          <t>2024-10-28</t>
        </is>
      </c>
      <c r="D826" s="8" t="inlineStr">
        <is>
          <t>CUST-02801</t>
        </is>
      </c>
      <c r="E826" s="8" t="inlineStr">
        <is>
          <t>PRD-0143</t>
        </is>
      </c>
      <c r="F826" s="8" t="n">
        <v>1</v>
      </c>
      <c r="G826" s="9">
        <f>IFERROR(XLOOKUP(E826, '04_Products'!$A:$A, '04_Products'!$G:$G), 359.58)</f>
        <v/>
      </c>
      <c r="H826" s="9">
        <f>IFERROR(XLOOKUP(E826, '04_Products'!$A:$A, '04_Products'!$F:$F), 0)</f>
        <v/>
      </c>
      <c r="I826" s="9">
        <f>F826*G826</f>
        <v/>
      </c>
      <c r="J826" s="11" t="n">
        <v>0.05</v>
      </c>
      <c r="K826" s="9">
        <f>I826*J826</f>
        <v/>
      </c>
      <c r="L826" s="9">
        <f>I826-K826</f>
        <v/>
      </c>
      <c r="M826" s="9">
        <f>F826*H826</f>
        <v/>
      </c>
      <c r="N826" s="9">
        <f>L826-M826</f>
        <v/>
      </c>
      <c r="O826" s="11">
        <f>IFERROR(N826/L826, 0)</f>
        <v/>
      </c>
      <c r="P826" s="8">
        <f>YEAR(C826)</f>
        <v/>
      </c>
      <c r="Q826" s="8">
        <f>TEXT(C826, "yyyy-mm")</f>
        <v/>
      </c>
      <c r="R826" s="8" t="inlineStr">
        <is>
          <t>Affiliate Partner</t>
        </is>
      </c>
      <c r="S826" s="8" t="inlineStr">
        <is>
          <t>REG-LATAM</t>
        </is>
      </c>
    </row>
    <row r="827">
      <c r="A827" s="8" t="inlineStr">
        <is>
          <t>DTL-0000833</t>
        </is>
      </c>
      <c r="B827" s="8" t="inlineStr">
        <is>
          <t>ORD-000423</t>
        </is>
      </c>
      <c r="C827" s="10" t="inlineStr">
        <is>
          <t>2024-10-28</t>
        </is>
      </c>
      <c r="D827" s="8" t="inlineStr">
        <is>
          <t>CUST-02801</t>
        </is>
      </c>
      <c r="E827" s="8" t="inlineStr">
        <is>
          <t>PRD-0279</t>
        </is>
      </c>
      <c r="F827" s="8" t="n">
        <v>1</v>
      </c>
      <c r="G827" s="9">
        <f>IFERROR(XLOOKUP(E827, '04_Products'!$A:$A, '04_Products'!$G:$G), 783.46)</f>
        <v/>
      </c>
      <c r="H827" s="9">
        <f>IFERROR(XLOOKUP(E827, '04_Products'!$A:$A, '04_Products'!$F:$F), 0)</f>
        <v/>
      </c>
      <c r="I827" s="9">
        <f>F827*G827</f>
        <v/>
      </c>
      <c r="J827" s="11" t="n">
        <v>0</v>
      </c>
      <c r="K827" s="9">
        <f>I827*J827</f>
        <v/>
      </c>
      <c r="L827" s="9">
        <f>I827-K827</f>
        <v/>
      </c>
      <c r="M827" s="9">
        <f>F827*H827</f>
        <v/>
      </c>
      <c r="N827" s="9">
        <f>L827-M827</f>
        <v/>
      </c>
      <c r="O827" s="11">
        <f>IFERROR(N827/L827, 0)</f>
        <v/>
      </c>
      <c r="P827" s="8">
        <f>YEAR(C827)</f>
        <v/>
      </c>
      <c r="Q827" s="8">
        <f>TEXT(C827, "yyyy-mm")</f>
        <v/>
      </c>
      <c r="R827" s="8" t="inlineStr">
        <is>
          <t>Affiliate Partner</t>
        </is>
      </c>
      <c r="S827" s="8" t="inlineStr">
        <is>
          <t>REG-LATAM</t>
        </is>
      </c>
    </row>
    <row r="828">
      <c r="A828" s="8" t="inlineStr">
        <is>
          <t>DTL-0000834</t>
        </is>
      </c>
      <c r="B828" s="8" t="inlineStr">
        <is>
          <t>ORD-000424</t>
        </is>
      </c>
      <c r="C828" s="10" t="inlineStr">
        <is>
          <t>2024-10-19</t>
        </is>
      </c>
      <c r="D828" s="8" t="inlineStr">
        <is>
          <t>CUST-05799</t>
        </is>
      </c>
      <c r="E828" s="8" t="inlineStr">
        <is>
          <t>PRD-0389</t>
        </is>
      </c>
      <c r="F828" s="8" t="n">
        <v>2</v>
      </c>
      <c r="G828" s="9">
        <f>IFERROR(XLOOKUP(E828, '04_Products'!$A:$A, '04_Products'!$G:$G), 355.70)</f>
        <v/>
      </c>
      <c r="H828" s="9">
        <f>IFERROR(XLOOKUP(E828, '04_Products'!$A:$A, '04_Products'!$F:$F), 0)</f>
        <v/>
      </c>
      <c r="I828" s="9">
        <f>F828*G828</f>
        <v/>
      </c>
      <c r="J828" s="11" t="n">
        <v>0</v>
      </c>
      <c r="K828" s="9">
        <f>I828*J828</f>
        <v/>
      </c>
      <c r="L828" s="9">
        <f>I828-K828</f>
        <v/>
      </c>
      <c r="M828" s="9">
        <f>F828*H828</f>
        <v/>
      </c>
      <c r="N828" s="9">
        <f>L828-M828</f>
        <v/>
      </c>
      <c r="O828" s="11">
        <f>IFERROR(N828/L828, 0)</f>
        <v/>
      </c>
      <c r="P828" s="8">
        <f>YEAR(C828)</f>
        <v/>
      </c>
      <c r="Q828" s="8">
        <f>TEXT(C828, "yyyy-mm")</f>
        <v/>
      </c>
      <c r="R828" s="8" t="inlineStr">
        <is>
          <t>Direct Web</t>
        </is>
      </c>
      <c r="S828" s="8" t="inlineStr">
        <is>
          <t>REG-EU</t>
        </is>
      </c>
    </row>
    <row r="829">
      <c r="A829" s="8" t="inlineStr">
        <is>
          <t>DTL-0000835</t>
        </is>
      </c>
      <c r="B829" s="8" t="inlineStr">
        <is>
          <t>ORD-000424</t>
        </is>
      </c>
      <c r="C829" s="10" t="inlineStr">
        <is>
          <t>2024-10-19</t>
        </is>
      </c>
      <c r="D829" s="8" t="inlineStr">
        <is>
          <t>CUST-05799</t>
        </is>
      </c>
      <c r="E829" s="8" t="inlineStr">
        <is>
          <t>PRD-0419</t>
        </is>
      </c>
      <c r="F829" s="8" t="n">
        <v>1</v>
      </c>
      <c r="G829" s="9">
        <f>IFERROR(XLOOKUP(E829, '04_Products'!$A:$A, '04_Products'!$G:$G), 113.66)</f>
        <v/>
      </c>
      <c r="H829" s="9">
        <f>IFERROR(XLOOKUP(E829, '04_Products'!$A:$A, '04_Products'!$F:$F), 0)</f>
        <v/>
      </c>
      <c r="I829" s="9">
        <f>F829*G829</f>
        <v/>
      </c>
      <c r="J829" s="11" t="n">
        <v>0.1</v>
      </c>
      <c r="K829" s="9">
        <f>I829*J829</f>
        <v/>
      </c>
      <c r="L829" s="9">
        <f>I829-K829</f>
        <v/>
      </c>
      <c r="M829" s="9">
        <f>F829*H829</f>
        <v/>
      </c>
      <c r="N829" s="9">
        <f>L829-M829</f>
        <v/>
      </c>
      <c r="O829" s="11">
        <f>IFERROR(N829/L829, 0)</f>
        <v/>
      </c>
      <c r="P829" s="8">
        <f>YEAR(C829)</f>
        <v/>
      </c>
      <c r="Q829" s="8">
        <f>TEXT(C829, "yyyy-mm")</f>
        <v/>
      </c>
      <c r="R829" s="8" t="inlineStr">
        <is>
          <t>Direct Web</t>
        </is>
      </c>
      <c r="S829" s="8" t="inlineStr">
        <is>
          <t>REG-EU</t>
        </is>
      </c>
    </row>
    <row r="830">
      <c r="A830" s="8" t="inlineStr">
        <is>
          <t>DTL-0000836</t>
        </is>
      </c>
      <c r="B830" s="8" t="inlineStr">
        <is>
          <t>ORD-000425</t>
        </is>
      </c>
      <c r="C830" s="10" t="inlineStr">
        <is>
          <t>2024-07-23</t>
        </is>
      </c>
      <c r="D830" s="8" t="inlineStr">
        <is>
          <t>CUST-02455</t>
        </is>
      </c>
      <c r="E830" s="8" t="inlineStr">
        <is>
          <t>PRD-0286</t>
        </is>
      </c>
      <c r="F830" s="8" t="n">
        <v>1</v>
      </c>
      <c r="G830" s="9">
        <f>IFERROR(XLOOKUP(E830, '04_Products'!$A:$A, '04_Products'!$G:$G), 232.89)</f>
        <v/>
      </c>
      <c r="H830" s="9">
        <f>IFERROR(XLOOKUP(E830, '04_Products'!$A:$A, '04_Products'!$F:$F), 0)</f>
        <v/>
      </c>
      <c r="I830" s="9">
        <f>F830*G830</f>
        <v/>
      </c>
      <c r="J830" s="11" t="n">
        <v>0.05</v>
      </c>
      <c r="K830" s="9">
        <f>I830*J830</f>
        <v/>
      </c>
      <c r="L830" s="9">
        <f>I830-K830</f>
        <v/>
      </c>
      <c r="M830" s="9">
        <f>F830*H830</f>
        <v/>
      </c>
      <c r="N830" s="9">
        <f>L830-M830</f>
        <v/>
      </c>
      <c r="O830" s="11">
        <f>IFERROR(N830/L830, 0)</f>
        <v/>
      </c>
      <c r="P830" s="8">
        <f>YEAR(C830)</f>
        <v/>
      </c>
      <c r="Q830" s="8">
        <f>TEXT(C830, "yyyy-mm")</f>
        <v/>
      </c>
      <c r="R830" s="8" t="inlineStr">
        <is>
          <t>Direct Web</t>
        </is>
      </c>
      <c r="S830" s="8" t="inlineStr">
        <is>
          <t>REG-EU</t>
        </is>
      </c>
    </row>
    <row r="831">
      <c r="A831" s="8" t="inlineStr">
        <is>
          <t>DTL-0000837</t>
        </is>
      </c>
      <c r="B831" s="8" t="inlineStr">
        <is>
          <t>ORD-000425</t>
        </is>
      </c>
      <c r="C831" s="10" t="inlineStr">
        <is>
          <t>2024-07-23</t>
        </is>
      </c>
      <c r="D831" s="8" t="inlineStr">
        <is>
          <t>CUST-02455</t>
        </is>
      </c>
      <c r="E831" s="8" t="inlineStr">
        <is>
          <t>PRD-0381</t>
        </is>
      </c>
      <c r="F831" s="8" t="n">
        <v>1</v>
      </c>
      <c r="G831" s="9">
        <f>IFERROR(XLOOKUP(E831, '04_Products'!$A:$A, '04_Products'!$G:$G), 321.45)</f>
        <v/>
      </c>
      <c r="H831" s="9">
        <f>IFERROR(XLOOKUP(E831, '04_Products'!$A:$A, '04_Products'!$F:$F), 0)</f>
        <v/>
      </c>
      <c r="I831" s="9">
        <f>F831*G831</f>
        <v/>
      </c>
      <c r="J831" s="11" t="n">
        <v>0.1</v>
      </c>
      <c r="K831" s="9">
        <f>I831*J831</f>
        <v/>
      </c>
      <c r="L831" s="9">
        <f>I831-K831</f>
        <v/>
      </c>
      <c r="M831" s="9">
        <f>F831*H831</f>
        <v/>
      </c>
      <c r="N831" s="9">
        <f>L831-M831</f>
        <v/>
      </c>
      <c r="O831" s="11">
        <f>IFERROR(N831/L831, 0)</f>
        <v/>
      </c>
      <c r="P831" s="8">
        <f>YEAR(C831)</f>
        <v/>
      </c>
      <c r="Q831" s="8">
        <f>TEXT(C831, "yyyy-mm")</f>
        <v/>
      </c>
      <c r="R831" s="8" t="inlineStr">
        <is>
          <t>Direct Web</t>
        </is>
      </c>
      <c r="S831" s="8" t="inlineStr">
        <is>
          <t>REG-EU</t>
        </is>
      </c>
    </row>
    <row r="832">
      <c r="A832" s="8" t="inlineStr">
        <is>
          <t>DTL-0000838</t>
        </is>
      </c>
      <c r="B832" s="8" t="inlineStr">
        <is>
          <t>ORD-000426</t>
        </is>
      </c>
      <c r="C832" s="10" t="inlineStr">
        <is>
          <t>2025-02-08</t>
        </is>
      </c>
      <c r="D832" s="8" t="inlineStr">
        <is>
          <t>CUST-01346</t>
        </is>
      </c>
      <c r="E832" s="8" t="inlineStr">
        <is>
          <t>PRD-0243</t>
        </is>
      </c>
      <c r="F832" s="8" t="n">
        <v>1</v>
      </c>
      <c r="G832" s="9">
        <f>IFERROR(XLOOKUP(E832, '04_Products'!$A:$A, '04_Products'!$G:$G), 510.81)</f>
        <v/>
      </c>
      <c r="H832" s="9">
        <f>IFERROR(XLOOKUP(E832, '04_Products'!$A:$A, '04_Products'!$F:$F), 0)</f>
        <v/>
      </c>
      <c r="I832" s="9">
        <f>F832*G832</f>
        <v/>
      </c>
      <c r="J832" s="11" t="n">
        <v>0.05</v>
      </c>
      <c r="K832" s="9">
        <f>I832*J832</f>
        <v/>
      </c>
      <c r="L832" s="9">
        <f>I832-K832</f>
        <v/>
      </c>
      <c r="M832" s="9">
        <f>F832*H832</f>
        <v/>
      </c>
      <c r="N832" s="9">
        <f>L832-M832</f>
        <v/>
      </c>
      <c r="O832" s="11">
        <f>IFERROR(N832/L832, 0)</f>
        <v/>
      </c>
      <c r="P832" s="8">
        <f>YEAR(C832)</f>
        <v/>
      </c>
      <c r="Q832" s="8">
        <f>TEXT(C832, "yyyy-mm")</f>
        <v/>
      </c>
      <c r="R832" s="8" t="inlineStr">
        <is>
          <t>Mobile App</t>
        </is>
      </c>
      <c r="S832" s="8" t="inlineStr">
        <is>
          <t>REG-NA</t>
        </is>
      </c>
    </row>
    <row r="833">
      <c r="A833" s="8" t="inlineStr">
        <is>
          <t>DTL-0000839</t>
        </is>
      </c>
      <c r="B833" s="8" t="inlineStr">
        <is>
          <t>ORD-000427</t>
        </is>
      </c>
      <c r="C833" s="10" t="inlineStr">
        <is>
          <t>2024-04-26</t>
        </is>
      </c>
      <c r="D833" s="8" t="inlineStr">
        <is>
          <t>CUST-01631</t>
        </is>
      </c>
      <c r="E833" s="8" t="inlineStr">
        <is>
          <t>PRD-0459</t>
        </is>
      </c>
      <c r="F833" s="8" t="n">
        <v>1</v>
      </c>
      <c r="G833" s="9">
        <f>IFERROR(XLOOKUP(E833, '04_Products'!$A:$A, '04_Products'!$G:$G), 55.95)</f>
        <v/>
      </c>
      <c r="H833" s="9">
        <f>IFERROR(XLOOKUP(E833, '04_Products'!$A:$A, '04_Products'!$F:$F), 0)</f>
        <v/>
      </c>
      <c r="I833" s="9">
        <f>F833*G833</f>
        <v/>
      </c>
      <c r="J833" s="11" t="n">
        <v>0</v>
      </c>
      <c r="K833" s="9">
        <f>I833*J833</f>
        <v/>
      </c>
      <c r="L833" s="9">
        <f>I833-K833</f>
        <v/>
      </c>
      <c r="M833" s="9">
        <f>F833*H833</f>
        <v/>
      </c>
      <c r="N833" s="9">
        <f>L833-M833</f>
        <v/>
      </c>
      <c r="O833" s="11">
        <f>IFERROR(N833/L833, 0)</f>
        <v/>
      </c>
      <c r="P833" s="8">
        <f>YEAR(C833)</f>
        <v/>
      </c>
      <c r="Q833" s="8">
        <f>TEXT(C833, "yyyy-mm")</f>
        <v/>
      </c>
      <c r="R833" s="8" t="inlineStr">
        <is>
          <t>Direct Web</t>
        </is>
      </c>
      <c r="S833" s="8" t="inlineStr">
        <is>
          <t>REG-EU</t>
        </is>
      </c>
    </row>
    <row r="834">
      <c r="A834" s="8" t="inlineStr">
        <is>
          <t>DTL-0000840</t>
        </is>
      </c>
      <c r="B834" s="8" t="inlineStr">
        <is>
          <t>ORD-000428</t>
        </is>
      </c>
      <c r="C834" s="10" t="inlineStr">
        <is>
          <t>2025-01-11</t>
        </is>
      </c>
      <c r="D834" s="8" t="inlineStr">
        <is>
          <t>CUST-04431</t>
        </is>
      </c>
      <c r="E834" s="8" t="inlineStr">
        <is>
          <t>PRD-0124</t>
        </is>
      </c>
      <c r="F834" s="8" t="n">
        <v>3</v>
      </c>
      <c r="G834" s="9">
        <f>IFERROR(XLOOKUP(E834, '04_Products'!$A:$A, '04_Products'!$G:$G), 265.24)</f>
        <v/>
      </c>
      <c r="H834" s="9">
        <f>IFERROR(XLOOKUP(E834, '04_Products'!$A:$A, '04_Products'!$F:$F), 0)</f>
        <v/>
      </c>
      <c r="I834" s="9">
        <f>F834*G834</f>
        <v/>
      </c>
      <c r="J834" s="11" t="n">
        <v>0</v>
      </c>
      <c r="K834" s="9">
        <f>I834*J834</f>
        <v/>
      </c>
      <c r="L834" s="9">
        <f>I834-K834</f>
        <v/>
      </c>
      <c r="M834" s="9">
        <f>F834*H834</f>
        <v/>
      </c>
      <c r="N834" s="9">
        <f>L834-M834</f>
        <v/>
      </c>
      <c r="O834" s="11">
        <f>IFERROR(N834/L834, 0)</f>
        <v/>
      </c>
      <c r="P834" s="8">
        <f>YEAR(C834)</f>
        <v/>
      </c>
      <c r="Q834" s="8">
        <f>TEXT(C834, "yyyy-mm")</f>
        <v/>
      </c>
      <c r="R834" s="8" t="inlineStr">
        <is>
          <t>Direct Web</t>
        </is>
      </c>
      <c r="S834" s="8" t="inlineStr">
        <is>
          <t>REG-NA</t>
        </is>
      </c>
    </row>
    <row r="835">
      <c r="A835" s="8" t="inlineStr">
        <is>
          <t>DTL-0000841</t>
        </is>
      </c>
      <c r="B835" s="8" t="inlineStr">
        <is>
          <t>ORD-000428</t>
        </is>
      </c>
      <c r="C835" s="10" t="inlineStr">
        <is>
          <t>2025-01-11</t>
        </is>
      </c>
      <c r="D835" s="8" t="inlineStr">
        <is>
          <t>CUST-04431</t>
        </is>
      </c>
      <c r="E835" s="8" t="inlineStr">
        <is>
          <t>PRD-0341</t>
        </is>
      </c>
      <c r="F835" s="8" t="n">
        <v>3</v>
      </c>
      <c r="G835" s="9">
        <f>IFERROR(XLOOKUP(E835, '04_Products'!$A:$A, '04_Products'!$G:$G), 26.88)</f>
        <v/>
      </c>
      <c r="H835" s="9">
        <f>IFERROR(XLOOKUP(E835, '04_Products'!$A:$A, '04_Products'!$F:$F), 0)</f>
        <v/>
      </c>
      <c r="I835" s="9">
        <f>F835*G835</f>
        <v/>
      </c>
      <c r="J835" s="11" t="n">
        <v>0</v>
      </c>
      <c r="K835" s="9">
        <f>I835*J835</f>
        <v/>
      </c>
      <c r="L835" s="9">
        <f>I835-K835</f>
        <v/>
      </c>
      <c r="M835" s="9">
        <f>F835*H835</f>
        <v/>
      </c>
      <c r="N835" s="9">
        <f>L835-M835</f>
        <v/>
      </c>
      <c r="O835" s="11">
        <f>IFERROR(N835/L835, 0)</f>
        <v/>
      </c>
      <c r="P835" s="8">
        <f>YEAR(C835)</f>
        <v/>
      </c>
      <c r="Q835" s="8">
        <f>TEXT(C835, "yyyy-mm")</f>
        <v/>
      </c>
      <c r="R835" s="8" t="inlineStr">
        <is>
          <t>Direct Web</t>
        </is>
      </c>
      <c r="S835" s="8" t="inlineStr">
        <is>
          <t>REG-NA</t>
        </is>
      </c>
    </row>
    <row r="836">
      <c r="A836" s="8" t="inlineStr">
        <is>
          <t>DTL-0000842</t>
        </is>
      </c>
      <c r="B836" s="8" t="inlineStr">
        <is>
          <t>ORD-000429</t>
        </is>
      </c>
      <c r="C836" s="10" t="inlineStr">
        <is>
          <t>2023-07-11</t>
        </is>
      </c>
      <c r="D836" s="8" t="inlineStr">
        <is>
          <t>CUST-06626</t>
        </is>
      </c>
      <c r="E836" s="8" t="inlineStr">
        <is>
          <t>PRD-0407</t>
        </is>
      </c>
      <c r="F836" s="8" t="n">
        <v>1</v>
      </c>
      <c r="G836" s="9">
        <f>IFERROR(XLOOKUP(E836, '04_Products'!$A:$A, '04_Products'!$G:$G), 515.93)</f>
        <v/>
      </c>
      <c r="H836" s="9">
        <f>IFERROR(XLOOKUP(E836, '04_Products'!$A:$A, '04_Products'!$F:$F), 0)</f>
        <v/>
      </c>
      <c r="I836" s="9">
        <f>F836*G836</f>
        <v/>
      </c>
      <c r="J836" s="11" t="n">
        <v>0.2</v>
      </c>
      <c r="K836" s="9">
        <f>I836*J836</f>
        <v/>
      </c>
      <c r="L836" s="9">
        <f>I836-K836</f>
        <v/>
      </c>
      <c r="M836" s="9">
        <f>F836*H836</f>
        <v/>
      </c>
      <c r="N836" s="9">
        <f>L836-M836</f>
        <v/>
      </c>
      <c r="O836" s="11">
        <f>IFERROR(N836/L836, 0)</f>
        <v/>
      </c>
      <c r="P836" s="8">
        <f>YEAR(C836)</f>
        <v/>
      </c>
      <c r="Q836" s="8">
        <f>TEXT(C836, "yyyy-mm")</f>
        <v/>
      </c>
      <c r="R836" s="8" t="inlineStr">
        <is>
          <t>Affiliate Partner</t>
        </is>
      </c>
      <c r="S836" s="8" t="inlineStr">
        <is>
          <t>REG-NA</t>
        </is>
      </c>
    </row>
    <row r="837">
      <c r="A837" s="8" t="inlineStr">
        <is>
          <t>DTL-0000843</t>
        </is>
      </c>
      <c r="B837" s="8" t="inlineStr">
        <is>
          <t>ORD-000429</t>
        </is>
      </c>
      <c r="C837" s="10" t="inlineStr">
        <is>
          <t>2023-07-11</t>
        </is>
      </c>
      <c r="D837" s="8" t="inlineStr">
        <is>
          <t>CUST-06626</t>
        </is>
      </c>
      <c r="E837" s="8" t="inlineStr">
        <is>
          <t>PRD-0122</t>
        </is>
      </c>
      <c r="F837" s="8" t="n">
        <v>1</v>
      </c>
      <c r="G837" s="9">
        <f>IFERROR(XLOOKUP(E837, '04_Products'!$A:$A, '04_Products'!$G:$G), 15.21)</f>
        <v/>
      </c>
      <c r="H837" s="9">
        <f>IFERROR(XLOOKUP(E837, '04_Products'!$A:$A, '04_Products'!$F:$F), 0)</f>
        <v/>
      </c>
      <c r="I837" s="9">
        <f>F837*G837</f>
        <v/>
      </c>
      <c r="J837" s="11" t="n">
        <v>0.05</v>
      </c>
      <c r="K837" s="9">
        <f>I837*J837</f>
        <v/>
      </c>
      <c r="L837" s="9">
        <f>I837-K837</f>
        <v/>
      </c>
      <c r="M837" s="9">
        <f>F837*H837</f>
        <v/>
      </c>
      <c r="N837" s="9">
        <f>L837-M837</f>
        <v/>
      </c>
      <c r="O837" s="11">
        <f>IFERROR(N837/L837, 0)</f>
        <v/>
      </c>
      <c r="P837" s="8">
        <f>YEAR(C837)</f>
        <v/>
      </c>
      <c r="Q837" s="8">
        <f>TEXT(C837, "yyyy-mm")</f>
        <v/>
      </c>
      <c r="R837" s="8" t="inlineStr">
        <is>
          <t>Affiliate Partner</t>
        </is>
      </c>
      <c r="S837" s="8" t="inlineStr">
        <is>
          <t>REG-NA</t>
        </is>
      </c>
    </row>
    <row r="838">
      <c r="A838" s="8" t="inlineStr">
        <is>
          <t>DTL-0000844</t>
        </is>
      </c>
      <c r="B838" s="8" t="inlineStr">
        <is>
          <t>ORD-000429</t>
        </is>
      </c>
      <c r="C838" s="10" t="inlineStr">
        <is>
          <t>2023-07-11</t>
        </is>
      </c>
      <c r="D838" s="8" t="inlineStr">
        <is>
          <t>CUST-06626</t>
        </is>
      </c>
      <c r="E838" s="8" t="inlineStr">
        <is>
          <t>PRD-0345</t>
        </is>
      </c>
      <c r="F838" s="8" t="n">
        <v>1</v>
      </c>
      <c r="G838" s="9">
        <f>IFERROR(XLOOKUP(E838, '04_Products'!$A:$A, '04_Products'!$G:$G), 59.07)</f>
        <v/>
      </c>
      <c r="H838" s="9">
        <f>IFERROR(XLOOKUP(E838, '04_Products'!$A:$A, '04_Products'!$F:$F), 0)</f>
        <v/>
      </c>
      <c r="I838" s="9">
        <f>F838*G838</f>
        <v/>
      </c>
      <c r="J838" s="11" t="n">
        <v>0.15</v>
      </c>
      <c r="K838" s="9">
        <f>I838*J838</f>
        <v/>
      </c>
      <c r="L838" s="9">
        <f>I838-K838</f>
        <v/>
      </c>
      <c r="M838" s="9">
        <f>F838*H838</f>
        <v/>
      </c>
      <c r="N838" s="9">
        <f>L838-M838</f>
        <v/>
      </c>
      <c r="O838" s="11">
        <f>IFERROR(N838/L838, 0)</f>
        <v/>
      </c>
      <c r="P838" s="8">
        <f>YEAR(C838)</f>
        <v/>
      </c>
      <c r="Q838" s="8">
        <f>TEXT(C838, "yyyy-mm")</f>
        <v/>
      </c>
      <c r="R838" s="8" t="inlineStr">
        <is>
          <t>Affiliate Partner</t>
        </is>
      </c>
      <c r="S838" s="8" t="inlineStr">
        <is>
          <t>REG-NA</t>
        </is>
      </c>
    </row>
    <row r="839">
      <c r="A839" s="8" t="inlineStr">
        <is>
          <t>DTL-0000845</t>
        </is>
      </c>
      <c r="B839" s="8" t="inlineStr">
        <is>
          <t>ORD-000430</t>
        </is>
      </c>
      <c r="C839" s="10" t="inlineStr">
        <is>
          <t>2023-10-11</t>
        </is>
      </c>
      <c r="D839" s="8" t="inlineStr">
        <is>
          <t>CUST-04965</t>
        </is>
      </c>
      <c r="E839" s="8" t="inlineStr">
        <is>
          <t>PRD-0361</t>
        </is>
      </c>
      <c r="F839" s="8" t="n">
        <v>1</v>
      </c>
      <c r="G839" s="9">
        <f>IFERROR(XLOOKUP(E839, '04_Products'!$A:$A, '04_Products'!$G:$G), 13.14)</f>
        <v/>
      </c>
      <c r="H839" s="9">
        <f>IFERROR(XLOOKUP(E839, '04_Products'!$A:$A, '04_Products'!$F:$F), 0)</f>
        <v/>
      </c>
      <c r="I839" s="9">
        <f>F839*G839</f>
        <v/>
      </c>
      <c r="J839" s="11" t="n">
        <v>0</v>
      </c>
      <c r="K839" s="9">
        <f>I839*J839</f>
        <v/>
      </c>
      <c r="L839" s="9">
        <f>I839-K839</f>
        <v/>
      </c>
      <c r="M839" s="9">
        <f>F839*H839</f>
        <v/>
      </c>
      <c r="N839" s="9">
        <f>L839-M839</f>
        <v/>
      </c>
      <c r="O839" s="11">
        <f>IFERROR(N839/L839, 0)</f>
        <v/>
      </c>
      <c r="P839" s="8">
        <f>YEAR(C839)</f>
        <v/>
      </c>
      <c r="Q839" s="8">
        <f>TEXT(C839, "yyyy-mm")</f>
        <v/>
      </c>
      <c r="R839" s="8" t="inlineStr">
        <is>
          <t>B2B Portal</t>
        </is>
      </c>
      <c r="S839" s="8" t="inlineStr">
        <is>
          <t>REG-LATAM</t>
        </is>
      </c>
    </row>
    <row r="840">
      <c r="A840" s="8" t="inlineStr">
        <is>
          <t>DTL-0000846</t>
        </is>
      </c>
      <c r="B840" s="8" t="inlineStr">
        <is>
          <t>ORD-000430</t>
        </is>
      </c>
      <c r="C840" s="10" t="inlineStr">
        <is>
          <t>2023-10-11</t>
        </is>
      </c>
      <c r="D840" s="8" t="inlineStr">
        <is>
          <t>CUST-04965</t>
        </is>
      </c>
      <c r="E840" s="8" t="inlineStr">
        <is>
          <t>PRD-0253</t>
        </is>
      </c>
      <c r="F840" s="8" t="n">
        <v>2</v>
      </c>
      <c r="G840" s="9">
        <f>IFERROR(XLOOKUP(E840, '04_Products'!$A:$A, '04_Products'!$G:$G), 514.94)</f>
        <v/>
      </c>
      <c r="H840" s="9">
        <f>IFERROR(XLOOKUP(E840, '04_Products'!$A:$A, '04_Products'!$F:$F), 0)</f>
        <v/>
      </c>
      <c r="I840" s="9">
        <f>F840*G840</f>
        <v/>
      </c>
      <c r="J840" s="11" t="n">
        <v>0.1</v>
      </c>
      <c r="K840" s="9">
        <f>I840*J840</f>
        <v/>
      </c>
      <c r="L840" s="9">
        <f>I840-K840</f>
        <v/>
      </c>
      <c r="M840" s="9">
        <f>F840*H840</f>
        <v/>
      </c>
      <c r="N840" s="9">
        <f>L840-M840</f>
        <v/>
      </c>
      <c r="O840" s="11">
        <f>IFERROR(N840/L840, 0)</f>
        <v/>
      </c>
      <c r="P840" s="8">
        <f>YEAR(C840)</f>
        <v/>
      </c>
      <c r="Q840" s="8">
        <f>TEXT(C840, "yyyy-mm")</f>
        <v/>
      </c>
      <c r="R840" s="8" t="inlineStr">
        <is>
          <t>B2B Portal</t>
        </is>
      </c>
      <c r="S840" s="8" t="inlineStr">
        <is>
          <t>REG-LATAM</t>
        </is>
      </c>
    </row>
    <row r="841">
      <c r="A841" s="8" t="inlineStr">
        <is>
          <t>DTL-0000847</t>
        </is>
      </c>
      <c r="B841" s="8" t="inlineStr">
        <is>
          <t>ORD-000431</t>
        </is>
      </c>
      <c r="C841" s="10" t="inlineStr">
        <is>
          <t>2025-10-13</t>
        </is>
      </c>
      <c r="D841" s="8" t="inlineStr">
        <is>
          <t>CUST-04942</t>
        </is>
      </c>
      <c r="E841" s="8" t="inlineStr">
        <is>
          <t>PRD-0254</t>
        </is>
      </c>
      <c r="F841" s="8" t="n">
        <v>1</v>
      </c>
      <c r="G841" s="9">
        <f>IFERROR(XLOOKUP(E841, '04_Products'!$A:$A, '04_Products'!$G:$G), 219.63)</f>
        <v/>
      </c>
      <c r="H841" s="9">
        <f>IFERROR(XLOOKUP(E841, '04_Products'!$A:$A, '04_Products'!$F:$F), 0)</f>
        <v/>
      </c>
      <c r="I841" s="9">
        <f>F841*G841</f>
        <v/>
      </c>
      <c r="J841" s="11" t="n">
        <v>0</v>
      </c>
      <c r="K841" s="9">
        <f>I841*J841</f>
        <v/>
      </c>
      <c r="L841" s="9">
        <f>I841-K841</f>
        <v/>
      </c>
      <c r="M841" s="9">
        <f>F841*H841</f>
        <v/>
      </c>
      <c r="N841" s="9">
        <f>L841-M841</f>
        <v/>
      </c>
      <c r="O841" s="11">
        <f>IFERROR(N841/L841, 0)</f>
        <v/>
      </c>
      <c r="P841" s="8">
        <f>YEAR(C841)</f>
        <v/>
      </c>
      <c r="Q841" s="8">
        <f>TEXT(C841, "yyyy-mm")</f>
        <v/>
      </c>
      <c r="R841" s="8" t="inlineStr">
        <is>
          <t>Direct Web</t>
        </is>
      </c>
      <c r="S841" s="8" t="inlineStr">
        <is>
          <t>REG-NA</t>
        </is>
      </c>
    </row>
    <row r="842">
      <c r="A842" s="8" t="inlineStr">
        <is>
          <t>DTL-0000848</t>
        </is>
      </c>
      <c r="B842" s="8" t="inlineStr">
        <is>
          <t>ORD-000431</t>
        </is>
      </c>
      <c r="C842" s="10" t="inlineStr">
        <is>
          <t>2025-10-13</t>
        </is>
      </c>
      <c r="D842" s="8" t="inlineStr">
        <is>
          <t>CUST-04942</t>
        </is>
      </c>
      <c r="E842" s="8" t="inlineStr">
        <is>
          <t>PRD-0129</t>
        </is>
      </c>
      <c r="F842" s="8" t="n">
        <v>1</v>
      </c>
      <c r="G842" s="9">
        <f>IFERROR(XLOOKUP(E842, '04_Products'!$A:$A, '04_Products'!$G:$G), 31.56)</f>
        <v/>
      </c>
      <c r="H842" s="9">
        <f>IFERROR(XLOOKUP(E842, '04_Products'!$A:$A, '04_Products'!$F:$F), 0)</f>
        <v/>
      </c>
      <c r="I842" s="9">
        <f>F842*G842</f>
        <v/>
      </c>
      <c r="J842" s="11" t="n">
        <v>0.1</v>
      </c>
      <c r="K842" s="9">
        <f>I842*J842</f>
        <v/>
      </c>
      <c r="L842" s="9">
        <f>I842-K842</f>
        <v/>
      </c>
      <c r="M842" s="9">
        <f>F842*H842</f>
        <v/>
      </c>
      <c r="N842" s="9">
        <f>L842-M842</f>
        <v/>
      </c>
      <c r="O842" s="11">
        <f>IFERROR(N842/L842, 0)</f>
        <v/>
      </c>
      <c r="P842" s="8">
        <f>YEAR(C842)</f>
        <v/>
      </c>
      <c r="Q842" s="8">
        <f>TEXT(C842, "yyyy-mm")</f>
        <v/>
      </c>
      <c r="R842" s="8" t="inlineStr">
        <is>
          <t>Direct Web</t>
        </is>
      </c>
      <c r="S842" s="8" t="inlineStr">
        <is>
          <t>REG-NA</t>
        </is>
      </c>
    </row>
    <row r="843">
      <c r="A843" s="8" t="inlineStr">
        <is>
          <t>DTL-0000849</t>
        </is>
      </c>
      <c r="B843" s="8" t="inlineStr">
        <is>
          <t>ORD-000432</t>
        </is>
      </c>
      <c r="C843" s="10" t="inlineStr">
        <is>
          <t>2023-04-13</t>
        </is>
      </c>
      <c r="D843" s="8" t="inlineStr">
        <is>
          <t>CUST-03248</t>
        </is>
      </c>
      <c r="E843" s="8" t="inlineStr">
        <is>
          <t>PRD-0061</t>
        </is>
      </c>
      <c r="F843" s="8" t="n">
        <v>1</v>
      </c>
      <c r="G843" s="9">
        <f>IFERROR(XLOOKUP(E843, '04_Products'!$A:$A, '04_Products'!$G:$G), 394.62)</f>
        <v/>
      </c>
      <c r="H843" s="9">
        <f>IFERROR(XLOOKUP(E843, '04_Products'!$A:$A, '04_Products'!$F:$F), 0)</f>
        <v/>
      </c>
      <c r="I843" s="9">
        <f>F843*G843</f>
        <v/>
      </c>
      <c r="J843" s="11" t="n">
        <v>0.05</v>
      </c>
      <c r="K843" s="9">
        <f>I843*J843</f>
        <v/>
      </c>
      <c r="L843" s="9">
        <f>I843-K843</f>
        <v/>
      </c>
      <c r="M843" s="9">
        <f>F843*H843</f>
        <v/>
      </c>
      <c r="N843" s="9">
        <f>L843-M843</f>
        <v/>
      </c>
      <c r="O843" s="11">
        <f>IFERROR(N843/L843, 0)</f>
        <v/>
      </c>
      <c r="P843" s="8">
        <f>YEAR(C843)</f>
        <v/>
      </c>
      <c r="Q843" s="8">
        <f>TEXT(C843, "yyyy-mm")</f>
        <v/>
      </c>
      <c r="R843" s="8" t="inlineStr">
        <is>
          <t>Mobile App</t>
        </is>
      </c>
      <c r="S843" s="8" t="inlineStr">
        <is>
          <t>REG-NA</t>
        </is>
      </c>
    </row>
    <row r="844">
      <c r="A844" s="8" t="inlineStr">
        <is>
          <t>DTL-0000850</t>
        </is>
      </c>
      <c r="B844" s="8" t="inlineStr">
        <is>
          <t>ORD-000432</t>
        </is>
      </c>
      <c r="C844" s="10" t="inlineStr">
        <is>
          <t>2023-04-13</t>
        </is>
      </c>
      <c r="D844" s="8" t="inlineStr">
        <is>
          <t>CUST-03248</t>
        </is>
      </c>
      <c r="E844" s="8" t="inlineStr">
        <is>
          <t>PRD-0232</t>
        </is>
      </c>
      <c r="F844" s="8" t="n">
        <v>2</v>
      </c>
      <c r="G844" s="9">
        <f>IFERROR(XLOOKUP(E844, '04_Products'!$A:$A, '04_Products'!$G:$G), 192.08)</f>
        <v/>
      </c>
      <c r="H844" s="9">
        <f>IFERROR(XLOOKUP(E844, '04_Products'!$A:$A, '04_Products'!$F:$F), 0)</f>
        <v/>
      </c>
      <c r="I844" s="9">
        <f>F844*G844</f>
        <v/>
      </c>
      <c r="J844" s="11" t="n">
        <v>0</v>
      </c>
      <c r="K844" s="9">
        <f>I844*J844</f>
        <v/>
      </c>
      <c r="L844" s="9">
        <f>I844-K844</f>
        <v/>
      </c>
      <c r="M844" s="9">
        <f>F844*H844</f>
        <v/>
      </c>
      <c r="N844" s="9">
        <f>L844-M844</f>
        <v/>
      </c>
      <c r="O844" s="11">
        <f>IFERROR(N844/L844, 0)</f>
        <v/>
      </c>
      <c r="P844" s="8">
        <f>YEAR(C844)</f>
        <v/>
      </c>
      <c r="Q844" s="8">
        <f>TEXT(C844, "yyyy-mm")</f>
        <v/>
      </c>
      <c r="R844" s="8" t="inlineStr">
        <is>
          <t>Mobile App</t>
        </is>
      </c>
      <c r="S844" s="8" t="inlineStr">
        <is>
          <t>REG-NA</t>
        </is>
      </c>
    </row>
    <row r="845">
      <c r="A845" s="8" t="inlineStr">
        <is>
          <t>DTL-0000851</t>
        </is>
      </c>
      <c r="B845" s="8" t="inlineStr">
        <is>
          <t>ORD-000432</t>
        </is>
      </c>
      <c r="C845" s="10" t="inlineStr">
        <is>
          <t>2023-04-13</t>
        </is>
      </c>
      <c r="D845" s="8" t="inlineStr">
        <is>
          <t>CUST-03248</t>
        </is>
      </c>
      <c r="E845" s="8" t="inlineStr">
        <is>
          <t>PRD-0311</t>
        </is>
      </c>
      <c r="F845" s="8" t="n">
        <v>1</v>
      </c>
      <c r="G845" s="9">
        <f>IFERROR(XLOOKUP(E845, '04_Products'!$A:$A, '04_Products'!$G:$G), 7.85)</f>
        <v/>
      </c>
      <c r="H845" s="9">
        <f>IFERROR(XLOOKUP(E845, '04_Products'!$A:$A, '04_Products'!$F:$F), 0)</f>
        <v/>
      </c>
      <c r="I845" s="9">
        <f>F845*G845</f>
        <v/>
      </c>
      <c r="J845" s="11" t="n">
        <v>0</v>
      </c>
      <c r="K845" s="9">
        <f>I845*J845</f>
        <v/>
      </c>
      <c r="L845" s="9">
        <f>I845-K845</f>
        <v/>
      </c>
      <c r="M845" s="9">
        <f>F845*H845</f>
        <v/>
      </c>
      <c r="N845" s="9">
        <f>L845-M845</f>
        <v/>
      </c>
      <c r="O845" s="11">
        <f>IFERROR(N845/L845, 0)</f>
        <v/>
      </c>
      <c r="P845" s="8">
        <f>YEAR(C845)</f>
        <v/>
      </c>
      <c r="Q845" s="8">
        <f>TEXT(C845, "yyyy-mm")</f>
        <v/>
      </c>
      <c r="R845" s="8" t="inlineStr">
        <is>
          <t>Mobile App</t>
        </is>
      </c>
      <c r="S845" s="8" t="inlineStr">
        <is>
          <t>REG-NA</t>
        </is>
      </c>
    </row>
    <row r="846">
      <c r="A846" s="8" t="inlineStr">
        <is>
          <t>DTL-0000852</t>
        </is>
      </c>
      <c r="B846" s="8" t="inlineStr">
        <is>
          <t>ORD-000432</t>
        </is>
      </c>
      <c r="C846" s="10" t="inlineStr">
        <is>
          <t>2023-04-13</t>
        </is>
      </c>
      <c r="D846" s="8" t="inlineStr">
        <is>
          <t>CUST-03248</t>
        </is>
      </c>
      <c r="E846" s="8" t="inlineStr">
        <is>
          <t>PRD-0036</t>
        </is>
      </c>
      <c r="F846" s="8" t="n">
        <v>1</v>
      </c>
      <c r="G846" s="9">
        <f>IFERROR(XLOOKUP(E846, '04_Products'!$A:$A, '04_Products'!$G:$G), 574.88)</f>
        <v/>
      </c>
      <c r="H846" s="9">
        <f>IFERROR(XLOOKUP(E846, '04_Products'!$A:$A, '04_Products'!$F:$F), 0)</f>
        <v/>
      </c>
      <c r="I846" s="9">
        <f>F846*G846</f>
        <v/>
      </c>
      <c r="J846" s="11" t="n">
        <v>0</v>
      </c>
      <c r="K846" s="9">
        <f>I846*J846</f>
        <v/>
      </c>
      <c r="L846" s="9">
        <f>I846-K846</f>
        <v/>
      </c>
      <c r="M846" s="9">
        <f>F846*H846</f>
        <v/>
      </c>
      <c r="N846" s="9">
        <f>L846-M846</f>
        <v/>
      </c>
      <c r="O846" s="11">
        <f>IFERROR(N846/L846, 0)</f>
        <v/>
      </c>
      <c r="P846" s="8">
        <f>YEAR(C846)</f>
        <v/>
      </c>
      <c r="Q846" s="8">
        <f>TEXT(C846, "yyyy-mm")</f>
        <v/>
      </c>
      <c r="R846" s="8" t="inlineStr">
        <is>
          <t>Mobile App</t>
        </is>
      </c>
      <c r="S846" s="8" t="inlineStr">
        <is>
          <t>REG-NA</t>
        </is>
      </c>
    </row>
    <row r="847">
      <c r="A847" s="8" t="inlineStr">
        <is>
          <t>DTL-0000853</t>
        </is>
      </c>
      <c r="B847" s="8" t="inlineStr">
        <is>
          <t>ORD-000432</t>
        </is>
      </c>
      <c r="C847" s="10" t="inlineStr">
        <is>
          <t>2023-04-13</t>
        </is>
      </c>
      <c r="D847" s="8" t="inlineStr">
        <is>
          <t>CUST-03248</t>
        </is>
      </c>
      <c r="E847" s="8" t="inlineStr">
        <is>
          <t>PRD-0125</t>
        </is>
      </c>
      <c r="F847" s="8" t="n">
        <v>1</v>
      </c>
      <c r="G847" s="9">
        <f>IFERROR(XLOOKUP(E847, '04_Products'!$A:$A, '04_Products'!$G:$G), 1389.75)</f>
        <v/>
      </c>
      <c r="H847" s="9">
        <f>IFERROR(XLOOKUP(E847, '04_Products'!$A:$A, '04_Products'!$F:$F), 0)</f>
        <v/>
      </c>
      <c r="I847" s="9">
        <f>F847*G847</f>
        <v/>
      </c>
      <c r="J847" s="11" t="n">
        <v>0</v>
      </c>
      <c r="K847" s="9">
        <f>I847*J847</f>
        <v/>
      </c>
      <c r="L847" s="9">
        <f>I847-K847</f>
        <v/>
      </c>
      <c r="M847" s="9">
        <f>F847*H847</f>
        <v/>
      </c>
      <c r="N847" s="9">
        <f>L847-M847</f>
        <v/>
      </c>
      <c r="O847" s="11">
        <f>IFERROR(N847/L847, 0)</f>
        <v/>
      </c>
      <c r="P847" s="8">
        <f>YEAR(C847)</f>
        <v/>
      </c>
      <c r="Q847" s="8">
        <f>TEXT(C847, "yyyy-mm")</f>
        <v/>
      </c>
      <c r="R847" s="8" t="inlineStr">
        <is>
          <t>Mobile App</t>
        </is>
      </c>
      <c r="S847" s="8" t="inlineStr">
        <is>
          <t>REG-NA</t>
        </is>
      </c>
    </row>
    <row r="848">
      <c r="A848" s="8" t="inlineStr">
        <is>
          <t>DTL-0000854</t>
        </is>
      </c>
      <c r="B848" s="8" t="inlineStr">
        <is>
          <t>ORD-000433</t>
        </is>
      </c>
      <c r="C848" s="10" t="inlineStr">
        <is>
          <t>2023-03-27</t>
        </is>
      </c>
      <c r="D848" s="8" t="inlineStr">
        <is>
          <t>CUST-02153</t>
        </is>
      </c>
      <c r="E848" s="8" t="inlineStr">
        <is>
          <t>PRD-0026</t>
        </is>
      </c>
      <c r="F848" s="8" t="n">
        <v>1</v>
      </c>
      <c r="G848" s="9">
        <f>IFERROR(XLOOKUP(E848, '04_Products'!$A:$A, '04_Products'!$G:$G), 469.49)</f>
        <v/>
      </c>
      <c r="H848" s="9">
        <f>IFERROR(XLOOKUP(E848, '04_Products'!$A:$A, '04_Products'!$F:$F), 0)</f>
        <v/>
      </c>
      <c r="I848" s="9">
        <f>F848*G848</f>
        <v/>
      </c>
      <c r="J848" s="11" t="n">
        <v>0.05</v>
      </c>
      <c r="K848" s="9">
        <f>I848*J848</f>
        <v/>
      </c>
      <c r="L848" s="9">
        <f>I848-K848</f>
        <v/>
      </c>
      <c r="M848" s="9">
        <f>F848*H848</f>
        <v/>
      </c>
      <c r="N848" s="9">
        <f>L848-M848</f>
        <v/>
      </c>
      <c r="O848" s="11">
        <f>IFERROR(N848/L848, 0)</f>
        <v/>
      </c>
      <c r="P848" s="8">
        <f>YEAR(C848)</f>
        <v/>
      </c>
      <c r="Q848" s="8">
        <f>TEXT(C848, "yyyy-mm")</f>
        <v/>
      </c>
      <c r="R848" s="8" t="inlineStr">
        <is>
          <t>Mobile App</t>
        </is>
      </c>
      <c r="S848" s="8" t="inlineStr">
        <is>
          <t>REG-EU</t>
        </is>
      </c>
    </row>
    <row r="849">
      <c r="A849" s="8" t="inlineStr">
        <is>
          <t>DTL-0000855</t>
        </is>
      </c>
      <c r="B849" s="8" t="inlineStr">
        <is>
          <t>ORD-000433</t>
        </is>
      </c>
      <c r="C849" s="10" t="inlineStr">
        <is>
          <t>2023-03-27</t>
        </is>
      </c>
      <c r="D849" s="8" t="inlineStr">
        <is>
          <t>CUST-02153</t>
        </is>
      </c>
      <c r="E849" s="8" t="inlineStr">
        <is>
          <t>PRD-0229</t>
        </is>
      </c>
      <c r="F849" s="8" t="n">
        <v>5</v>
      </c>
      <c r="G849" s="9">
        <f>IFERROR(XLOOKUP(E849, '04_Products'!$A:$A, '04_Products'!$G:$G), 31.96)</f>
        <v/>
      </c>
      <c r="H849" s="9">
        <f>IFERROR(XLOOKUP(E849, '04_Products'!$A:$A, '04_Products'!$F:$F), 0)</f>
        <v/>
      </c>
      <c r="I849" s="9">
        <f>F849*G849</f>
        <v/>
      </c>
      <c r="J849" s="11" t="n">
        <v>0.05</v>
      </c>
      <c r="K849" s="9">
        <f>I849*J849</f>
        <v/>
      </c>
      <c r="L849" s="9">
        <f>I849-K849</f>
        <v/>
      </c>
      <c r="M849" s="9">
        <f>F849*H849</f>
        <v/>
      </c>
      <c r="N849" s="9">
        <f>L849-M849</f>
        <v/>
      </c>
      <c r="O849" s="11">
        <f>IFERROR(N849/L849, 0)</f>
        <v/>
      </c>
      <c r="P849" s="8">
        <f>YEAR(C849)</f>
        <v/>
      </c>
      <c r="Q849" s="8">
        <f>TEXT(C849, "yyyy-mm")</f>
        <v/>
      </c>
      <c r="R849" s="8" t="inlineStr">
        <is>
          <t>Mobile App</t>
        </is>
      </c>
      <c r="S849" s="8" t="inlineStr">
        <is>
          <t>REG-EU</t>
        </is>
      </c>
    </row>
    <row r="850">
      <c r="A850" s="8" t="inlineStr">
        <is>
          <t>DTL-0000856</t>
        </is>
      </c>
      <c r="B850" s="8" t="inlineStr">
        <is>
          <t>ORD-000433</t>
        </is>
      </c>
      <c r="C850" s="10" t="inlineStr">
        <is>
          <t>2023-03-27</t>
        </is>
      </c>
      <c r="D850" s="8" t="inlineStr">
        <is>
          <t>CUST-02153</t>
        </is>
      </c>
      <c r="E850" s="8" t="inlineStr">
        <is>
          <t>PRD-0376</t>
        </is>
      </c>
      <c r="F850" s="8" t="n">
        <v>1</v>
      </c>
      <c r="G850" s="9">
        <f>IFERROR(XLOOKUP(E850, '04_Products'!$A:$A, '04_Products'!$G:$G), 219.88)</f>
        <v/>
      </c>
      <c r="H850" s="9">
        <f>IFERROR(XLOOKUP(E850, '04_Products'!$A:$A, '04_Products'!$F:$F), 0)</f>
        <v/>
      </c>
      <c r="I850" s="9">
        <f>F850*G850</f>
        <v/>
      </c>
      <c r="J850" s="11" t="n">
        <v>0.05</v>
      </c>
      <c r="K850" s="9">
        <f>I850*J850</f>
        <v/>
      </c>
      <c r="L850" s="9">
        <f>I850-K850</f>
        <v/>
      </c>
      <c r="M850" s="9">
        <f>F850*H850</f>
        <v/>
      </c>
      <c r="N850" s="9">
        <f>L850-M850</f>
        <v/>
      </c>
      <c r="O850" s="11">
        <f>IFERROR(N850/L850, 0)</f>
        <v/>
      </c>
      <c r="P850" s="8">
        <f>YEAR(C850)</f>
        <v/>
      </c>
      <c r="Q850" s="8">
        <f>TEXT(C850, "yyyy-mm")</f>
        <v/>
      </c>
      <c r="R850" s="8" t="inlineStr">
        <is>
          <t>Mobile App</t>
        </is>
      </c>
      <c r="S850" s="8" t="inlineStr">
        <is>
          <t>REG-EU</t>
        </is>
      </c>
    </row>
    <row r="851">
      <c r="A851" s="8" t="inlineStr">
        <is>
          <t>DTL-0000857</t>
        </is>
      </c>
      <c r="B851" s="8" t="inlineStr">
        <is>
          <t>ORD-000433</t>
        </is>
      </c>
      <c r="C851" s="10" t="inlineStr">
        <is>
          <t>2023-03-27</t>
        </is>
      </c>
      <c r="D851" s="8" t="inlineStr">
        <is>
          <t>CUST-02153</t>
        </is>
      </c>
      <c r="E851" s="8" t="inlineStr">
        <is>
          <t>PRD-0093</t>
        </is>
      </c>
      <c r="F851" s="8" t="n">
        <v>1</v>
      </c>
      <c r="G851" s="9">
        <f>IFERROR(XLOOKUP(E851, '04_Products'!$A:$A, '04_Products'!$G:$G), 1324.37)</f>
        <v/>
      </c>
      <c r="H851" s="9">
        <f>IFERROR(XLOOKUP(E851, '04_Products'!$A:$A, '04_Products'!$F:$F), 0)</f>
        <v/>
      </c>
      <c r="I851" s="9">
        <f>F851*G851</f>
        <v/>
      </c>
      <c r="J851" s="11" t="n">
        <v>0.2</v>
      </c>
      <c r="K851" s="9">
        <f>I851*J851</f>
        <v/>
      </c>
      <c r="L851" s="9">
        <f>I851-K851</f>
        <v/>
      </c>
      <c r="M851" s="9">
        <f>F851*H851</f>
        <v/>
      </c>
      <c r="N851" s="9">
        <f>L851-M851</f>
        <v/>
      </c>
      <c r="O851" s="11">
        <f>IFERROR(N851/L851, 0)</f>
        <v/>
      </c>
      <c r="P851" s="8">
        <f>YEAR(C851)</f>
        <v/>
      </c>
      <c r="Q851" s="8">
        <f>TEXT(C851, "yyyy-mm")</f>
        <v/>
      </c>
      <c r="R851" s="8" t="inlineStr">
        <is>
          <t>Mobile App</t>
        </is>
      </c>
      <c r="S851" s="8" t="inlineStr">
        <is>
          <t>REG-EU</t>
        </is>
      </c>
    </row>
    <row r="852">
      <c r="A852" s="8" t="inlineStr">
        <is>
          <t>DTL-0000858</t>
        </is>
      </c>
      <c r="B852" s="8" t="inlineStr">
        <is>
          <t>ORD-000434</t>
        </is>
      </c>
      <c r="C852" s="10" t="inlineStr">
        <is>
          <t>2024-10-16</t>
        </is>
      </c>
      <c r="D852" s="8" t="inlineStr">
        <is>
          <t>CUST-03124</t>
        </is>
      </c>
      <c r="E852" s="8" t="inlineStr">
        <is>
          <t>PRD-0059</t>
        </is>
      </c>
      <c r="F852" s="8" t="n">
        <v>1</v>
      </c>
      <c r="G852" s="9">
        <f>IFERROR(XLOOKUP(E852, '04_Products'!$A:$A, '04_Products'!$G:$G), 532.12)</f>
        <v/>
      </c>
      <c r="H852" s="9">
        <f>IFERROR(XLOOKUP(E852, '04_Products'!$A:$A, '04_Products'!$F:$F), 0)</f>
        <v/>
      </c>
      <c r="I852" s="9">
        <f>F852*G852</f>
        <v/>
      </c>
      <c r="J852" s="11" t="n">
        <v>0</v>
      </c>
      <c r="K852" s="9">
        <f>I852*J852</f>
        <v/>
      </c>
      <c r="L852" s="9">
        <f>I852-K852</f>
        <v/>
      </c>
      <c r="M852" s="9">
        <f>F852*H852</f>
        <v/>
      </c>
      <c r="N852" s="9">
        <f>L852-M852</f>
        <v/>
      </c>
      <c r="O852" s="11">
        <f>IFERROR(N852/L852, 0)</f>
        <v/>
      </c>
      <c r="P852" s="8">
        <f>YEAR(C852)</f>
        <v/>
      </c>
      <c r="Q852" s="8">
        <f>TEXT(C852, "yyyy-mm")</f>
        <v/>
      </c>
      <c r="R852" s="8" t="inlineStr">
        <is>
          <t>Direct Web</t>
        </is>
      </c>
      <c r="S852" s="8" t="inlineStr">
        <is>
          <t>REG-NA</t>
        </is>
      </c>
    </row>
    <row r="853">
      <c r="A853" s="8" t="inlineStr">
        <is>
          <t>DTL-0000859</t>
        </is>
      </c>
      <c r="B853" s="8" t="inlineStr">
        <is>
          <t>ORD-000434</t>
        </is>
      </c>
      <c r="C853" s="10" t="inlineStr">
        <is>
          <t>2024-10-16</t>
        </is>
      </c>
      <c r="D853" s="8" t="inlineStr">
        <is>
          <t>CUST-03124</t>
        </is>
      </c>
      <c r="E853" s="8" t="inlineStr">
        <is>
          <t>PRD-0484</t>
        </is>
      </c>
      <c r="F853" s="8" t="n">
        <v>1</v>
      </c>
      <c r="G853" s="9">
        <f>IFERROR(XLOOKUP(E853, '04_Products'!$A:$A, '04_Products'!$G:$G), 33.81)</f>
        <v/>
      </c>
      <c r="H853" s="9">
        <f>IFERROR(XLOOKUP(E853, '04_Products'!$A:$A, '04_Products'!$F:$F), 0)</f>
        <v/>
      </c>
      <c r="I853" s="9">
        <f>F853*G853</f>
        <v/>
      </c>
      <c r="J853" s="11" t="n">
        <v>0</v>
      </c>
      <c r="K853" s="9">
        <f>I853*J853</f>
        <v/>
      </c>
      <c r="L853" s="9">
        <f>I853-K853</f>
        <v/>
      </c>
      <c r="M853" s="9">
        <f>F853*H853</f>
        <v/>
      </c>
      <c r="N853" s="9">
        <f>L853-M853</f>
        <v/>
      </c>
      <c r="O853" s="11">
        <f>IFERROR(N853/L853, 0)</f>
        <v/>
      </c>
      <c r="P853" s="8">
        <f>YEAR(C853)</f>
        <v/>
      </c>
      <c r="Q853" s="8">
        <f>TEXT(C853, "yyyy-mm")</f>
        <v/>
      </c>
      <c r="R853" s="8" t="inlineStr">
        <is>
          <t>Direct Web</t>
        </is>
      </c>
      <c r="S853" s="8" t="inlineStr">
        <is>
          <t>REG-NA</t>
        </is>
      </c>
    </row>
    <row r="854">
      <c r="A854" s="8" t="inlineStr">
        <is>
          <t>DTL-0000860</t>
        </is>
      </c>
      <c r="B854" s="8" t="inlineStr">
        <is>
          <t>ORD-000435</t>
        </is>
      </c>
      <c r="C854" s="10" t="inlineStr">
        <is>
          <t>2024-12-22</t>
        </is>
      </c>
      <c r="D854" s="8" t="inlineStr">
        <is>
          <t>CUST-02277</t>
        </is>
      </c>
      <c r="E854" s="8" t="inlineStr">
        <is>
          <t>PRD-0003</t>
        </is>
      </c>
      <c r="F854" s="8" t="n">
        <v>1</v>
      </c>
      <c r="G854" s="9">
        <f>IFERROR(XLOOKUP(E854, '04_Products'!$A:$A, '04_Products'!$G:$G), 807.39)</f>
        <v/>
      </c>
      <c r="H854" s="9">
        <f>IFERROR(XLOOKUP(E854, '04_Products'!$A:$A, '04_Products'!$F:$F), 0)</f>
        <v/>
      </c>
      <c r="I854" s="9">
        <f>F854*G854</f>
        <v/>
      </c>
      <c r="J854" s="11" t="n">
        <v>0.3</v>
      </c>
      <c r="K854" s="9">
        <f>I854*J854</f>
        <v/>
      </c>
      <c r="L854" s="9">
        <f>I854-K854</f>
        <v/>
      </c>
      <c r="M854" s="9">
        <f>F854*H854</f>
        <v/>
      </c>
      <c r="N854" s="9">
        <f>L854-M854</f>
        <v/>
      </c>
      <c r="O854" s="11">
        <f>IFERROR(N854/L854, 0)</f>
        <v/>
      </c>
      <c r="P854" s="8">
        <f>YEAR(C854)</f>
        <v/>
      </c>
      <c r="Q854" s="8">
        <f>TEXT(C854, "yyyy-mm")</f>
        <v/>
      </c>
      <c r="R854" s="8" t="inlineStr">
        <is>
          <t>B2B Portal</t>
        </is>
      </c>
      <c r="S854" s="8" t="inlineStr">
        <is>
          <t>REG-LATAM</t>
        </is>
      </c>
    </row>
    <row r="855">
      <c r="A855" s="8" t="inlineStr">
        <is>
          <t>DTL-0000861</t>
        </is>
      </c>
      <c r="B855" s="8" t="inlineStr">
        <is>
          <t>ORD-000435</t>
        </is>
      </c>
      <c r="C855" s="10" t="inlineStr">
        <is>
          <t>2024-12-22</t>
        </is>
      </c>
      <c r="D855" s="8" t="inlineStr">
        <is>
          <t>CUST-02277</t>
        </is>
      </c>
      <c r="E855" s="8" t="inlineStr">
        <is>
          <t>PRD-0272</t>
        </is>
      </c>
      <c r="F855" s="8" t="n">
        <v>5</v>
      </c>
      <c r="G855" s="9">
        <f>IFERROR(XLOOKUP(E855, '04_Products'!$A:$A, '04_Products'!$G:$G), 109.11)</f>
        <v/>
      </c>
      <c r="H855" s="9">
        <f>IFERROR(XLOOKUP(E855, '04_Products'!$A:$A, '04_Products'!$F:$F), 0)</f>
        <v/>
      </c>
      <c r="I855" s="9">
        <f>F855*G855</f>
        <v/>
      </c>
      <c r="J855" s="11" t="n">
        <v>0.25</v>
      </c>
      <c r="K855" s="9">
        <f>I855*J855</f>
        <v/>
      </c>
      <c r="L855" s="9">
        <f>I855-K855</f>
        <v/>
      </c>
      <c r="M855" s="9">
        <f>F855*H855</f>
        <v/>
      </c>
      <c r="N855" s="9">
        <f>L855-M855</f>
        <v/>
      </c>
      <c r="O855" s="11">
        <f>IFERROR(N855/L855, 0)</f>
        <v/>
      </c>
      <c r="P855" s="8">
        <f>YEAR(C855)</f>
        <v/>
      </c>
      <c r="Q855" s="8">
        <f>TEXT(C855, "yyyy-mm")</f>
        <v/>
      </c>
      <c r="R855" s="8" t="inlineStr">
        <is>
          <t>B2B Portal</t>
        </is>
      </c>
      <c r="S855" s="8" t="inlineStr">
        <is>
          <t>REG-LATAM</t>
        </is>
      </c>
    </row>
    <row r="856">
      <c r="A856" s="8" t="inlineStr">
        <is>
          <t>DTL-0000862</t>
        </is>
      </c>
      <c r="B856" s="8" t="inlineStr">
        <is>
          <t>ORD-000435</t>
        </is>
      </c>
      <c r="C856" s="10" t="inlineStr">
        <is>
          <t>2024-12-22</t>
        </is>
      </c>
      <c r="D856" s="8" t="inlineStr">
        <is>
          <t>CUST-02277</t>
        </is>
      </c>
      <c r="E856" s="8" t="inlineStr">
        <is>
          <t>PRD-0386</t>
        </is>
      </c>
      <c r="F856" s="8" t="n">
        <v>1</v>
      </c>
      <c r="G856" s="9">
        <f>IFERROR(XLOOKUP(E856, '04_Products'!$A:$A, '04_Products'!$G:$G), 339.98)</f>
        <v/>
      </c>
      <c r="H856" s="9">
        <f>IFERROR(XLOOKUP(E856, '04_Products'!$A:$A, '04_Products'!$F:$F), 0)</f>
        <v/>
      </c>
      <c r="I856" s="9">
        <f>F856*G856</f>
        <v/>
      </c>
      <c r="J856" s="11" t="n">
        <v>0.15</v>
      </c>
      <c r="K856" s="9">
        <f>I856*J856</f>
        <v/>
      </c>
      <c r="L856" s="9">
        <f>I856-K856</f>
        <v/>
      </c>
      <c r="M856" s="9">
        <f>F856*H856</f>
        <v/>
      </c>
      <c r="N856" s="9">
        <f>L856-M856</f>
        <v/>
      </c>
      <c r="O856" s="11">
        <f>IFERROR(N856/L856, 0)</f>
        <v/>
      </c>
      <c r="P856" s="8">
        <f>YEAR(C856)</f>
        <v/>
      </c>
      <c r="Q856" s="8">
        <f>TEXT(C856, "yyyy-mm")</f>
        <v/>
      </c>
      <c r="R856" s="8" t="inlineStr">
        <is>
          <t>B2B Portal</t>
        </is>
      </c>
      <c r="S856" s="8" t="inlineStr">
        <is>
          <t>REG-LATAM</t>
        </is>
      </c>
    </row>
    <row r="857">
      <c r="A857" s="8" t="inlineStr">
        <is>
          <t>DTL-0000863</t>
        </is>
      </c>
      <c r="B857" s="8" t="inlineStr">
        <is>
          <t>ORD-000436</t>
        </is>
      </c>
      <c r="C857" s="10" t="inlineStr">
        <is>
          <t>2023-08-24</t>
        </is>
      </c>
      <c r="D857" s="8" t="inlineStr">
        <is>
          <t>CUST-02933</t>
        </is>
      </c>
      <c r="E857" s="8" t="inlineStr">
        <is>
          <t>PRD-0187</t>
        </is>
      </c>
      <c r="F857" s="8" t="n">
        <v>1</v>
      </c>
      <c r="G857" s="9">
        <f>IFERROR(XLOOKUP(E857, '04_Products'!$A:$A, '04_Products'!$G:$G), 777.18)</f>
        <v/>
      </c>
      <c r="H857" s="9">
        <f>IFERROR(XLOOKUP(E857, '04_Products'!$A:$A, '04_Products'!$F:$F), 0)</f>
        <v/>
      </c>
      <c r="I857" s="9">
        <f>F857*G857</f>
        <v/>
      </c>
      <c r="J857" s="11" t="n">
        <v>0</v>
      </c>
      <c r="K857" s="9">
        <f>I857*J857</f>
        <v/>
      </c>
      <c r="L857" s="9">
        <f>I857-K857</f>
        <v/>
      </c>
      <c r="M857" s="9">
        <f>F857*H857</f>
        <v/>
      </c>
      <c r="N857" s="9">
        <f>L857-M857</f>
        <v/>
      </c>
      <c r="O857" s="11">
        <f>IFERROR(N857/L857, 0)</f>
        <v/>
      </c>
      <c r="P857" s="8">
        <f>YEAR(C857)</f>
        <v/>
      </c>
      <c r="Q857" s="8">
        <f>TEXT(C857, "yyyy-mm")</f>
        <v/>
      </c>
      <c r="R857" s="8" t="inlineStr">
        <is>
          <t>Direct Web</t>
        </is>
      </c>
      <c r="S857" s="8" t="inlineStr">
        <is>
          <t>REG-LATAM</t>
        </is>
      </c>
    </row>
    <row r="858">
      <c r="A858" s="8" t="inlineStr">
        <is>
          <t>DTL-0000864</t>
        </is>
      </c>
      <c r="B858" s="8" t="inlineStr">
        <is>
          <t>ORD-000436</t>
        </is>
      </c>
      <c r="C858" s="10" t="inlineStr">
        <is>
          <t>2023-08-24</t>
        </is>
      </c>
      <c r="D858" s="8" t="inlineStr">
        <is>
          <t>CUST-02933</t>
        </is>
      </c>
      <c r="E858" s="8" t="inlineStr">
        <is>
          <t>PRD-0017</t>
        </is>
      </c>
      <c r="F858" s="8" t="n">
        <v>2</v>
      </c>
      <c r="G858" s="9">
        <f>IFERROR(XLOOKUP(E858, '04_Products'!$A:$A, '04_Products'!$G:$G), 931.16)</f>
        <v/>
      </c>
      <c r="H858" s="9">
        <f>IFERROR(XLOOKUP(E858, '04_Products'!$A:$A, '04_Products'!$F:$F), 0)</f>
        <v/>
      </c>
      <c r="I858" s="9">
        <f>F858*G858</f>
        <v/>
      </c>
      <c r="J858" s="11" t="n">
        <v>0.15</v>
      </c>
      <c r="K858" s="9">
        <f>I858*J858</f>
        <v/>
      </c>
      <c r="L858" s="9">
        <f>I858-K858</f>
        <v/>
      </c>
      <c r="M858" s="9">
        <f>F858*H858</f>
        <v/>
      </c>
      <c r="N858" s="9">
        <f>L858-M858</f>
        <v/>
      </c>
      <c r="O858" s="11">
        <f>IFERROR(N858/L858, 0)</f>
        <v/>
      </c>
      <c r="P858" s="8">
        <f>YEAR(C858)</f>
        <v/>
      </c>
      <c r="Q858" s="8">
        <f>TEXT(C858, "yyyy-mm")</f>
        <v/>
      </c>
      <c r="R858" s="8" t="inlineStr">
        <is>
          <t>Direct Web</t>
        </is>
      </c>
      <c r="S858" s="8" t="inlineStr">
        <is>
          <t>REG-LATAM</t>
        </is>
      </c>
    </row>
    <row r="859">
      <c r="A859" s="8" t="inlineStr">
        <is>
          <t>DTL-0000865</t>
        </is>
      </c>
      <c r="B859" s="8" t="inlineStr">
        <is>
          <t>ORD-000437</t>
        </is>
      </c>
      <c r="C859" s="10" t="inlineStr">
        <is>
          <t>2025-10-04</t>
        </is>
      </c>
      <c r="D859" s="8" t="inlineStr">
        <is>
          <t>CUST-07826</t>
        </is>
      </c>
      <c r="E859" s="8" t="inlineStr">
        <is>
          <t>PRD-0414</t>
        </is>
      </c>
      <c r="F859" s="8" t="n">
        <v>1</v>
      </c>
      <c r="G859" s="9">
        <f>IFERROR(XLOOKUP(E859, '04_Products'!$A:$A, '04_Products'!$G:$G), 101.77)</f>
        <v/>
      </c>
      <c r="H859" s="9">
        <f>IFERROR(XLOOKUP(E859, '04_Products'!$A:$A, '04_Products'!$F:$F), 0)</f>
        <v/>
      </c>
      <c r="I859" s="9">
        <f>F859*G859</f>
        <v/>
      </c>
      <c r="J859" s="11" t="n">
        <v>0.1</v>
      </c>
      <c r="K859" s="9">
        <f>I859*J859</f>
        <v/>
      </c>
      <c r="L859" s="9">
        <f>I859-K859</f>
        <v/>
      </c>
      <c r="M859" s="9">
        <f>F859*H859</f>
        <v/>
      </c>
      <c r="N859" s="9">
        <f>L859-M859</f>
        <v/>
      </c>
      <c r="O859" s="11">
        <f>IFERROR(N859/L859, 0)</f>
        <v/>
      </c>
      <c r="P859" s="8">
        <f>YEAR(C859)</f>
        <v/>
      </c>
      <c r="Q859" s="8">
        <f>TEXT(C859, "yyyy-mm")</f>
        <v/>
      </c>
      <c r="R859" s="8" t="inlineStr">
        <is>
          <t>Direct Web</t>
        </is>
      </c>
      <c r="S859" s="8" t="inlineStr">
        <is>
          <t>REG-NA</t>
        </is>
      </c>
    </row>
    <row r="860">
      <c r="A860" s="8" t="inlineStr">
        <is>
          <t>DTL-0000866</t>
        </is>
      </c>
      <c r="B860" s="8" t="inlineStr">
        <is>
          <t>ORD-000437</t>
        </is>
      </c>
      <c r="C860" s="10" t="inlineStr">
        <is>
          <t>2025-10-04</t>
        </is>
      </c>
      <c r="D860" s="8" t="inlineStr">
        <is>
          <t>CUST-07826</t>
        </is>
      </c>
      <c r="E860" s="8" t="inlineStr">
        <is>
          <t>PRD-0130</t>
        </is>
      </c>
      <c r="F860" s="8" t="n">
        <v>1</v>
      </c>
      <c r="G860" s="9">
        <f>IFERROR(XLOOKUP(E860, '04_Products'!$A:$A, '04_Products'!$G:$G), 593.34)</f>
        <v/>
      </c>
      <c r="H860" s="9">
        <f>IFERROR(XLOOKUP(E860, '04_Products'!$A:$A, '04_Products'!$F:$F), 0)</f>
        <v/>
      </c>
      <c r="I860" s="9">
        <f>F860*G860</f>
        <v/>
      </c>
      <c r="J860" s="11" t="n">
        <v>0.15</v>
      </c>
      <c r="K860" s="9">
        <f>I860*J860</f>
        <v/>
      </c>
      <c r="L860" s="9">
        <f>I860-K860</f>
        <v/>
      </c>
      <c r="M860" s="9">
        <f>F860*H860</f>
        <v/>
      </c>
      <c r="N860" s="9">
        <f>L860-M860</f>
        <v/>
      </c>
      <c r="O860" s="11">
        <f>IFERROR(N860/L860, 0)</f>
        <v/>
      </c>
      <c r="P860" s="8">
        <f>YEAR(C860)</f>
        <v/>
      </c>
      <c r="Q860" s="8">
        <f>TEXT(C860, "yyyy-mm")</f>
        <v/>
      </c>
      <c r="R860" s="8" t="inlineStr">
        <is>
          <t>Direct Web</t>
        </is>
      </c>
      <c r="S860" s="8" t="inlineStr">
        <is>
          <t>REG-NA</t>
        </is>
      </c>
    </row>
    <row r="861">
      <c r="A861" s="8" t="inlineStr">
        <is>
          <t>DTL-0000867</t>
        </is>
      </c>
      <c r="B861" s="8" t="inlineStr">
        <is>
          <t>ORD-000438</t>
        </is>
      </c>
      <c r="C861" s="10" t="inlineStr">
        <is>
          <t>2025-12-13</t>
        </is>
      </c>
      <c r="D861" s="8" t="inlineStr">
        <is>
          <t>CUST-06247</t>
        </is>
      </c>
      <c r="E861" s="8" t="inlineStr">
        <is>
          <t>PRD-0396</t>
        </is>
      </c>
      <c r="F861" s="8" t="n">
        <v>1</v>
      </c>
      <c r="G861" s="9">
        <f>IFERROR(XLOOKUP(E861, '04_Products'!$A:$A, '04_Products'!$G:$G), 1112.29)</f>
        <v/>
      </c>
      <c r="H861" s="9">
        <f>IFERROR(XLOOKUP(E861, '04_Products'!$A:$A, '04_Products'!$F:$F), 0)</f>
        <v/>
      </c>
      <c r="I861" s="9">
        <f>F861*G861</f>
        <v/>
      </c>
      <c r="J861" s="11" t="n">
        <v>0.1</v>
      </c>
      <c r="K861" s="9">
        <f>I861*J861</f>
        <v/>
      </c>
      <c r="L861" s="9">
        <f>I861-K861</f>
        <v/>
      </c>
      <c r="M861" s="9">
        <f>F861*H861</f>
        <v/>
      </c>
      <c r="N861" s="9">
        <f>L861-M861</f>
        <v/>
      </c>
      <c r="O861" s="11">
        <f>IFERROR(N861/L861, 0)</f>
        <v/>
      </c>
      <c r="P861" s="8">
        <f>YEAR(C861)</f>
        <v/>
      </c>
      <c r="Q861" s="8">
        <f>TEXT(C861, "yyyy-mm")</f>
        <v/>
      </c>
      <c r="R861" s="8" t="inlineStr">
        <is>
          <t>Direct Web</t>
        </is>
      </c>
      <c r="S861" s="8" t="inlineStr">
        <is>
          <t>REG-NA</t>
        </is>
      </c>
    </row>
    <row r="862">
      <c r="A862" s="8" t="inlineStr">
        <is>
          <t>DTL-0000868</t>
        </is>
      </c>
      <c r="B862" s="8" t="inlineStr">
        <is>
          <t>ORD-000439</t>
        </is>
      </c>
      <c r="C862" s="10" t="inlineStr">
        <is>
          <t>2024-10-09</t>
        </is>
      </c>
      <c r="D862" s="8" t="inlineStr">
        <is>
          <t>CUST-01966</t>
        </is>
      </c>
      <c r="E862" s="8" t="inlineStr">
        <is>
          <t>PRD-0369</t>
        </is>
      </c>
      <c r="F862" s="8" t="n">
        <v>1</v>
      </c>
      <c r="G862" s="9">
        <f>IFERROR(XLOOKUP(E862, '04_Products'!$A:$A, '04_Products'!$G:$G), 653.11)</f>
        <v/>
      </c>
      <c r="H862" s="9">
        <f>IFERROR(XLOOKUP(E862, '04_Products'!$A:$A, '04_Products'!$F:$F), 0)</f>
        <v/>
      </c>
      <c r="I862" s="9">
        <f>F862*G862</f>
        <v/>
      </c>
      <c r="J862" s="11" t="n">
        <v>0</v>
      </c>
      <c r="K862" s="9">
        <f>I862*J862</f>
        <v/>
      </c>
      <c r="L862" s="9">
        <f>I862-K862</f>
        <v/>
      </c>
      <c r="M862" s="9">
        <f>F862*H862</f>
        <v/>
      </c>
      <c r="N862" s="9">
        <f>L862-M862</f>
        <v/>
      </c>
      <c r="O862" s="11">
        <f>IFERROR(N862/L862, 0)</f>
        <v/>
      </c>
      <c r="P862" s="8">
        <f>YEAR(C862)</f>
        <v/>
      </c>
      <c r="Q862" s="8">
        <f>TEXT(C862, "yyyy-mm")</f>
        <v/>
      </c>
      <c r="R862" s="8" t="inlineStr">
        <is>
          <t>Direct Web</t>
        </is>
      </c>
      <c r="S862" s="8" t="inlineStr">
        <is>
          <t>REG-NA</t>
        </is>
      </c>
    </row>
    <row r="863">
      <c r="A863" s="8" t="inlineStr">
        <is>
          <t>DTL-0000869</t>
        </is>
      </c>
      <c r="B863" s="8" t="inlineStr">
        <is>
          <t>ORD-000439</t>
        </is>
      </c>
      <c r="C863" s="10" t="inlineStr">
        <is>
          <t>2024-10-09</t>
        </is>
      </c>
      <c r="D863" s="8" t="inlineStr">
        <is>
          <t>CUST-01966</t>
        </is>
      </c>
      <c r="E863" s="8" t="inlineStr">
        <is>
          <t>PRD-0390</t>
        </is>
      </c>
      <c r="F863" s="8" t="n">
        <v>3</v>
      </c>
      <c r="G863" s="9">
        <f>IFERROR(XLOOKUP(E863, '04_Products'!$A:$A, '04_Products'!$G:$G), 260.60)</f>
        <v/>
      </c>
      <c r="H863" s="9">
        <f>IFERROR(XLOOKUP(E863, '04_Products'!$A:$A, '04_Products'!$F:$F), 0)</f>
        <v/>
      </c>
      <c r="I863" s="9">
        <f>F863*G863</f>
        <v/>
      </c>
      <c r="J863" s="11" t="n">
        <v>0.1</v>
      </c>
      <c r="K863" s="9">
        <f>I863*J863</f>
        <v/>
      </c>
      <c r="L863" s="9">
        <f>I863-K863</f>
        <v/>
      </c>
      <c r="M863" s="9">
        <f>F863*H863</f>
        <v/>
      </c>
      <c r="N863" s="9">
        <f>L863-M863</f>
        <v/>
      </c>
      <c r="O863" s="11">
        <f>IFERROR(N863/L863, 0)</f>
        <v/>
      </c>
      <c r="P863" s="8">
        <f>YEAR(C863)</f>
        <v/>
      </c>
      <c r="Q863" s="8">
        <f>TEXT(C863, "yyyy-mm")</f>
        <v/>
      </c>
      <c r="R863" s="8" t="inlineStr">
        <is>
          <t>Direct Web</t>
        </is>
      </c>
      <c r="S863" s="8" t="inlineStr">
        <is>
          <t>REG-NA</t>
        </is>
      </c>
    </row>
    <row r="864">
      <c r="A864" s="8" t="inlineStr">
        <is>
          <t>DTL-0000870</t>
        </is>
      </c>
      <c r="B864" s="8" t="inlineStr">
        <is>
          <t>ORD-000440</t>
        </is>
      </c>
      <c r="C864" s="10" t="inlineStr">
        <is>
          <t>2024-03-23</t>
        </is>
      </c>
      <c r="D864" s="8" t="inlineStr">
        <is>
          <t>CUST-02139</t>
        </is>
      </c>
      <c r="E864" s="8" t="inlineStr">
        <is>
          <t>PRD-0285</t>
        </is>
      </c>
      <c r="F864" s="8" t="n">
        <v>1</v>
      </c>
      <c r="G864" s="9">
        <f>IFERROR(XLOOKUP(E864, '04_Products'!$A:$A, '04_Products'!$G:$G), 269.59)</f>
        <v/>
      </c>
      <c r="H864" s="9">
        <f>IFERROR(XLOOKUP(E864, '04_Products'!$A:$A, '04_Products'!$F:$F), 0)</f>
        <v/>
      </c>
      <c r="I864" s="9">
        <f>F864*G864</f>
        <v/>
      </c>
      <c r="J864" s="11" t="n">
        <v>0.05</v>
      </c>
      <c r="K864" s="9">
        <f>I864*J864</f>
        <v/>
      </c>
      <c r="L864" s="9">
        <f>I864-K864</f>
        <v/>
      </c>
      <c r="M864" s="9">
        <f>F864*H864</f>
        <v/>
      </c>
      <c r="N864" s="9">
        <f>L864-M864</f>
        <v/>
      </c>
      <c r="O864" s="11">
        <f>IFERROR(N864/L864, 0)</f>
        <v/>
      </c>
      <c r="P864" s="8">
        <f>YEAR(C864)</f>
        <v/>
      </c>
      <c r="Q864" s="8">
        <f>TEXT(C864, "yyyy-mm")</f>
        <v/>
      </c>
      <c r="R864" s="8" t="inlineStr">
        <is>
          <t>Direct Web</t>
        </is>
      </c>
      <c r="S864" s="8" t="inlineStr">
        <is>
          <t>REG-EU</t>
        </is>
      </c>
    </row>
    <row r="865">
      <c r="A865" s="8" t="inlineStr">
        <is>
          <t>DTL-0000871</t>
        </is>
      </c>
      <c r="B865" s="8" t="inlineStr">
        <is>
          <t>ORD-000441</t>
        </is>
      </c>
      <c r="C865" s="10" t="inlineStr">
        <is>
          <t>2024-10-02</t>
        </is>
      </c>
      <c r="D865" s="8" t="inlineStr">
        <is>
          <t>CUST-02111</t>
        </is>
      </c>
      <c r="E865" s="8" t="inlineStr">
        <is>
          <t>PRD-0129</t>
        </is>
      </c>
      <c r="F865" s="8" t="n">
        <v>1</v>
      </c>
      <c r="G865" s="9">
        <f>IFERROR(XLOOKUP(E865, '04_Products'!$A:$A, '04_Products'!$G:$G), 31.56)</f>
        <v/>
      </c>
      <c r="H865" s="9">
        <f>IFERROR(XLOOKUP(E865, '04_Products'!$A:$A, '04_Products'!$F:$F), 0)</f>
        <v/>
      </c>
      <c r="I865" s="9">
        <f>F865*G865</f>
        <v/>
      </c>
      <c r="J865" s="11" t="n">
        <v>0.15</v>
      </c>
      <c r="K865" s="9">
        <f>I865*J865</f>
        <v/>
      </c>
      <c r="L865" s="9">
        <f>I865-K865</f>
        <v/>
      </c>
      <c r="M865" s="9">
        <f>F865*H865</f>
        <v/>
      </c>
      <c r="N865" s="9">
        <f>L865-M865</f>
        <v/>
      </c>
      <c r="O865" s="11">
        <f>IFERROR(N865/L865, 0)</f>
        <v/>
      </c>
      <c r="P865" s="8">
        <f>YEAR(C865)</f>
        <v/>
      </c>
      <c r="Q865" s="8">
        <f>TEXT(C865, "yyyy-mm")</f>
        <v/>
      </c>
      <c r="R865" s="8" t="inlineStr">
        <is>
          <t>Mobile App</t>
        </is>
      </c>
      <c r="S865" s="8" t="inlineStr">
        <is>
          <t>REG-NA</t>
        </is>
      </c>
    </row>
    <row r="866">
      <c r="A866" s="8" t="inlineStr">
        <is>
          <t>DTL-0000872</t>
        </is>
      </c>
      <c r="B866" s="8" t="inlineStr">
        <is>
          <t>ORD-000442</t>
        </is>
      </c>
      <c r="C866" s="10" t="inlineStr">
        <is>
          <t>2025-05-21</t>
        </is>
      </c>
      <c r="D866" s="8" t="inlineStr">
        <is>
          <t>CUST-04444</t>
        </is>
      </c>
      <c r="E866" s="8" t="inlineStr">
        <is>
          <t>PRD-0034</t>
        </is>
      </c>
      <c r="F866" s="8" t="n">
        <v>2</v>
      </c>
      <c r="G866" s="9">
        <f>IFERROR(XLOOKUP(E866, '04_Products'!$A:$A, '04_Products'!$G:$G), 52.58)</f>
        <v/>
      </c>
      <c r="H866" s="9">
        <f>IFERROR(XLOOKUP(E866, '04_Products'!$A:$A, '04_Products'!$F:$F), 0)</f>
        <v/>
      </c>
      <c r="I866" s="9">
        <f>F866*G866</f>
        <v/>
      </c>
      <c r="J866" s="11" t="n">
        <v>0</v>
      </c>
      <c r="K866" s="9">
        <f>I866*J866</f>
        <v/>
      </c>
      <c r="L866" s="9">
        <f>I866-K866</f>
        <v/>
      </c>
      <c r="M866" s="9">
        <f>F866*H866</f>
        <v/>
      </c>
      <c r="N866" s="9">
        <f>L866-M866</f>
        <v/>
      </c>
      <c r="O866" s="11">
        <f>IFERROR(N866/L866, 0)</f>
        <v/>
      </c>
      <c r="P866" s="8">
        <f>YEAR(C866)</f>
        <v/>
      </c>
      <c r="Q866" s="8">
        <f>TEXT(C866, "yyyy-mm")</f>
        <v/>
      </c>
      <c r="R866" s="8" t="inlineStr">
        <is>
          <t>Mobile App</t>
        </is>
      </c>
      <c r="S866" s="8" t="inlineStr">
        <is>
          <t>REG-EU</t>
        </is>
      </c>
    </row>
    <row r="867">
      <c r="A867" s="8" t="inlineStr">
        <is>
          <t>DTL-0000873</t>
        </is>
      </c>
      <c r="B867" s="8" t="inlineStr">
        <is>
          <t>ORD-000442</t>
        </is>
      </c>
      <c r="C867" s="10" t="inlineStr">
        <is>
          <t>2025-05-21</t>
        </is>
      </c>
      <c r="D867" s="8" t="inlineStr">
        <is>
          <t>CUST-04444</t>
        </is>
      </c>
      <c r="E867" s="8" t="inlineStr">
        <is>
          <t>PRD-0054</t>
        </is>
      </c>
      <c r="F867" s="8" t="n">
        <v>1</v>
      </c>
      <c r="G867" s="9">
        <f>IFERROR(XLOOKUP(E867, '04_Products'!$A:$A, '04_Products'!$G:$G), 873.80)</f>
        <v/>
      </c>
      <c r="H867" s="9">
        <f>IFERROR(XLOOKUP(E867, '04_Products'!$A:$A, '04_Products'!$F:$F), 0)</f>
        <v/>
      </c>
      <c r="I867" s="9">
        <f>F867*G867</f>
        <v/>
      </c>
      <c r="J867" s="11" t="n">
        <v>0.05</v>
      </c>
      <c r="K867" s="9">
        <f>I867*J867</f>
        <v/>
      </c>
      <c r="L867" s="9">
        <f>I867-K867</f>
        <v/>
      </c>
      <c r="M867" s="9">
        <f>F867*H867</f>
        <v/>
      </c>
      <c r="N867" s="9">
        <f>L867-M867</f>
        <v/>
      </c>
      <c r="O867" s="11">
        <f>IFERROR(N867/L867, 0)</f>
        <v/>
      </c>
      <c r="P867" s="8">
        <f>YEAR(C867)</f>
        <v/>
      </c>
      <c r="Q867" s="8">
        <f>TEXT(C867, "yyyy-mm")</f>
        <v/>
      </c>
      <c r="R867" s="8" t="inlineStr">
        <is>
          <t>Mobile App</t>
        </is>
      </c>
      <c r="S867" s="8" t="inlineStr">
        <is>
          <t>REG-EU</t>
        </is>
      </c>
    </row>
    <row r="868">
      <c r="A868" s="8" t="inlineStr">
        <is>
          <t>DTL-0000874</t>
        </is>
      </c>
      <c r="B868" s="8" t="inlineStr">
        <is>
          <t>ORD-000443</t>
        </is>
      </c>
      <c r="C868" s="10" t="inlineStr">
        <is>
          <t>2023-07-06</t>
        </is>
      </c>
      <c r="D868" s="8" t="inlineStr">
        <is>
          <t>CUST-04176</t>
        </is>
      </c>
      <c r="E868" s="8" t="inlineStr">
        <is>
          <t>PRD-0215</t>
        </is>
      </c>
      <c r="F868" s="8" t="n">
        <v>1</v>
      </c>
      <c r="G868" s="9">
        <f>IFERROR(XLOOKUP(E868, '04_Products'!$A:$A, '04_Products'!$G:$G), 1006.33)</f>
        <v/>
      </c>
      <c r="H868" s="9">
        <f>IFERROR(XLOOKUP(E868, '04_Products'!$A:$A, '04_Products'!$F:$F), 0)</f>
        <v/>
      </c>
      <c r="I868" s="9">
        <f>F868*G868</f>
        <v/>
      </c>
      <c r="J868" s="11" t="n">
        <v>0.05</v>
      </c>
      <c r="K868" s="9">
        <f>I868*J868</f>
        <v/>
      </c>
      <c r="L868" s="9">
        <f>I868-K868</f>
        <v/>
      </c>
      <c r="M868" s="9">
        <f>F868*H868</f>
        <v/>
      </c>
      <c r="N868" s="9">
        <f>L868-M868</f>
        <v/>
      </c>
      <c r="O868" s="11">
        <f>IFERROR(N868/L868, 0)</f>
        <v/>
      </c>
      <c r="P868" s="8">
        <f>YEAR(C868)</f>
        <v/>
      </c>
      <c r="Q868" s="8">
        <f>TEXT(C868, "yyyy-mm")</f>
        <v/>
      </c>
      <c r="R868" s="8" t="inlineStr">
        <is>
          <t>Direct Web</t>
        </is>
      </c>
      <c r="S868" s="8" t="inlineStr">
        <is>
          <t>REG-APAC</t>
        </is>
      </c>
    </row>
    <row r="869">
      <c r="A869" s="8" t="inlineStr">
        <is>
          <t>DTL-0000875</t>
        </is>
      </c>
      <c r="B869" s="8" t="inlineStr">
        <is>
          <t>ORD-000443</t>
        </is>
      </c>
      <c r="C869" s="10" t="inlineStr">
        <is>
          <t>2023-07-06</t>
        </is>
      </c>
      <c r="D869" s="8" t="inlineStr">
        <is>
          <t>CUST-04176</t>
        </is>
      </c>
      <c r="E869" s="8" t="inlineStr">
        <is>
          <t>PRD-0370</t>
        </is>
      </c>
      <c r="F869" s="8" t="n">
        <v>2</v>
      </c>
      <c r="G869" s="9">
        <f>IFERROR(XLOOKUP(E869, '04_Products'!$A:$A, '04_Products'!$G:$G), 1113.54)</f>
        <v/>
      </c>
      <c r="H869" s="9">
        <f>IFERROR(XLOOKUP(E869, '04_Products'!$A:$A, '04_Products'!$F:$F), 0)</f>
        <v/>
      </c>
      <c r="I869" s="9">
        <f>F869*G869</f>
        <v/>
      </c>
      <c r="J869" s="11" t="n">
        <v>0</v>
      </c>
      <c r="K869" s="9">
        <f>I869*J869</f>
        <v/>
      </c>
      <c r="L869" s="9">
        <f>I869-K869</f>
        <v/>
      </c>
      <c r="M869" s="9">
        <f>F869*H869</f>
        <v/>
      </c>
      <c r="N869" s="9">
        <f>L869-M869</f>
        <v/>
      </c>
      <c r="O869" s="11">
        <f>IFERROR(N869/L869, 0)</f>
        <v/>
      </c>
      <c r="P869" s="8">
        <f>YEAR(C869)</f>
        <v/>
      </c>
      <c r="Q869" s="8">
        <f>TEXT(C869, "yyyy-mm")</f>
        <v/>
      </c>
      <c r="R869" s="8" t="inlineStr">
        <is>
          <t>Direct Web</t>
        </is>
      </c>
      <c r="S869" s="8" t="inlineStr">
        <is>
          <t>REG-APAC</t>
        </is>
      </c>
    </row>
    <row r="870">
      <c r="A870" s="8" t="inlineStr">
        <is>
          <t>DTL-0000876</t>
        </is>
      </c>
      <c r="B870" s="8" t="inlineStr">
        <is>
          <t>ORD-000443</t>
        </is>
      </c>
      <c r="C870" s="10" t="inlineStr">
        <is>
          <t>2023-07-06</t>
        </is>
      </c>
      <c r="D870" s="8" t="inlineStr">
        <is>
          <t>CUST-04176</t>
        </is>
      </c>
      <c r="E870" s="8" t="inlineStr">
        <is>
          <t>PRD-0494</t>
        </is>
      </c>
      <c r="F870" s="8" t="n">
        <v>3</v>
      </c>
      <c r="G870" s="9">
        <f>IFERROR(XLOOKUP(E870, '04_Products'!$A:$A, '04_Products'!$G:$G), 713.10)</f>
        <v/>
      </c>
      <c r="H870" s="9">
        <f>IFERROR(XLOOKUP(E870, '04_Products'!$A:$A, '04_Products'!$F:$F), 0)</f>
        <v/>
      </c>
      <c r="I870" s="9">
        <f>F870*G870</f>
        <v/>
      </c>
      <c r="J870" s="11" t="n">
        <v>0.1</v>
      </c>
      <c r="K870" s="9">
        <f>I870*J870</f>
        <v/>
      </c>
      <c r="L870" s="9">
        <f>I870-K870</f>
        <v/>
      </c>
      <c r="M870" s="9">
        <f>F870*H870</f>
        <v/>
      </c>
      <c r="N870" s="9">
        <f>L870-M870</f>
        <v/>
      </c>
      <c r="O870" s="11">
        <f>IFERROR(N870/L870, 0)</f>
        <v/>
      </c>
      <c r="P870" s="8">
        <f>YEAR(C870)</f>
        <v/>
      </c>
      <c r="Q870" s="8">
        <f>TEXT(C870, "yyyy-mm")</f>
        <v/>
      </c>
      <c r="R870" s="8" t="inlineStr">
        <is>
          <t>Direct Web</t>
        </is>
      </c>
      <c r="S870" s="8" t="inlineStr">
        <is>
          <t>REG-APAC</t>
        </is>
      </c>
    </row>
    <row r="871">
      <c r="A871" s="8" t="inlineStr">
        <is>
          <t>DTL-0000877</t>
        </is>
      </c>
      <c r="B871" s="8" t="inlineStr">
        <is>
          <t>ORD-000444</t>
        </is>
      </c>
      <c r="C871" s="10" t="inlineStr">
        <is>
          <t>2024-03-19</t>
        </is>
      </c>
      <c r="D871" s="8" t="inlineStr">
        <is>
          <t>CUST-02299</t>
        </is>
      </c>
      <c r="E871" s="8" t="inlineStr">
        <is>
          <t>PRD-0069</t>
        </is>
      </c>
      <c r="F871" s="8" t="n">
        <v>1</v>
      </c>
      <c r="G871" s="9">
        <f>IFERROR(XLOOKUP(E871, '04_Products'!$A:$A, '04_Products'!$G:$G), 58.36)</f>
        <v/>
      </c>
      <c r="H871" s="9">
        <f>IFERROR(XLOOKUP(E871, '04_Products'!$A:$A, '04_Products'!$F:$F), 0)</f>
        <v/>
      </c>
      <c r="I871" s="9">
        <f>F871*G871</f>
        <v/>
      </c>
      <c r="J871" s="11" t="n">
        <v>0.05</v>
      </c>
      <c r="K871" s="9">
        <f>I871*J871</f>
        <v/>
      </c>
      <c r="L871" s="9">
        <f>I871-K871</f>
        <v/>
      </c>
      <c r="M871" s="9">
        <f>F871*H871</f>
        <v/>
      </c>
      <c r="N871" s="9">
        <f>L871-M871</f>
        <v/>
      </c>
      <c r="O871" s="11">
        <f>IFERROR(N871/L871, 0)</f>
        <v/>
      </c>
      <c r="P871" s="8">
        <f>YEAR(C871)</f>
        <v/>
      </c>
      <c r="Q871" s="8">
        <f>TEXT(C871, "yyyy-mm")</f>
        <v/>
      </c>
      <c r="R871" s="8" t="inlineStr">
        <is>
          <t>Direct Web</t>
        </is>
      </c>
      <c r="S871" s="8" t="inlineStr">
        <is>
          <t>REG-NA</t>
        </is>
      </c>
    </row>
    <row r="872">
      <c r="A872" s="8" t="inlineStr">
        <is>
          <t>DTL-0000878</t>
        </is>
      </c>
      <c r="B872" s="8" t="inlineStr">
        <is>
          <t>ORD-000445</t>
        </is>
      </c>
      <c r="C872" s="10" t="inlineStr">
        <is>
          <t>2023-12-04</t>
        </is>
      </c>
      <c r="D872" s="8" t="inlineStr">
        <is>
          <t>CUST-07087</t>
        </is>
      </c>
      <c r="E872" s="8" t="inlineStr">
        <is>
          <t>PRD-0212</t>
        </is>
      </c>
      <c r="F872" s="8" t="n">
        <v>4</v>
      </c>
      <c r="G872" s="9">
        <f>IFERROR(XLOOKUP(E872, '04_Products'!$A:$A, '04_Products'!$G:$G), 15.71)</f>
        <v/>
      </c>
      <c r="H872" s="9">
        <f>IFERROR(XLOOKUP(E872, '04_Products'!$A:$A, '04_Products'!$F:$F), 0)</f>
        <v/>
      </c>
      <c r="I872" s="9">
        <f>F872*G872</f>
        <v/>
      </c>
      <c r="J872" s="11" t="n">
        <v>0.25</v>
      </c>
      <c r="K872" s="9">
        <f>I872*J872</f>
        <v/>
      </c>
      <c r="L872" s="9">
        <f>I872-K872</f>
        <v/>
      </c>
      <c r="M872" s="9">
        <f>F872*H872</f>
        <v/>
      </c>
      <c r="N872" s="9">
        <f>L872-M872</f>
        <v/>
      </c>
      <c r="O872" s="11">
        <f>IFERROR(N872/L872, 0)</f>
        <v/>
      </c>
      <c r="P872" s="8">
        <f>YEAR(C872)</f>
        <v/>
      </c>
      <c r="Q872" s="8">
        <f>TEXT(C872, "yyyy-mm")</f>
        <v/>
      </c>
      <c r="R872" s="8" t="inlineStr">
        <is>
          <t>B2B Portal</t>
        </is>
      </c>
      <c r="S872" s="8" t="inlineStr">
        <is>
          <t>REG-NA</t>
        </is>
      </c>
    </row>
    <row r="873">
      <c r="A873" s="8" t="inlineStr">
        <is>
          <t>DTL-0000879</t>
        </is>
      </c>
      <c r="B873" s="8" t="inlineStr">
        <is>
          <t>ORD-000445</t>
        </is>
      </c>
      <c r="C873" s="10" t="inlineStr">
        <is>
          <t>2023-12-04</t>
        </is>
      </c>
      <c r="D873" s="8" t="inlineStr">
        <is>
          <t>CUST-07087</t>
        </is>
      </c>
      <c r="E873" s="8" t="inlineStr">
        <is>
          <t>PRD-0248</t>
        </is>
      </c>
      <c r="F873" s="8" t="n">
        <v>2</v>
      </c>
      <c r="G873" s="9">
        <f>IFERROR(XLOOKUP(E873, '04_Products'!$A:$A, '04_Products'!$G:$G), 603.58)</f>
        <v/>
      </c>
      <c r="H873" s="9">
        <f>IFERROR(XLOOKUP(E873, '04_Products'!$A:$A, '04_Products'!$F:$F), 0)</f>
        <v/>
      </c>
      <c r="I873" s="9">
        <f>F873*G873</f>
        <v/>
      </c>
      <c r="J873" s="11" t="n">
        <v>0.1</v>
      </c>
      <c r="K873" s="9">
        <f>I873*J873</f>
        <v/>
      </c>
      <c r="L873" s="9">
        <f>I873-K873</f>
        <v/>
      </c>
      <c r="M873" s="9">
        <f>F873*H873</f>
        <v/>
      </c>
      <c r="N873" s="9">
        <f>L873-M873</f>
        <v/>
      </c>
      <c r="O873" s="11">
        <f>IFERROR(N873/L873, 0)</f>
        <v/>
      </c>
      <c r="P873" s="8">
        <f>YEAR(C873)</f>
        <v/>
      </c>
      <c r="Q873" s="8">
        <f>TEXT(C873, "yyyy-mm")</f>
        <v/>
      </c>
      <c r="R873" s="8" t="inlineStr">
        <is>
          <t>B2B Portal</t>
        </is>
      </c>
      <c r="S873" s="8" t="inlineStr">
        <is>
          <t>REG-NA</t>
        </is>
      </c>
    </row>
    <row r="874">
      <c r="A874" s="8" t="inlineStr">
        <is>
          <t>DTL-0000880</t>
        </is>
      </c>
      <c r="B874" s="8" t="inlineStr">
        <is>
          <t>ORD-000445</t>
        </is>
      </c>
      <c r="C874" s="10" t="inlineStr">
        <is>
          <t>2023-12-04</t>
        </is>
      </c>
      <c r="D874" s="8" t="inlineStr">
        <is>
          <t>CUST-07087</t>
        </is>
      </c>
      <c r="E874" s="8" t="inlineStr">
        <is>
          <t>PRD-0150</t>
        </is>
      </c>
      <c r="F874" s="8" t="n">
        <v>1</v>
      </c>
      <c r="G874" s="9">
        <f>IFERROR(XLOOKUP(E874, '04_Products'!$A:$A, '04_Products'!$G:$G), 384.86)</f>
        <v/>
      </c>
      <c r="H874" s="9">
        <f>IFERROR(XLOOKUP(E874, '04_Products'!$A:$A, '04_Products'!$F:$F), 0)</f>
        <v/>
      </c>
      <c r="I874" s="9">
        <f>F874*G874</f>
        <v/>
      </c>
      <c r="J874" s="11" t="n">
        <v>0.05</v>
      </c>
      <c r="K874" s="9">
        <f>I874*J874</f>
        <v/>
      </c>
      <c r="L874" s="9">
        <f>I874-K874</f>
        <v/>
      </c>
      <c r="M874" s="9">
        <f>F874*H874</f>
        <v/>
      </c>
      <c r="N874" s="9">
        <f>L874-M874</f>
        <v/>
      </c>
      <c r="O874" s="11">
        <f>IFERROR(N874/L874, 0)</f>
        <v/>
      </c>
      <c r="P874" s="8">
        <f>YEAR(C874)</f>
        <v/>
      </c>
      <c r="Q874" s="8">
        <f>TEXT(C874, "yyyy-mm")</f>
        <v/>
      </c>
      <c r="R874" s="8" t="inlineStr">
        <is>
          <t>B2B Portal</t>
        </is>
      </c>
      <c r="S874" s="8" t="inlineStr">
        <is>
          <t>REG-NA</t>
        </is>
      </c>
    </row>
    <row r="875">
      <c r="A875" s="8" t="inlineStr">
        <is>
          <t>DTL-0000881</t>
        </is>
      </c>
      <c r="B875" s="8" t="inlineStr">
        <is>
          <t>ORD-000445</t>
        </is>
      </c>
      <c r="C875" s="10" t="inlineStr">
        <is>
          <t>2023-12-04</t>
        </is>
      </c>
      <c r="D875" s="8" t="inlineStr">
        <is>
          <t>CUST-07087</t>
        </is>
      </c>
      <c r="E875" s="8" t="inlineStr">
        <is>
          <t>PRD-0180</t>
        </is>
      </c>
      <c r="F875" s="8" t="n">
        <v>1</v>
      </c>
      <c r="G875" s="9">
        <f>IFERROR(XLOOKUP(E875, '04_Products'!$A:$A, '04_Products'!$G:$G), 1016.03)</f>
        <v/>
      </c>
      <c r="H875" s="9">
        <f>IFERROR(XLOOKUP(E875, '04_Products'!$A:$A, '04_Products'!$F:$F), 0)</f>
        <v/>
      </c>
      <c r="I875" s="9">
        <f>F875*G875</f>
        <v/>
      </c>
      <c r="J875" s="11" t="n">
        <v>0.3</v>
      </c>
      <c r="K875" s="9">
        <f>I875*J875</f>
        <v/>
      </c>
      <c r="L875" s="9">
        <f>I875-K875</f>
        <v/>
      </c>
      <c r="M875" s="9">
        <f>F875*H875</f>
        <v/>
      </c>
      <c r="N875" s="9">
        <f>L875-M875</f>
        <v/>
      </c>
      <c r="O875" s="11">
        <f>IFERROR(N875/L875, 0)</f>
        <v/>
      </c>
      <c r="P875" s="8">
        <f>YEAR(C875)</f>
        <v/>
      </c>
      <c r="Q875" s="8">
        <f>TEXT(C875, "yyyy-mm")</f>
        <v/>
      </c>
      <c r="R875" s="8" t="inlineStr">
        <is>
          <t>B2B Portal</t>
        </is>
      </c>
      <c r="S875" s="8" t="inlineStr">
        <is>
          <t>REG-NA</t>
        </is>
      </c>
    </row>
    <row r="876">
      <c r="A876" s="8" t="inlineStr">
        <is>
          <t>DTL-0000882</t>
        </is>
      </c>
      <c r="B876" s="8" t="inlineStr">
        <is>
          <t>ORD-000446</t>
        </is>
      </c>
      <c r="C876" s="10" t="inlineStr">
        <is>
          <t>2023-03-21</t>
        </is>
      </c>
      <c r="D876" s="8" t="inlineStr">
        <is>
          <t>CUST-01893</t>
        </is>
      </c>
      <c r="E876" s="8" t="inlineStr">
        <is>
          <t>PRD-0487</t>
        </is>
      </c>
      <c r="F876" s="8" t="n">
        <v>1</v>
      </c>
      <c r="G876" s="9">
        <f>IFERROR(XLOOKUP(E876, '04_Products'!$A:$A, '04_Products'!$G:$G), 183.38)</f>
        <v/>
      </c>
      <c r="H876" s="9">
        <f>IFERROR(XLOOKUP(E876, '04_Products'!$A:$A, '04_Products'!$F:$F), 0)</f>
        <v/>
      </c>
      <c r="I876" s="9">
        <f>F876*G876</f>
        <v/>
      </c>
      <c r="J876" s="11" t="n">
        <v>0.2</v>
      </c>
      <c r="K876" s="9">
        <f>I876*J876</f>
        <v/>
      </c>
      <c r="L876" s="9">
        <f>I876-K876</f>
        <v/>
      </c>
      <c r="M876" s="9">
        <f>F876*H876</f>
        <v/>
      </c>
      <c r="N876" s="9">
        <f>L876-M876</f>
        <v/>
      </c>
      <c r="O876" s="11">
        <f>IFERROR(N876/L876, 0)</f>
        <v/>
      </c>
      <c r="P876" s="8">
        <f>YEAR(C876)</f>
        <v/>
      </c>
      <c r="Q876" s="8">
        <f>TEXT(C876, "yyyy-mm")</f>
        <v/>
      </c>
      <c r="R876" s="8" t="inlineStr">
        <is>
          <t>Direct Web</t>
        </is>
      </c>
      <c r="S876" s="8" t="inlineStr">
        <is>
          <t>REG-EU</t>
        </is>
      </c>
    </row>
    <row r="877">
      <c r="A877" s="8" t="inlineStr">
        <is>
          <t>DTL-0000883</t>
        </is>
      </c>
      <c r="B877" s="8" t="inlineStr">
        <is>
          <t>ORD-000446</t>
        </is>
      </c>
      <c r="C877" s="10" t="inlineStr">
        <is>
          <t>2023-03-21</t>
        </is>
      </c>
      <c r="D877" s="8" t="inlineStr">
        <is>
          <t>CUST-01893</t>
        </is>
      </c>
      <c r="E877" s="8" t="inlineStr">
        <is>
          <t>PRD-0348</t>
        </is>
      </c>
      <c r="F877" s="8" t="n">
        <v>1</v>
      </c>
      <c r="G877" s="9">
        <f>IFERROR(XLOOKUP(E877, '04_Products'!$A:$A, '04_Products'!$G:$G), 792.82)</f>
        <v/>
      </c>
      <c r="H877" s="9">
        <f>IFERROR(XLOOKUP(E877, '04_Products'!$A:$A, '04_Products'!$F:$F), 0)</f>
        <v/>
      </c>
      <c r="I877" s="9">
        <f>F877*G877</f>
        <v/>
      </c>
      <c r="J877" s="11" t="n">
        <v>0.05</v>
      </c>
      <c r="K877" s="9">
        <f>I877*J877</f>
        <v/>
      </c>
      <c r="L877" s="9">
        <f>I877-K877</f>
        <v/>
      </c>
      <c r="M877" s="9">
        <f>F877*H877</f>
        <v/>
      </c>
      <c r="N877" s="9">
        <f>L877-M877</f>
        <v/>
      </c>
      <c r="O877" s="11">
        <f>IFERROR(N877/L877, 0)</f>
        <v/>
      </c>
      <c r="P877" s="8">
        <f>YEAR(C877)</f>
        <v/>
      </c>
      <c r="Q877" s="8">
        <f>TEXT(C877, "yyyy-mm")</f>
        <v/>
      </c>
      <c r="R877" s="8" t="inlineStr">
        <is>
          <t>Direct Web</t>
        </is>
      </c>
      <c r="S877" s="8" t="inlineStr">
        <is>
          <t>REG-EU</t>
        </is>
      </c>
    </row>
    <row r="878">
      <c r="A878" s="8" t="inlineStr">
        <is>
          <t>DTL-0000884</t>
        </is>
      </c>
      <c r="B878" s="8" t="inlineStr">
        <is>
          <t>ORD-000447</t>
        </is>
      </c>
      <c r="C878" s="10" t="inlineStr">
        <is>
          <t>2024-10-07</t>
        </is>
      </c>
      <c r="D878" s="8" t="inlineStr">
        <is>
          <t>CUST-06096</t>
        </is>
      </c>
      <c r="E878" s="8" t="inlineStr">
        <is>
          <t>PRD-0059</t>
        </is>
      </c>
      <c r="F878" s="8" t="n">
        <v>4</v>
      </c>
      <c r="G878" s="9">
        <f>IFERROR(XLOOKUP(E878, '04_Products'!$A:$A, '04_Products'!$G:$G), 532.12)</f>
        <v/>
      </c>
      <c r="H878" s="9">
        <f>IFERROR(XLOOKUP(E878, '04_Products'!$A:$A, '04_Products'!$F:$F), 0)</f>
        <v/>
      </c>
      <c r="I878" s="9">
        <f>F878*G878</f>
        <v/>
      </c>
      <c r="J878" s="11" t="n">
        <v>0.05</v>
      </c>
      <c r="K878" s="9">
        <f>I878*J878</f>
        <v/>
      </c>
      <c r="L878" s="9">
        <f>I878-K878</f>
        <v/>
      </c>
      <c r="M878" s="9">
        <f>F878*H878</f>
        <v/>
      </c>
      <c r="N878" s="9">
        <f>L878-M878</f>
        <v/>
      </c>
      <c r="O878" s="11">
        <f>IFERROR(N878/L878, 0)</f>
        <v/>
      </c>
      <c r="P878" s="8">
        <f>YEAR(C878)</f>
        <v/>
      </c>
      <c r="Q878" s="8">
        <f>TEXT(C878, "yyyy-mm")</f>
        <v/>
      </c>
      <c r="R878" s="8" t="inlineStr">
        <is>
          <t>Direct Web</t>
        </is>
      </c>
      <c r="S878" s="8" t="inlineStr">
        <is>
          <t>REG-NA</t>
        </is>
      </c>
    </row>
    <row r="879">
      <c r="A879" s="8" t="inlineStr">
        <is>
          <t>DTL-0000885</t>
        </is>
      </c>
      <c r="B879" s="8" t="inlineStr">
        <is>
          <t>ORD-000448</t>
        </is>
      </c>
      <c r="C879" s="10" t="inlineStr">
        <is>
          <t>2023-12-27</t>
        </is>
      </c>
      <c r="D879" s="8" t="inlineStr">
        <is>
          <t>CUST-04328</t>
        </is>
      </c>
      <c r="E879" s="8" t="inlineStr">
        <is>
          <t>PRD-0026</t>
        </is>
      </c>
      <c r="F879" s="8" t="n">
        <v>3</v>
      </c>
      <c r="G879" s="9">
        <f>IFERROR(XLOOKUP(E879, '04_Products'!$A:$A, '04_Products'!$G:$G), 469.49)</f>
        <v/>
      </c>
      <c r="H879" s="9">
        <f>IFERROR(XLOOKUP(E879, '04_Products'!$A:$A, '04_Products'!$F:$F), 0)</f>
        <v/>
      </c>
      <c r="I879" s="9">
        <f>F879*G879</f>
        <v/>
      </c>
      <c r="J879" s="11" t="n">
        <v>0</v>
      </c>
      <c r="K879" s="9">
        <f>I879*J879</f>
        <v/>
      </c>
      <c r="L879" s="9">
        <f>I879-K879</f>
        <v/>
      </c>
      <c r="M879" s="9">
        <f>F879*H879</f>
        <v/>
      </c>
      <c r="N879" s="9">
        <f>L879-M879</f>
        <v/>
      </c>
      <c r="O879" s="11">
        <f>IFERROR(N879/L879, 0)</f>
        <v/>
      </c>
      <c r="P879" s="8">
        <f>YEAR(C879)</f>
        <v/>
      </c>
      <c r="Q879" s="8">
        <f>TEXT(C879, "yyyy-mm")</f>
        <v/>
      </c>
      <c r="R879" s="8" t="inlineStr">
        <is>
          <t>Mobile App</t>
        </is>
      </c>
      <c r="S879" s="8" t="inlineStr">
        <is>
          <t>REG-EU</t>
        </is>
      </c>
    </row>
    <row r="880">
      <c r="A880" s="8" t="inlineStr">
        <is>
          <t>DTL-0000886</t>
        </is>
      </c>
      <c r="B880" s="8" t="inlineStr">
        <is>
          <t>ORD-000449</t>
        </is>
      </c>
      <c r="C880" s="10" t="inlineStr">
        <is>
          <t>2025-05-17</t>
        </is>
      </c>
      <c r="D880" s="8" t="inlineStr">
        <is>
          <t>CUST-00653</t>
        </is>
      </c>
      <c r="E880" s="8" t="inlineStr">
        <is>
          <t>PRD-0016</t>
        </is>
      </c>
      <c r="F880" s="8" t="n">
        <v>2</v>
      </c>
      <c r="G880" s="9">
        <f>IFERROR(XLOOKUP(E880, '04_Products'!$A:$A, '04_Products'!$G:$G), 160.40)</f>
        <v/>
      </c>
      <c r="H880" s="9">
        <f>IFERROR(XLOOKUP(E880, '04_Products'!$A:$A, '04_Products'!$F:$F), 0)</f>
        <v/>
      </c>
      <c r="I880" s="9">
        <f>F880*G880</f>
        <v/>
      </c>
      <c r="J880" s="11" t="n">
        <v>0</v>
      </c>
      <c r="K880" s="9">
        <f>I880*J880</f>
        <v/>
      </c>
      <c r="L880" s="9">
        <f>I880-K880</f>
        <v/>
      </c>
      <c r="M880" s="9">
        <f>F880*H880</f>
        <v/>
      </c>
      <c r="N880" s="9">
        <f>L880-M880</f>
        <v/>
      </c>
      <c r="O880" s="11">
        <f>IFERROR(N880/L880, 0)</f>
        <v/>
      </c>
      <c r="P880" s="8">
        <f>YEAR(C880)</f>
        <v/>
      </c>
      <c r="Q880" s="8">
        <f>TEXT(C880, "yyyy-mm")</f>
        <v/>
      </c>
      <c r="R880" s="8" t="inlineStr">
        <is>
          <t>Mobile App</t>
        </is>
      </c>
      <c r="S880" s="8" t="inlineStr">
        <is>
          <t>REG-EU</t>
        </is>
      </c>
    </row>
    <row r="881">
      <c r="A881" s="8" t="inlineStr">
        <is>
          <t>DTL-0000887</t>
        </is>
      </c>
      <c r="B881" s="8" t="inlineStr">
        <is>
          <t>ORD-000449</t>
        </is>
      </c>
      <c r="C881" s="10" t="inlineStr">
        <is>
          <t>2025-05-17</t>
        </is>
      </c>
      <c r="D881" s="8" t="inlineStr">
        <is>
          <t>CUST-00653</t>
        </is>
      </c>
      <c r="E881" s="8" t="inlineStr">
        <is>
          <t>PRD-0213</t>
        </is>
      </c>
      <c r="F881" s="8" t="n">
        <v>1</v>
      </c>
      <c r="G881" s="9">
        <f>IFERROR(XLOOKUP(E881, '04_Products'!$A:$A, '04_Products'!$G:$G), 592.90)</f>
        <v/>
      </c>
      <c r="H881" s="9">
        <f>IFERROR(XLOOKUP(E881, '04_Products'!$A:$A, '04_Products'!$F:$F), 0)</f>
        <v/>
      </c>
      <c r="I881" s="9">
        <f>F881*G881</f>
        <v/>
      </c>
      <c r="J881" s="11" t="n">
        <v>0.1</v>
      </c>
      <c r="K881" s="9">
        <f>I881*J881</f>
        <v/>
      </c>
      <c r="L881" s="9">
        <f>I881-K881</f>
        <v/>
      </c>
      <c r="M881" s="9">
        <f>F881*H881</f>
        <v/>
      </c>
      <c r="N881" s="9">
        <f>L881-M881</f>
        <v/>
      </c>
      <c r="O881" s="11">
        <f>IFERROR(N881/L881, 0)</f>
        <v/>
      </c>
      <c r="P881" s="8">
        <f>YEAR(C881)</f>
        <v/>
      </c>
      <c r="Q881" s="8">
        <f>TEXT(C881, "yyyy-mm")</f>
        <v/>
      </c>
      <c r="R881" s="8" t="inlineStr">
        <is>
          <t>Mobile App</t>
        </is>
      </c>
      <c r="S881" s="8" t="inlineStr">
        <is>
          <t>REG-EU</t>
        </is>
      </c>
    </row>
    <row r="882">
      <c r="A882" s="8" t="inlineStr">
        <is>
          <t>DTL-0000888</t>
        </is>
      </c>
      <c r="B882" s="8" t="inlineStr">
        <is>
          <t>ORD-000449</t>
        </is>
      </c>
      <c r="C882" s="10" t="inlineStr">
        <is>
          <t>2025-05-17</t>
        </is>
      </c>
      <c r="D882" s="8" t="inlineStr">
        <is>
          <t>CUST-00653</t>
        </is>
      </c>
      <c r="E882" s="8" t="inlineStr">
        <is>
          <t>PRD-0273</t>
        </is>
      </c>
      <c r="F882" s="8" t="n">
        <v>1</v>
      </c>
      <c r="G882" s="9">
        <f>IFERROR(XLOOKUP(E882, '04_Products'!$A:$A, '04_Products'!$G:$G), 19.23)</f>
        <v/>
      </c>
      <c r="H882" s="9">
        <f>IFERROR(XLOOKUP(E882, '04_Products'!$A:$A, '04_Products'!$F:$F), 0)</f>
        <v/>
      </c>
      <c r="I882" s="9">
        <f>F882*G882</f>
        <v/>
      </c>
      <c r="J882" s="11" t="n">
        <v>0.15</v>
      </c>
      <c r="K882" s="9">
        <f>I882*J882</f>
        <v/>
      </c>
      <c r="L882" s="9">
        <f>I882-K882</f>
        <v/>
      </c>
      <c r="M882" s="9">
        <f>F882*H882</f>
        <v/>
      </c>
      <c r="N882" s="9">
        <f>L882-M882</f>
        <v/>
      </c>
      <c r="O882" s="11">
        <f>IFERROR(N882/L882, 0)</f>
        <v/>
      </c>
      <c r="P882" s="8">
        <f>YEAR(C882)</f>
        <v/>
      </c>
      <c r="Q882" s="8">
        <f>TEXT(C882, "yyyy-mm")</f>
        <v/>
      </c>
      <c r="R882" s="8" t="inlineStr">
        <is>
          <t>Mobile App</t>
        </is>
      </c>
      <c r="S882" s="8" t="inlineStr">
        <is>
          <t>REG-EU</t>
        </is>
      </c>
    </row>
    <row r="883">
      <c r="A883" s="8" t="inlineStr">
        <is>
          <t>DTL-0000889</t>
        </is>
      </c>
      <c r="B883" s="8" t="inlineStr">
        <is>
          <t>ORD-000449</t>
        </is>
      </c>
      <c r="C883" s="10" t="inlineStr">
        <is>
          <t>2025-05-17</t>
        </is>
      </c>
      <c r="D883" s="8" t="inlineStr">
        <is>
          <t>CUST-00653</t>
        </is>
      </c>
      <c r="E883" s="8" t="inlineStr">
        <is>
          <t>PRD-0142</t>
        </is>
      </c>
      <c r="F883" s="8" t="n">
        <v>1</v>
      </c>
      <c r="G883" s="9">
        <f>IFERROR(XLOOKUP(E883, '04_Products'!$A:$A, '04_Products'!$G:$G), 44.60)</f>
        <v/>
      </c>
      <c r="H883" s="9">
        <f>IFERROR(XLOOKUP(E883, '04_Products'!$A:$A, '04_Products'!$F:$F), 0)</f>
        <v/>
      </c>
      <c r="I883" s="9">
        <f>F883*G883</f>
        <v/>
      </c>
      <c r="J883" s="11" t="n">
        <v>0.05</v>
      </c>
      <c r="K883" s="9">
        <f>I883*J883</f>
        <v/>
      </c>
      <c r="L883" s="9">
        <f>I883-K883</f>
        <v/>
      </c>
      <c r="M883" s="9">
        <f>F883*H883</f>
        <v/>
      </c>
      <c r="N883" s="9">
        <f>L883-M883</f>
        <v/>
      </c>
      <c r="O883" s="11">
        <f>IFERROR(N883/L883, 0)</f>
        <v/>
      </c>
      <c r="P883" s="8">
        <f>YEAR(C883)</f>
        <v/>
      </c>
      <c r="Q883" s="8">
        <f>TEXT(C883, "yyyy-mm")</f>
        <v/>
      </c>
      <c r="R883" s="8" t="inlineStr">
        <is>
          <t>Mobile App</t>
        </is>
      </c>
      <c r="S883" s="8" t="inlineStr">
        <is>
          <t>REG-EU</t>
        </is>
      </c>
    </row>
    <row r="884">
      <c r="A884" s="8" t="inlineStr">
        <is>
          <t>DTL-0000890</t>
        </is>
      </c>
      <c r="B884" s="8" t="inlineStr">
        <is>
          <t>ORD-000449</t>
        </is>
      </c>
      <c r="C884" s="10" t="inlineStr">
        <is>
          <t>2025-05-17</t>
        </is>
      </c>
      <c r="D884" s="8" t="inlineStr">
        <is>
          <t>CUST-00653</t>
        </is>
      </c>
      <c r="E884" s="8" t="inlineStr">
        <is>
          <t>PRD-0147</t>
        </is>
      </c>
      <c r="F884" s="8" t="n">
        <v>5</v>
      </c>
      <c r="G884" s="9">
        <f>IFERROR(XLOOKUP(E884, '04_Products'!$A:$A, '04_Products'!$G:$G), 544.07)</f>
        <v/>
      </c>
      <c r="H884" s="9">
        <f>IFERROR(XLOOKUP(E884, '04_Products'!$A:$A, '04_Products'!$F:$F), 0)</f>
        <v/>
      </c>
      <c r="I884" s="9">
        <f>F884*G884</f>
        <v/>
      </c>
      <c r="J884" s="11" t="n">
        <v>0.05</v>
      </c>
      <c r="K884" s="9">
        <f>I884*J884</f>
        <v/>
      </c>
      <c r="L884" s="9">
        <f>I884-K884</f>
        <v/>
      </c>
      <c r="M884" s="9">
        <f>F884*H884</f>
        <v/>
      </c>
      <c r="N884" s="9">
        <f>L884-M884</f>
        <v/>
      </c>
      <c r="O884" s="11">
        <f>IFERROR(N884/L884, 0)</f>
        <v/>
      </c>
      <c r="P884" s="8">
        <f>YEAR(C884)</f>
        <v/>
      </c>
      <c r="Q884" s="8">
        <f>TEXT(C884, "yyyy-mm")</f>
        <v/>
      </c>
      <c r="R884" s="8" t="inlineStr">
        <is>
          <t>Mobile App</t>
        </is>
      </c>
      <c r="S884" s="8" t="inlineStr">
        <is>
          <t>REG-EU</t>
        </is>
      </c>
    </row>
    <row r="885">
      <c r="A885" s="8" t="inlineStr">
        <is>
          <t>DTL-0000891</t>
        </is>
      </c>
      <c r="B885" s="8" t="inlineStr">
        <is>
          <t>ORD-000450</t>
        </is>
      </c>
      <c r="C885" s="10" t="inlineStr">
        <is>
          <t>2025-06-30</t>
        </is>
      </c>
      <c r="D885" s="8" t="inlineStr">
        <is>
          <t>CUST-04543</t>
        </is>
      </c>
      <c r="E885" s="8" t="inlineStr">
        <is>
          <t>PRD-0433</t>
        </is>
      </c>
      <c r="F885" s="8" t="n">
        <v>2</v>
      </c>
      <c r="G885" s="9">
        <f>IFERROR(XLOOKUP(E885, '04_Products'!$A:$A, '04_Products'!$G:$G), 545.86)</f>
        <v/>
      </c>
      <c r="H885" s="9">
        <f>IFERROR(XLOOKUP(E885, '04_Products'!$A:$A, '04_Products'!$F:$F), 0)</f>
        <v/>
      </c>
      <c r="I885" s="9">
        <f>F885*G885</f>
        <v/>
      </c>
      <c r="J885" s="11" t="n">
        <v>0</v>
      </c>
      <c r="K885" s="9">
        <f>I885*J885</f>
        <v/>
      </c>
      <c r="L885" s="9">
        <f>I885-K885</f>
        <v/>
      </c>
      <c r="M885" s="9">
        <f>F885*H885</f>
        <v/>
      </c>
      <c r="N885" s="9">
        <f>L885-M885</f>
        <v/>
      </c>
      <c r="O885" s="11">
        <f>IFERROR(N885/L885, 0)</f>
        <v/>
      </c>
      <c r="P885" s="8">
        <f>YEAR(C885)</f>
        <v/>
      </c>
      <c r="Q885" s="8">
        <f>TEXT(C885, "yyyy-mm")</f>
        <v/>
      </c>
      <c r="R885" s="8" t="inlineStr">
        <is>
          <t>Direct Web</t>
        </is>
      </c>
      <c r="S885" s="8" t="inlineStr">
        <is>
          <t>REG-EU</t>
        </is>
      </c>
    </row>
    <row r="886">
      <c r="A886" s="8" t="inlineStr">
        <is>
          <t>DTL-0000892</t>
        </is>
      </c>
      <c r="B886" s="8" t="inlineStr">
        <is>
          <t>ORD-000450</t>
        </is>
      </c>
      <c r="C886" s="10" t="inlineStr">
        <is>
          <t>2025-06-30</t>
        </is>
      </c>
      <c r="D886" s="8" t="inlineStr">
        <is>
          <t>CUST-04543</t>
        </is>
      </c>
      <c r="E886" s="8" t="inlineStr">
        <is>
          <t>PRD-0273</t>
        </is>
      </c>
      <c r="F886" s="8" t="n">
        <v>1</v>
      </c>
      <c r="G886" s="9">
        <f>IFERROR(XLOOKUP(E886, '04_Products'!$A:$A, '04_Products'!$G:$G), 19.23)</f>
        <v/>
      </c>
      <c r="H886" s="9">
        <f>IFERROR(XLOOKUP(E886, '04_Products'!$A:$A, '04_Products'!$F:$F), 0)</f>
        <v/>
      </c>
      <c r="I886" s="9">
        <f>F886*G886</f>
        <v/>
      </c>
      <c r="J886" s="11" t="n">
        <v>0.1</v>
      </c>
      <c r="K886" s="9">
        <f>I886*J886</f>
        <v/>
      </c>
      <c r="L886" s="9">
        <f>I886-K886</f>
        <v/>
      </c>
      <c r="M886" s="9">
        <f>F886*H886</f>
        <v/>
      </c>
      <c r="N886" s="9">
        <f>L886-M886</f>
        <v/>
      </c>
      <c r="O886" s="11">
        <f>IFERROR(N886/L886, 0)</f>
        <v/>
      </c>
      <c r="P886" s="8">
        <f>YEAR(C886)</f>
        <v/>
      </c>
      <c r="Q886" s="8">
        <f>TEXT(C886, "yyyy-mm")</f>
        <v/>
      </c>
      <c r="R886" s="8" t="inlineStr">
        <is>
          <t>Direct Web</t>
        </is>
      </c>
      <c r="S886" s="8" t="inlineStr">
        <is>
          <t>REG-EU</t>
        </is>
      </c>
    </row>
    <row r="887">
      <c r="A887" s="8" t="inlineStr">
        <is>
          <t>DTL-0000893</t>
        </is>
      </c>
      <c r="B887" s="8" t="inlineStr">
        <is>
          <t>ORD-000450</t>
        </is>
      </c>
      <c r="C887" s="10" t="inlineStr">
        <is>
          <t>2025-06-30</t>
        </is>
      </c>
      <c r="D887" s="8" t="inlineStr">
        <is>
          <t>CUST-04543</t>
        </is>
      </c>
      <c r="E887" s="8" t="inlineStr">
        <is>
          <t>PRD-0305</t>
        </is>
      </c>
      <c r="F887" s="8" t="n">
        <v>1</v>
      </c>
      <c r="G887" s="9">
        <f>IFERROR(XLOOKUP(E887, '04_Products'!$A:$A, '04_Products'!$G:$G), 713.99)</f>
        <v/>
      </c>
      <c r="H887" s="9">
        <f>IFERROR(XLOOKUP(E887, '04_Products'!$A:$A, '04_Products'!$F:$F), 0)</f>
        <v/>
      </c>
      <c r="I887" s="9">
        <f>F887*G887</f>
        <v/>
      </c>
      <c r="J887" s="11" t="n">
        <v>0.1</v>
      </c>
      <c r="K887" s="9">
        <f>I887*J887</f>
        <v/>
      </c>
      <c r="L887" s="9">
        <f>I887-K887</f>
        <v/>
      </c>
      <c r="M887" s="9">
        <f>F887*H887</f>
        <v/>
      </c>
      <c r="N887" s="9">
        <f>L887-M887</f>
        <v/>
      </c>
      <c r="O887" s="11">
        <f>IFERROR(N887/L887, 0)</f>
        <v/>
      </c>
      <c r="P887" s="8">
        <f>YEAR(C887)</f>
        <v/>
      </c>
      <c r="Q887" s="8">
        <f>TEXT(C887, "yyyy-mm")</f>
        <v/>
      </c>
      <c r="R887" s="8" t="inlineStr">
        <is>
          <t>Direct Web</t>
        </is>
      </c>
      <c r="S887" s="8" t="inlineStr">
        <is>
          <t>REG-EU</t>
        </is>
      </c>
    </row>
    <row r="888">
      <c r="A888" s="8" t="inlineStr">
        <is>
          <t>DTL-0000894</t>
        </is>
      </c>
      <c r="B888" s="8" t="inlineStr">
        <is>
          <t>ORD-000450</t>
        </is>
      </c>
      <c r="C888" s="10" t="inlineStr">
        <is>
          <t>2025-06-30</t>
        </is>
      </c>
      <c r="D888" s="8" t="inlineStr">
        <is>
          <t>CUST-04543</t>
        </is>
      </c>
      <c r="E888" s="8" t="inlineStr">
        <is>
          <t>PRD-0154</t>
        </is>
      </c>
      <c r="F888" s="8" t="n">
        <v>1</v>
      </c>
      <c r="G888" s="9">
        <f>IFERROR(XLOOKUP(E888, '04_Products'!$A:$A, '04_Products'!$G:$G), 168.94)</f>
        <v/>
      </c>
      <c r="H888" s="9">
        <f>IFERROR(XLOOKUP(E888, '04_Products'!$A:$A, '04_Products'!$F:$F), 0)</f>
        <v/>
      </c>
      <c r="I888" s="9">
        <f>F888*G888</f>
        <v/>
      </c>
      <c r="J888" s="11" t="n">
        <v>0</v>
      </c>
      <c r="K888" s="9">
        <f>I888*J888</f>
        <v/>
      </c>
      <c r="L888" s="9">
        <f>I888-K888</f>
        <v/>
      </c>
      <c r="M888" s="9">
        <f>F888*H888</f>
        <v/>
      </c>
      <c r="N888" s="9">
        <f>L888-M888</f>
        <v/>
      </c>
      <c r="O888" s="11">
        <f>IFERROR(N888/L888, 0)</f>
        <v/>
      </c>
      <c r="P888" s="8">
        <f>YEAR(C888)</f>
        <v/>
      </c>
      <c r="Q888" s="8">
        <f>TEXT(C888, "yyyy-mm")</f>
        <v/>
      </c>
      <c r="R888" s="8" t="inlineStr">
        <is>
          <t>Direct Web</t>
        </is>
      </c>
      <c r="S888" s="8" t="inlineStr">
        <is>
          <t>REG-EU</t>
        </is>
      </c>
    </row>
    <row r="889">
      <c r="A889" s="8" t="inlineStr">
        <is>
          <t>DTL-0000895</t>
        </is>
      </c>
      <c r="B889" s="8" t="inlineStr">
        <is>
          <t>ORD-000451</t>
        </is>
      </c>
      <c r="C889" s="10" t="inlineStr">
        <is>
          <t>2024-04-20</t>
        </is>
      </c>
      <c r="D889" s="8" t="inlineStr">
        <is>
          <t>CUST-03347</t>
        </is>
      </c>
      <c r="E889" s="8" t="inlineStr">
        <is>
          <t>PRD-0387</t>
        </is>
      </c>
      <c r="F889" s="8" t="n">
        <v>2</v>
      </c>
      <c r="G889" s="9">
        <f>IFERROR(XLOOKUP(E889, '04_Products'!$A:$A, '04_Products'!$G:$G), 123.30)</f>
        <v/>
      </c>
      <c r="H889" s="9">
        <f>IFERROR(XLOOKUP(E889, '04_Products'!$A:$A, '04_Products'!$F:$F), 0)</f>
        <v/>
      </c>
      <c r="I889" s="9">
        <f>F889*G889</f>
        <v/>
      </c>
      <c r="J889" s="11" t="n">
        <v>0</v>
      </c>
      <c r="K889" s="9">
        <f>I889*J889</f>
        <v/>
      </c>
      <c r="L889" s="9">
        <f>I889-K889</f>
        <v/>
      </c>
      <c r="M889" s="9">
        <f>F889*H889</f>
        <v/>
      </c>
      <c r="N889" s="9">
        <f>L889-M889</f>
        <v/>
      </c>
      <c r="O889" s="11">
        <f>IFERROR(N889/L889, 0)</f>
        <v/>
      </c>
      <c r="P889" s="8">
        <f>YEAR(C889)</f>
        <v/>
      </c>
      <c r="Q889" s="8">
        <f>TEXT(C889, "yyyy-mm")</f>
        <v/>
      </c>
      <c r="R889" s="8" t="inlineStr">
        <is>
          <t>Direct Web</t>
        </is>
      </c>
      <c r="S889" s="8" t="inlineStr">
        <is>
          <t>REG-EU</t>
        </is>
      </c>
    </row>
    <row r="890">
      <c r="A890" s="8" t="inlineStr">
        <is>
          <t>DTL-0000896</t>
        </is>
      </c>
      <c r="B890" s="8" t="inlineStr">
        <is>
          <t>ORD-000452</t>
        </is>
      </c>
      <c r="C890" s="10" t="inlineStr">
        <is>
          <t>2025-01-01</t>
        </is>
      </c>
      <c r="D890" s="8" t="inlineStr">
        <is>
          <t>CUST-05116</t>
        </is>
      </c>
      <c r="E890" s="8" t="inlineStr">
        <is>
          <t>PRD-0212</t>
        </is>
      </c>
      <c r="F890" s="8" t="n">
        <v>1</v>
      </c>
      <c r="G890" s="9">
        <f>IFERROR(XLOOKUP(E890, '04_Products'!$A:$A, '04_Products'!$G:$G), 15.71)</f>
        <v/>
      </c>
      <c r="H890" s="9">
        <f>IFERROR(XLOOKUP(E890, '04_Products'!$A:$A, '04_Products'!$F:$F), 0)</f>
        <v/>
      </c>
      <c r="I890" s="9">
        <f>F890*G890</f>
        <v/>
      </c>
      <c r="J890" s="11" t="n">
        <v>0.1</v>
      </c>
      <c r="K890" s="9">
        <f>I890*J890</f>
        <v/>
      </c>
      <c r="L890" s="9">
        <f>I890-K890</f>
        <v/>
      </c>
      <c r="M890" s="9">
        <f>F890*H890</f>
        <v/>
      </c>
      <c r="N890" s="9">
        <f>L890-M890</f>
        <v/>
      </c>
      <c r="O890" s="11">
        <f>IFERROR(N890/L890, 0)</f>
        <v/>
      </c>
      <c r="P890" s="8">
        <f>YEAR(C890)</f>
        <v/>
      </c>
      <c r="Q890" s="8">
        <f>TEXT(C890, "yyyy-mm")</f>
        <v/>
      </c>
      <c r="R890" s="8" t="inlineStr">
        <is>
          <t>Direct Web</t>
        </is>
      </c>
      <c r="S890" s="8" t="inlineStr">
        <is>
          <t>REG-EU</t>
        </is>
      </c>
    </row>
    <row r="891">
      <c r="A891" s="8" t="inlineStr">
        <is>
          <t>DTL-0000897</t>
        </is>
      </c>
      <c r="B891" s="8" t="inlineStr">
        <is>
          <t>ORD-000452</t>
        </is>
      </c>
      <c r="C891" s="10" t="inlineStr">
        <is>
          <t>2025-01-01</t>
        </is>
      </c>
      <c r="D891" s="8" t="inlineStr">
        <is>
          <t>CUST-05116</t>
        </is>
      </c>
      <c r="E891" s="8" t="inlineStr">
        <is>
          <t>PRD-0336</t>
        </is>
      </c>
      <c r="F891" s="8" t="n">
        <v>3</v>
      </c>
      <c r="G891" s="9">
        <f>IFERROR(XLOOKUP(E891, '04_Products'!$A:$A, '04_Products'!$G:$G), 216.76)</f>
        <v/>
      </c>
      <c r="H891" s="9">
        <f>IFERROR(XLOOKUP(E891, '04_Products'!$A:$A, '04_Products'!$F:$F), 0)</f>
        <v/>
      </c>
      <c r="I891" s="9">
        <f>F891*G891</f>
        <v/>
      </c>
      <c r="J891" s="11" t="n">
        <v>0.2</v>
      </c>
      <c r="K891" s="9">
        <f>I891*J891</f>
        <v/>
      </c>
      <c r="L891" s="9">
        <f>I891-K891</f>
        <v/>
      </c>
      <c r="M891" s="9">
        <f>F891*H891</f>
        <v/>
      </c>
      <c r="N891" s="9">
        <f>L891-M891</f>
        <v/>
      </c>
      <c r="O891" s="11">
        <f>IFERROR(N891/L891, 0)</f>
        <v/>
      </c>
      <c r="P891" s="8">
        <f>YEAR(C891)</f>
        <v/>
      </c>
      <c r="Q891" s="8">
        <f>TEXT(C891, "yyyy-mm")</f>
        <v/>
      </c>
      <c r="R891" s="8" t="inlineStr">
        <is>
          <t>Direct Web</t>
        </is>
      </c>
      <c r="S891" s="8" t="inlineStr">
        <is>
          <t>REG-EU</t>
        </is>
      </c>
    </row>
    <row r="892">
      <c r="A892" s="8" t="inlineStr">
        <is>
          <t>DTL-0000898</t>
        </is>
      </c>
      <c r="B892" s="8" t="inlineStr">
        <is>
          <t>ORD-000452</t>
        </is>
      </c>
      <c r="C892" s="10" t="inlineStr">
        <is>
          <t>2025-01-01</t>
        </is>
      </c>
      <c r="D892" s="8" t="inlineStr">
        <is>
          <t>CUST-05116</t>
        </is>
      </c>
      <c r="E892" s="8" t="inlineStr">
        <is>
          <t>PRD-0026</t>
        </is>
      </c>
      <c r="F892" s="8" t="n">
        <v>2</v>
      </c>
      <c r="G892" s="9">
        <f>IFERROR(XLOOKUP(E892, '04_Products'!$A:$A, '04_Products'!$G:$G), 469.49)</f>
        <v/>
      </c>
      <c r="H892" s="9">
        <f>IFERROR(XLOOKUP(E892, '04_Products'!$A:$A, '04_Products'!$F:$F), 0)</f>
        <v/>
      </c>
      <c r="I892" s="9">
        <f>F892*G892</f>
        <v/>
      </c>
      <c r="J892" s="11" t="n">
        <v>0.15</v>
      </c>
      <c r="K892" s="9">
        <f>I892*J892</f>
        <v/>
      </c>
      <c r="L892" s="9">
        <f>I892-K892</f>
        <v/>
      </c>
      <c r="M892" s="9">
        <f>F892*H892</f>
        <v/>
      </c>
      <c r="N892" s="9">
        <f>L892-M892</f>
        <v/>
      </c>
      <c r="O892" s="11">
        <f>IFERROR(N892/L892, 0)</f>
        <v/>
      </c>
      <c r="P892" s="8">
        <f>YEAR(C892)</f>
        <v/>
      </c>
      <c r="Q892" s="8">
        <f>TEXT(C892, "yyyy-mm")</f>
        <v/>
      </c>
      <c r="R892" s="8" t="inlineStr">
        <is>
          <t>Direct Web</t>
        </is>
      </c>
      <c r="S892" s="8" t="inlineStr">
        <is>
          <t>REG-EU</t>
        </is>
      </c>
    </row>
    <row r="893">
      <c r="A893" s="8" t="inlineStr">
        <is>
          <t>DTL-0000899</t>
        </is>
      </c>
      <c r="B893" s="8" t="inlineStr">
        <is>
          <t>ORD-000453</t>
        </is>
      </c>
      <c r="C893" s="10" t="inlineStr">
        <is>
          <t>2023-10-01</t>
        </is>
      </c>
      <c r="D893" s="8" t="inlineStr">
        <is>
          <t>CUST-05228</t>
        </is>
      </c>
      <c r="E893" s="8" t="inlineStr">
        <is>
          <t>PRD-0035</t>
        </is>
      </c>
      <c r="F893" s="8" t="n">
        <v>1</v>
      </c>
      <c r="G893" s="9">
        <f>IFERROR(XLOOKUP(E893, '04_Products'!$A:$A, '04_Products'!$G:$G), 584.68)</f>
        <v/>
      </c>
      <c r="H893" s="9">
        <f>IFERROR(XLOOKUP(E893, '04_Products'!$A:$A, '04_Products'!$F:$F), 0)</f>
        <v/>
      </c>
      <c r="I893" s="9">
        <f>F893*G893</f>
        <v/>
      </c>
      <c r="J893" s="11" t="n">
        <v>0</v>
      </c>
      <c r="K893" s="9">
        <f>I893*J893</f>
        <v/>
      </c>
      <c r="L893" s="9">
        <f>I893-K893</f>
        <v/>
      </c>
      <c r="M893" s="9">
        <f>F893*H893</f>
        <v/>
      </c>
      <c r="N893" s="9">
        <f>L893-M893</f>
        <v/>
      </c>
      <c r="O893" s="11">
        <f>IFERROR(N893/L893, 0)</f>
        <v/>
      </c>
      <c r="P893" s="8">
        <f>YEAR(C893)</f>
        <v/>
      </c>
      <c r="Q893" s="8">
        <f>TEXT(C893, "yyyy-mm")</f>
        <v/>
      </c>
      <c r="R893" s="8" t="inlineStr">
        <is>
          <t>Mobile App</t>
        </is>
      </c>
      <c r="S893" s="8" t="inlineStr">
        <is>
          <t>REG-NA</t>
        </is>
      </c>
    </row>
    <row r="894">
      <c r="A894" s="8" t="inlineStr">
        <is>
          <t>DTL-0000900</t>
        </is>
      </c>
      <c r="B894" s="8" t="inlineStr">
        <is>
          <t>ORD-000454</t>
        </is>
      </c>
      <c r="C894" s="10" t="inlineStr">
        <is>
          <t>2024-01-09</t>
        </is>
      </c>
      <c r="D894" s="8" t="inlineStr">
        <is>
          <t>CUST-07012</t>
        </is>
      </c>
      <c r="E894" s="8" t="inlineStr">
        <is>
          <t>PRD-0388</t>
        </is>
      </c>
      <c r="F894" s="8" t="n">
        <v>1</v>
      </c>
      <c r="G894" s="9">
        <f>IFERROR(XLOOKUP(E894, '04_Products'!$A:$A, '04_Products'!$G:$G), 318.52)</f>
        <v/>
      </c>
      <c r="H894" s="9">
        <f>IFERROR(XLOOKUP(E894, '04_Products'!$A:$A, '04_Products'!$F:$F), 0)</f>
        <v/>
      </c>
      <c r="I894" s="9">
        <f>F894*G894</f>
        <v/>
      </c>
      <c r="J894" s="11" t="n">
        <v>0</v>
      </c>
      <c r="K894" s="9">
        <f>I894*J894</f>
        <v/>
      </c>
      <c r="L894" s="9">
        <f>I894-K894</f>
        <v/>
      </c>
      <c r="M894" s="9">
        <f>F894*H894</f>
        <v/>
      </c>
      <c r="N894" s="9">
        <f>L894-M894</f>
        <v/>
      </c>
      <c r="O894" s="11">
        <f>IFERROR(N894/L894, 0)</f>
        <v/>
      </c>
      <c r="P894" s="8">
        <f>YEAR(C894)</f>
        <v/>
      </c>
      <c r="Q894" s="8">
        <f>TEXT(C894, "yyyy-mm")</f>
        <v/>
      </c>
      <c r="R894" s="8" t="inlineStr">
        <is>
          <t>Mobile App</t>
        </is>
      </c>
      <c r="S894" s="8" t="inlineStr">
        <is>
          <t>REG-NA</t>
        </is>
      </c>
    </row>
    <row r="895">
      <c r="A895" s="8" t="inlineStr">
        <is>
          <t>DTL-0000901</t>
        </is>
      </c>
      <c r="B895" s="8" t="inlineStr">
        <is>
          <t>ORD-000455</t>
        </is>
      </c>
      <c r="C895" s="10" t="inlineStr">
        <is>
          <t>2025-04-13</t>
        </is>
      </c>
      <c r="D895" s="8" t="inlineStr">
        <is>
          <t>CUST-01981</t>
        </is>
      </c>
      <c r="E895" s="8" t="inlineStr">
        <is>
          <t>PRD-0053</t>
        </is>
      </c>
      <c r="F895" s="8" t="n">
        <v>1</v>
      </c>
      <c r="G895" s="9">
        <f>IFERROR(XLOOKUP(E895, '04_Products'!$A:$A, '04_Products'!$G:$G), 1031.53)</f>
        <v/>
      </c>
      <c r="H895" s="9">
        <f>IFERROR(XLOOKUP(E895, '04_Products'!$A:$A, '04_Products'!$F:$F), 0)</f>
        <v/>
      </c>
      <c r="I895" s="9">
        <f>F895*G895</f>
        <v/>
      </c>
      <c r="J895" s="11" t="n">
        <v>0</v>
      </c>
      <c r="K895" s="9">
        <f>I895*J895</f>
        <v/>
      </c>
      <c r="L895" s="9">
        <f>I895-K895</f>
        <v/>
      </c>
      <c r="M895" s="9">
        <f>F895*H895</f>
        <v/>
      </c>
      <c r="N895" s="9">
        <f>L895-M895</f>
        <v/>
      </c>
      <c r="O895" s="11">
        <f>IFERROR(N895/L895, 0)</f>
        <v/>
      </c>
      <c r="P895" s="8">
        <f>YEAR(C895)</f>
        <v/>
      </c>
      <c r="Q895" s="8">
        <f>TEXT(C895, "yyyy-mm")</f>
        <v/>
      </c>
      <c r="R895" s="8" t="inlineStr">
        <is>
          <t>Direct Web</t>
        </is>
      </c>
      <c r="S895" s="8" t="inlineStr">
        <is>
          <t>REG-EU</t>
        </is>
      </c>
    </row>
    <row r="896">
      <c r="A896" s="8" t="inlineStr">
        <is>
          <t>DTL-0000902</t>
        </is>
      </c>
      <c r="B896" s="8" t="inlineStr">
        <is>
          <t>ORD-000456</t>
        </is>
      </c>
      <c r="C896" s="10" t="inlineStr">
        <is>
          <t>2023-11-02</t>
        </is>
      </c>
      <c r="D896" s="8" t="inlineStr">
        <is>
          <t>CUST-06454</t>
        </is>
      </c>
      <c r="E896" s="8" t="inlineStr">
        <is>
          <t>PRD-0140</t>
        </is>
      </c>
      <c r="F896" s="8" t="n">
        <v>1</v>
      </c>
      <c r="G896" s="9">
        <f>IFERROR(XLOOKUP(E896, '04_Products'!$A:$A, '04_Products'!$G:$G), 41.25)</f>
        <v/>
      </c>
      <c r="H896" s="9">
        <f>IFERROR(XLOOKUP(E896, '04_Products'!$A:$A, '04_Products'!$F:$F), 0)</f>
        <v/>
      </c>
      <c r="I896" s="9">
        <f>F896*G896</f>
        <v/>
      </c>
      <c r="J896" s="11" t="n">
        <v>0.1</v>
      </c>
      <c r="K896" s="9">
        <f>I896*J896</f>
        <v/>
      </c>
      <c r="L896" s="9">
        <f>I896-K896</f>
        <v/>
      </c>
      <c r="M896" s="9">
        <f>F896*H896</f>
        <v/>
      </c>
      <c r="N896" s="9">
        <f>L896-M896</f>
        <v/>
      </c>
      <c r="O896" s="11">
        <f>IFERROR(N896/L896, 0)</f>
        <v/>
      </c>
      <c r="P896" s="8">
        <f>YEAR(C896)</f>
        <v/>
      </c>
      <c r="Q896" s="8">
        <f>TEXT(C896, "yyyy-mm")</f>
        <v/>
      </c>
      <c r="R896" s="8" t="inlineStr">
        <is>
          <t>Direct Web</t>
        </is>
      </c>
      <c r="S896" s="8" t="inlineStr">
        <is>
          <t>REG-APAC</t>
        </is>
      </c>
    </row>
    <row r="897">
      <c r="A897" s="8" t="inlineStr">
        <is>
          <t>DTL-0000903</t>
        </is>
      </c>
      <c r="B897" s="8" t="inlineStr">
        <is>
          <t>ORD-000456</t>
        </is>
      </c>
      <c r="C897" s="10" t="inlineStr">
        <is>
          <t>2023-11-02</t>
        </is>
      </c>
      <c r="D897" s="8" t="inlineStr">
        <is>
          <t>CUST-06454</t>
        </is>
      </c>
      <c r="E897" s="8" t="inlineStr">
        <is>
          <t>PRD-0399</t>
        </is>
      </c>
      <c r="F897" s="8" t="n">
        <v>1</v>
      </c>
      <c r="G897" s="9">
        <f>IFERROR(XLOOKUP(E897, '04_Products'!$A:$A, '04_Products'!$G:$G), 933.08)</f>
        <v/>
      </c>
      <c r="H897" s="9">
        <f>IFERROR(XLOOKUP(E897, '04_Products'!$A:$A, '04_Products'!$F:$F), 0)</f>
        <v/>
      </c>
      <c r="I897" s="9">
        <f>F897*G897</f>
        <v/>
      </c>
      <c r="J897" s="11" t="n">
        <v>0</v>
      </c>
      <c r="K897" s="9">
        <f>I897*J897</f>
        <v/>
      </c>
      <c r="L897" s="9">
        <f>I897-K897</f>
        <v/>
      </c>
      <c r="M897" s="9">
        <f>F897*H897</f>
        <v/>
      </c>
      <c r="N897" s="9">
        <f>L897-M897</f>
        <v/>
      </c>
      <c r="O897" s="11">
        <f>IFERROR(N897/L897, 0)</f>
        <v/>
      </c>
      <c r="P897" s="8">
        <f>YEAR(C897)</f>
        <v/>
      </c>
      <c r="Q897" s="8">
        <f>TEXT(C897, "yyyy-mm")</f>
        <v/>
      </c>
      <c r="R897" s="8" t="inlineStr">
        <is>
          <t>Direct Web</t>
        </is>
      </c>
      <c r="S897" s="8" t="inlineStr">
        <is>
          <t>REG-APAC</t>
        </is>
      </c>
    </row>
    <row r="898">
      <c r="A898" s="8" t="inlineStr">
        <is>
          <t>DTL-0000904</t>
        </is>
      </c>
      <c r="B898" s="8" t="inlineStr">
        <is>
          <t>ORD-000457</t>
        </is>
      </c>
      <c r="C898" s="10" t="inlineStr">
        <is>
          <t>2023-08-03</t>
        </is>
      </c>
      <c r="D898" s="8" t="inlineStr">
        <is>
          <t>CUST-06739</t>
        </is>
      </c>
      <c r="E898" s="8" t="inlineStr">
        <is>
          <t>PRD-0090</t>
        </is>
      </c>
      <c r="F898" s="8" t="n">
        <v>1</v>
      </c>
      <c r="G898" s="9">
        <f>IFERROR(XLOOKUP(E898, '04_Products'!$A:$A, '04_Products'!$G:$G), 761.86)</f>
        <v/>
      </c>
      <c r="H898" s="9">
        <f>IFERROR(XLOOKUP(E898, '04_Products'!$A:$A, '04_Products'!$F:$F), 0)</f>
        <v/>
      </c>
      <c r="I898" s="9">
        <f>F898*G898</f>
        <v/>
      </c>
      <c r="J898" s="11" t="n">
        <v>0</v>
      </c>
      <c r="K898" s="9">
        <f>I898*J898</f>
        <v/>
      </c>
      <c r="L898" s="9">
        <f>I898-K898</f>
        <v/>
      </c>
      <c r="M898" s="9">
        <f>F898*H898</f>
        <v/>
      </c>
      <c r="N898" s="9">
        <f>L898-M898</f>
        <v/>
      </c>
      <c r="O898" s="11">
        <f>IFERROR(N898/L898, 0)</f>
        <v/>
      </c>
      <c r="P898" s="8">
        <f>YEAR(C898)</f>
        <v/>
      </c>
      <c r="Q898" s="8">
        <f>TEXT(C898, "yyyy-mm")</f>
        <v/>
      </c>
      <c r="R898" s="8" t="inlineStr">
        <is>
          <t>Mobile App</t>
        </is>
      </c>
      <c r="S898" s="8" t="inlineStr">
        <is>
          <t>REG-APAC</t>
        </is>
      </c>
    </row>
    <row r="899">
      <c r="A899" s="8" t="inlineStr">
        <is>
          <t>DTL-0000905</t>
        </is>
      </c>
      <c r="B899" s="8" t="inlineStr">
        <is>
          <t>ORD-000457</t>
        </is>
      </c>
      <c r="C899" s="10" t="inlineStr">
        <is>
          <t>2023-08-03</t>
        </is>
      </c>
      <c r="D899" s="8" t="inlineStr">
        <is>
          <t>CUST-06739</t>
        </is>
      </c>
      <c r="E899" s="8" t="inlineStr">
        <is>
          <t>PRD-0021</t>
        </is>
      </c>
      <c r="F899" s="8" t="n">
        <v>1</v>
      </c>
      <c r="G899" s="9">
        <f>IFERROR(XLOOKUP(E899, '04_Products'!$A:$A, '04_Products'!$G:$G), 41.09)</f>
        <v/>
      </c>
      <c r="H899" s="9">
        <f>IFERROR(XLOOKUP(E899, '04_Products'!$A:$A, '04_Products'!$F:$F), 0)</f>
        <v/>
      </c>
      <c r="I899" s="9">
        <f>F899*G899</f>
        <v/>
      </c>
      <c r="J899" s="11" t="n">
        <v>0.05</v>
      </c>
      <c r="K899" s="9">
        <f>I899*J899</f>
        <v/>
      </c>
      <c r="L899" s="9">
        <f>I899-K899</f>
        <v/>
      </c>
      <c r="M899" s="9">
        <f>F899*H899</f>
        <v/>
      </c>
      <c r="N899" s="9">
        <f>L899-M899</f>
        <v/>
      </c>
      <c r="O899" s="11">
        <f>IFERROR(N899/L899, 0)</f>
        <v/>
      </c>
      <c r="P899" s="8">
        <f>YEAR(C899)</f>
        <v/>
      </c>
      <c r="Q899" s="8">
        <f>TEXT(C899, "yyyy-mm")</f>
        <v/>
      </c>
      <c r="R899" s="8" t="inlineStr">
        <is>
          <t>Mobile App</t>
        </is>
      </c>
      <c r="S899" s="8" t="inlineStr">
        <is>
          <t>REG-APAC</t>
        </is>
      </c>
    </row>
    <row r="900">
      <c r="A900" s="8" t="inlineStr">
        <is>
          <t>DTL-0000906</t>
        </is>
      </c>
      <c r="B900" s="8" t="inlineStr">
        <is>
          <t>ORD-000458</t>
        </is>
      </c>
      <c r="C900" s="10" t="inlineStr">
        <is>
          <t>2024-05-08</t>
        </is>
      </c>
      <c r="D900" s="8" t="inlineStr">
        <is>
          <t>CUST-00850</t>
        </is>
      </c>
      <c r="E900" s="8" t="inlineStr">
        <is>
          <t>PRD-0453</t>
        </is>
      </c>
      <c r="F900" s="8" t="n">
        <v>1</v>
      </c>
      <c r="G900" s="9">
        <f>IFERROR(XLOOKUP(E900, '04_Products'!$A:$A, '04_Products'!$G:$G), 54.92)</f>
        <v/>
      </c>
      <c r="H900" s="9">
        <f>IFERROR(XLOOKUP(E900, '04_Products'!$A:$A, '04_Products'!$F:$F), 0)</f>
        <v/>
      </c>
      <c r="I900" s="9">
        <f>F900*G900</f>
        <v/>
      </c>
      <c r="J900" s="11" t="n">
        <v>0</v>
      </c>
      <c r="K900" s="9">
        <f>I900*J900</f>
        <v/>
      </c>
      <c r="L900" s="9">
        <f>I900-K900</f>
        <v/>
      </c>
      <c r="M900" s="9">
        <f>F900*H900</f>
        <v/>
      </c>
      <c r="N900" s="9">
        <f>L900-M900</f>
        <v/>
      </c>
      <c r="O900" s="11">
        <f>IFERROR(N900/L900, 0)</f>
        <v/>
      </c>
      <c r="P900" s="8">
        <f>YEAR(C900)</f>
        <v/>
      </c>
      <c r="Q900" s="8">
        <f>TEXT(C900, "yyyy-mm")</f>
        <v/>
      </c>
      <c r="R900" s="8" t="inlineStr">
        <is>
          <t>Mobile App</t>
        </is>
      </c>
      <c r="S900" s="8" t="inlineStr">
        <is>
          <t>REG-APAC</t>
        </is>
      </c>
    </row>
    <row r="901">
      <c r="A901" s="8" t="inlineStr">
        <is>
          <t>DTL-0000907</t>
        </is>
      </c>
      <c r="B901" s="8" t="inlineStr">
        <is>
          <t>ORD-000459</t>
        </is>
      </c>
      <c r="C901" s="10" t="inlineStr">
        <is>
          <t>2023-07-01</t>
        </is>
      </c>
      <c r="D901" s="8" t="inlineStr">
        <is>
          <t>CUST-05488</t>
        </is>
      </c>
      <c r="E901" s="8" t="inlineStr">
        <is>
          <t>PRD-0160</t>
        </is>
      </c>
      <c r="F901" s="8" t="n">
        <v>2</v>
      </c>
      <c r="G901" s="9">
        <f>IFERROR(XLOOKUP(E901, '04_Products'!$A:$A, '04_Products'!$G:$G), 1076.82)</f>
        <v/>
      </c>
      <c r="H901" s="9">
        <f>IFERROR(XLOOKUP(E901, '04_Products'!$A:$A, '04_Products'!$F:$F), 0)</f>
        <v/>
      </c>
      <c r="I901" s="9">
        <f>F901*G901</f>
        <v/>
      </c>
      <c r="J901" s="11" t="n">
        <v>0.05</v>
      </c>
      <c r="K901" s="9">
        <f>I901*J901</f>
        <v/>
      </c>
      <c r="L901" s="9">
        <f>I901-K901</f>
        <v/>
      </c>
      <c r="M901" s="9">
        <f>F901*H901</f>
        <v/>
      </c>
      <c r="N901" s="9">
        <f>L901-M901</f>
        <v/>
      </c>
      <c r="O901" s="11">
        <f>IFERROR(N901/L901, 0)</f>
        <v/>
      </c>
      <c r="P901" s="8">
        <f>YEAR(C901)</f>
        <v/>
      </c>
      <c r="Q901" s="8">
        <f>TEXT(C901, "yyyy-mm")</f>
        <v/>
      </c>
      <c r="R901" s="8" t="inlineStr">
        <is>
          <t>Direct Web</t>
        </is>
      </c>
      <c r="S901" s="8" t="inlineStr">
        <is>
          <t>REG-EU</t>
        </is>
      </c>
    </row>
    <row r="902">
      <c r="A902" s="8" t="inlineStr">
        <is>
          <t>DTL-0000908</t>
        </is>
      </c>
      <c r="B902" s="8" t="inlineStr">
        <is>
          <t>ORD-000460</t>
        </is>
      </c>
      <c r="C902" s="10" t="inlineStr">
        <is>
          <t>2023-08-26</t>
        </is>
      </c>
      <c r="D902" s="8" t="inlineStr">
        <is>
          <t>CUST-06141</t>
        </is>
      </c>
      <c r="E902" s="8" t="inlineStr">
        <is>
          <t>PRD-0143</t>
        </is>
      </c>
      <c r="F902" s="8" t="n">
        <v>1</v>
      </c>
      <c r="G902" s="9">
        <f>IFERROR(XLOOKUP(E902, '04_Products'!$A:$A, '04_Products'!$G:$G), 359.58)</f>
        <v/>
      </c>
      <c r="H902" s="9">
        <f>IFERROR(XLOOKUP(E902, '04_Products'!$A:$A, '04_Products'!$F:$F), 0)</f>
        <v/>
      </c>
      <c r="I902" s="9">
        <f>F902*G902</f>
        <v/>
      </c>
      <c r="J902" s="11" t="n">
        <v>0.25</v>
      </c>
      <c r="K902" s="9">
        <f>I902*J902</f>
        <v/>
      </c>
      <c r="L902" s="9">
        <f>I902-K902</f>
        <v/>
      </c>
      <c r="M902" s="9">
        <f>F902*H902</f>
        <v/>
      </c>
      <c r="N902" s="9">
        <f>L902-M902</f>
        <v/>
      </c>
      <c r="O902" s="11">
        <f>IFERROR(N902/L902, 0)</f>
        <v/>
      </c>
      <c r="P902" s="8">
        <f>YEAR(C902)</f>
        <v/>
      </c>
      <c r="Q902" s="8">
        <f>TEXT(C902, "yyyy-mm")</f>
        <v/>
      </c>
      <c r="R902" s="8" t="inlineStr">
        <is>
          <t>Direct Web</t>
        </is>
      </c>
      <c r="S902" s="8" t="inlineStr">
        <is>
          <t>REG-NA</t>
        </is>
      </c>
    </row>
    <row r="903">
      <c r="A903" s="8" t="inlineStr">
        <is>
          <t>DTL-0000909</t>
        </is>
      </c>
      <c r="B903" s="8" t="inlineStr">
        <is>
          <t>ORD-000460</t>
        </is>
      </c>
      <c r="C903" s="10" t="inlineStr">
        <is>
          <t>2023-08-26</t>
        </is>
      </c>
      <c r="D903" s="8" t="inlineStr">
        <is>
          <t>CUST-06141</t>
        </is>
      </c>
      <c r="E903" s="8" t="inlineStr">
        <is>
          <t>PRD-0421</t>
        </is>
      </c>
      <c r="F903" s="8" t="n">
        <v>1</v>
      </c>
      <c r="G903" s="9">
        <f>IFERROR(XLOOKUP(E903, '04_Products'!$A:$A, '04_Products'!$G:$G), 50.08)</f>
        <v/>
      </c>
      <c r="H903" s="9">
        <f>IFERROR(XLOOKUP(E903, '04_Products'!$A:$A, '04_Products'!$F:$F), 0)</f>
        <v/>
      </c>
      <c r="I903" s="9">
        <f>F903*G903</f>
        <v/>
      </c>
      <c r="J903" s="11" t="n">
        <v>0</v>
      </c>
      <c r="K903" s="9">
        <f>I903*J903</f>
        <v/>
      </c>
      <c r="L903" s="9">
        <f>I903-K903</f>
        <v/>
      </c>
      <c r="M903" s="9">
        <f>F903*H903</f>
        <v/>
      </c>
      <c r="N903" s="9">
        <f>L903-M903</f>
        <v/>
      </c>
      <c r="O903" s="11">
        <f>IFERROR(N903/L903, 0)</f>
        <v/>
      </c>
      <c r="P903" s="8">
        <f>YEAR(C903)</f>
        <v/>
      </c>
      <c r="Q903" s="8">
        <f>TEXT(C903, "yyyy-mm")</f>
        <v/>
      </c>
      <c r="R903" s="8" t="inlineStr">
        <is>
          <t>Direct Web</t>
        </is>
      </c>
      <c r="S903" s="8" t="inlineStr">
        <is>
          <t>REG-NA</t>
        </is>
      </c>
    </row>
    <row r="904">
      <c r="A904" s="8" t="inlineStr">
        <is>
          <t>DTL-0000910</t>
        </is>
      </c>
      <c r="B904" s="8" t="inlineStr">
        <is>
          <t>ORD-000460</t>
        </is>
      </c>
      <c r="C904" s="10" t="inlineStr">
        <is>
          <t>2023-08-26</t>
        </is>
      </c>
      <c r="D904" s="8" t="inlineStr">
        <is>
          <t>CUST-06141</t>
        </is>
      </c>
      <c r="E904" s="8" t="inlineStr">
        <is>
          <t>PRD-0447</t>
        </is>
      </c>
      <c r="F904" s="8" t="n">
        <v>3</v>
      </c>
      <c r="G904" s="9">
        <f>IFERROR(XLOOKUP(E904, '04_Products'!$A:$A, '04_Products'!$G:$G), 65.02)</f>
        <v/>
      </c>
      <c r="H904" s="9">
        <f>IFERROR(XLOOKUP(E904, '04_Products'!$A:$A, '04_Products'!$F:$F), 0)</f>
        <v/>
      </c>
      <c r="I904" s="9">
        <f>F904*G904</f>
        <v/>
      </c>
      <c r="J904" s="11" t="n">
        <v>0.05</v>
      </c>
      <c r="K904" s="9">
        <f>I904*J904</f>
        <v/>
      </c>
      <c r="L904" s="9">
        <f>I904-K904</f>
        <v/>
      </c>
      <c r="M904" s="9">
        <f>F904*H904</f>
        <v/>
      </c>
      <c r="N904" s="9">
        <f>L904-M904</f>
        <v/>
      </c>
      <c r="O904" s="11">
        <f>IFERROR(N904/L904, 0)</f>
        <v/>
      </c>
      <c r="P904" s="8">
        <f>YEAR(C904)</f>
        <v/>
      </c>
      <c r="Q904" s="8">
        <f>TEXT(C904, "yyyy-mm")</f>
        <v/>
      </c>
      <c r="R904" s="8" t="inlineStr">
        <is>
          <t>Direct Web</t>
        </is>
      </c>
      <c r="S904" s="8" t="inlineStr">
        <is>
          <t>REG-NA</t>
        </is>
      </c>
    </row>
    <row r="905">
      <c r="A905" s="8" t="inlineStr">
        <is>
          <t>DTL-0000911</t>
        </is>
      </c>
      <c r="B905" s="8" t="inlineStr">
        <is>
          <t>ORD-000460</t>
        </is>
      </c>
      <c r="C905" s="10" t="inlineStr">
        <is>
          <t>2023-08-26</t>
        </is>
      </c>
      <c r="D905" s="8" t="inlineStr">
        <is>
          <t>CUST-06141</t>
        </is>
      </c>
      <c r="E905" s="8" t="inlineStr">
        <is>
          <t>PRD-0256</t>
        </is>
      </c>
      <c r="F905" s="8" t="n">
        <v>1</v>
      </c>
      <c r="G905" s="9">
        <f>IFERROR(XLOOKUP(E905, '04_Products'!$A:$A, '04_Products'!$G:$G), 235.18)</f>
        <v/>
      </c>
      <c r="H905" s="9">
        <f>IFERROR(XLOOKUP(E905, '04_Products'!$A:$A, '04_Products'!$F:$F), 0)</f>
        <v/>
      </c>
      <c r="I905" s="9">
        <f>F905*G905</f>
        <v/>
      </c>
      <c r="J905" s="11" t="n">
        <v>0.1</v>
      </c>
      <c r="K905" s="9">
        <f>I905*J905</f>
        <v/>
      </c>
      <c r="L905" s="9">
        <f>I905-K905</f>
        <v/>
      </c>
      <c r="M905" s="9">
        <f>F905*H905</f>
        <v/>
      </c>
      <c r="N905" s="9">
        <f>L905-M905</f>
        <v/>
      </c>
      <c r="O905" s="11">
        <f>IFERROR(N905/L905, 0)</f>
        <v/>
      </c>
      <c r="P905" s="8">
        <f>YEAR(C905)</f>
        <v/>
      </c>
      <c r="Q905" s="8">
        <f>TEXT(C905, "yyyy-mm")</f>
        <v/>
      </c>
      <c r="R905" s="8" t="inlineStr">
        <is>
          <t>Direct Web</t>
        </is>
      </c>
      <c r="S905" s="8" t="inlineStr">
        <is>
          <t>REG-NA</t>
        </is>
      </c>
    </row>
    <row r="906">
      <c r="A906" s="8" t="inlineStr">
        <is>
          <t>DTL-0000912</t>
        </is>
      </c>
      <c r="B906" s="8" t="inlineStr">
        <is>
          <t>ORD-000460</t>
        </is>
      </c>
      <c r="C906" s="10" t="inlineStr">
        <is>
          <t>2023-08-26</t>
        </is>
      </c>
      <c r="D906" s="8" t="inlineStr">
        <is>
          <t>CUST-06141</t>
        </is>
      </c>
      <c r="E906" s="8" t="inlineStr">
        <is>
          <t>PRD-0350</t>
        </is>
      </c>
      <c r="F906" s="8" t="n">
        <v>1</v>
      </c>
      <c r="G906" s="9">
        <f>IFERROR(XLOOKUP(E906, '04_Products'!$A:$A, '04_Products'!$G:$G), 66.90)</f>
        <v/>
      </c>
      <c r="H906" s="9">
        <f>IFERROR(XLOOKUP(E906, '04_Products'!$A:$A, '04_Products'!$F:$F), 0)</f>
        <v/>
      </c>
      <c r="I906" s="9">
        <f>F906*G906</f>
        <v/>
      </c>
      <c r="J906" s="11" t="n">
        <v>0.15</v>
      </c>
      <c r="K906" s="9">
        <f>I906*J906</f>
        <v/>
      </c>
      <c r="L906" s="9">
        <f>I906-K906</f>
        <v/>
      </c>
      <c r="M906" s="9">
        <f>F906*H906</f>
        <v/>
      </c>
      <c r="N906" s="9">
        <f>L906-M906</f>
        <v/>
      </c>
      <c r="O906" s="11">
        <f>IFERROR(N906/L906, 0)</f>
        <v/>
      </c>
      <c r="P906" s="8">
        <f>YEAR(C906)</f>
        <v/>
      </c>
      <c r="Q906" s="8">
        <f>TEXT(C906, "yyyy-mm")</f>
        <v/>
      </c>
      <c r="R906" s="8" t="inlineStr">
        <is>
          <t>Direct Web</t>
        </is>
      </c>
      <c r="S906" s="8" t="inlineStr">
        <is>
          <t>REG-NA</t>
        </is>
      </c>
    </row>
    <row r="907">
      <c r="A907" s="8" t="inlineStr">
        <is>
          <t>DTL-0000913</t>
        </is>
      </c>
      <c r="B907" s="8" t="inlineStr">
        <is>
          <t>ORD-000461</t>
        </is>
      </c>
      <c r="C907" s="10" t="inlineStr">
        <is>
          <t>2024-01-28</t>
        </is>
      </c>
      <c r="D907" s="8" t="inlineStr">
        <is>
          <t>CUST-04712</t>
        </is>
      </c>
      <c r="E907" s="8" t="inlineStr">
        <is>
          <t>PRD-0115</t>
        </is>
      </c>
      <c r="F907" s="8" t="n">
        <v>2</v>
      </c>
      <c r="G907" s="9">
        <f>IFERROR(XLOOKUP(E907, '04_Products'!$A:$A, '04_Products'!$G:$G), 256.68)</f>
        <v/>
      </c>
      <c r="H907" s="9">
        <f>IFERROR(XLOOKUP(E907, '04_Products'!$A:$A, '04_Products'!$F:$F), 0)</f>
        <v/>
      </c>
      <c r="I907" s="9">
        <f>F907*G907</f>
        <v/>
      </c>
      <c r="J907" s="11" t="n">
        <v>0.15</v>
      </c>
      <c r="K907" s="9">
        <f>I907*J907</f>
        <v/>
      </c>
      <c r="L907" s="9">
        <f>I907-K907</f>
        <v/>
      </c>
      <c r="M907" s="9">
        <f>F907*H907</f>
        <v/>
      </c>
      <c r="N907" s="9">
        <f>L907-M907</f>
        <v/>
      </c>
      <c r="O907" s="11">
        <f>IFERROR(N907/L907, 0)</f>
        <v/>
      </c>
      <c r="P907" s="8">
        <f>YEAR(C907)</f>
        <v/>
      </c>
      <c r="Q907" s="8">
        <f>TEXT(C907, "yyyy-mm")</f>
        <v/>
      </c>
      <c r="R907" s="8" t="inlineStr">
        <is>
          <t>B2B Portal</t>
        </is>
      </c>
      <c r="S907" s="8" t="inlineStr">
        <is>
          <t>REG-NA</t>
        </is>
      </c>
    </row>
    <row r="908">
      <c r="A908" s="8" t="inlineStr">
        <is>
          <t>DTL-0000914</t>
        </is>
      </c>
      <c r="B908" s="8" t="inlineStr">
        <is>
          <t>ORD-000461</t>
        </is>
      </c>
      <c r="C908" s="10" t="inlineStr">
        <is>
          <t>2024-01-28</t>
        </is>
      </c>
      <c r="D908" s="8" t="inlineStr">
        <is>
          <t>CUST-04712</t>
        </is>
      </c>
      <c r="E908" s="8" t="inlineStr">
        <is>
          <t>PRD-0213</t>
        </is>
      </c>
      <c r="F908" s="8" t="n">
        <v>2</v>
      </c>
      <c r="G908" s="9">
        <f>IFERROR(XLOOKUP(E908, '04_Products'!$A:$A, '04_Products'!$G:$G), 592.90)</f>
        <v/>
      </c>
      <c r="H908" s="9">
        <f>IFERROR(XLOOKUP(E908, '04_Products'!$A:$A, '04_Products'!$F:$F), 0)</f>
        <v/>
      </c>
      <c r="I908" s="9">
        <f>F908*G908</f>
        <v/>
      </c>
      <c r="J908" s="11" t="n">
        <v>0.1</v>
      </c>
      <c r="K908" s="9">
        <f>I908*J908</f>
        <v/>
      </c>
      <c r="L908" s="9">
        <f>I908-K908</f>
        <v/>
      </c>
      <c r="M908" s="9">
        <f>F908*H908</f>
        <v/>
      </c>
      <c r="N908" s="9">
        <f>L908-M908</f>
        <v/>
      </c>
      <c r="O908" s="11">
        <f>IFERROR(N908/L908, 0)</f>
        <v/>
      </c>
      <c r="P908" s="8">
        <f>YEAR(C908)</f>
        <v/>
      </c>
      <c r="Q908" s="8">
        <f>TEXT(C908, "yyyy-mm")</f>
        <v/>
      </c>
      <c r="R908" s="8" t="inlineStr">
        <is>
          <t>B2B Portal</t>
        </is>
      </c>
      <c r="S908" s="8" t="inlineStr">
        <is>
          <t>REG-NA</t>
        </is>
      </c>
    </row>
    <row r="909">
      <c r="A909" s="8" t="inlineStr">
        <is>
          <t>DTL-0000915</t>
        </is>
      </c>
      <c r="B909" s="8" t="inlineStr">
        <is>
          <t>ORD-000461</t>
        </is>
      </c>
      <c r="C909" s="10" t="inlineStr">
        <is>
          <t>2024-01-28</t>
        </is>
      </c>
      <c r="D909" s="8" t="inlineStr">
        <is>
          <t>CUST-04712</t>
        </is>
      </c>
      <c r="E909" s="8" t="inlineStr">
        <is>
          <t>PRD-0359</t>
        </is>
      </c>
      <c r="F909" s="8" t="n">
        <v>1</v>
      </c>
      <c r="G909" s="9">
        <f>IFERROR(XLOOKUP(E909, '04_Products'!$A:$A, '04_Products'!$G:$G), 1075.75)</f>
        <v/>
      </c>
      <c r="H909" s="9">
        <f>IFERROR(XLOOKUP(E909, '04_Products'!$A:$A, '04_Products'!$F:$F), 0)</f>
        <v/>
      </c>
      <c r="I909" s="9">
        <f>F909*G909</f>
        <v/>
      </c>
      <c r="J909" s="11" t="n">
        <v>0</v>
      </c>
      <c r="K909" s="9">
        <f>I909*J909</f>
        <v/>
      </c>
      <c r="L909" s="9">
        <f>I909-K909</f>
        <v/>
      </c>
      <c r="M909" s="9">
        <f>F909*H909</f>
        <v/>
      </c>
      <c r="N909" s="9">
        <f>L909-M909</f>
        <v/>
      </c>
      <c r="O909" s="11">
        <f>IFERROR(N909/L909, 0)</f>
        <v/>
      </c>
      <c r="P909" s="8">
        <f>YEAR(C909)</f>
        <v/>
      </c>
      <c r="Q909" s="8">
        <f>TEXT(C909, "yyyy-mm")</f>
        <v/>
      </c>
      <c r="R909" s="8" t="inlineStr">
        <is>
          <t>B2B Portal</t>
        </is>
      </c>
      <c r="S909" s="8" t="inlineStr">
        <is>
          <t>REG-NA</t>
        </is>
      </c>
    </row>
    <row r="910">
      <c r="A910" s="8" t="inlineStr">
        <is>
          <t>DTL-0000916</t>
        </is>
      </c>
      <c r="B910" s="8" t="inlineStr">
        <is>
          <t>ORD-000462</t>
        </is>
      </c>
      <c r="C910" s="10" t="inlineStr">
        <is>
          <t>2025-02-02</t>
        </is>
      </c>
      <c r="D910" s="8" t="inlineStr">
        <is>
          <t>CUST-04885</t>
        </is>
      </c>
      <c r="E910" s="8" t="inlineStr">
        <is>
          <t>PRD-0241</t>
        </is>
      </c>
      <c r="F910" s="8" t="n">
        <v>1</v>
      </c>
      <c r="G910" s="9">
        <f>IFERROR(XLOOKUP(E910, '04_Products'!$A:$A, '04_Products'!$G:$G), 91.47)</f>
        <v/>
      </c>
      <c r="H910" s="9">
        <f>IFERROR(XLOOKUP(E910, '04_Products'!$A:$A, '04_Products'!$F:$F), 0)</f>
        <v/>
      </c>
      <c r="I910" s="9">
        <f>F910*G910</f>
        <v/>
      </c>
      <c r="J910" s="11" t="n">
        <v>0.2</v>
      </c>
      <c r="K910" s="9">
        <f>I910*J910</f>
        <v/>
      </c>
      <c r="L910" s="9">
        <f>I910-K910</f>
        <v/>
      </c>
      <c r="M910" s="9">
        <f>F910*H910</f>
        <v/>
      </c>
      <c r="N910" s="9">
        <f>L910-M910</f>
        <v/>
      </c>
      <c r="O910" s="11">
        <f>IFERROR(N910/L910, 0)</f>
        <v/>
      </c>
      <c r="P910" s="8">
        <f>YEAR(C910)</f>
        <v/>
      </c>
      <c r="Q910" s="8">
        <f>TEXT(C910, "yyyy-mm")</f>
        <v/>
      </c>
      <c r="R910" s="8" t="inlineStr">
        <is>
          <t>Direct Web</t>
        </is>
      </c>
      <c r="S910" s="8" t="inlineStr">
        <is>
          <t>REG-EU</t>
        </is>
      </c>
    </row>
    <row r="911">
      <c r="A911" s="8" t="inlineStr">
        <is>
          <t>DTL-0000917</t>
        </is>
      </c>
      <c r="B911" s="8" t="inlineStr">
        <is>
          <t>ORD-000462</t>
        </is>
      </c>
      <c r="C911" s="10" t="inlineStr">
        <is>
          <t>2025-02-02</t>
        </is>
      </c>
      <c r="D911" s="8" t="inlineStr">
        <is>
          <t>CUST-04885</t>
        </is>
      </c>
      <c r="E911" s="8" t="inlineStr">
        <is>
          <t>PRD-0230</t>
        </is>
      </c>
      <c r="F911" s="8" t="n">
        <v>1</v>
      </c>
      <c r="G911" s="9">
        <f>IFERROR(XLOOKUP(E911, '04_Products'!$A:$A, '04_Products'!$G:$G), 54.32)</f>
        <v/>
      </c>
      <c r="H911" s="9">
        <f>IFERROR(XLOOKUP(E911, '04_Products'!$A:$A, '04_Products'!$F:$F), 0)</f>
        <v/>
      </c>
      <c r="I911" s="9">
        <f>F911*G911</f>
        <v/>
      </c>
      <c r="J911" s="11" t="n">
        <v>0</v>
      </c>
      <c r="K911" s="9">
        <f>I911*J911</f>
        <v/>
      </c>
      <c r="L911" s="9">
        <f>I911-K911</f>
        <v/>
      </c>
      <c r="M911" s="9">
        <f>F911*H911</f>
        <v/>
      </c>
      <c r="N911" s="9">
        <f>L911-M911</f>
        <v/>
      </c>
      <c r="O911" s="11">
        <f>IFERROR(N911/L911, 0)</f>
        <v/>
      </c>
      <c r="P911" s="8">
        <f>YEAR(C911)</f>
        <v/>
      </c>
      <c r="Q911" s="8">
        <f>TEXT(C911, "yyyy-mm")</f>
        <v/>
      </c>
      <c r="R911" s="8" t="inlineStr">
        <is>
          <t>Direct Web</t>
        </is>
      </c>
      <c r="S911" s="8" t="inlineStr">
        <is>
          <t>REG-EU</t>
        </is>
      </c>
    </row>
    <row r="912">
      <c r="A912" s="8" t="inlineStr">
        <is>
          <t>DTL-0000918</t>
        </is>
      </c>
      <c r="B912" s="8" t="inlineStr">
        <is>
          <t>ORD-000462</t>
        </is>
      </c>
      <c r="C912" s="10" t="inlineStr">
        <is>
          <t>2025-02-02</t>
        </is>
      </c>
      <c r="D912" s="8" t="inlineStr">
        <is>
          <t>CUST-04885</t>
        </is>
      </c>
      <c r="E912" s="8" t="inlineStr">
        <is>
          <t>PRD-0147</t>
        </is>
      </c>
      <c r="F912" s="8" t="n">
        <v>8</v>
      </c>
      <c r="G912" s="9">
        <f>IFERROR(XLOOKUP(E912, '04_Products'!$A:$A, '04_Products'!$G:$G), 544.07)</f>
        <v/>
      </c>
      <c r="H912" s="9">
        <f>IFERROR(XLOOKUP(E912, '04_Products'!$A:$A, '04_Products'!$F:$F), 0)</f>
        <v/>
      </c>
      <c r="I912" s="9">
        <f>F912*G912</f>
        <v/>
      </c>
      <c r="J912" s="11" t="n">
        <v>0.2</v>
      </c>
      <c r="K912" s="9">
        <f>I912*J912</f>
        <v/>
      </c>
      <c r="L912" s="9">
        <f>I912-K912</f>
        <v/>
      </c>
      <c r="M912" s="9">
        <f>F912*H912</f>
        <v/>
      </c>
      <c r="N912" s="9">
        <f>L912-M912</f>
        <v/>
      </c>
      <c r="O912" s="11">
        <f>IFERROR(N912/L912, 0)</f>
        <v/>
      </c>
      <c r="P912" s="8">
        <f>YEAR(C912)</f>
        <v/>
      </c>
      <c r="Q912" s="8">
        <f>TEXT(C912, "yyyy-mm")</f>
        <v/>
      </c>
      <c r="R912" s="8" t="inlineStr">
        <is>
          <t>Direct Web</t>
        </is>
      </c>
      <c r="S912" s="8" t="inlineStr">
        <is>
          <t>REG-EU</t>
        </is>
      </c>
    </row>
    <row r="913">
      <c r="A913" s="8" t="inlineStr">
        <is>
          <t>DTL-0000919</t>
        </is>
      </c>
      <c r="B913" s="8" t="inlineStr">
        <is>
          <t>ORD-000463</t>
        </is>
      </c>
      <c r="C913" s="10" t="inlineStr">
        <is>
          <t>2025-09-12</t>
        </is>
      </c>
      <c r="D913" s="8" t="inlineStr">
        <is>
          <t>CUST-00773</t>
        </is>
      </c>
      <c r="E913" s="8" t="inlineStr">
        <is>
          <t>PRD-0420</t>
        </is>
      </c>
      <c r="F913" s="8" t="n">
        <v>1</v>
      </c>
      <c r="G913" s="9">
        <f>IFERROR(XLOOKUP(E913, '04_Products'!$A:$A, '04_Products'!$G:$G), 923.98)</f>
        <v/>
      </c>
      <c r="H913" s="9">
        <f>IFERROR(XLOOKUP(E913, '04_Products'!$A:$A, '04_Products'!$F:$F), 0)</f>
        <v/>
      </c>
      <c r="I913" s="9">
        <f>F913*G913</f>
        <v/>
      </c>
      <c r="J913" s="11" t="n">
        <v>0.1</v>
      </c>
      <c r="K913" s="9">
        <f>I913*J913</f>
        <v/>
      </c>
      <c r="L913" s="9">
        <f>I913-K913</f>
        <v/>
      </c>
      <c r="M913" s="9">
        <f>F913*H913</f>
        <v/>
      </c>
      <c r="N913" s="9">
        <f>L913-M913</f>
        <v/>
      </c>
      <c r="O913" s="11">
        <f>IFERROR(N913/L913, 0)</f>
        <v/>
      </c>
      <c r="P913" s="8">
        <f>YEAR(C913)</f>
        <v/>
      </c>
      <c r="Q913" s="8">
        <f>TEXT(C913, "yyyy-mm")</f>
        <v/>
      </c>
      <c r="R913" s="8" t="inlineStr">
        <is>
          <t>Mobile App</t>
        </is>
      </c>
      <c r="S913" s="8" t="inlineStr">
        <is>
          <t>REG-APAC</t>
        </is>
      </c>
    </row>
    <row r="914">
      <c r="A914" s="8" t="inlineStr">
        <is>
          <t>DTL-0000920</t>
        </is>
      </c>
      <c r="B914" s="8" t="inlineStr">
        <is>
          <t>ORD-000464</t>
        </is>
      </c>
      <c r="C914" s="10" t="inlineStr">
        <is>
          <t>2025-08-25</t>
        </is>
      </c>
      <c r="D914" s="8" t="inlineStr">
        <is>
          <t>CUST-06196</t>
        </is>
      </c>
      <c r="E914" s="8" t="inlineStr">
        <is>
          <t>PRD-0287</t>
        </is>
      </c>
      <c r="F914" s="8" t="n">
        <v>4</v>
      </c>
      <c r="G914" s="9">
        <f>IFERROR(XLOOKUP(E914, '04_Products'!$A:$A, '04_Products'!$G:$G), 214.91)</f>
        <v/>
      </c>
      <c r="H914" s="9">
        <f>IFERROR(XLOOKUP(E914, '04_Products'!$A:$A, '04_Products'!$F:$F), 0)</f>
        <v/>
      </c>
      <c r="I914" s="9">
        <f>F914*G914</f>
        <v/>
      </c>
      <c r="J914" s="11" t="n">
        <v>0.1</v>
      </c>
      <c r="K914" s="9">
        <f>I914*J914</f>
        <v/>
      </c>
      <c r="L914" s="9">
        <f>I914-K914</f>
        <v/>
      </c>
      <c r="M914" s="9">
        <f>F914*H914</f>
        <v/>
      </c>
      <c r="N914" s="9">
        <f>L914-M914</f>
        <v/>
      </c>
      <c r="O914" s="11">
        <f>IFERROR(N914/L914, 0)</f>
        <v/>
      </c>
      <c r="P914" s="8">
        <f>YEAR(C914)</f>
        <v/>
      </c>
      <c r="Q914" s="8">
        <f>TEXT(C914, "yyyy-mm")</f>
        <v/>
      </c>
      <c r="R914" s="8" t="inlineStr">
        <is>
          <t>Direct Web</t>
        </is>
      </c>
      <c r="S914" s="8" t="inlineStr">
        <is>
          <t>REG-NA</t>
        </is>
      </c>
    </row>
    <row r="915">
      <c r="A915" s="8" t="inlineStr">
        <is>
          <t>DTL-0000921</t>
        </is>
      </c>
      <c r="B915" s="8" t="inlineStr">
        <is>
          <t>ORD-000464</t>
        </is>
      </c>
      <c r="C915" s="10" t="inlineStr">
        <is>
          <t>2025-08-25</t>
        </is>
      </c>
      <c r="D915" s="8" t="inlineStr">
        <is>
          <t>CUST-06196</t>
        </is>
      </c>
      <c r="E915" s="8" t="inlineStr">
        <is>
          <t>PRD-0276</t>
        </is>
      </c>
      <c r="F915" s="8" t="n">
        <v>1</v>
      </c>
      <c r="G915" s="9">
        <f>IFERROR(XLOOKUP(E915, '04_Products'!$A:$A, '04_Products'!$G:$G), 1183.89)</f>
        <v/>
      </c>
      <c r="H915" s="9">
        <f>IFERROR(XLOOKUP(E915, '04_Products'!$A:$A, '04_Products'!$F:$F), 0)</f>
        <v/>
      </c>
      <c r="I915" s="9">
        <f>F915*G915</f>
        <v/>
      </c>
      <c r="J915" s="11" t="n">
        <v>0</v>
      </c>
      <c r="K915" s="9">
        <f>I915*J915</f>
        <v/>
      </c>
      <c r="L915" s="9">
        <f>I915-K915</f>
        <v/>
      </c>
      <c r="M915" s="9">
        <f>F915*H915</f>
        <v/>
      </c>
      <c r="N915" s="9">
        <f>L915-M915</f>
        <v/>
      </c>
      <c r="O915" s="11">
        <f>IFERROR(N915/L915, 0)</f>
        <v/>
      </c>
      <c r="P915" s="8">
        <f>YEAR(C915)</f>
        <v/>
      </c>
      <c r="Q915" s="8">
        <f>TEXT(C915, "yyyy-mm")</f>
        <v/>
      </c>
      <c r="R915" s="8" t="inlineStr">
        <is>
          <t>Direct Web</t>
        </is>
      </c>
      <c r="S915" s="8" t="inlineStr">
        <is>
          <t>REG-NA</t>
        </is>
      </c>
    </row>
    <row r="916">
      <c r="A916" s="8" t="inlineStr">
        <is>
          <t>DTL-0000922</t>
        </is>
      </c>
      <c r="B916" s="8" t="inlineStr">
        <is>
          <t>ORD-000464</t>
        </is>
      </c>
      <c r="C916" s="10" t="inlineStr">
        <is>
          <t>2025-08-25</t>
        </is>
      </c>
      <c r="D916" s="8" t="inlineStr">
        <is>
          <t>CUST-06196</t>
        </is>
      </c>
      <c r="E916" s="8" t="inlineStr">
        <is>
          <t>PRD-0152</t>
        </is>
      </c>
      <c r="F916" s="8" t="n">
        <v>3</v>
      </c>
      <c r="G916" s="9">
        <f>IFERROR(XLOOKUP(E916, '04_Products'!$A:$A, '04_Products'!$G:$G), 1157.61)</f>
        <v/>
      </c>
      <c r="H916" s="9">
        <f>IFERROR(XLOOKUP(E916, '04_Products'!$A:$A, '04_Products'!$F:$F), 0)</f>
        <v/>
      </c>
      <c r="I916" s="9">
        <f>F916*G916</f>
        <v/>
      </c>
      <c r="J916" s="11" t="n">
        <v>0.05</v>
      </c>
      <c r="K916" s="9">
        <f>I916*J916</f>
        <v/>
      </c>
      <c r="L916" s="9">
        <f>I916-K916</f>
        <v/>
      </c>
      <c r="M916" s="9">
        <f>F916*H916</f>
        <v/>
      </c>
      <c r="N916" s="9">
        <f>L916-M916</f>
        <v/>
      </c>
      <c r="O916" s="11">
        <f>IFERROR(N916/L916, 0)</f>
        <v/>
      </c>
      <c r="P916" s="8">
        <f>YEAR(C916)</f>
        <v/>
      </c>
      <c r="Q916" s="8">
        <f>TEXT(C916, "yyyy-mm")</f>
        <v/>
      </c>
      <c r="R916" s="8" t="inlineStr">
        <is>
          <t>Direct Web</t>
        </is>
      </c>
      <c r="S916" s="8" t="inlineStr">
        <is>
          <t>REG-NA</t>
        </is>
      </c>
    </row>
    <row r="917">
      <c r="A917" s="8" t="inlineStr">
        <is>
          <t>DTL-0000923</t>
        </is>
      </c>
      <c r="B917" s="8" t="inlineStr">
        <is>
          <t>ORD-000465</t>
        </is>
      </c>
      <c r="C917" s="10" t="inlineStr">
        <is>
          <t>2023-02-22</t>
        </is>
      </c>
      <c r="D917" s="8" t="inlineStr">
        <is>
          <t>CUST-04288</t>
        </is>
      </c>
      <c r="E917" s="8" t="inlineStr">
        <is>
          <t>PRD-0006</t>
        </is>
      </c>
      <c r="F917" s="8" t="n">
        <v>1</v>
      </c>
      <c r="G917" s="9">
        <f>IFERROR(XLOOKUP(E917, '04_Products'!$A:$A, '04_Products'!$G:$G), 64.34)</f>
        <v/>
      </c>
      <c r="H917" s="9">
        <f>IFERROR(XLOOKUP(E917, '04_Products'!$A:$A, '04_Products'!$F:$F), 0)</f>
        <v/>
      </c>
      <c r="I917" s="9">
        <f>F917*G917</f>
        <v/>
      </c>
      <c r="J917" s="11" t="n">
        <v>0</v>
      </c>
      <c r="K917" s="9">
        <f>I917*J917</f>
        <v/>
      </c>
      <c r="L917" s="9">
        <f>I917-K917</f>
        <v/>
      </c>
      <c r="M917" s="9">
        <f>F917*H917</f>
        <v/>
      </c>
      <c r="N917" s="9">
        <f>L917-M917</f>
        <v/>
      </c>
      <c r="O917" s="11">
        <f>IFERROR(N917/L917, 0)</f>
        <v/>
      </c>
      <c r="P917" s="8">
        <f>YEAR(C917)</f>
        <v/>
      </c>
      <c r="Q917" s="8">
        <f>TEXT(C917, "yyyy-mm")</f>
        <v/>
      </c>
      <c r="R917" s="8" t="inlineStr">
        <is>
          <t>Affiliate Partner</t>
        </is>
      </c>
      <c r="S917" s="8" t="inlineStr">
        <is>
          <t>REG-EU</t>
        </is>
      </c>
    </row>
    <row r="918">
      <c r="A918" s="8" t="inlineStr">
        <is>
          <t>DTL-0000924</t>
        </is>
      </c>
      <c r="B918" s="8" t="inlineStr">
        <is>
          <t>ORD-000466</t>
        </is>
      </c>
      <c r="C918" s="10" t="inlineStr">
        <is>
          <t>2024-02-16</t>
        </is>
      </c>
      <c r="D918" s="8" t="inlineStr">
        <is>
          <t>CUST-06185</t>
        </is>
      </c>
      <c r="E918" s="8" t="inlineStr">
        <is>
          <t>PRD-0077</t>
        </is>
      </c>
      <c r="F918" s="8" t="n">
        <v>4</v>
      </c>
      <c r="G918" s="9">
        <f>IFERROR(XLOOKUP(E918, '04_Products'!$A:$A, '04_Products'!$G:$G), 1210.48)</f>
        <v/>
      </c>
      <c r="H918" s="9">
        <f>IFERROR(XLOOKUP(E918, '04_Products'!$A:$A, '04_Products'!$F:$F), 0)</f>
        <v/>
      </c>
      <c r="I918" s="9">
        <f>F918*G918</f>
        <v/>
      </c>
      <c r="J918" s="11" t="n">
        <v>0.1</v>
      </c>
      <c r="K918" s="9">
        <f>I918*J918</f>
        <v/>
      </c>
      <c r="L918" s="9">
        <f>I918-K918</f>
        <v/>
      </c>
      <c r="M918" s="9">
        <f>F918*H918</f>
        <v/>
      </c>
      <c r="N918" s="9">
        <f>L918-M918</f>
        <v/>
      </c>
      <c r="O918" s="11">
        <f>IFERROR(N918/L918, 0)</f>
        <v/>
      </c>
      <c r="P918" s="8">
        <f>YEAR(C918)</f>
        <v/>
      </c>
      <c r="Q918" s="8">
        <f>TEXT(C918, "yyyy-mm")</f>
        <v/>
      </c>
      <c r="R918" s="8" t="inlineStr">
        <is>
          <t>B2B Portal</t>
        </is>
      </c>
      <c r="S918" s="8" t="inlineStr">
        <is>
          <t>REG-NA</t>
        </is>
      </c>
    </row>
    <row r="919">
      <c r="A919" s="8" t="inlineStr">
        <is>
          <t>DTL-0000925</t>
        </is>
      </c>
      <c r="B919" s="8" t="inlineStr">
        <is>
          <t>ORD-000466</t>
        </is>
      </c>
      <c r="C919" s="10" t="inlineStr">
        <is>
          <t>2024-02-16</t>
        </is>
      </c>
      <c r="D919" s="8" t="inlineStr">
        <is>
          <t>CUST-06185</t>
        </is>
      </c>
      <c r="E919" s="8" t="inlineStr">
        <is>
          <t>PRD-0114</t>
        </is>
      </c>
      <c r="F919" s="8" t="n">
        <v>1</v>
      </c>
      <c r="G919" s="9">
        <f>IFERROR(XLOOKUP(E919, '04_Products'!$A:$A, '04_Products'!$G:$G), 49.56)</f>
        <v/>
      </c>
      <c r="H919" s="9">
        <f>IFERROR(XLOOKUP(E919, '04_Products'!$A:$A, '04_Products'!$F:$F), 0)</f>
        <v/>
      </c>
      <c r="I919" s="9">
        <f>F919*G919</f>
        <v/>
      </c>
      <c r="J919" s="11" t="n">
        <v>0.05</v>
      </c>
      <c r="K919" s="9">
        <f>I919*J919</f>
        <v/>
      </c>
      <c r="L919" s="9">
        <f>I919-K919</f>
        <v/>
      </c>
      <c r="M919" s="9">
        <f>F919*H919</f>
        <v/>
      </c>
      <c r="N919" s="9">
        <f>L919-M919</f>
        <v/>
      </c>
      <c r="O919" s="11">
        <f>IFERROR(N919/L919, 0)</f>
        <v/>
      </c>
      <c r="P919" s="8">
        <f>YEAR(C919)</f>
        <v/>
      </c>
      <c r="Q919" s="8">
        <f>TEXT(C919, "yyyy-mm")</f>
        <v/>
      </c>
      <c r="R919" s="8" t="inlineStr">
        <is>
          <t>B2B Portal</t>
        </is>
      </c>
      <c r="S919" s="8" t="inlineStr">
        <is>
          <t>REG-NA</t>
        </is>
      </c>
    </row>
    <row r="920">
      <c r="A920" s="8" t="inlineStr">
        <is>
          <t>DTL-0000926</t>
        </is>
      </c>
      <c r="B920" s="8" t="inlineStr">
        <is>
          <t>ORD-000466</t>
        </is>
      </c>
      <c r="C920" s="10" t="inlineStr">
        <is>
          <t>2024-02-16</t>
        </is>
      </c>
      <c r="D920" s="8" t="inlineStr">
        <is>
          <t>CUST-06185</t>
        </is>
      </c>
      <c r="E920" s="8" t="inlineStr">
        <is>
          <t>PRD-0429</t>
        </is>
      </c>
      <c r="F920" s="8" t="n">
        <v>1</v>
      </c>
      <c r="G920" s="9">
        <f>IFERROR(XLOOKUP(E920, '04_Products'!$A:$A, '04_Products'!$G:$G), 790.21)</f>
        <v/>
      </c>
      <c r="H920" s="9">
        <f>IFERROR(XLOOKUP(E920, '04_Products'!$A:$A, '04_Products'!$F:$F), 0)</f>
        <v/>
      </c>
      <c r="I920" s="9">
        <f>F920*G920</f>
        <v/>
      </c>
      <c r="J920" s="11" t="n">
        <v>0</v>
      </c>
      <c r="K920" s="9">
        <f>I920*J920</f>
        <v/>
      </c>
      <c r="L920" s="9">
        <f>I920-K920</f>
        <v/>
      </c>
      <c r="M920" s="9">
        <f>F920*H920</f>
        <v/>
      </c>
      <c r="N920" s="9">
        <f>L920-M920</f>
        <v/>
      </c>
      <c r="O920" s="11">
        <f>IFERROR(N920/L920, 0)</f>
        <v/>
      </c>
      <c r="P920" s="8">
        <f>YEAR(C920)</f>
        <v/>
      </c>
      <c r="Q920" s="8">
        <f>TEXT(C920, "yyyy-mm")</f>
        <v/>
      </c>
      <c r="R920" s="8" t="inlineStr">
        <is>
          <t>B2B Portal</t>
        </is>
      </c>
      <c r="S920" s="8" t="inlineStr">
        <is>
          <t>REG-NA</t>
        </is>
      </c>
    </row>
    <row r="921">
      <c r="A921" s="8" t="inlineStr">
        <is>
          <t>DTL-0000927</t>
        </is>
      </c>
      <c r="B921" s="8" t="inlineStr">
        <is>
          <t>ORD-000467</t>
        </is>
      </c>
      <c r="C921" s="10" t="inlineStr">
        <is>
          <t>2025-08-13</t>
        </is>
      </c>
      <c r="D921" s="8" t="inlineStr">
        <is>
          <t>CUST-06615</t>
        </is>
      </c>
      <c r="E921" s="8" t="inlineStr">
        <is>
          <t>PRD-0436</t>
        </is>
      </c>
      <c r="F921" s="8" t="n">
        <v>1</v>
      </c>
      <c r="G921" s="9">
        <f>IFERROR(XLOOKUP(E921, '04_Products'!$A:$A, '04_Products'!$G:$G), 325.02)</f>
        <v/>
      </c>
      <c r="H921" s="9">
        <f>IFERROR(XLOOKUP(E921, '04_Products'!$A:$A, '04_Products'!$F:$F), 0)</f>
        <v/>
      </c>
      <c r="I921" s="9">
        <f>F921*G921</f>
        <v/>
      </c>
      <c r="J921" s="11" t="n">
        <v>0.15</v>
      </c>
      <c r="K921" s="9">
        <f>I921*J921</f>
        <v/>
      </c>
      <c r="L921" s="9">
        <f>I921-K921</f>
        <v/>
      </c>
      <c r="M921" s="9">
        <f>F921*H921</f>
        <v/>
      </c>
      <c r="N921" s="9">
        <f>L921-M921</f>
        <v/>
      </c>
      <c r="O921" s="11">
        <f>IFERROR(N921/L921, 0)</f>
        <v/>
      </c>
      <c r="P921" s="8">
        <f>YEAR(C921)</f>
        <v/>
      </c>
      <c r="Q921" s="8">
        <f>TEXT(C921, "yyyy-mm")</f>
        <v/>
      </c>
      <c r="R921" s="8" t="inlineStr">
        <is>
          <t>Affiliate Partner</t>
        </is>
      </c>
      <c r="S921" s="8" t="inlineStr">
        <is>
          <t>REG-EU</t>
        </is>
      </c>
    </row>
    <row r="922">
      <c r="A922" s="8" t="inlineStr">
        <is>
          <t>DTL-0000928</t>
        </is>
      </c>
      <c r="B922" s="8" t="inlineStr">
        <is>
          <t>ORD-000467</t>
        </is>
      </c>
      <c r="C922" s="10" t="inlineStr">
        <is>
          <t>2025-08-13</t>
        </is>
      </c>
      <c r="D922" s="8" t="inlineStr">
        <is>
          <t>CUST-06615</t>
        </is>
      </c>
      <c r="E922" s="8" t="inlineStr">
        <is>
          <t>PRD-0439</t>
        </is>
      </c>
      <c r="F922" s="8" t="n">
        <v>1</v>
      </c>
      <c r="G922" s="9">
        <f>IFERROR(XLOOKUP(E922, '04_Products'!$A:$A, '04_Products'!$G:$G), 807.98)</f>
        <v/>
      </c>
      <c r="H922" s="9">
        <f>IFERROR(XLOOKUP(E922, '04_Products'!$A:$A, '04_Products'!$F:$F), 0)</f>
        <v/>
      </c>
      <c r="I922" s="9">
        <f>F922*G922</f>
        <v/>
      </c>
      <c r="J922" s="11" t="n">
        <v>0</v>
      </c>
      <c r="K922" s="9">
        <f>I922*J922</f>
        <v/>
      </c>
      <c r="L922" s="9">
        <f>I922-K922</f>
        <v/>
      </c>
      <c r="M922" s="9">
        <f>F922*H922</f>
        <v/>
      </c>
      <c r="N922" s="9">
        <f>L922-M922</f>
        <v/>
      </c>
      <c r="O922" s="11">
        <f>IFERROR(N922/L922, 0)</f>
        <v/>
      </c>
      <c r="P922" s="8">
        <f>YEAR(C922)</f>
        <v/>
      </c>
      <c r="Q922" s="8">
        <f>TEXT(C922, "yyyy-mm")</f>
        <v/>
      </c>
      <c r="R922" s="8" t="inlineStr">
        <is>
          <t>Affiliate Partner</t>
        </is>
      </c>
      <c r="S922" s="8" t="inlineStr">
        <is>
          <t>REG-EU</t>
        </is>
      </c>
    </row>
    <row r="923">
      <c r="A923" s="8" t="inlineStr">
        <is>
          <t>DTL-0000929</t>
        </is>
      </c>
      <c r="B923" s="8" t="inlineStr">
        <is>
          <t>ORD-000467</t>
        </is>
      </c>
      <c r="C923" s="10" t="inlineStr">
        <is>
          <t>2025-08-13</t>
        </is>
      </c>
      <c r="D923" s="8" t="inlineStr">
        <is>
          <t>CUST-06615</t>
        </is>
      </c>
      <c r="E923" s="8" t="inlineStr">
        <is>
          <t>PRD-0251</t>
        </is>
      </c>
      <c r="F923" s="8" t="n">
        <v>5</v>
      </c>
      <c r="G923" s="9">
        <f>IFERROR(XLOOKUP(E923, '04_Products'!$A:$A, '04_Products'!$G:$G), 314.05)</f>
        <v/>
      </c>
      <c r="H923" s="9">
        <f>IFERROR(XLOOKUP(E923, '04_Products'!$A:$A, '04_Products'!$F:$F), 0)</f>
        <v/>
      </c>
      <c r="I923" s="9">
        <f>F923*G923</f>
        <v/>
      </c>
      <c r="J923" s="11" t="n">
        <v>0</v>
      </c>
      <c r="K923" s="9">
        <f>I923*J923</f>
        <v/>
      </c>
      <c r="L923" s="9">
        <f>I923-K923</f>
        <v/>
      </c>
      <c r="M923" s="9">
        <f>F923*H923</f>
        <v/>
      </c>
      <c r="N923" s="9">
        <f>L923-M923</f>
        <v/>
      </c>
      <c r="O923" s="11">
        <f>IFERROR(N923/L923, 0)</f>
        <v/>
      </c>
      <c r="P923" s="8">
        <f>YEAR(C923)</f>
        <v/>
      </c>
      <c r="Q923" s="8">
        <f>TEXT(C923, "yyyy-mm")</f>
        <v/>
      </c>
      <c r="R923" s="8" t="inlineStr">
        <is>
          <t>Affiliate Partner</t>
        </is>
      </c>
      <c r="S923" s="8" t="inlineStr">
        <is>
          <t>REG-EU</t>
        </is>
      </c>
    </row>
    <row r="924">
      <c r="A924" s="8" t="inlineStr">
        <is>
          <t>DTL-0000930</t>
        </is>
      </c>
      <c r="B924" s="8" t="inlineStr">
        <is>
          <t>ORD-000468</t>
        </is>
      </c>
      <c r="C924" s="10" t="inlineStr">
        <is>
          <t>2024-12-08</t>
        </is>
      </c>
      <c r="D924" s="8" t="inlineStr">
        <is>
          <t>CUST-06362</t>
        </is>
      </c>
      <c r="E924" s="8" t="inlineStr">
        <is>
          <t>PRD-0155</t>
        </is>
      </c>
      <c r="F924" s="8" t="n">
        <v>2</v>
      </c>
      <c r="G924" s="9">
        <f>IFERROR(XLOOKUP(E924, '04_Products'!$A:$A, '04_Products'!$G:$G), 472.85)</f>
        <v/>
      </c>
      <c r="H924" s="9">
        <f>IFERROR(XLOOKUP(E924, '04_Products'!$A:$A, '04_Products'!$F:$F), 0)</f>
        <v/>
      </c>
      <c r="I924" s="9">
        <f>F924*G924</f>
        <v/>
      </c>
      <c r="J924" s="11" t="n">
        <v>0</v>
      </c>
      <c r="K924" s="9">
        <f>I924*J924</f>
        <v/>
      </c>
      <c r="L924" s="9">
        <f>I924-K924</f>
        <v/>
      </c>
      <c r="M924" s="9">
        <f>F924*H924</f>
        <v/>
      </c>
      <c r="N924" s="9">
        <f>L924-M924</f>
        <v/>
      </c>
      <c r="O924" s="11">
        <f>IFERROR(N924/L924, 0)</f>
        <v/>
      </c>
      <c r="P924" s="8">
        <f>YEAR(C924)</f>
        <v/>
      </c>
      <c r="Q924" s="8">
        <f>TEXT(C924, "yyyy-mm")</f>
        <v/>
      </c>
      <c r="R924" s="8" t="inlineStr">
        <is>
          <t>Affiliate Partner</t>
        </is>
      </c>
      <c r="S924" s="8" t="inlineStr">
        <is>
          <t>REG-APAC</t>
        </is>
      </c>
    </row>
    <row r="925">
      <c r="A925" s="8" t="inlineStr">
        <is>
          <t>DTL-0000931</t>
        </is>
      </c>
      <c r="B925" s="8" t="inlineStr">
        <is>
          <t>ORD-000469</t>
        </is>
      </c>
      <c r="C925" s="10" t="inlineStr">
        <is>
          <t>2024-05-15</t>
        </is>
      </c>
      <c r="D925" s="8" t="inlineStr">
        <is>
          <t>CUST-06333</t>
        </is>
      </c>
      <c r="E925" s="8" t="inlineStr">
        <is>
          <t>PRD-0248</t>
        </is>
      </c>
      <c r="F925" s="8" t="n">
        <v>1</v>
      </c>
      <c r="G925" s="9">
        <f>IFERROR(XLOOKUP(E925, '04_Products'!$A:$A, '04_Products'!$G:$G), 603.58)</f>
        <v/>
      </c>
      <c r="H925" s="9">
        <f>IFERROR(XLOOKUP(E925, '04_Products'!$A:$A, '04_Products'!$F:$F), 0)</f>
        <v/>
      </c>
      <c r="I925" s="9">
        <f>F925*G925</f>
        <v/>
      </c>
      <c r="J925" s="11" t="n">
        <v>0</v>
      </c>
      <c r="K925" s="9">
        <f>I925*J925</f>
        <v/>
      </c>
      <c r="L925" s="9">
        <f>I925-K925</f>
        <v/>
      </c>
      <c r="M925" s="9">
        <f>F925*H925</f>
        <v/>
      </c>
      <c r="N925" s="9">
        <f>L925-M925</f>
        <v/>
      </c>
      <c r="O925" s="11">
        <f>IFERROR(N925/L925, 0)</f>
        <v/>
      </c>
      <c r="P925" s="8">
        <f>YEAR(C925)</f>
        <v/>
      </c>
      <c r="Q925" s="8">
        <f>TEXT(C925, "yyyy-mm")</f>
        <v/>
      </c>
      <c r="R925" s="8" t="inlineStr">
        <is>
          <t>Mobile App</t>
        </is>
      </c>
      <c r="S925" s="8" t="inlineStr">
        <is>
          <t>REG-APAC</t>
        </is>
      </c>
    </row>
    <row r="926">
      <c r="A926" s="8" t="inlineStr">
        <is>
          <t>DTL-0000932</t>
        </is>
      </c>
      <c r="B926" s="8" t="inlineStr">
        <is>
          <t>ORD-000470</t>
        </is>
      </c>
      <c r="C926" s="10" t="inlineStr">
        <is>
          <t>2023-04-21</t>
        </is>
      </c>
      <c r="D926" s="8" t="inlineStr">
        <is>
          <t>CUST-00808</t>
        </is>
      </c>
      <c r="E926" s="8" t="inlineStr">
        <is>
          <t>PRD-0424</t>
        </is>
      </c>
      <c r="F926" s="8" t="n">
        <v>1</v>
      </c>
      <c r="G926" s="9">
        <f>IFERROR(XLOOKUP(E926, '04_Products'!$A:$A, '04_Products'!$G:$G), 268.72)</f>
        <v/>
      </c>
      <c r="H926" s="9">
        <f>IFERROR(XLOOKUP(E926, '04_Products'!$A:$A, '04_Products'!$F:$F), 0)</f>
        <v/>
      </c>
      <c r="I926" s="9">
        <f>F926*G926</f>
        <v/>
      </c>
      <c r="J926" s="11" t="n">
        <v>0</v>
      </c>
      <c r="K926" s="9">
        <f>I926*J926</f>
        <v/>
      </c>
      <c r="L926" s="9">
        <f>I926-K926</f>
        <v/>
      </c>
      <c r="M926" s="9">
        <f>F926*H926</f>
        <v/>
      </c>
      <c r="N926" s="9">
        <f>L926-M926</f>
        <v/>
      </c>
      <c r="O926" s="11">
        <f>IFERROR(N926/L926, 0)</f>
        <v/>
      </c>
      <c r="P926" s="8">
        <f>YEAR(C926)</f>
        <v/>
      </c>
      <c r="Q926" s="8">
        <f>TEXT(C926, "yyyy-mm")</f>
        <v/>
      </c>
      <c r="R926" s="8" t="inlineStr">
        <is>
          <t>Direct Web</t>
        </is>
      </c>
      <c r="S926" s="8" t="inlineStr">
        <is>
          <t>REG-NA</t>
        </is>
      </c>
    </row>
    <row r="927">
      <c r="A927" s="8" t="inlineStr">
        <is>
          <t>DTL-0000933</t>
        </is>
      </c>
      <c r="B927" s="8" t="inlineStr">
        <is>
          <t>ORD-000470</t>
        </is>
      </c>
      <c r="C927" s="10" t="inlineStr">
        <is>
          <t>2023-04-21</t>
        </is>
      </c>
      <c r="D927" s="8" t="inlineStr">
        <is>
          <t>CUST-00808</t>
        </is>
      </c>
      <c r="E927" s="8" t="inlineStr">
        <is>
          <t>PRD-0322</t>
        </is>
      </c>
      <c r="F927" s="8" t="n">
        <v>1</v>
      </c>
      <c r="G927" s="9">
        <f>IFERROR(XLOOKUP(E927, '04_Products'!$A:$A, '04_Products'!$G:$G), 1239.40)</f>
        <v/>
      </c>
      <c r="H927" s="9">
        <f>IFERROR(XLOOKUP(E927, '04_Products'!$A:$A, '04_Products'!$F:$F), 0)</f>
        <v/>
      </c>
      <c r="I927" s="9">
        <f>F927*G927</f>
        <v/>
      </c>
      <c r="J927" s="11" t="n">
        <v>0</v>
      </c>
      <c r="K927" s="9">
        <f>I927*J927</f>
        <v/>
      </c>
      <c r="L927" s="9">
        <f>I927-K927</f>
        <v/>
      </c>
      <c r="M927" s="9">
        <f>F927*H927</f>
        <v/>
      </c>
      <c r="N927" s="9">
        <f>L927-M927</f>
        <v/>
      </c>
      <c r="O927" s="11">
        <f>IFERROR(N927/L927, 0)</f>
        <v/>
      </c>
      <c r="P927" s="8">
        <f>YEAR(C927)</f>
        <v/>
      </c>
      <c r="Q927" s="8">
        <f>TEXT(C927, "yyyy-mm")</f>
        <v/>
      </c>
      <c r="R927" s="8" t="inlineStr">
        <is>
          <t>Direct Web</t>
        </is>
      </c>
      <c r="S927" s="8" t="inlineStr">
        <is>
          <t>REG-NA</t>
        </is>
      </c>
    </row>
    <row r="928">
      <c r="A928" s="8" t="inlineStr">
        <is>
          <t>DTL-0000934</t>
        </is>
      </c>
      <c r="B928" s="8" t="inlineStr">
        <is>
          <t>ORD-000470</t>
        </is>
      </c>
      <c r="C928" s="10" t="inlineStr">
        <is>
          <t>2023-04-21</t>
        </is>
      </c>
      <c r="D928" s="8" t="inlineStr">
        <is>
          <t>CUST-00808</t>
        </is>
      </c>
      <c r="E928" s="8" t="inlineStr">
        <is>
          <t>PRD-0058</t>
        </is>
      </c>
      <c r="F928" s="8" t="n">
        <v>1</v>
      </c>
      <c r="G928" s="9">
        <f>IFERROR(XLOOKUP(E928, '04_Products'!$A:$A, '04_Products'!$G:$G), 809.52)</f>
        <v/>
      </c>
      <c r="H928" s="9">
        <f>IFERROR(XLOOKUP(E928, '04_Products'!$A:$A, '04_Products'!$F:$F), 0)</f>
        <v/>
      </c>
      <c r="I928" s="9">
        <f>F928*G928</f>
        <v/>
      </c>
      <c r="J928" s="11" t="n">
        <v>0.2</v>
      </c>
      <c r="K928" s="9">
        <f>I928*J928</f>
        <v/>
      </c>
      <c r="L928" s="9">
        <f>I928-K928</f>
        <v/>
      </c>
      <c r="M928" s="9">
        <f>F928*H928</f>
        <v/>
      </c>
      <c r="N928" s="9">
        <f>L928-M928</f>
        <v/>
      </c>
      <c r="O928" s="11">
        <f>IFERROR(N928/L928, 0)</f>
        <v/>
      </c>
      <c r="P928" s="8">
        <f>YEAR(C928)</f>
        <v/>
      </c>
      <c r="Q928" s="8">
        <f>TEXT(C928, "yyyy-mm")</f>
        <v/>
      </c>
      <c r="R928" s="8" t="inlineStr">
        <is>
          <t>Direct Web</t>
        </is>
      </c>
      <c r="S928" s="8" t="inlineStr">
        <is>
          <t>REG-NA</t>
        </is>
      </c>
    </row>
    <row r="929">
      <c r="A929" s="8" t="inlineStr">
        <is>
          <t>DTL-0000935</t>
        </is>
      </c>
      <c r="B929" s="8" t="inlineStr">
        <is>
          <t>ORD-000471</t>
        </is>
      </c>
      <c r="C929" s="10" t="inlineStr">
        <is>
          <t>2024-09-14</t>
        </is>
      </c>
      <c r="D929" s="8" t="inlineStr">
        <is>
          <t>CUST-07726</t>
        </is>
      </c>
      <c r="E929" s="8" t="inlineStr">
        <is>
          <t>PRD-0449</t>
        </is>
      </c>
      <c r="F929" s="8" t="n">
        <v>1</v>
      </c>
      <c r="G929" s="9">
        <f>IFERROR(XLOOKUP(E929, '04_Products'!$A:$A, '04_Products'!$G:$G), 856.09)</f>
        <v/>
      </c>
      <c r="H929" s="9">
        <f>IFERROR(XLOOKUP(E929, '04_Products'!$A:$A, '04_Products'!$F:$F), 0)</f>
        <v/>
      </c>
      <c r="I929" s="9">
        <f>F929*G929</f>
        <v/>
      </c>
      <c r="J929" s="11" t="n">
        <v>0</v>
      </c>
      <c r="K929" s="9">
        <f>I929*J929</f>
        <v/>
      </c>
      <c r="L929" s="9">
        <f>I929-K929</f>
        <v/>
      </c>
      <c r="M929" s="9">
        <f>F929*H929</f>
        <v/>
      </c>
      <c r="N929" s="9">
        <f>L929-M929</f>
        <v/>
      </c>
      <c r="O929" s="11">
        <f>IFERROR(N929/L929, 0)</f>
        <v/>
      </c>
      <c r="P929" s="8">
        <f>YEAR(C929)</f>
        <v/>
      </c>
      <c r="Q929" s="8">
        <f>TEXT(C929, "yyyy-mm")</f>
        <v/>
      </c>
      <c r="R929" s="8" t="inlineStr">
        <is>
          <t>Mobile App</t>
        </is>
      </c>
      <c r="S929" s="8" t="inlineStr">
        <is>
          <t>REG-EU</t>
        </is>
      </c>
    </row>
    <row r="930">
      <c r="A930" s="8" t="inlineStr">
        <is>
          <t>DTL-0000936</t>
        </is>
      </c>
      <c r="B930" s="8" t="inlineStr">
        <is>
          <t>ORD-000472</t>
        </is>
      </c>
      <c r="C930" s="10" t="inlineStr">
        <is>
          <t>2025-09-11</t>
        </is>
      </c>
      <c r="D930" s="8" t="inlineStr">
        <is>
          <t>CUST-02640</t>
        </is>
      </c>
      <c r="E930" s="8" t="inlineStr">
        <is>
          <t>PRD-0296</t>
        </is>
      </c>
      <c r="F930" s="8" t="n">
        <v>1</v>
      </c>
      <c r="G930" s="9">
        <f>IFERROR(XLOOKUP(E930, '04_Products'!$A:$A, '04_Products'!$G:$G), 52.93)</f>
        <v/>
      </c>
      <c r="H930" s="9">
        <f>IFERROR(XLOOKUP(E930, '04_Products'!$A:$A, '04_Products'!$F:$F), 0)</f>
        <v/>
      </c>
      <c r="I930" s="9">
        <f>F930*G930</f>
        <v/>
      </c>
      <c r="J930" s="11" t="n">
        <v>0.1</v>
      </c>
      <c r="K930" s="9">
        <f>I930*J930</f>
        <v/>
      </c>
      <c r="L930" s="9">
        <f>I930-K930</f>
        <v/>
      </c>
      <c r="M930" s="9">
        <f>F930*H930</f>
        <v/>
      </c>
      <c r="N930" s="9">
        <f>L930-M930</f>
        <v/>
      </c>
      <c r="O930" s="11">
        <f>IFERROR(N930/L930, 0)</f>
        <v/>
      </c>
      <c r="P930" s="8">
        <f>YEAR(C930)</f>
        <v/>
      </c>
      <c r="Q930" s="8">
        <f>TEXT(C930, "yyyy-mm")</f>
        <v/>
      </c>
      <c r="R930" s="8" t="inlineStr">
        <is>
          <t>Direct Web</t>
        </is>
      </c>
      <c r="S930" s="8" t="inlineStr">
        <is>
          <t>REG-EU</t>
        </is>
      </c>
    </row>
    <row r="931">
      <c r="A931" s="8" t="inlineStr">
        <is>
          <t>DTL-0000937</t>
        </is>
      </c>
      <c r="B931" s="8" t="inlineStr">
        <is>
          <t>ORD-000472</t>
        </is>
      </c>
      <c r="C931" s="10" t="inlineStr">
        <is>
          <t>2025-09-11</t>
        </is>
      </c>
      <c r="D931" s="8" t="inlineStr">
        <is>
          <t>CUST-02640</t>
        </is>
      </c>
      <c r="E931" s="8" t="inlineStr">
        <is>
          <t>PRD-0038</t>
        </is>
      </c>
      <c r="F931" s="8" t="n">
        <v>3</v>
      </c>
      <c r="G931" s="9">
        <f>IFERROR(XLOOKUP(E931, '04_Products'!$A:$A, '04_Products'!$G:$G), 220.46)</f>
        <v/>
      </c>
      <c r="H931" s="9">
        <f>IFERROR(XLOOKUP(E931, '04_Products'!$A:$A, '04_Products'!$F:$F), 0)</f>
        <v/>
      </c>
      <c r="I931" s="9">
        <f>F931*G931</f>
        <v/>
      </c>
      <c r="J931" s="11" t="n">
        <v>0.2</v>
      </c>
      <c r="K931" s="9">
        <f>I931*J931</f>
        <v/>
      </c>
      <c r="L931" s="9">
        <f>I931-K931</f>
        <v/>
      </c>
      <c r="M931" s="9">
        <f>F931*H931</f>
        <v/>
      </c>
      <c r="N931" s="9">
        <f>L931-M931</f>
        <v/>
      </c>
      <c r="O931" s="11">
        <f>IFERROR(N931/L931, 0)</f>
        <v/>
      </c>
      <c r="P931" s="8">
        <f>YEAR(C931)</f>
        <v/>
      </c>
      <c r="Q931" s="8">
        <f>TEXT(C931, "yyyy-mm")</f>
        <v/>
      </c>
      <c r="R931" s="8" t="inlineStr">
        <is>
          <t>Direct Web</t>
        </is>
      </c>
      <c r="S931" s="8" t="inlineStr">
        <is>
          <t>REG-EU</t>
        </is>
      </c>
    </row>
    <row r="932">
      <c r="A932" s="8" t="inlineStr">
        <is>
          <t>DTL-0000938</t>
        </is>
      </c>
      <c r="B932" s="8" t="inlineStr">
        <is>
          <t>ORD-000473</t>
        </is>
      </c>
      <c r="C932" s="10" t="inlineStr">
        <is>
          <t>2023-11-08</t>
        </is>
      </c>
      <c r="D932" s="8" t="inlineStr">
        <is>
          <t>CUST-03517</t>
        </is>
      </c>
      <c r="E932" s="8" t="inlineStr">
        <is>
          <t>PRD-0013</t>
        </is>
      </c>
      <c r="F932" s="8" t="n">
        <v>1</v>
      </c>
      <c r="G932" s="9">
        <f>IFERROR(XLOOKUP(E932, '04_Products'!$A:$A, '04_Products'!$G:$G), 990.85)</f>
        <v/>
      </c>
      <c r="H932" s="9">
        <f>IFERROR(XLOOKUP(E932, '04_Products'!$A:$A, '04_Products'!$F:$F), 0)</f>
        <v/>
      </c>
      <c r="I932" s="9">
        <f>F932*G932</f>
        <v/>
      </c>
      <c r="J932" s="11" t="n">
        <v>0</v>
      </c>
      <c r="K932" s="9">
        <f>I932*J932</f>
        <v/>
      </c>
      <c r="L932" s="9">
        <f>I932-K932</f>
        <v/>
      </c>
      <c r="M932" s="9">
        <f>F932*H932</f>
        <v/>
      </c>
      <c r="N932" s="9">
        <f>L932-M932</f>
        <v/>
      </c>
      <c r="O932" s="11">
        <f>IFERROR(N932/L932, 0)</f>
        <v/>
      </c>
      <c r="P932" s="8">
        <f>YEAR(C932)</f>
        <v/>
      </c>
      <c r="Q932" s="8">
        <f>TEXT(C932, "yyyy-mm")</f>
        <v/>
      </c>
      <c r="R932" s="8" t="inlineStr">
        <is>
          <t>Mobile App</t>
        </is>
      </c>
      <c r="S932" s="8" t="inlineStr">
        <is>
          <t>REG-NA</t>
        </is>
      </c>
    </row>
    <row r="933">
      <c r="A933" s="8" t="inlineStr">
        <is>
          <t>DTL-0000939</t>
        </is>
      </c>
      <c r="B933" s="8" t="inlineStr">
        <is>
          <t>ORD-000474</t>
        </is>
      </c>
      <c r="C933" s="10" t="inlineStr">
        <is>
          <t>2025-10-07</t>
        </is>
      </c>
      <c r="D933" s="8" t="inlineStr">
        <is>
          <t>CUST-03306</t>
        </is>
      </c>
      <c r="E933" s="8" t="inlineStr">
        <is>
          <t>PRD-0202</t>
        </is>
      </c>
      <c r="F933" s="8" t="n">
        <v>2</v>
      </c>
      <c r="G933" s="9">
        <f>IFERROR(XLOOKUP(E933, '04_Products'!$A:$A, '04_Products'!$G:$G), 43.87)</f>
        <v/>
      </c>
      <c r="H933" s="9">
        <f>IFERROR(XLOOKUP(E933, '04_Products'!$A:$A, '04_Products'!$F:$F), 0)</f>
        <v/>
      </c>
      <c r="I933" s="9">
        <f>F933*G933</f>
        <v/>
      </c>
      <c r="J933" s="11" t="n">
        <v>0.15</v>
      </c>
      <c r="K933" s="9">
        <f>I933*J933</f>
        <v/>
      </c>
      <c r="L933" s="9">
        <f>I933-K933</f>
        <v/>
      </c>
      <c r="M933" s="9">
        <f>F933*H933</f>
        <v/>
      </c>
      <c r="N933" s="9">
        <f>L933-M933</f>
        <v/>
      </c>
      <c r="O933" s="11">
        <f>IFERROR(N933/L933, 0)</f>
        <v/>
      </c>
      <c r="P933" s="8">
        <f>YEAR(C933)</f>
        <v/>
      </c>
      <c r="Q933" s="8">
        <f>TEXT(C933, "yyyy-mm")</f>
        <v/>
      </c>
      <c r="R933" s="8" t="inlineStr">
        <is>
          <t>Mobile App</t>
        </is>
      </c>
      <c r="S933" s="8" t="inlineStr">
        <is>
          <t>REG-NA</t>
        </is>
      </c>
    </row>
    <row r="934">
      <c r="A934" s="8" t="inlineStr">
        <is>
          <t>DTL-0000940</t>
        </is>
      </c>
      <c r="B934" s="8" t="inlineStr">
        <is>
          <t>ORD-000475</t>
        </is>
      </c>
      <c r="C934" s="10" t="inlineStr">
        <is>
          <t>2023-09-21</t>
        </is>
      </c>
      <c r="D934" s="8" t="inlineStr">
        <is>
          <t>CUST-07461</t>
        </is>
      </c>
      <c r="E934" s="8" t="inlineStr">
        <is>
          <t>PRD-0451</t>
        </is>
      </c>
      <c r="F934" s="8" t="n">
        <v>2</v>
      </c>
      <c r="G934" s="9">
        <f>IFERROR(XLOOKUP(E934, '04_Products'!$A:$A, '04_Products'!$G:$G), 664.94)</f>
        <v/>
      </c>
      <c r="H934" s="9">
        <f>IFERROR(XLOOKUP(E934, '04_Products'!$A:$A, '04_Products'!$F:$F), 0)</f>
        <v/>
      </c>
      <c r="I934" s="9">
        <f>F934*G934</f>
        <v/>
      </c>
      <c r="J934" s="11" t="n">
        <v>0.05</v>
      </c>
      <c r="K934" s="9">
        <f>I934*J934</f>
        <v/>
      </c>
      <c r="L934" s="9">
        <f>I934-K934</f>
        <v/>
      </c>
      <c r="M934" s="9">
        <f>F934*H934</f>
        <v/>
      </c>
      <c r="N934" s="9">
        <f>L934-M934</f>
        <v/>
      </c>
      <c r="O934" s="11">
        <f>IFERROR(N934/L934, 0)</f>
        <v/>
      </c>
      <c r="P934" s="8">
        <f>YEAR(C934)</f>
        <v/>
      </c>
      <c r="Q934" s="8">
        <f>TEXT(C934, "yyyy-mm")</f>
        <v/>
      </c>
      <c r="R934" s="8" t="inlineStr">
        <is>
          <t>Direct Web</t>
        </is>
      </c>
      <c r="S934" s="8" t="inlineStr">
        <is>
          <t>REG-EU</t>
        </is>
      </c>
    </row>
    <row r="935">
      <c r="A935" s="8" t="inlineStr">
        <is>
          <t>DTL-0000941</t>
        </is>
      </c>
      <c r="B935" s="8" t="inlineStr">
        <is>
          <t>ORD-000476</t>
        </is>
      </c>
      <c r="C935" s="10" t="inlineStr">
        <is>
          <t>2025-08-31</t>
        </is>
      </c>
      <c r="D935" s="8" t="inlineStr">
        <is>
          <t>CUST-01996</t>
        </is>
      </c>
      <c r="E935" s="8" t="inlineStr">
        <is>
          <t>PRD-0407</t>
        </is>
      </c>
      <c r="F935" s="8" t="n">
        <v>2</v>
      </c>
      <c r="G935" s="9">
        <f>IFERROR(XLOOKUP(E935, '04_Products'!$A:$A, '04_Products'!$G:$G), 515.93)</f>
        <v/>
      </c>
      <c r="H935" s="9">
        <f>IFERROR(XLOOKUP(E935, '04_Products'!$A:$A, '04_Products'!$F:$F), 0)</f>
        <v/>
      </c>
      <c r="I935" s="9">
        <f>F935*G935</f>
        <v/>
      </c>
      <c r="J935" s="11" t="n">
        <v>0</v>
      </c>
      <c r="K935" s="9">
        <f>I935*J935</f>
        <v/>
      </c>
      <c r="L935" s="9">
        <f>I935-K935</f>
        <v/>
      </c>
      <c r="M935" s="9">
        <f>F935*H935</f>
        <v/>
      </c>
      <c r="N935" s="9">
        <f>L935-M935</f>
        <v/>
      </c>
      <c r="O935" s="11">
        <f>IFERROR(N935/L935, 0)</f>
        <v/>
      </c>
      <c r="P935" s="8">
        <f>YEAR(C935)</f>
        <v/>
      </c>
      <c r="Q935" s="8">
        <f>TEXT(C935, "yyyy-mm")</f>
        <v/>
      </c>
      <c r="R935" s="8" t="inlineStr">
        <is>
          <t>Mobile App</t>
        </is>
      </c>
      <c r="S935" s="8" t="inlineStr">
        <is>
          <t>REG-NA</t>
        </is>
      </c>
    </row>
    <row r="936">
      <c r="A936" s="8" t="inlineStr">
        <is>
          <t>DTL-0000942</t>
        </is>
      </c>
      <c r="B936" s="8" t="inlineStr">
        <is>
          <t>ORD-000476</t>
        </is>
      </c>
      <c r="C936" s="10" t="inlineStr">
        <is>
          <t>2025-08-31</t>
        </is>
      </c>
      <c r="D936" s="8" t="inlineStr">
        <is>
          <t>CUST-01996</t>
        </is>
      </c>
      <c r="E936" s="8" t="inlineStr">
        <is>
          <t>PRD-0380</t>
        </is>
      </c>
      <c r="F936" s="8" t="n">
        <v>3</v>
      </c>
      <c r="G936" s="9">
        <f>IFERROR(XLOOKUP(E936, '04_Products'!$A:$A, '04_Products'!$G:$G), 141.11)</f>
        <v/>
      </c>
      <c r="H936" s="9">
        <f>IFERROR(XLOOKUP(E936, '04_Products'!$A:$A, '04_Products'!$F:$F), 0)</f>
        <v/>
      </c>
      <c r="I936" s="9">
        <f>F936*G936</f>
        <v/>
      </c>
      <c r="J936" s="11" t="n">
        <v>0.05</v>
      </c>
      <c r="K936" s="9">
        <f>I936*J936</f>
        <v/>
      </c>
      <c r="L936" s="9">
        <f>I936-K936</f>
        <v/>
      </c>
      <c r="M936" s="9">
        <f>F936*H936</f>
        <v/>
      </c>
      <c r="N936" s="9">
        <f>L936-M936</f>
        <v/>
      </c>
      <c r="O936" s="11">
        <f>IFERROR(N936/L936, 0)</f>
        <v/>
      </c>
      <c r="P936" s="8">
        <f>YEAR(C936)</f>
        <v/>
      </c>
      <c r="Q936" s="8">
        <f>TEXT(C936, "yyyy-mm")</f>
        <v/>
      </c>
      <c r="R936" s="8" t="inlineStr">
        <is>
          <t>Mobile App</t>
        </is>
      </c>
      <c r="S936" s="8" t="inlineStr">
        <is>
          <t>REG-NA</t>
        </is>
      </c>
    </row>
    <row r="937">
      <c r="A937" s="8" t="inlineStr">
        <is>
          <t>DTL-0000943</t>
        </is>
      </c>
      <c r="B937" s="8" t="inlineStr">
        <is>
          <t>ORD-000476</t>
        </is>
      </c>
      <c r="C937" s="10" t="inlineStr">
        <is>
          <t>2025-08-31</t>
        </is>
      </c>
      <c r="D937" s="8" t="inlineStr">
        <is>
          <t>CUST-01996</t>
        </is>
      </c>
      <c r="E937" s="8" t="inlineStr">
        <is>
          <t>PRD-0354</t>
        </is>
      </c>
      <c r="F937" s="8" t="n">
        <v>3</v>
      </c>
      <c r="G937" s="9">
        <f>IFERROR(XLOOKUP(E937, '04_Products'!$A:$A, '04_Products'!$G:$G), 70.99)</f>
        <v/>
      </c>
      <c r="H937" s="9">
        <f>IFERROR(XLOOKUP(E937, '04_Products'!$A:$A, '04_Products'!$F:$F), 0)</f>
        <v/>
      </c>
      <c r="I937" s="9">
        <f>F937*G937</f>
        <v/>
      </c>
      <c r="J937" s="11" t="n">
        <v>0</v>
      </c>
      <c r="K937" s="9">
        <f>I937*J937</f>
        <v/>
      </c>
      <c r="L937" s="9">
        <f>I937-K937</f>
        <v/>
      </c>
      <c r="M937" s="9">
        <f>F937*H937</f>
        <v/>
      </c>
      <c r="N937" s="9">
        <f>L937-M937</f>
        <v/>
      </c>
      <c r="O937" s="11">
        <f>IFERROR(N937/L937, 0)</f>
        <v/>
      </c>
      <c r="P937" s="8">
        <f>YEAR(C937)</f>
        <v/>
      </c>
      <c r="Q937" s="8">
        <f>TEXT(C937, "yyyy-mm")</f>
        <v/>
      </c>
      <c r="R937" s="8" t="inlineStr">
        <is>
          <t>Mobile App</t>
        </is>
      </c>
      <c r="S937" s="8" t="inlineStr">
        <is>
          <t>REG-NA</t>
        </is>
      </c>
    </row>
    <row r="938">
      <c r="A938" s="8" t="inlineStr">
        <is>
          <t>DTL-0000944</t>
        </is>
      </c>
      <c r="B938" s="8" t="inlineStr">
        <is>
          <t>ORD-000476</t>
        </is>
      </c>
      <c r="C938" s="10" t="inlineStr">
        <is>
          <t>2025-08-31</t>
        </is>
      </c>
      <c r="D938" s="8" t="inlineStr">
        <is>
          <t>CUST-01996</t>
        </is>
      </c>
      <c r="E938" s="8" t="inlineStr">
        <is>
          <t>PRD-0203</t>
        </is>
      </c>
      <c r="F938" s="8" t="n">
        <v>2</v>
      </c>
      <c r="G938" s="9">
        <f>IFERROR(XLOOKUP(E938, '04_Products'!$A:$A, '04_Products'!$G:$G), 991.36)</f>
        <v/>
      </c>
      <c r="H938" s="9">
        <f>IFERROR(XLOOKUP(E938, '04_Products'!$A:$A, '04_Products'!$F:$F), 0)</f>
        <v/>
      </c>
      <c r="I938" s="9">
        <f>F938*G938</f>
        <v/>
      </c>
      <c r="J938" s="11" t="n">
        <v>0.05</v>
      </c>
      <c r="K938" s="9">
        <f>I938*J938</f>
        <v/>
      </c>
      <c r="L938" s="9">
        <f>I938-K938</f>
        <v/>
      </c>
      <c r="M938" s="9">
        <f>F938*H938</f>
        <v/>
      </c>
      <c r="N938" s="9">
        <f>L938-M938</f>
        <v/>
      </c>
      <c r="O938" s="11">
        <f>IFERROR(N938/L938, 0)</f>
        <v/>
      </c>
      <c r="P938" s="8">
        <f>YEAR(C938)</f>
        <v/>
      </c>
      <c r="Q938" s="8">
        <f>TEXT(C938, "yyyy-mm")</f>
        <v/>
      </c>
      <c r="R938" s="8" t="inlineStr">
        <is>
          <t>Mobile App</t>
        </is>
      </c>
      <c r="S938" s="8" t="inlineStr">
        <is>
          <t>REG-NA</t>
        </is>
      </c>
    </row>
    <row r="939">
      <c r="A939" s="8" t="inlineStr">
        <is>
          <t>DTL-0000945</t>
        </is>
      </c>
      <c r="B939" s="8" t="inlineStr">
        <is>
          <t>ORD-000476</t>
        </is>
      </c>
      <c r="C939" s="10" t="inlineStr">
        <is>
          <t>2025-08-31</t>
        </is>
      </c>
      <c r="D939" s="8" t="inlineStr">
        <is>
          <t>CUST-01996</t>
        </is>
      </c>
      <c r="E939" s="8" t="inlineStr">
        <is>
          <t>PRD-0136</t>
        </is>
      </c>
      <c r="F939" s="8" t="n">
        <v>1</v>
      </c>
      <c r="G939" s="9">
        <f>IFERROR(XLOOKUP(E939, '04_Products'!$A:$A, '04_Products'!$G:$G), 12.16)</f>
        <v/>
      </c>
      <c r="H939" s="9">
        <f>IFERROR(XLOOKUP(E939, '04_Products'!$A:$A, '04_Products'!$F:$F), 0)</f>
        <v/>
      </c>
      <c r="I939" s="9">
        <f>F939*G939</f>
        <v/>
      </c>
      <c r="J939" s="11" t="n">
        <v>0.05</v>
      </c>
      <c r="K939" s="9">
        <f>I939*J939</f>
        <v/>
      </c>
      <c r="L939" s="9">
        <f>I939-K939</f>
        <v/>
      </c>
      <c r="M939" s="9">
        <f>F939*H939</f>
        <v/>
      </c>
      <c r="N939" s="9">
        <f>L939-M939</f>
        <v/>
      </c>
      <c r="O939" s="11">
        <f>IFERROR(N939/L939, 0)</f>
        <v/>
      </c>
      <c r="P939" s="8">
        <f>YEAR(C939)</f>
        <v/>
      </c>
      <c r="Q939" s="8">
        <f>TEXT(C939, "yyyy-mm")</f>
        <v/>
      </c>
      <c r="R939" s="8" t="inlineStr">
        <is>
          <t>Mobile App</t>
        </is>
      </c>
      <c r="S939" s="8" t="inlineStr">
        <is>
          <t>REG-NA</t>
        </is>
      </c>
    </row>
    <row r="940">
      <c r="A940" s="8" t="inlineStr">
        <is>
          <t>DTL-0000946</t>
        </is>
      </c>
      <c r="B940" s="8" t="inlineStr">
        <is>
          <t>ORD-000477</t>
        </is>
      </c>
      <c r="C940" s="10" t="inlineStr">
        <is>
          <t>2023-10-03</t>
        </is>
      </c>
      <c r="D940" s="8" t="inlineStr">
        <is>
          <t>CUST-04353</t>
        </is>
      </c>
      <c r="E940" s="8" t="inlineStr">
        <is>
          <t>PRD-0386</t>
        </is>
      </c>
      <c r="F940" s="8" t="n">
        <v>3</v>
      </c>
      <c r="G940" s="9">
        <f>IFERROR(XLOOKUP(E940, '04_Products'!$A:$A, '04_Products'!$G:$G), 339.98)</f>
        <v/>
      </c>
      <c r="H940" s="9">
        <f>IFERROR(XLOOKUP(E940, '04_Products'!$A:$A, '04_Products'!$F:$F), 0)</f>
        <v/>
      </c>
      <c r="I940" s="9">
        <f>F940*G940</f>
        <v/>
      </c>
      <c r="J940" s="11" t="n">
        <v>0.05</v>
      </c>
      <c r="K940" s="9">
        <f>I940*J940</f>
        <v/>
      </c>
      <c r="L940" s="9">
        <f>I940-K940</f>
        <v/>
      </c>
      <c r="M940" s="9">
        <f>F940*H940</f>
        <v/>
      </c>
      <c r="N940" s="9">
        <f>L940-M940</f>
        <v/>
      </c>
      <c r="O940" s="11">
        <f>IFERROR(N940/L940, 0)</f>
        <v/>
      </c>
      <c r="P940" s="8">
        <f>YEAR(C940)</f>
        <v/>
      </c>
      <c r="Q940" s="8">
        <f>TEXT(C940, "yyyy-mm")</f>
        <v/>
      </c>
      <c r="R940" s="8" t="inlineStr">
        <is>
          <t>Direct Web</t>
        </is>
      </c>
      <c r="S940" s="8" t="inlineStr">
        <is>
          <t>REG-APAC</t>
        </is>
      </c>
    </row>
    <row r="941">
      <c r="A941" s="8" t="inlineStr">
        <is>
          <t>DTL-0000947</t>
        </is>
      </c>
      <c r="B941" s="8" t="inlineStr">
        <is>
          <t>ORD-000478</t>
        </is>
      </c>
      <c r="C941" s="10" t="inlineStr">
        <is>
          <t>2024-03-02</t>
        </is>
      </c>
      <c r="D941" s="8" t="inlineStr">
        <is>
          <t>CUST-03540</t>
        </is>
      </c>
      <c r="E941" s="8" t="inlineStr">
        <is>
          <t>PRD-0234</t>
        </is>
      </c>
      <c r="F941" s="8" t="n">
        <v>2</v>
      </c>
      <c r="G941" s="9">
        <f>IFERROR(XLOOKUP(E941, '04_Products'!$A:$A, '04_Products'!$G:$G), 608.75)</f>
        <v/>
      </c>
      <c r="H941" s="9">
        <f>IFERROR(XLOOKUP(E941, '04_Products'!$A:$A, '04_Products'!$F:$F), 0)</f>
        <v/>
      </c>
      <c r="I941" s="9">
        <f>F941*G941</f>
        <v/>
      </c>
      <c r="J941" s="11" t="n">
        <v>0.1</v>
      </c>
      <c r="K941" s="9">
        <f>I941*J941</f>
        <v/>
      </c>
      <c r="L941" s="9">
        <f>I941-K941</f>
        <v/>
      </c>
      <c r="M941" s="9">
        <f>F941*H941</f>
        <v/>
      </c>
      <c r="N941" s="9">
        <f>L941-M941</f>
        <v/>
      </c>
      <c r="O941" s="11">
        <f>IFERROR(N941/L941, 0)</f>
        <v/>
      </c>
      <c r="P941" s="8">
        <f>YEAR(C941)</f>
        <v/>
      </c>
      <c r="Q941" s="8">
        <f>TEXT(C941, "yyyy-mm")</f>
        <v/>
      </c>
      <c r="R941" s="8" t="inlineStr">
        <is>
          <t>Direct Web</t>
        </is>
      </c>
      <c r="S941" s="8" t="inlineStr">
        <is>
          <t>REG-EU</t>
        </is>
      </c>
    </row>
    <row r="942">
      <c r="A942" s="8" t="inlineStr">
        <is>
          <t>DTL-0000948</t>
        </is>
      </c>
      <c r="B942" s="8" t="inlineStr">
        <is>
          <t>ORD-000478</t>
        </is>
      </c>
      <c r="C942" s="10" t="inlineStr">
        <is>
          <t>2024-03-02</t>
        </is>
      </c>
      <c r="D942" s="8" t="inlineStr">
        <is>
          <t>CUST-03540</t>
        </is>
      </c>
      <c r="E942" s="8" t="inlineStr">
        <is>
          <t>PRD-0088</t>
        </is>
      </c>
      <c r="F942" s="8" t="n">
        <v>2</v>
      </c>
      <c r="G942" s="9">
        <f>IFERROR(XLOOKUP(E942, '04_Products'!$A:$A, '04_Products'!$G:$G), 952.03)</f>
        <v/>
      </c>
      <c r="H942" s="9">
        <f>IFERROR(XLOOKUP(E942, '04_Products'!$A:$A, '04_Products'!$F:$F), 0)</f>
        <v/>
      </c>
      <c r="I942" s="9">
        <f>F942*G942</f>
        <v/>
      </c>
      <c r="J942" s="11" t="n">
        <v>0</v>
      </c>
      <c r="K942" s="9">
        <f>I942*J942</f>
        <v/>
      </c>
      <c r="L942" s="9">
        <f>I942-K942</f>
        <v/>
      </c>
      <c r="M942" s="9">
        <f>F942*H942</f>
        <v/>
      </c>
      <c r="N942" s="9">
        <f>L942-M942</f>
        <v/>
      </c>
      <c r="O942" s="11">
        <f>IFERROR(N942/L942, 0)</f>
        <v/>
      </c>
      <c r="P942" s="8">
        <f>YEAR(C942)</f>
        <v/>
      </c>
      <c r="Q942" s="8">
        <f>TEXT(C942, "yyyy-mm")</f>
        <v/>
      </c>
      <c r="R942" s="8" t="inlineStr">
        <is>
          <t>Direct Web</t>
        </is>
      </c>
      <c r="S942" s="8" t="inlineStr">
        <is>
          <t>REG-EU</t>
        </is>
      </c>
    </row>
    <row r="943">
      <c r="A943" s="8" t="inlineStr">
        <is>
          <t>DTL-0000949</t>
        </is>
      </c>
      <c r="B943" s="8" t="inlineStr">
        <is>
          <t>ORD-000478</t>
        </is>
      </c>
      <c r="C943" s="10" t="inlineStr">
        <is>
          <t>2024-03-02</t>
        </is>
      </c>
      <c r="D943" s="8" t="inlineStr">
        <is>
          <t>CUST-03540</t>
        </is>
      </c>
      <c r="E943" s="8" t="inlineStr">
        <is>
          <t>PRD-0244</t>
        </is>
      </c>
      <c r="F943" s="8" t="n">
        <v>1</v>
      </c>
      <c r="G943" s="9">
        <f>IFERROR(XLOOKUP(E943, '04_Products'!$A:$A, '04_Products'!$G:$G), 395.39)</f>
        <v/>
      </c>
      <c r="H943" s="9">
        <f>IFERROR(XLOOKUP(E943, '04_Products'!$A:$A, '04_Products'!$F:$F), 0)</f>
        <v/>
      </c>
      <c r="I943" s="9">
        <f>F943*G943</f>
        <v/>
      </c>
      <c r="J943" s="11" t="n">
        <v>0.1</v>
      </c>
      <c r="K943" s="9">
        <f>I943*J943</f>
        <v/>
      </c>
      <c r="L943" s="9">
        <f>I943-K943</f>
        <v/>
      </c>
      <c r="M943" s="9">
        <f>F943*H943</f>
        <v/>
      </c>
      <c r="N943" s="9">
        <f>L943-M943</f>
        <v/>
      </c>
      <c r="O943" s="11">
        <f>IFERROR(N943/L943, 0)</f>
        <v/>
      </c>
      <c r="P943" s="8">
        <f>YEAR(C943)</f>
        <v/>
      </c>
      <c r="Q943" s="8">
        <f>TEXT(C943, "yyyy-mm")</f>
        <v/>
      </c>
      <c r="R943" s="8" t="inlineStr">
        <is>
          <t>Direct Web</t>
        </is>
      </c>
      <c r="S943" s="8" t="inlineStr">
        <is>
          <t>REG-EU</t>
        </is>
      </c>
    </row>
    <row r="944">
      <c r="A944" s="8" t="inlineStr">
        <is>
          <t>DTL-0000950</t>
        </is>
      </c>
      <c r="B944" s="8" t="inlineStr">
        <is>
          <t>ORD-000478</t>
        </is>
      </c>
      <c r="C944" s="10" t="inlineStr">
        <is>
          <t>2024-03-02</t>
        </is>
      </c>
      <c r="D944" s="8" t="inlineStr">
        <is>
          <t>CUST-03540</t>
        </is>
      </c>
      <c r="E944" s="8" t="inlineStr">
        <is>
          <t>PRD-0105</t>
        </is>
      </c>
      <c r="F944" s="8" t="n">
        <v>1</v>
      </c>
      <c r="G944" s="9">
        <f>IFERROR(XLOOKUP(E944, '04_Products'!$A:$A, '04_Products'!$G:$G), 39.83)</f>
        <v/>
      </c>
      <c r="H944" s="9">
        <f>IFERROR(XLOOKUP(E944, '04_Products'!$A:$A, '04_Products'!$F:$F), 0)</f>
        <v/>
      </c>
      <c r="I944" s="9">
        <f>F944*G944</f>
        <v/>
      </c>
      <c r="J944" s="11" t="n">
        <v>0</v>
      </c>
      <c r="K944" s="9">
        <f>I944*J944</f>
        <v/>
      </c>
      <c r="L944" s="9">
        <f>I944-K944</f>
        <v/>
      </c>
      <c r="M944" s="9">
        <f>F944*H944</f>
        <v/>
      </c>
      <c r="N944" s="9">
        <f>L944-M944</f>
        <v/>
      </c>
      <c r="O944" s="11">
        <f>IFERROR(N944/L944, 0)</f>
        <v/>
      </c>
      <c r="P944" s="8">
        <f>YEAR(C944)</f>
        <v/>
      </c>
      <c r="Q944" s="8">
        <f>TEXT(C944, "yyyy-mm")</f>
        <v/>
      </c>
      <c r="R944" s="8" t="inlineStr">
        <is>
          <t>Direct Web</t>
        </is>
      </c>
      <c r="S944" s="8" t="inlineStr">
        <is>
          <t>REG-EU</t>
        </is>
      </c>
    </row>
    <row r="945">
      <c r="A945" s="8" t="inlineStr">
        <is>
          <t>DTL-0000951</t>
        </is>
      </c>
      <c r="B945" s="8" t="inlineStr">
        <is>
          <t>ORD-000478</t>
        </is>
      </c>
      <c r="C945" s="10" t="inlineStr">
        <is>
          <t>2024-03-02</t>
        </is>
      </c>
      <c r="D945" s="8" t="inlineStr">
        <is>
          <t>CUST-03540</t>
        </is>
      </c>
      <c r="E945" s="8" t="inlineStr">
        <is>
          <t>PRD-0257</t>
        </is>
      </c>
      <c r="F945" s="8" t="n">
        <v>1</v>
      </c>
      <c r="G945" s="9">
        <f>IFERROR(XLOOKUP(E945, '04_Products'!$A:$A, '04_Products'!$G:$G), 31.28)</f>
        <v/>
      </c>
      <c r="H945" s="9">
        <f>IFERROR(XLOOKUP(E945, '04_Products'!$A:$A, '04_Products'!$F:$F), 0)</f>
        <v/>
      </c>
      <c r="I945" s="9">
        <f>F945*G945</f>
        <v/>
      </c>
      <c r="J945" s="11" t="n">
        <v>0.05</v>
      </c>
      <c r="K945" s="9">
        <f>I945*J945</f>
        <v/>
      </c>
      <c r="L945" s="9">
        <f>I945-K945</f>
        <v/>
      </c>
      <c r="M945" s="9">
        <f>F945*H945</f>
        <v/>
      </c>
      <c r="N945" s="9">
        <f>L945-M945</f>
        <v/>
      </c>
      <c r="O945" s="11">
        <f>IFERROR(N945/L945, 0)</f>
        <v/>
      </c>
      <c r="P945" s="8">
        <f>YEAR(C945)</f>
        <v/>
      </c>
      <c r="Q945" s="8">
        <f>TEXT(C945, "yyyy-mm")</f>
        <v/>
      </c>
      <c r="R945" s="8" t="inlineStr">
        <is>
          <t>Direct Web</t>
        </is>
      </c>
      <c r="S945" s="8" t="inlineStr">
        <is>
          <t>REG-EU</t>
        </is>
      </c>
    </row>
    <row r="946">
      <c r="A946" s="8" t="inlineStr">
        <is>
          <t>DTL-0000952</t>
        </is>
      </c>
      <c r="B946" s="8" t="inlineStr">
        <is>
          <t>ORD-000479</t>
        </is>
      </c>
      <c r="C946" s="10" t="inlineStr">
        <is>
          <t>2024-07-09</t>
        </is>
      </c>
      <c r="D946" s="8" t="inlineStr">
        <is>
          <t>CUST-02872</t>
        </is>
      </c>
      <c r="E946" s="8" t="inlineStr">
        <is>
          <t>PRD-0193</t>
        </is>
      </c>
      <c r="F946" s="8" t="n">
        <v>1</v>
      </c>
      <c r="G946" s="9">
        <f>IFERROR(XLOOKUP(E946, '04_Products'!$A:$A, '04_Products'!$G:$G), 791.50)</f>
        <v/>
      </c>
      <c r="H946" s="9">
        <f>IFERROR(XLOOKUP(E946, '04_Products'!$A:$A, '04_Products'!$F:$F), 0)</f>
        <v/>
      </c>
      <c r="I946" s="9">
        <f>F946*G946</f>
        <v/>
      </c>
      <c r="J946" s="11" t="n">
        <v>0</v>
      </c>
      <c r="K946" s="9">
        <f>I946*J946</f>
        <v/>
      </c>
      <c r="L946" s="9">
        <f>I946-K946</f>
        <v/>
      </c>
      <c r="M946" s="9">
        <f>F946*H946</f>
        <v/>
      </c>
      <c r="N946" s="9">
        <f>L946-M946</f>
        <v/>
      </c>
      <c r="O946" s="11">
        <f>IFERROR(N946/L946, 0)</f>
        <v/>
      </c>
      <c r="P946" s="8">
        <f>YEAR(C946)</f>
        <v/>
      </c>
      <c r="Q946" s="8">
        <f>TEXT(C946, "yyyy-mm")</f>
        <v/>
      </c>
      <c r="R946" s="8" t="inlineStr">
        <is>
          <t>Direct Web</t>
        </is>
      </c>
      <c r="S946" s="8" t="inlineStr">
        <is>
          <t>REG-LATAM</t>
        </is>
      </c>
    </row>
    <row r="947">
      <c r="A947" s="8" t="inlineStr">
        <is>
          <t>DTL-0000953</t>
        </is>
      </c>
      <c r="B947" s="8" t="inlineStr">
        <is>
          <t>ORD-000480</t>
        </is>
      </c>
      <c r="C947" s="10" t="inlineStr">
        <is>
          <t>2025-12-11</t>
        </is>
      </c>
      <c r="D947" s="8" t="inlineStr">
        <is>
          <t>CUST-00029</t>
        </is>
      </c>
      <c r="E947" s="8" t="inlineStr">
        <is>
          <t>PRD-0435</t>
        </is>
      </c>
      <c r="F947" s="8" t="n">
        <v>1</v>
      </c>
      <c r="G947" s="9">
        <f>IFERROR(XLOOKUP(E947, '04_Products'!$A:$A, '04_Products'!$G:$G), 446.59)</f>
        <v/>
      </c>
      <c r="H947" s="9">
        <f>IFERROR(XLOOKUP(E947, '04_Products'!$A:$A, '04_Products'!$F:$F), 0)</f>
        <v/>
      </c>
      <c r="I947" s="9">
        <f>F947*G947</f>
        <v/>
      </c>
      <c r="J947" s="11" t="n">
        <v>0.05</v>
      </c>
      <c r="K947" s="9">
        <f>I947*J947</f>
        <v/>
      </c>
      <c r="L947" s="9">
        <f>I947-K947</f>
        <v/>
      </c>
      <c r="M947" s="9">
        <f>F947*H947</f>
        <v/>
      </c>
      <c r="N947" s="9">
        <f>L947-M947</f>
        <v/>
      </c>
      <c r="O947" s="11">
        <f>IFERROR(N947/L947, 0)</f>
        <v/>
      </c>
      <c r="P947" s="8">
        <f>YEAR(C947)</f>
        <v/>
      </c>
      <c r="Q947" s="8">
        <f>TEXT(C947, "yyyy-mm")</f>
        <v/>
      </c>
      <c r="R947" s="8" t="inlineStr">
        <is>
          <t>Direct Web</t>
        </is>
      </c>
      <c r="S947" s="8" t="inlineStr">
        <is>
          <t>REG-EU</t>
        </is>
      </c>
    </row>
    <row r="948">
      <c r="A948" s="8" t="inlineStr">
        <is>
          <t>DTL-0000954</t>
        </is>
      </c>
      <c r="B948" s="8" t="inlineStr">
        <is>
          <t>ORD-000480</t>
        </is>
      </c>
      <c r="C948" s="10" t="inlineStr">
        <is>
          <t>2025-12-11</t>
        </is>
      </c>
      <c r="D948" s="8" t="inlineStr">
        <is>
          <t>CUST-00029</t>
        </is>
      </c>
      <c r="E948" s="8" t="inlineStr">
        <is>
          <t>PRD-0294</t>
        </is>
      </c>
      <c r="F948" s="8" t="n">
        <v>3</v>
      </c>
      <c r="G948" s="9">
        <f>IFERROR(XLOOKUP(E948, '04_Products'!$A:$A, '04_Products'!$G:$G), 159.21)</f>
        <v/>
      </c>
      <c r="H948" s="9">
        <f>IFERROR(XLOOKUP(E948, '04_Products'!$A:$A, '04_Products'!$F:$F), 0)</f>
        <v/>
      </c>
      <c r="I948" s="9">
        <f>F948*G948</f>
        <v/>
      </c>
      <c r="J948" s="11" t="n">
        <v>0.2</v>
      </c>
      <c r="K948" s="9">
        <f>I948*J948</f>
        <v/>
      </c>
      <c r="L948" s="9">
        <f>I948-K948</f>
        <v/>
      </c>
      <c r="M948" s="9">
        <f>F948*H948</f>
        <v/>
      </c>
      <c r="N948" s="9">
        <f>L948-M948</f>
        <v/>
      </c>
      <c r="O948" s="11">
        <f>IFERROR(N948/L948, 0)</f>
        <v/>
      </c>
      <c r="P948" s="8">
        <f>YEAR(C948)</f>
        <v/>
      </c>
      <c r="Q948" s="8">
        <f>TEXT(C948, "yyyy-mm")</f>
        <v/>
      </c>
      <c r="R948" s="8" t="inlineStr">
        <is>
          <t>Direct Web</t>
        </is>
      </c>
      <c r="S948" s="8" t="inlineStr">
        <is>
          <t>REG-EU</t>
        </is>
      </c>
    </row>
    <row r="949">
      <c r="A949" s="8" t="inlineStr">
        <is>
          <t>DTL-0000955</t>
        </is>
      </c>
      <c r="B949" s="8" t="inlineStr">
        <is>
          <t>ORD-000481</t>
        </is>
      </c>
      <c r="C949" s="10" t="inlineStr">
        <is>
          <t>2024-12-03</t>
        </is>
      </c>
      <c r="D949" s="8" t="inlineStr">
        <is>
          <t>CUST-03801</t>
        </is>
      </c>
      <c r="E949" s="8" t="inlineStr">
        <is>
          <t>PRD-0464</t>
        </is>
      </c>
      <c r="F949" s="8" t="n">
        <v>1</v>
      </c>
      <c r="G949" s="9">
        <f>IFERROR(XLOOKUP(E949, '04_Products'!$A:$A, '04_Products'!$G:$G), 21.08)</f>
        <v/>
      </c>
      <c r="H949" s="9">
        <f>IFERROR(XLOOKUP(E949, '04_Products'!$A:$A, '04_Products'!$F:$F), 0)</f>
        <v/>
      </c>
      <c r="I949" s="9">
        <f>F949*G949</f>
        <v/>
      </c>
      <c r="J949" s="11" t="n">
        <v>0.15</v>
      </c>
      <c r="K949" s="9">
        <f>I949*J949</f>
        <v/>
      </c>
      <c r="L949" s="9">
        <f>I949-K949</f>
        <v/>
      </c>
      <c r="M949" s="9">
        <f>F949*H949</f>
        <v/>
      </c>
      <c r="N949" s="9">
        <f>L949-M949</f>
        <v/>
      </c>
      <c r="O949" s="11">
        <f>IFERROR(N949/L949, 0)</f>
        <v/>
      </c>
      <c r="P949" s="8">
        <f>YEAR(C949)</f>
        <v/>
      </c>
      <c r="Q949" s="8">
        <f>TEXT(C949, "yyyy-mm")</f>
        <v/>
      </c>
      <c r="R949" s="8" t="inlineStr">
        <is>
          <t>B2B Portal</t>
        </is>
      </c>
      <c r="S949" s="8" t="inlineStr">
        <is>
          <t>REG-EU</t>
        </is>
      </c>
    </row>
    <row r="950">
      <c r="A950" s="8" t="inlineStr">
        <is>
          <t>DTL-0000956</t>
        </is>
      </c>
      <c r="B950" s="8" t="inlineStr">
        <is>
          <t>ORD-000481</t>
        </is>
      </c>
      <c r="C950" s="10" t="inlineStr">
        <is>
          <t>2024-12-03</t>
        </is>
      </c>
      <c r="D950" s="8" t="inlineStr">
        <is>
          <t>CUST-03801</t>
        </is>
      </c>
      <c r="E950" s="8" t="inlineStr">
        <is>
          <t>PRD-0212</t>
        </is>
      </c>
      <c r="F950" s="8" t="n">
        <v>2</v>
      </c>
      <c r="G950" s="9">
        <f>IFERROR(XLOOKUP(E950, '04_Products'!$A:$A, '04_Products'!$G:$G), 15.71)</f>
        <v/>
      </c>
      <c r="H950" s="9">
        <f>IFERROR(XLOOKUP(E950, '04_Products'!$A:$A, '04_Products'!$F:$F), 0)</f>
        <v/>
      </c>
      <c r="I950" s="9">
        <f>F950*G950</f>
        <v/>
      </c>
      <c r="J950" s="11" t="n">
        <v>0.05</v>
      </c>
      <c r="K950" s="9">
        <f>I950*J950</f>
        <v/>
      </c>
      <c r="L950" s="9">
        <f>I950-K950</f>
        <v/>
      </c>
      <c r="M950" s="9">
        <f>F950*H950</f>
        <v/>
      </c>
      <c r="N950" s="9">
        <f>L950-M950</f>
        <v/>
      </c>
      <c r="O950" s="11">
        <f>IFERROR(N950/L950, 0)</f>
        <v/>
      </c>
      <c r="P950" s="8">
        <f>YEAR(C950)</f>
        <v/>
      </c>
      <c r="Q950" s="8">
        <f>TEXT(C950, "yyyy-mm")</f>
        <v/>
      </c>
      <c r="R950" s="8" t="inlineStr">
        <is>
          <t>B2B Portal</t>
        </is>
      </c>
      <c r="S950" s="8" t="inlineStr">
        <is>
          <t>REG-EU</t>
        </is>
      </c>
    </row>
    <row r="951">
      <c r="A951" s="8" t="inlineStr">
        <is>
          <t>DTL-0000957</t>
        </is>
      </c>
      <c r="B951" s="8" t="inlineStr">
        <is>
          <t>ORD-000482</t>
        </is>
      </c>
      <c r="C951" s="10" t="inlineStr">
        <is>
          <t>2024-01-19</t>
        </is>
      </c>
      <c r="D951" s="8" t="inlineStr">
        <is>
          <t>CUST-01599</t>
        </is>
      </c>
      <c r="E951" s="8" t="inlineStr">
        <is>
          <t>PRD-0400</t>
        </is>
      </c>
      <c r="F951" s="8" t="n">
        <v>1</v>
      </c>
      <c r="G951" s="9">
        <f>IFERROR(XLOOKUP(E951, '04_Products'!$A:$A, '04_Products'!$G:$G), 409.11)</f>
        <v/>
      </c>
      <c r="H951" s="9">
        <f>IFERROR(XLOOKUP(E951, '04_Products'!$A:$A, '04_Products'!$F:$F), 0)</f>
        <v/>
      </c>
      <c r="I951" s="9">
        <f>F951*G951</f>
        <v/>
      </c>
      <c r="J951" s="11" t="n">
        <v>0.05</v>
      </c>
      <c r="K951" s="9">
        <f>I951*J951</f>
        <v/>
      </c>
      <c r="L951" s="9">
        <f>I951-K951</f>
        <v/>
      </c>
      <c r="M951" s="9">
        <f>F951*H951</f>
        <v/>
      </c>
      <c r="N951" s="9">
        <f>L951-M951</f>
        <v/>
      </c>
      <c r="O951" s="11">
        <f>IFERROR(N951/L951, 0)</f>
        <v/>
      </c>
      <c r="P951" s="8">
        <f>YEAR(C951)</f>
        <v/>
      </c>
      <c r="Q951" s="8">
        <f>TEXT(C951, "yyyy-mm")</f>
        <v/>
      </c>
      <c r="R951" s="8" t="inlineStr">
        <is>
          <t>Direct Web</t>
        </is>
      </c>
      <c r="S951" s="8" t="inlineStr">
        <is>
          <t>REG-LATAM</t>
        </is>
      </c>
    </row>
    <row r="952">
      <c r="A952" s="8" t="inlineStr">
        <is>
          <t>DTL-0000958</t>
        </is>
      </c>
      <c r="B952" s="8" t="inlineStr">
        <is>
          <t>ORD-000482</t>
        </is>
      </c>
      <c r="C952" s="10" t="inlineStr">
        <is>
          <t>2024-01-19</t>
        </is>
      </c>
      <c r="D952" s="8" t="inlineStr">
        <is>
          <t>CUST-01599</t>
        </is>
      </c>
      <c r="E952" s="8" t="inlineStr">
        <is>
          <t>PRD-0092</t>
        </is>
      </c>
      <c r="F952" s="8" t="n">
        <v>2</v>
      </c>
      <c r="G952" s="9">
        <f>IFERROR(XLOOKUP(E952, '04_Products'!$A:$A, '04_Products'!$G:$G), 63.90)</f>
        <v/>
      </c>
      <c r="H952" s="9">
        <f>IFERROR(XLOOKUP(E952, '04_Products'!$A:$A, '04_Products'!$F:$F), 0)</f>
        <v/>
      </c>
      <c r="I952" s="9">
        <f>F952*G952</f>
        <v/>
      </c>
      <c r="J952" s="11" t="n">
        <v>0.15</v>
      </c>
      <c r="K952" s="9">
        <f>I952*J952</f>
        <v/>
      </c>
      <c r="L952" s="9">
        <f>I952-K952</f>
        <v/>
      </c>
      <c r="M952" s="9">
        <f>F952*H952</f>
        <v/>
      </c>
      <c r="N952" s="9">
        <f>L952-M952</f>
        <v/>
      </c>
      <c r="O952" s="11">
        <f>IFERROR(N952/L952, 0)</f>
        <v/>
      </c>
      <c r="P952" s="8">
        <f>YEAR(C952)</f>
        <v/>
      </c>
      <c r="Q952" s="8">
        <f>TEXT(C952, "yyyy-mm")</f>
        <v/>
      </c>
      <c r="R952" s="8" t="inlineStr">
        <is>
          <t>Direct Web</t>
        </is>
      </c>
      <c r="S952" s="8" t="inlineStr">
        <is>
          <t>REG-LATAM</t>
        </is>
      </c>
    </row>
    <row r="953">
      <c r="A953" s="8" t="inlineStr">
        <is>
          <t>DTL-0000959</t>
        </is>
      </c>
      <c r="B953" s="8" t="inlineStr">
        <is>
          <t>ORD-000483</t>
        </is>
      </c>
      <c r="C953" s="10" t="inlineStr">
        <is>
          <t>2023-11-30</t>
        </is>
      </c>
      <c r="D953" s="8" t="inlineStr">
        <is>
          <t>CUST-03300</t>
        </is>
      </c>
      <c r="E953" s="8" t="inlineStr">
        <is>
          <t>PRD-0099</t>
        </is>
      </c>
      <c r="F953" s="8" t="n">
        <v>2</v>
      </c>
      <c r="G953" s="9">
        <f>IFERROR(XLOOKUP(E953, '04_Products'!$A:$A, '04_Products'!$G:$G), 201.48)</f>
        <v/>
      </c>
      <c r="H953" s="9">
        <f>IFERROR(XLOOKUP(E953, '04_Products'!$A:$A, '04_Products'!$F:$F), 0)</f>
        <v/>
      </c>
      <c r="I953" s="9">
        <f>F953*G953</f>
        <v/>
      </c>
      <c r="J953" s="11" t="n">
        <v>0</v>
      </c>
      <c r="K953" s="9">
        <f>I953*J953</f>
        <v/>
      </c>
      <c r="L953" s="9">
        <f>I953-K953</f>
        <v/>
      </c>
      <c r="M953" s="9">
        <f>F953*H953</f>
        <v/>
      </c>
      <c r="N953" s="9">
        <f>L953-M953</f>
        <v/>
      </c>
      <c r="O953" s="11">
        <f>IFERROR(N953/L953, 0)</f>
        <v/>
      </c>
      <c r="P953" s="8">
        <f>YEAR(C953)</f>
        <v/>
      </c>
      <c r="Q953" s="8">
        <f>TEXT(C953, "yyyy-mm")</f>
        <v/>
      </c>
      <c r="R953" s="8" t="inlineStr">
        <is>
          <t>Direct Web</t>
        </is>
      </c>
      <c r="S953" s="8" t="inlineStr">
        <is>
          <t>REG-NA</t>
        </is>
      </c>
    </row>
    <row r="954">
      <c r="A954" s="8" t="inlineStr">
        <is>
          <t>DTL-0000960</t>
        </is>
      </c>
      <c r="B954" s="8" t="inlineStr">
        <is>
          <t>ORD-000483</t>
        </is>
      </c>
      <c r="C954" s="10" t="inlineStr">
        <is>
          <t>2023-11-30</t>
        </is>
      </c>
      <c r="D954" s="8" t="inlineStr">
        <is>
          <t>CUST-03300</t>
        </is>
      </c>
      <c r="E954" s="8" t="inlineStr">
        <is>
          <t>PRD-0458</t>
        </is>
      </c>
      <c r="F954" s="8" t="n">
        <v>1</v>
      </c>
      <c r="G954" s="9">
        <f>IFERROR(XLOOKUP(E954, '04_Products'!$A:$A, '04_Products'!$G:$G), 75.83)</f>
        <v/>
      </c>
      <c r="H954" s="9">
        <f>IFERROR(XLOOKUP(E954, '04_Products'!$A:$A, '04_Products'!$F:$F), 0)</f>
        <v/>
      </c>
      <c r="I954" s="9">
        <f>F954*G954</f>
        <v/>
      </c>
      <c r="J954" s="11" t="n">
        <v>0.2</v>
      </c>
      <c r="K954" s="9">
        <f>I954*J954</f>
        <v/>
      </c>
      <c r="L954" s="9">
        <f>I954-K954</f>
        <v/>
      </c>
      <c r="M954" s="9">
        <f>F954*H954</f>
        <v/>
      </c>
      <c r="N954" s="9">
        <f>L954-M954</f>
        <v/>
      </c>
      <c r="O954" s="11">
        <f>IFERROR(N954/L954, 0)</f>
        <v/>
      </c>
      <c r="P954" s="8">
        <f>YEAR(C954)</f>
        <v/>
      </c>
      <c r="Q954" s="8">
        <f>TEXT(C954, "yyyy-mm")</f>
        <v/>
      </c>
      <c r="R954" s="8" t="inlineStr">
        <is>
          <t>Direct Web</t>
        </is>
      </c>
      <c r="S954" s="8" t="inlineStr">
        <is>
          <t>REG-NA</t>
        </is>
      </c>
    </row>
    <row r="955">
      <c r="A955" s="8" t="inlineStr">
        <is>
          <t>DTL-0000961</t>
        </is>
      </c>
      <c r="B955" s="8" t="inlineStr">
        <is>
          <t>ORD-000483</t>
        </is>
      </c>
      <c r="C955" s="10" t="inlineStr">
        <is>
          <t>2023-11-30</t>
        </is>
      </c>
      <c r="D955" s="8" t="inlineStr">
        <is>
          <t>CUST-03300</t>
        </is>
      </c>
      <c r="E955" s="8" t="inlineStr">
        <is>
          <t>PRD-0021</t>
        </is>
      </c>
      <c r="F955" s="8" t="n">
        <v>3</v>
      </c>
      <c r="G955" s="9">
        <f>IFERROR(XLOOKUP(E955, '04_Products'!$A:$A, '04_Products'!$G:$G), 41.09)</f>
        <v/>
      </c>
      <c r="H955" s="9">
        <f>IFERROR(XLOOKUP(E955, '04_Products'!$A:$A, '04_Products'!$F:$F), 0)</f>
        <v/>
      </c>
      <c r="I955" s="9">
        <f>F955*G955</f>
        <v/>
      </c>
      <c r="J955" s="11" t="n">
        <v>0.1</v>
      </c>
      <c r="K955" s="9">
        <f>I955*J955</f>
        <v/>
      </c>
      <c r="L955" s="9">
        <f>I955-K955</f>
        <v/>
      </c>
      <c r="M955" s="9">
        <f>F955*H955</f>
        <v/>
      </c>
      <c r="N955" s="9">
        <f>L955-M955</f>
        <v/>
      </c>
      <c r="O955" s="11">
        <f>IFERROR(N955/L955, 0)</f>
        <v/>
      </c>
      <c r="P955" s="8">
        <f>YEAR(C955)</f>
        <v/>
      </c>
      <c r="Q955" s="8">
        <f>TEXT(C955, "yyyy-mm")</f>
        <v/>
      </c>
      <c r="R955" s="8" t="inlineStr">
        <is>
          <t>Direct Web</t>
        </is>
      </c>
      <c r="S955" s="8" t="inlineStr">
        <is>
          <t>REG-NA</t>
        </is>
      </c>
    </row>
    <row r="956">
      <c r="A956" s="8" t="inlineStr">
        <is>
          <t>DTL-0000962</t>
        </is>
      </c>
      <c r="B956" s="8" t="inlineStr">
        <is>
          <t>ORD-000483</t>
        </is>
      </c>
      <c r="C956" s="10" t="inlineStr">
        <is>
          <t>2023-11-30</t>
        </is>
      </c>
      <c r="D956" s="8" t="inlineStr">
        <is>
          <t>CUST-03300</t>
        </is>
      </c>
      <c r="E956" s="8" t="inlineStr">
        <is>
          <t>PRD-0127</t>
        </is>
      </c>
      <c r="F956" s="8" t="n">
        <v>1</v>
      </c>
      <c r="G956" s="9">
        <f>IFERROR(XLOOKUP(E956, '04_Products'!$A:$A, '04_Products'!$G:$G), 646.33)</f>
        <v/>
      </c>
      <c r="H956" s="9">
        <f>IFERROR(XLOOKUP(E956, '04_Products'!$A:$A, '04_Products'!$F:$F), 0)</f>
        <v/>
      </c>
      <c r="I956" s="9">
        <f>F956*G956</f>
        <v/>
      </c>
      <c r="J956" s="11" t="n">
        <v>0.05</v>
      </c>
      <c r="K956" s="9">
        <f>I956*J956</f>
        <v/>
      </c>
      <c r="L956" s="9">
        <f>I956-K956</f>
        <v/>
      </c>
      <c r="M956" s="9">
        <f>F956*H956</f>
        <v/>
      </c>
      <c r="N956" s="9">
        <f>L956-M956</f>
        <v/>
      </c>
      <c r="O956" s="11">
        <f>IFERROR(N956/L956, 0)</f>
        <v/>
      </c>
      <c r="P956" s="8">
        <f>YEAR(C956)</f>
        <v/>
      </c>
      <c r="Q956" s="8">
        <f>TEXT(C956, "yyyy-mm")</f>
        <v/>
      </c>
      <c r="R956" s="8" t="inlineStr">
        <is>
          <t>Direct Web</t>
        </is>
      </c>
      <c r="S956" s="8" t="inlineStr">
        <is>
          <t>REG-NA</t>
        </is>
      </c>
    </row>
    <row r="957">
      <c r="A957" s="8" t="inlineStr">
        <is>
          <t>DTL-0000963</t>
        </is>
      </c>
      <c r="B957" s="8" t="inlineStr">
        <is>
          <t>ORD-000483</t>
        </is>
      </c>
      <c r="C957" s="10" t="inlineStr">
        <is>
          <t>2023-11-30</t>
        </is>
      </c>
      <c r="D957" s="8" t="inlineStr">
        <is>
          <t>CUST-03300</t>
        </is>
      </c>
      <c r="E957" s="8" t="inlineStr">
        <is>
          <t>PRD-0478</t>
        </is>
      </c>
      <c r="F957" s="8" t="n">
        <v>1</v>
      </c>
      <c r="G957" s="9">
        <f>IFERROR(XLOOKUP(E957, '04_Products'!$A:$A, '04_Products'!$G:$G), 61.50)</f>
        <v/>
      </c>
      <c r="H957" s="9">
        <f>IFERROR(XLOOKUP(E957, '04_Products'!$A:$A, '04_Products'!$F:$F), 0)</f>
        <v/>
      </c>
      <c r="I957" s="9">
        <f>F957*G957</f>
        <v/>
      </c>
      <c r="J957" s="11" t="n">
        <v>0.05</v>
      </c>
      <c r="K957" s="9">
        <f>I957*J957</f>
        <v/>
      </c>
      <c r="L957" s="9">
        <f>I957-K957</f>
        <v/>
      </c>
      <c r="M957" s="9">
        <f>F957*H957</f>
        <v/>
      </c>
      <c r="N957" s="9">
        <f>L957-M957</f>
        <v/>
      </c>
      <c r="O957" s="11">
        <f>IFERROR(N957/L957, 0)</f>
        <v/>
      </c>
      <c r="P957" s="8">
        <f>YEAR(C957)</f>
        <v/>
      </c>
      <c r="Q957" s="8">
        <f>TEXT(C957, "yyyy-mm")</f>
        <v/>
      </c>
      <c r="R957" s="8" t="inlineStr">
        <is>
          <t>Direct Web</t>
        </is>
      </c>
      <c r="S957" s="8" t="inlineStr">
        <is>
          <t>REG-NA</t>
        </is>
      </c>
    </row>
    <row r="958">
      <c r="A958" s="8" t="inlineStr">
        <is>
          <t>DTL-0000964</t>
        </is>
      </c>
      <c r="B958" s="8" t="inlineStr">
        <is>
          <t>ORD-000484</t>
        </is>
      </c>
      <c r="C958" s="10" t="inlineStr">
        <is>
          <t>2025-06-25</t>
        </is>
      </c>
      <c r="D958" s="8" t="inlineStr">
        <is>
          <t>CUST-00982</t>
        </is>
      </c>
      <c r="E958" s="8" t="inlineStr">
        <is>
          <t>PRD-0286</t>
        </is>
      </c>
      <c r="F958" s="8" t="n">
        <v>1</v>
      </c>
      <c r="G958" s="9">
        <f>IFERROR(XLOOKUP(E958, '04_Products'!$A:$A, '04_Products'!$G:$G), 232.89)</f>
        <v/>
      </c>
      <c r="H958" s="9">
        <f>IFERROR(XLOOKUP(E958, '04_Products'!$A:$A, '04_Products'!$F:$F), 0)</f>
        <v/>
      </c>
      <c r="I958" s="9">
        <f>F958*G958</f>
        <v/>
      </c>
      <c r="J958" s="11" t="n">
        <v>0</v>
      </c>
      <c r="K958" s="9">
        <f>I958*J958</f>
        <v/>
      </c>
      <c r="L958" s="9">
        <f>I958-K958</f>
        <v/>
      </c>
      <c r="M958" s="9">
        <f>F958*H958</f>
        <v/>
      </c>
      <c r="N958" s="9">
        <f>L958-M958</f>
        <v/>
      </c>
      <c r="O958" s="11">
        <f>IFERROR(N958/L958, 0)</f>
        <v/>
      </c>
      <c r="P958" s="8">
        <f>YEAR(C958)</f>
        <v/>
      </c>
      <c r="Q958" s="8">
        <f>TEXT(C958, "yyyy-mm")</f>
        <v/>
      </c>
      <c r="R958" s="8" t="inlineStr">
        <is>
          <t>Mobile App</t>
        </is>
      </c>
      <c r="S958" s="8" t="inlineStr">
        <is>
          <t>REG-APAC</t>
        </is>
      </c>
    </row>
    <row r="959">
      <c r="A959" s="8" t="inlineStr">
        <is>
          <t>DTL-0000965</t>
        </is>
      </c>
      <c r="B959" s="8" t="inlineStr">
        <is>
          <t>ORD-000484</t>
        </is>
      </c>
      <c r="C959" s="10" t="inlineStr">
        <is>
          <t>2025-06-25</t>
        </is>
      </c>
      <c r="D959" s="8" t="inlineStr">
        <is>
          <t>CUST-00982</t>
        </is>
      </c>
      <c r="E959" s="8" t="inlineStr">
        <is>
          <t>PRD-0376</t>
        </is>
      </c>
      <c r="F959" s="8" t="n">
        <v>2</v>
      </c>
      <c r="G959" s="9">
        <f>IFERROR(XLOOKUP(E959, '04_Products'!$A:$A, '04_Products'!$G:$G), 219.88)</f>
        <v/>
      </c>
      <c r="H959" s="9">
        <f>IFERROR(XLOOKUP(E959, '04_Products'!$A:$A, '04_Products'!$F:$F), 0)</f>
        <v/>
      </c>
      <c r="I959" s="9">
        <f>F959*G959</f>
        <v/>
      </c>
      <c r="J959" s="11" t="n">
        <v>0.15</v>
      </c>
      <c r="K959" s="9">
        <f>I959*J959</f>
        <v/>
      </c>
      <c r="L959" s="9">
        <f>I959-K959</f>
        <v/>
      </c>
      <c r="M959" s="9">
        <f>F959*H959</f>
        <v/>
      </c>
      <c r="N959" s="9">
        <f>L959-M959</f>
        <v/>
      </c>
      <c r="O959" s="11">
        <f>IFERROR(N959/L959, 0)</f>
        <v/>
      </c>
      <c r="P959" s="8">
        <f>YEAR(C959)</f>
        <v/>
      </c>
      <c r="Q959" s="8">
        <f>TEXT(C959, "yyyy-mm")</f>
        <v/>
      </c>
      <c r="R959" s="8" t="inlineStr">
        <is>
          <t>Mobile App</t>
        </is>
      </c>
      <c r="S959" s="8" t="inlineStr">
        <is>
          <t>REG-APAC</t>
        </is>
      </c>
    </row>
    <row r="960">
      <c r="A960" s="8" t="inlineStr">
        <is>
          <t>DTL-0000966</t>
        </is>
      </c>
      <c r="B960" s="8" t="inlineStr">
        <is>
          <t>ORD-000485</t>
        </is>
      </c>
      <c r="C960" s="10" t="inlineStr">
        <is>
          <t>2023-10-18</t>
        </is>
      </c>
      <c r="D960" s="8" t="inlineStr">
        <is>
          <t>CUST-03268</t>
        </is>
      </c>
      <c r="E960" s="8" t="inlineStr">
        <is>
          <t>PRD-0439</t>
        </is>
      </c>
      <c r="F960" s="8" t="n">
        <v>1</v>
      </c>
      <c r="G960" s="9">
        <f>IFERROR(XLOOKUP(E960, '04_Products'!$A:$A, '04_Products'!$G:$G), 807.98)</f>
        <v/>
      </c>
      <c r="H960" s="9">
        <f>IFERROR(XLOOKUP(E960, '04_Products'!$A:$A, '04_Products'!$F:$F), 0)</f>
        <v/>
      </c>
      <c r="I960" s="9">
        <f>F960*G960</f>
        <v/>
      </c>
      <c r="J960" s="11" t="n">
        <v>0.15</v>
      </c>
      <c r="K960" s="9">
        <f>I960*J960</f>
        <v/>
      </c>
      <c r="L960" s="9">
        <f>I960-K960</f>
        <v/>
      </c>
      <c r="M960" s="9">
        <f>F960*H960</f>
        <v/>
      </c>
      <c r="N960" s="9">
        <f>L960-M960</f>
        <v/>
      </c>
      <c r="O960" s="11">
        <f>IFERROR(N960/L960, 0)</f>
        <v/>
      </c>
      <c r="P960" s="8">
        <f>YEAR(C960)</f>
        <v/>
      </c>
      <c r="Q960" s="8">
        <f>TEXT(C960, "yyyy-mm")</f>
        <v/>
      </c>
      <c r="R960" s="8" t="inlineStr">
        <is>
          <t>Mobile App</t>
        </is>
      </c>
      <c r="S960" s="8" t="inlineStr">
        <is>
          <t>REG-NA</t>
        </is>
      </c>
    </row>
    <row r="961">
      <c r="A961" s="8" t="inlineStr">
        <is>
          <t>DTL-0000967</t>
        </is>
      </c>
      <c r="B961" s="8" t="inlineStr">
        <is>
          <t>ORD-000485</t>
        </is>
      </c>
      <c r="C961" s="10" t="inlineStr">
        <is>
          <t>2023-10-18</t>
        </is>
      </c>
      <c r="D961" s="8" t="inlineStr">
        <is>
          <t>CUST-03268</t>
        </is>
      </c>
      <c r="E961" s="8" t="inlineStr">
        <is>
          <t>PRD-0058</t>
        </is>
      </c>
      <c r="F961" s="8" t="n">
        <v>1</v>
      </c>
      <c r="G961" s="9">
        <f>IFERROR(XLOOKUP(E961, '04_Products'!$A:$A, '04_Products'!$G:$G), 809.52)</f>
        <v/>
      </c>
      <c r="H961" s="9">
        <f>IFERROR(XLOOKUP(E961, '04_Products'!$A:$A, '04_Products'!$F:$F), 0)</f>
        <v/>
      </c>
      <c r="I961" s="9">
        <f>F961*G961</f>
        <v/>
      </c>
      <c r="J961" s="11" t="n">
        <v>0.1</v>
      </c>
      <c r="K961" s="9">
        <f>I961*J961</f>
        <v/>
      </c>
      <c r="L961" s="9">
        <f>I961-K961</f>
        <v/>
      </c>
      <c r="M961" s="9">
        <f>F961*H961</f>
        <v/>
      </c>
      <c r="N961" s="9">
        <f>L961-M961</f>
        <v/>
      </c>
      <c r="O961" s="11">
        <f>IFERROR(N961/L961, 0)</f>
        <v/>
      </c>
      <c r="P961" s="8">
        <f>YEAR(C961)</f>
        <v/>
      </c>
      <c r="Q961" s="8">
        <f>TEXT(C961, "yyyy-mm")</f>
        <v/>
      </c>
      <c r="R961" s="8" t="inlineStr">
        <is>
          <t>Mobile App</t>
        </is>
      </c>
      <c r="S961" s="8" t="inlineStr">
        <is>
          <t>REG-NA</t>
        </is>
      </c>
    </row>
    <row r="962">
      <c r="A962" s="8" t="inlineStr">
        <is>
          <t>DTL-0000968</t>
        </is>
      </c>
      <c r="B962" s="8" t="inlineStr">
        <is>
          <t>ORD-000486</t>
        </is>
      </c>
      <c r="C962" s="10" t="inlineStr">
        <is>
          <t>2025-04-03</t>
        </is>
      </c>
      <c r="D962" s="8" t="inlineStr">
        <is>
          <t>CUST-02889</t>
        </is>
      </c>
      <c r="E962" s="8" t="inlineStr">
        <is>
          <t>PRD-0162</t>
        </is>
      </c>
      <c r="F962" s="8" t="n">
        <v>8</v>
      </c>
      <c r="G962" s="9">
        <f>IFERROR(XLOOKUP(E962, '04_Products'!$A:$A, '04_Products'!$G:$G), 192.43)</f>
        <v/>
      </c>
      <c r="H962" s="9">
        <f>IFERROR(XLOOKUP(E962, '04_Products'!$A:$A, '04_Products'!$F:$F), 0)</f>
        <v/>
      </c>
      <c r="I962" s="9">
        <f>F962*G962</f>
        <v/>
      </c>
      <c r="J962" s="11" t="n">
        <v>0.05</v>
      </c>
      <c r="K962" s="9">
        <f>I962*J962</f>
        <v/>
      </c>
      <c r="L962" s="9">
        <f>I962-K962</f>
        <v/>
      </c>
      <c r="M962" s="9">
        <f>F962*H962</f>
        <v/>
      </c>
      <c r="N962" s="9">
        <f>L962-M962</f>
        <v/>
      </c>
      <c r="O962" s="11">
        <f>IFERROR(N962/L962, 0)</f>
        <v/>
      </c>
      <c r="P962" s="8">
        <f>YEAR(C962)</f>
        <v/>
      </c>
      <c r="Q962" s="8">
        <f>TEXT(C962, "yyyy-mm")</f>
        <v/>
      </c>
      <c r="R962" s="8" t="inlineStr">
        <is>
          <t>B2B Portal</t>
        </is>
      </c>
      <c r="S962" s="8" t="inlineStr">
        <is>
          <t>REG-EU</t>
        </is>
      </c>
    </row>
    <row r="963">
      <c r="A963" s="8" t="inlineStr">
        <is>
          <t>DTL-0000969</t>
        </is>
      </c>
      <c r="B963" s="8" t="inlineStr">
        <is>
          <t>ORD-000486</t>
        </is>
      </c>
      <c r="C963" s="10" t="inlineStr">
        <is>
          <t>2025-04-03</t>
        </is>
      </c>
      <c r="D963" s="8" t="inlineStr">
        <is>
          <t>CUST-02889</t>
        </is>
      </c>
      <c r="E963" s="8" t="inlineStr">
        <is>
          <t>PRD-0407</t>
        </is>
      </c>
      <c r="F963" s="8" t="n">
        <v>2</v>
      </c>
      <c r="G963" s="9">
        <f>IFERROR(XLOOKUP(E963, '04_Products'!$A:$A, '04_Products'!$G:$G), 515.93)</f>
        <v/>
      </c>
      <c r="H963" s="9">
        <f>IFERROR(XLOOKUP(E963, '04_Products'!$A:$A, '04_Products'!$F:$F), 0)</f>
        <v/>
      </c>
      <c r="I963" s="9">
        <f>F963*G963</f>
        <v/>
      </c>
      <c r="J963" s="11" t="n">
        <v>0.15</v>
      </c>
      <c r="K963" s="9">
        <f>I963*J963</f>
        <v/>
      </c>
      <c r="L963" s="9">
        <f>I963-K963</f>
        <v/>
      </c>
      <c r="M963" s="9">
        <f>F963*H963</f>
        <v/>
      </c>
      <c r="N963" s="9">
        <f>L963-M963</f>
        <v/>
      </c>
      <c r="O963" s="11">
        <f>IFERROR(N963/L963, 0)</f>
        <v/>
      </c>
      <c r="P963" s="8">
        <f>YEAR(C963)</f>
        <v/>
      </c>
      <c r="Q963" s="8">
        <f>TEXT(C963, "yyyy-mm")</f>
        <v/>
      </c>
      <c r="R963" s="8" t="inlineStr">
        <is>
          <t>B2B Portal</t>
        </is>
      </c>
      <c r="S963" s="8" t="inlineStr">
        <is>
          <t>REG-EU</t>
        </is>
      </c>
    </row>
    <row r="964">
      <c r="A964" s="8" t="inlineStr">
        <is>
          <t>DTL-0000970</t>
        </is>
      </c>
      <c r="B964" s="8" t="inlineStr">
        <is>
          <t>ORD-000486</t>
        </is>
      </c>
      <c r="C964" s="10" t="inlineStr">
        <is>
          <t>2025-04-03</t>
        </is>
      </c>
      <c r="D964" s="8" t="inlineStr">
        <is>
          <t>CUST-02889</t>
        </is>
      </c>
      <c r="E964" s="8" t="inlineStr">
        <is>
          <t>PRD-0171</t>
        </is>
      </c>
      <c r="F964" s="8" t="n">
        <v>1</v>
      </c>
      <c r="G964" s="9">
        <f>IFERROR(XLOOKUP(E964, '04_Products'!$A:$A, '04_Products'!$G:$G), 143.61)</f>
        <v/>
      </c>
      <c r="H964" s="9">
        <f>IFERROR(XLOOKUP(E964, '04_Products'!$A:$A, '04_Products'!$F:$F), 0)</f>
        <v/>
      </c>
      <c r="I964" s="9">
        <f>F964*G964</f>
        <v/>
      </c>
      <c r="J964" s="11" t="n">
        <v>0.05</v>
      </c>
      <c r="K964" s="9">
        <f>I964*J964</f>
        <v/>
      </c>
      <c r="L964" s="9">
        <f>I964-K964</f>
        <v/>
      </c>
      <c r="M964" s="9">
        <f>F964*H964</f>
        <v/>
      </c>
      <c r="N964" s="9">
        <f>L964-M964</f>
        <v/>
      </c>
      <c r="O964" s="11">
        <f>IFERROR(N964/L964, 0)</f>
        <v/>
      </c>
      <c r="P964" s="8">
        <f>YEAR(C964)</f>
        <v/>
      </c>
      <c r="Q964" s="8">
        <f>TEXT(C964, "yyyy-mm")</f>
        <v/>
      </c>
      <c r="R964" s="8" t="inlineStr">
        <is>
          <t>B2B Portal</t>
        </is>
      </c>
      <c r="S964" s="8" t="inlineStr">
        <is>
          <t>REG-EU</t>
        </is>
      </c>
    </row>
    <row r="965">
      <c r="A965" s="8" t="inlineStr">
        <is>
          <t>DTL-0000971</t>
        </is>
      </c>
      <c r="B965" s="8" t="inlineStr">
        <is>
          <t>ORD-000486</t>
        </is>
      </c>
      <c r="C965" s="10" t="inlineStr">
        <is>
          <t>2025-04-03</t>
        </is>
      </c>
      <c r="D965" s="8" t="inlineStr">
        <is>
          <t>CUST-02889</t>
        </is>
      </c>
      <c r="E965" s="8" t="inlineStr">
        <is>
          <t>PRD-0047</t>
        </is>
      </c>
      <c r="F965" s="8" t="n">
        <v>1</v>
      </c>
      <c r="G965" s="9">
        <f>IFERROR(XLOOKUP(E965, '04_Products'!$A:$A, '04_Products'!$G:$G), 43.83)</f>
        <v/>
      </c>
      <c r="H965" s="9">
        <f>IFERROR(XLOOKUP(E965, '04_Products'!$A:$A, '04_Products'!$F:$F), 0)</f>
        <v/>
      </c>
      <c r="I965" s="9">
        <f>F965*G965</f>
        <v/>
      </c>
      <c r="J965" s="11" t="n">
        <v>0</v>
      </c>
      <c r="K965" s="9">
        <f>I965*J965</f>
        <v/>
      </c>
      <c r="L965" s="9">
        <f>I965-K965</f>
        <v/>
      </c>
      <c r="M965" s="9">
        <f>F965*H965</f>
        <v/>
      </c>
      <c r="N965" s="9">
        <f>L965-M965</f>
        <v/>
      </c>
      <c r="O965" s="11">
        <f>IFERROR(N965/L965, 0)</f>
        <v/>
      </c>
      <c r="P965" s="8">
        <f>YEAR(C965)</f>
        <v/>
      </c>
      <c r="Q965" s="8">
        <f>TEXT(C965, "yyyy-mm")</f>
        <v/>
      </c>
      <c r="R965" s="8" t="inlineStr">
        <is>
          <t>B2B Portal</t>
        </is>
      </c>
      <c r="S965" s="8" t="inlineStr">
        <is>
          <t>REG-EU</t>
        </is>
      </c>
    </row>
    <row r="966">
      <c r="A966" s="8" t="inlineStr">
        <is>
          <t>DTL-0000972</t>
        </is>
      </c>
      <c r="B966" s="8" t="inlineStr">
        <is>
          <t>ORD-000486</t>
        </is>
      </c>
      <c r="C966" s="10" t="inlineStr">
        <is>
          <t>2025-04-03</t>
        </is>
      </c>
      <c r="D966" s="8" t="inlineStr">
        <is>
          <t>CUST-02889</t>
        </is>
      </c>
      <c r="E966" s="8" t="inlineStr">
        <is>
          <t>PRD-0141</t>
        </is>
      </c>
      <c r="F966" s="8" t="n">
        <v>1</v>
      </c>
      <c r="G966" s="9">
        <f>IFERROR(XLOOKUP(E966, '04_Products'!$A:$A, '04_Products'!$G:$G), 53.70)</f>
        <v/>
      </c>
      <c r="H966" s="9">
        <f>IFERROR(XLOOKUP(E966, '04_Products'!$A:$A, '04_Products'!$F:$F), 0)</f>
        <v/>
      </c>
      <c r="I966" s="9">
        <f>F966*G966</f>
        <v/>
      </c>
      <c r="J966" s="11" t="n">
        <v>0.05</v>
      </c>
      <c r="K966" s="9">
        <f>I966*J966</f>
        <v/>
      </c>
      <c r="L966" s="9">
        <f>I966-K966</f>
        <v/>
      </c>
      <c r="M966" s="9">
        <f>F966*H966</f>
        <v/>
      </c>
      <c r="N966" s="9">
        <f>L966-M966</f>
        <v/>
      </c>
      <c r="O966" s="11">
        <f>IFERROR(N966/L966, 0)</f>
        <v/>
      </c>
      <c r="P966" s="8">
        <f>YEAR(C966)</f>
        <v/>
      </c>
      <c r="Q966" s="8">
        <f>TEXT(C966, "yyyy-mm")</f>
        <v/>
      </c>
      <c r="R966" s="8" t="inlineStr">
        <is>
          <t>B2B Portal</t>
        </is>
      </c>
      <c r="S966" s="8" t="inlineStr">
        <is>
          <t>REG-EU</t>
        </is>
      </c>
    </row>
    <row r="967">
      <c r="A967" s="8" t="inlineStr">
        <is>
          <t>DTL-0000973</t>
        </is>
      </c>
      <c r="B967" s="8" t="inlineStr">
        <is>
          <t>ORD-000487</t>
        </is>
      </c>
      <c r="C967" s="10" t="inlineStr">
        <is>
          <t>2023-01-14</t>
        </is>
      </c>
      <c r="D967" s="8" t="inlineStr">
        <is>
          <t>CUST-01937</t>
        </is>
      </c>
      <c r="E967" s="8" t="inlineStr">
        <is>
          <t>PRD-0138</t>
        </is>
      </c>
      <c r="F967" s="8" t="n">
        <v>1</v>
      </c>
      <c r="G967" s="9">
        <f>IFERROR(XLOOKUP(E967, '04_Products'!$A:$A, '04_Products'!$G:$G), 113.13)</f>
        <v/>
      </c>
      <c r="H967" s="9">
        <f>IFERROR(XLOOKUP(E967, '04_Products'!$A:$A, '04_Products'!$F:$F), 0)</f>
        <v/>
      </c>
      <c r="I967" s="9">
        <f>F967*G967</f>
        <v/>
      </c>
      <c r="J967" s="11" t="n">
        <v>0.05</v>
      </c>
      <c r="K967" s="9">
        <f>I967*J967</f>
        <v/>
      </c>
      <c r="L967" s="9">
        <f>I967-K967</f>
        <v/>
      </c>
      <c r="M967" s="9">
        <f>F967*H967</f>
        <v/>
      </c>
      <c r="N967" s="9">
        <f>L967-M967</f>
        <v/>
      </c>
      <c r="O967" s="11">
        <f>IFERROR(N967/L967, 0)</f>
        <v/>
      </c>
      <c r="P967" s="8">
        <f>YEAR(C967)</f>
        <v/>
      </c>
      <c r="Q967" s="8">
        <f>TEXT(C967, "yyyy-mm")</f>
        <v/>
      </c>
      <c r="R967" s="8" t="inlineStr">
        <is>
          <t>Direct Web</t>
        </is>
      </c>
      <c r="S967" s="8" t="inlineStr">
        <is>
          <t>REG-NA</t>
        </is>
      </c>
    </row>
    <row r="968">
      <c r="A968" s="8" t="inlineStr">
        <is>
          <t>DTL-0000974</t>
        </is>
      </c>
      <c r="B968" s="8" t="inlineStr">
        <is>
          <t>ORD-000487</t>
        </is>
      </c>
      <c r="C968" s="10" t="inlineStr">
        <is>
          <t>2023-01-14</t>
        </is>
      </c>
      <c r="D968" s="8" t="inlineStr">
        <is>
          <t>CUST-01937</t>
        </is>
      </c>
      <c r="E968" s="8" t="inlineStr">
        <is>
          <t>PRD-0238</t>
        </is>
      </c>
      <c r="F968" s="8" t="n">
        <v>2</v>
      </c>
      <c r="G968" s="9">
        <f>IFERROR(XLOOKUP(E968, '04_Products'!$A:$A, '04_Products'!$G:$G), 88.50)</f>
        <v/>
      </c>
      <c r="H968" s="9">
        <f>IFERROR(XLOOKUP(E968, '04_Products'!$A:$A, '04_Products'!$F:$F), 0)</f>
        <v/>
      </c>
      <c r="I968" s="9">
        <f>F968*G968</f>
        <v/>
      </c>
      <c r="J968" s="11" t="n">
        <v>0.15</v>
      </c>
      <c r="K968" s="9">
        <f>I968*J968</f>
        <v/>
      </c>
      <c r="L968" s="9">
        <f>I968-K968</f>
        <v/>
      </c>
      <c r="M968" s="9">
        <f>F968*H968</f>
        <v/>
      </c>
      <c r="N968" s="9">
        <f>L968-M968</f>
        <v/>
      </c>
      <c r="O968" s="11">
        <f>IFERROR(N968/L968, 0)</f>
        <v/>
      </c>
      <c r="P968" s="8">
        <f>YEAR(C968)</f>
        <v/>
      </c>
      <c r="Q968" s="8">
        <f>TEXT(C968, "yyyy-mm")</f>
        <v/>
      </c>
      <c r="R968" s="8" t="inlineStr">
        <is>
          <t>Direct Web</t>
        </is>
      </c>
      <c r="S968" s="8" t="inlineStr">
        <is>
          <t>REG-NA</t>
        </is>
      </c>
    </row>
    <row r="969">
      <c r="A969" s="8" t="inlineStr">
        <is>
          <t>DTL-0000975</t>
        </is>
      </c>
      <c r="B969" s="8" t="inlineStr">
        <is>
          <t>ORD-000487</t>
        </is>
      </c>
      <c r="C969" s="10" t="inlineStr">
        <is>
          <t>2023-01-14</t>
        </is>
      </c>
      <c r="D969" s="8" t="inlineStr">
        <is>
          <t>CUST-01937</t>
        </is>
      </c>
      <c r="E969" s="8" t="inlineStr">
        <is>
          <t>PRD-0348</t>
        </is>
      </c>
      <c r="F969" s="8" t="n">
        <v>1</v>
      </c>
      <c r="G969" s="9">
        <f>IFERROR(XLOOKUP(E969, '04_Products'!$A:$A, '04_Products'!$G:$G), 792.82)</f>
        <v/>
      </c>
      <c r="H969" s="9">
        <f>IFERROR(XLOOKUP(E969, '04_Products'!$A:$A, '04_Products'!$F:$F), 0)</f>
        <v/>
      </c>
      <c r="I969" s="9">
        <f>F969*G969</f>
        <v/>
      </c>
      <c r="J969" s="11" t="n">
        <v>0.2</v>
      </c>
      <c r="K969" s="9">
        <f>I969*J969</f>
        <v/>
      </c>
      <c r="L969" s="9">
        <f>I969-K969</f>
        <v/>
      </c>
      <c r="M969" s="9">
        <f>F969*H969</f>
        <v/>
      </c>
      <c r="N969" s="9">
        <f>L969-M969</f>
        <v/>
      </c>
      <c r="O969" s="11">
        <f>IFERROR(N969/L969, 0)</f>
        <v/>
      </c>
      <c r="P969" s="8">
        <f>YEAR(C969)</f>
        <v/>
      </c>
      <c r="Q969" s="8">
        <f>TEXT(C969, "yyyy-mm")</f>
        <v/>
      </c>
      <c r="R969" s="8" t="inlineStr">
        <is>
          <t>Direct Web</t>
        </is>
      </c>
      <c r="S969" s="8" t="inlineStr">
        <is>
          <t>REG-NA</t>
        </is>
      </c>
    </row>
    <row r="970">
      <c r="A970" s="8" t="inlineStr">
        <is>
          <t>DTL-0000976</t>
        </is>
      </c>
      <c r="B970" s="8" t="inlineStr">
        <is>
          <t>ORD-000488</t>
        </is>
      </c>
      <c r="C970" s="10" t="inlineStr">
        <is>
          <t>2024-11-23</t>
        </is>
      </c>
      <c r="D970" s="8" t="inlineStr">
        <is>
          <t>CUST-05306</t>
        </is>
      </c>
      <c r="E970" s="8" t="inlineStr">
        <is>
          <t>PRD-0491</t>
        </is>
      </c>
      <c r="F970" s="8" t="n">
        <v>1</v>
      </c>
      <c r="G970" s="9">
        <f>IFERROR(XLOOKUP(E970, '04_Products'!$A:$A, '04_Products'!$G:$G), 39.93)</f>
        <v/>
      </c>
      <c r="H970" s="9">
        <f>IFERROR(XLOOKUP(E970, '04_Products'!$A:$A, '04_Products'!$F:$F), 0)</f>
        <v/>
      </c>
      <c r="I970" s="9">
        <f>F970*G970</f>
        <v/>
      </c>
      <c r="J970" s="11" t="n">
        <v>0.05</v>
      </c>
      <c r="K970" s="9">
        <f>I970*J970</f>
        <v/>
      </c>
      <c r="L970" s="9">
        <f>I970-K970</f>
        <v/>
      </c>
      <c r="M970" s="9">
        <f>F970*H970</f>
        <v/>
      </c>
      <c r="N970" s="9">
        <f>L970-M970</f>
        <v/>
      </c>
      <c r="O970" s="11">
        <f>IFERROR(N970/L970, 0)</f>
        <v/>
      </c>
      <c r="P970" s="8">
        <f>YEAR(C970)</f>
        <v/>
      </c>
      <c r="Q970" s="8">
        <f>TEXT(C970, "yyyy-mm")</f>
        <v/>
      </c>
      <c r="R970" s="8" t="inlineStr">
        <is>
          <t>Affiliate Partner</t>
        </is>
      </c>
      <c r="S970" s="8" t="inlineStr">
        <is>
          <t>REG-LATAM</t>
        </is>
      </c>
    </row>
    <row r="971">
      <c r="A971" s="8" t="inlineStr">
        <is>
          <t>DTL-0000977</t>
        </is>
      </c>
      <c r="B971" s="8" t="inlineStr">
        <is>
          <t>ORD-000489</t>
        </is>
      </c>
      <c r="C971" s="10" t="inlineStr">
        <is>
          <t>2023-12-22</t>
        </is>
      </c>
      <c r="D971" s="8" t="inlineStr">
        <is>
          <t>CUST-07102</t>
        </is>
      </c>
      <c r="E971" s="8" t="inlineStr">
        <is>
          <t>PRD-0290</t>
        </is>
      </c>
      <c r="F971" s="8" t="n">
        <v>1</v>
      </c>
      <c r="G971" s="9">
        <f>IFERROR(XLOOKUP(E971, '04_Products'!$A:$A, '04_Products'!$G:$G), 404.49)</f>
        <v/>
      </c>
      <c r="H971" s="9">
        <f>IFERROR(XLOOKUP(E971, '04_Products'!$A:$A, '04_Products'!$F:$F), 0)</f>
        <v/>
      </c>
      <c r="I971" s="9">
        <f>F971*G971</f>
        <v/>
      </c>
      <c r="J971" s="11" t="n">
        <v>0.1</v>
      </c>
      <c r="K971" s="9">
        <f>I971*J971</f>
        <v/>
      </c>
      <c r="L971" s="9">
        <f>I971-K971</f>
        <v/>
      </c>
      <c r="M971" s="9">
        <f>F971*H971</f>
        <v/>
      </c>
      <c r="N971" s="9">
        <f>L971-M971</f>
        <v/>
      </c>
      <c r="O971" s="11">
        <f>IFERROR(N971/L971, 0)</f>
        <v/>
      </c>
      <c r="P971" s="8">
        <f>YEAR(C971)</f>
        <v/>
      </c>
      <c r="Q971" s="8">
        <f>TEXT(C971, "yyyy-mm")</f>
        <v/>
      </c>
      <c r="R971" s="8" t="inlineStr">
        <is>
          <t>Affiliate Partner</t>
        </is>
      </c>
      <c r="S971" s="8" t="inlineStr">
        <is>
          <t>REG-LATAM</t>
        </is>
      </c>
    </row>
    <row r="972">
      <c r="A972" s="8" t="inlineStr">
        <is>
          <t>DTL-0000981</t>
        </is>
      </c>
      <c r="B972" s="8" t="inlineStr">
        <is>
          <t>ORD-000491</t>
        </is>
      </c>
      <c r="C972" s="10" t="inlineStr">
        <is>
          <t>2023-03-20</t>
        </is>
      </c>
      <c r="D972" s="8" t="inlineStr">
        <is>
          <t>CUST-03899</t>
        </is>
      </c>
      <c r="E972" s="8" t="inlineStr">
        <is>
          <t>PRD-0189</t>
        </is>
      </c>
      <c r="F972" s="8" t="n">
        <v>1</v>
      </c>
      <c r="G972" s="9">
        <f>IFERROR(XLOOKUP(E972, '04_Products'!$A:$A, '04_Products'!$G:$G), 526.66)</f>
        <v/>
      </c>
      <c r="H972" s="9">
        <f>IFERROR(XLOOKUP(E972, '04_Products'!$A:$A, '04_Products'!$F:$F), 0)</f>
        <v/>
      </c>
      <c r="I972" s="9">
        <f>F972*G972</f>
        <v/>
      </c>
      <c r="J972" s="11" t="n">
        <v>0</v>
      </c>
      <c r="K972" s="9">
        <f>I972*J972</f>
        <v/>
      </c>
      <c r="L972" s="9">
        <f>I972-K972</f>
        <v/>
      </c>
      <c r="M972" s="9">
        <f>F972*H972</f>
        <v/>
      </c>
      <c r="N972" s="9">
        <f>L972-M972</f>
        <v/>
      </c>
      <c r="O972" s="11">
        <f>IFERROR(N972/L972, 0)</f>
        <v/>
      </c>
      <c r="P972" s="8">
        <f>YEAR(C972)</f>
        <v/>
      </c>
      <c r="Q972" s="8">
        <f>TEXT(C972, "yyyy-mm")</f>
        <v/>
      </c>
      <c r="R972" s="8" t="inlineStr">
        <is>
          <t>Mobile App</t>
        </is>
      </c>
      <c r="S972" s="8" t="inlineStr">
        <is>
          <t>REG-NA</t>
        </is>
      </c>
    </row>
    <row r="973">
      <c r="A973" s="8" t="inlineStr">
        <is>
          <t>DTL-0000982</t>
        </is>
      </c>
      <c r="B973" s="8" t="inlineStr">
        <is>
          <t>ORD-000491</t>
        </is>
      </c>
      <c r="C973" s="10" t="inlineStr">
        <is>
          <t>2023-03-20</t>
        </is>
      </c>
      <c r="D973" s="8" t="inlineStr">
        <is>
          <t>CUST-03899</t>
        </is>
      </c>
      <c r="E973" s="8" t="inlineStr">
        <is>
          <t>PRD-0184</t>
        </is>
      </c>
      <c r="F973" s="8" t="n">
        <v>2</v>
      </c>
      <c r="G973" s="9">
        <f>IFERROR(XLOOKUP(E973, '04_Products'!$A:$A, '04_Products'!$G:$G), 79.57)</f>
        <v/>
      </c>
      <c r="H973" s="9">
        <f>IFERROR(XLOOKUP(E973, '04_Products'!$A:$A, '04_Products'!$F:$F), 0)</f>
        <v/>
      </c>
      <c r="I973" s="9">
        <f>F973*G973</f>
        <v/>
      </c>
      <c r="J973" s="11" t="n">
        <v>0.1</v>
      </c>
      <c r="K973" s="9">
        <f>I973*J973</f>
        <v/>
      </c>
      <c r="L973" s="9">
        <f>I973-K973</f>
        <v/>
      </c>
      <c r="M973" s="9">
        <f>F973*H973</f>
        <v/>
      </c>
      <c r="N973" s="9">
        <f>L973-M973</f>
        <v/>
      </c>
      <c r="O973" s="11">
        <f>IFERROR(N973/L973, 0)</f>
        <v/>
      </c>
      <c r="P973" s="8">
        <f>YEAR(C973)</f>
        <v/>
      </c>
      <c r="Q973" s="8">
        <f>TEXT(C973, "yyyy-mm")</f>
        <v/>
      </c>
      <c r="R973" s="8" t="inlineStr">
        <is>
          <t>Mobile App</t>
        </is>
      </c>
      <c r="S973" s="8" t="inlineStr">
        <is>
          <t>REG-NA</t>
        </is>
      </c>
    </row>
    <row r="974">
      <c r="A974" s="8" t="inlineStr">
        <is>
          <t>DTL-0000983</t>
        </is>
      </c>
      <c r="B974" s="8" t="inlineStr">
        <is>
          <t>ORD-000492</t>
        </is>
      </c>
      <c r="C974" s="10" t="inlineStr">
        <is>
          <t>2024-01-03</t>
        </is>
      </c>
      <c r="D974" s="8" t="inlineStr">
        <is>
          <t>CUST-01486</t>
        </is>
      </c>
      <c r="E974" s="8" t="inlineStr">
        <is>
          <t>PRD-0211</t>
        </is>
      </c>
      <c r="F974" s="8" t="n">
        <v>4</v>
      </c>
      <c r="G974" s="9">
        <f>IFERROR(XLOOKUP(E974, '04_Products'!$A:$A, '04_Products'!$G:$G), 28.20)</f>
        <v/>
      </c>
      <c r="H974" s="9">
        <f>IFERROR(XLOOKUP(E974, '04_Products'!$A:$A, '04_Products'!$F:$F), 0)</f>
        <v/>
      </c>
      <c r="I974" s="9">
        <f>F974*G974</f>
        <v/>
      </c>
      <c r="J974" s="11" t="n">
        <v>0.05</v>
      </c>
      <c r="K974" s="9">
        <f>I974*J974</f>
        <v/>
      </c>
      <c r="L974" s="9">
        <f>I974-K974</f>
        <v/>
      </c>
      <c r="M974" s="9">
        <f>F974*H974</f>
        <v/>
      </c>
      <c r="N974" s="9">
        <f>L974-M974</f>
        <v/>
      </c>
      <c r="O974" s="11">
        <f>IFERROR(N974/L974, 0)</f>
        <v/>
      </c>
      <c r="P974" s="8">
        <f>YEAR(C974)</f>
        <v/>
      </c>
      <c r="Q974" s="8">
        <f>TEXT(C974, "yyyy-mm")</f>
        <v/>
      </c>
      <c r="R974" s="8" t="inlineStr">
        <is>
          <t>Mobile App</t>
        </is>
      </c>
      <c r="S974" s="8" t="inlineStr">
        <is>
          <t>REG-NA</t>
        </is>
      </c>
    </row>
    <row r="975">
      <c r="A975" s="8" t="inlineStr">
        <is>
          <t>DTL-0000984</t>
        </is>
      </c>
      <c r="B975" s="8" t="inlineStr">
        <is>
          <t>ORD-000493</t>
        </is>
      </c>
      <c r="C975" s="10" t="inlineStr">
        <is>
          <t>2024-04-02</t>
        </is>
      </c>
      <c r="D975" s="8" t="inlineStr">
        <is>
          <t>CUST-07913</t>
        </is>
      </c>
      <c r="E975" s="8" t="inlineStr">
        <is>
          <t>PRD-0397</t>
        </is>
      </c>
      <c r="F975" s="8" t="n">
        <v>1</v>
      </c>
      <c r="G975" s="9">
        <f>IFERROR(XLOOKUP(E975, '04_Products'!$A:$A, '04_Products'!$G:$G), 909.83)</f>
        <v/>
      </c>
      <c r="H975" s="9">
        <f>IFERROR(XLOOKUP(E975, '04_Products'!$A:$A, '04_Products'!$F:$F), 0)</f>
        <v/>
      </c>
      <c r="I975" s="9">
        <f>F975*G975</f>
        <v/>
      </c>
      <c r="J975" s="11" t="n">
        <v>0.05</v>
      </c>
      <c r="K975" s="9">
        <f>I975*J975</f>
        <v/>
      </c>
      <c r="L975" s="9">
        <f>I975-K975</f>
        <v/>
      </c>
      <c r="M975" s="9">
        <f>F975*H975</f>
        <v/>
      </c>
      <c r="N975" s="9">
        <f>L975-M975</f>
        <v/>
      </c>
      <c r="O975" s="11">
        <f>IFERROR(N975/L975, 0)</f>
        <v/>
      </c>
      <c r="P975" s="8">
        <f>YEAR(C975)</f>
        <v/>
      </c>
      <c r="Q975" s="8">
        <f>TEXT(C975, "yyyy-mm")</f>
        <v/>
      </c>
      <c r="R975" s="8" t="inlineStr">
        <is>
          <t>Direct Web</t>
        </is>
      </c>
      <c r="S975" s="8" t="inlineStr">
        <is>
          <t>REG-EU</t>
        </is>
      </c>
    </row>
    <row r="976">
      <c r="A976" s="8" t="inlineStr">
        <is>
          <t>DTL-0000985</t>
        </is>
      </c>
      <c r="B976" s="8" t="inlineStr">
        <is>
          <t>ORD-000493</t>
        </is>
      </c>
      <c r="C976" s="10" t="inlineStr">
        <is>
          <t>2024-04-02</t>
        </is>
      </c>
      <c r="D976" s="8" t="inlineStr">
        <is>
          <t>CUST-07913</t>
        </is>
      </c>
      <c r="E976" s="8" t="inlineStr">
        <is>
          <t>PRD-0416</t>
        </is>
      </c>
      <c r="F976" s="8" t="n">
        <v>3</v>
      </c>
      <c r="G976" s="9">
        <f>IFERROR(XLOOKUP(E976, '04_Products'!$A:$A, '04_Products'!$G:$G), 39.54)</f>
        <v/>
      </c>
      <c r="H976" s="9">
        <f>IFERROR(XLOOKUP(E976, '04_Products'!$A:$A, '04_Products'!$F:$F), 0)</f>
        <v/>
      </c>
      <c r="I976" s="9">
        <f>F976*G976</f>
        <v/>
      </c>
      <c r="J976" s="11" t="n">
        <v>0.1</v>
      </c>
      <c r="K976" s="9">
        <f>I976*J976</f>
        <v/>
      </c>
      <c r="L976" s="9">
        <f>I976-K976</f>
        <v/>
      </c>
      <c r="M976" s="9">
        <f>F976*H976</f>
        <v/>
      </c>
      <c r="N976" s="9">
        <f>L976-M976</f>
        <v/>
      </c>
      <c r="O976" s="11">
        <f>IFERROR(N976/L976, 0)</f>
        <v/>
      </c>
      <c r="P976" s="8">
        <f>YEAR(C976)</f>
        <v/>
      </c>
      <c r="Q976" s="8">
        <f>TEXT(C976, "yyyy-mm")</f>
        <v/>
      </c>
      <c r="R976" s="8" t="inlineStr">
        <is>
          <t>Direct Web</t>
        </is>
      </c>
      <c r="S976" s="8" t="inlineStr">
        <is>
          <t>REG-EU</t>
        </is>
      </c>
    </row>
    <row r="977">
      <c r="A977" s="8" t="inlineStr">
        <is>
          <t>DTL-0000986</t>
        </is>
      </c>
      <c r="B977" s="8" t="inlineStr">
        <is>
          <t>ORD-000494</t>
        </is>
      </c>
      <c r="C977" s="10" t="inlineStr">
        <is>
          <t>2024-02-27</t>
        </is>
      </c>
      <c r="D977" s="8" t="inlineStr">
        <is>
          <t>CUST-02954</t>
        </is>
      </c>
      <c r="E977" s="8" t="inlineStr">
        <is>
          <t>PRD-0432</t>
        </is>
      </c>
      <c r="F977" s="8" t="n">
        <v>2</v>
      </c>
      <c r="G977" s="9">
        <f>IFERROR(XLOOKUP(E977, '04_Products'!$A:$A, '04_Products'!$G:$G), 25.28)</f>
        <v/>
      </c>
      <c r="H977" s="9">
        <f>IFERROR(XLOOKUP(E977, '04_Products'!$A:$A, '04_Products'!$F:$F), 0)</f>
        <v/>
      </c>
      <c r="I977" s="9">
        <f>F977*G977</f>
        <v/>
      </c>
      <c r="J977" s="11" t="n">
        <v>0.15</v>
      </c>
      <c r="K977" s="9">
        <f>I977*J977</f>
        <v/>
      </c>
      <c r="L977" s="9">
        <f>I977-K977</f>
        <v/>
      </c>
      <c r="M977" s="9">
        <f>F977*H977</f>
        <v/>
      </c>
      <c r="N977" s="9">
        <f>L977-M977</f>
        <v/>
      </c>
      <c r="O977" s="11">
        <f>IFERROR(N977/L977, 0)</f>
        <v/>
      </c>
      <c r="P977" s="8">
        <f>YEAR(C977)</f>
        <v/>
      </c>
      <c r="Q977" s="8">
        <f>TEXT(C977, "yyyy-mm")</f>
        <v/>
      </c>
      <c r="R977" s="8" t="inlineStr">
        <is>
          <t>Direct Web</t>
        </is>
      </c>
      <c r="S977" s="8" t="inlineStr">
        <is>
          <t>REG-EU</t>
        </is>
      </c>
    </row>
    <row r="978">
      <c r="A978" s="8" t="inlineStr">
        <is>
          <t>DTL-0000987</t>
        </is>
      </c>
      <c r="B978" s="8" t="inlineStr">
        <is>
          <t>ORD-000495</t>
        </is>
      </c>
      <c r="C978" s="10" t="inlineStr">
        <is>
          <t>2024-02-21</t>
        </is>
      </c>
      <c r="D978" s="8" t="inlineStr">
        <is>
          <t>CUST-04592</t>
        </is>
      </c>
      <c r="E978" s="8" t="inlineStr">
        <is>
          <t>PRD-0251</t>
        </is>
      </c>
      <c r="F978" s="8" t="n">
        <v>2</v>
      </c>
      <c r="G978" s="9">
        <f>IFERROR(XLOOKUP(E978, '04_Products'!$A:$A, '04_Products'!$G:$G), 314.05)</f>
        <v/>
      </c>
      <c r="H978" s="9">
        <f>IFERROR(XLOOKUP(E978, '04_Products'!$A:$A, '04_Products'!$F:$F), 0)</f>
        <v/>
      </c>
      <c r="I978" s="9">
        <f>F978*G978</f>
        <v/>
      </c>
      <c r="J978" s="11" t="n">
        <v>0</v>
      </c>
      <c r="K978" s="9">
        <f>I978*J978</f>
        <v/>
      </c>
      <c r="L978" s="9">
        <f>I978-K978</f>
        <v/>
      </c>
      <c r="M978" s="9">
        <f>F978*H978</f>
        <v/>
      </c>
      <c r="N978" s="9">
        <f>L978-M978</f>
        <v/>
      </c>
      <c r="O978" s="11">
        <f>IFERROR(N978/L978, 0)</f>
        <v/>
      </c>
      <c r="P978" s="8">
        <f>YEAR(C978)</f>
        <v/>
      </c>
      <c r="Q978" s="8">
        <f>TEXT(C978, "yyyy-mm")</f>
        <v/>
      </c>
      <c r="R978" s="8" t="inlineStr">
        <is>
          <t>Direct Web</t>
        </is>
      </c>
      <c r="S978" s="8" t="inlineStr">
        <is>
          <t>REG-LATAM</t>
        </is>
      </c>
    </row>
    <row r="979">
      <c r="A979" s="8" t="inlineStr">
        <is>
          <t>DTL-0000988</t>
        </is>
      </c>
      <c r="B979" s="8" t="inlineStr">
        <is>
          <t>ORD-000496</t>
        </is>
      </c>
      <c r="C979" s="10" t="inlineStr">
        <is>
          <t>2025-12-12</t>
        </is>
      </c>
      <c r="D979" s="8" t="inlineStr">
        <is>
          <t>CUST-07529</t>
        </is>
      </c>
      <c r="E979" s="8" t="inlineStr">
        <is>
          <t>PRD-0220</t>
        </is>
      </c>
      <c r="F979" s="8" t="n">
        <v>2</v>
      </c>
      <c r="G979" s="9">
        <f>IFERROR(XLOOKUP(E979, '04_Products'!$A:$A, '04_Products'!$G:$G), 472.50)</f>
        <v/>
      </c>
      <c r="H979" s="9">
        <f>IFERROR(XLOOKUP(E979, '04_Products'!$A:$A, '04_Products'!$F:$F), 0)</f>
        <v/>
      </c>
      <c r="I979" s="9">
        <f>F979*G979</f>
        <v/>
      </c>
      <c r="J979" s="11" t="n">
        <v>0.1</v>
      </c>
      <c r="K979" s="9">
        <f>I979*J979</f>
        <v/>
      </c>
      <c r="L979" s="9">
        <f>I979-K979</f>
        <v/>
      </c>
      <c r="M979" s="9">
        <f>F979*H979</f>
        <v/>
      </c>
      <c r="N979" s="9">
        <f>L979-M979</f>
        <v/>
      </c>
      <c r="O979" s="11">
        <f>IFERROR(N979/L979, 0)</f>
        <v/>
      </c>
      <c r="P979" s="8">
        <f>YEAR(C979)</f>
        <v/>
      </c>
      <c r="Q979" s="8">
        <f>TEXT(C979, "yyyy-mm")</f>
        <v/>
      </c>
      <c r="R979" s="8" t="inlineStr">
        <is>
          <t>Mobile App</t>
        </is>
      </c>
      <c r="S979" s="8" t="inlineStr">
        <is>
          <t>REG-APAC</t>
        </is>
      </c>
    </row>
    <row r="980">
      <c r="A980" s="8" t="inlineStr">
        <is>
          <t>DTL-0000989</t>
        </is>
      </c>
      <c r="B980" s="8" t="inlineStr">
        <is>
          <t>ORD-000496</t>
        </is>
      </c>
      <c r="C980" s="10" t="inlineStr">
        <is>
          <t>2025-12-12</t>
        </is>
      </c>
      <c r="D980" s="8" t="inlineStr">
        <is>
          <t>CUST-07529</t>
        </is>
      </c>
      <c r="E980" s="8" t="inlineStr">
        <is>
          <t>PRD-0132</t>
        </is>
      </c>
      <c r="F980" s="8" t="n">
        <v>2</v>
      </c>
      <c r="G980" s="9">
        <f>IFERROR(XLOOKUP(E980, '04_Products'!$A:$A, '04_Products'!$G:$G), 792.09)</f>
        <v/>
      </c>
      <c r="H980" s="9">
        <f>IFERROR(XLOOKUP(E980, '04_Products'!$A:$A, '04_Products'!$F:$F), 0)</f>
        <v/>
      </c>
      <c r="I980" s="9">
        <f>F980*G980</f>
        <v/>
      </c>
      <c r="J980" s="11" t="n">
        <v>0.05</v>
      </c>
      <c r="K980" s="9">
        <f>I980*J980</f>
        <v/>
      </c>
      <c r="L980" s="9">
        <f>I980-K980</f>
        <v/>
      </c>
      <c r="M980" s="9">
        <f>F980*H980</f>
        <v/>
      </c>
      <c r="N980" s="9">
        <f>L980-M980</f>
        <v/>
      </c>
      <c r="O980" s="11">
        <f>IFERROR(N980/L980, 0)</f>
        <v/>
      </c>
      <c r="P980" s="8">
        <f>YEAR(C980)</f>
        <v/>
      </c>
      <c r="Q980" s="8">
        <f>TEXT(C980, "yyyy-mm")</f>
        <v/>
      </c>
      <c r="R980" s="8" t="inlineStr">
        <is>
          <t>Mobile App</t>
        </is>
      </c>
      <c r="S980" s="8" t="inlineStr">
        <is>
          <t>REG-APAC</t>
        </is>
      </c>
    </row>
    <row r="981">
      <c r="A981" s="8" t="inlineStr">
        <is>
          <t>DTL-0000990</t>
        </is>
      </c>
      <c r="B981" s="8" t="inlineStr">
        <is>
          <t>ORD-000497</t>
        </is>
      </c>
      <c r="C981" s="10" t="inlineStr">
        <is>
          <t>2024-11-04</t>
        </is>
      </c>
      <c r="D981" s="8" t="inlineStr">
        <is>
          <t>CUST-00891</t>
        </is>
      </c>
      <c r="E981" s="8" t="inlineStr">
        <is>
          <t>PRD-0112</t>
        </is>
      </c>
      <c r="F981" s="8" t="n">
        <v>1</v>
      </c>
      <c r="G981" s="9">
        <f>IFERROR(XLOOKUP(E981, '04_Products'!$A:$A, '04_Products'!$G:$G), 54.82)</f>
        <v/>
      </c>
      <c r="H981" s="9">
        <f>IFERROR(XLOOKUP(E981, '04_Products'!$A:$A, '04_Products'!$F:$F), 0)</f>
        <v/>
      </c>
      <c r="I981" s="9">
        <f>F981*G981</f>
        <v/>
      </c>
      <c r="J981" s="11" t="n">
        <v>0.05</v>
      </c>
      <c r="K981" s="9">
        <f>I981*J981</f>
        <v/>
      </c>
      <c r="L981" s="9">
        <f>I981-K981</f>
        <v/>
      </c>
      <c r="M981" s="9">
        <f>F981*H981</f>
        <v/>
      </c>
      <c r="N981" s="9">
        <f>L981-M981</f>
        <v/>
      </c>
      <c r="O981" s="11">
        <f>IFERROR(N981/L981, 0)</f>
        <v/>
      </c>
      <c r="P981" s="8">
        <f>YEAR(C981)</f>
        <v/>
      </c>
      <c r="Q981" s="8">
        <f>TEXT(C981, "yyyy-mm")</f>
        <v/>
      </c>
      <c r="R981" s="8" t="inlineStr">
        <is>
          <t>Direct Web</t>
        </is>
      </c>
      <c r="S981" s="8" t="inlineStr">
        <is>
          <t>REG-NA</t>
        </is>
      </c>
    </row>
    <row r="982">
      <c r="A982" s="8" t="inlineStr">
        <is>
          <t>DTL-0000991</t>
        </is>
      </c>
      <c r="B982" s="8" t="inlineStr">
        <is>
          <t>ORD-000497</t>
        </is>
      </c>
      <c r="C982" s="10" t="inlineStr">
        <is>
          <t>2024-11-04</t>
        </is>
      </c>
      <c r="D982" s="8" t="inlineStr">
        <is>
          <t>CUST-00891</t>
        </is>
      </c>
      <c r="E982" s="8" t="inlineStr">
        <is>
          <t>PRD-0280</t>
        </is>
      </c>
      <c r="F982" s="8" t="n">
        <v>4</v>
      </c>
      <c r="G982" s="9">
        <f>IFERROR(XLOOKUP(E982, '04_Products'!$A:$A, '04_Products'!$G:$G), 408.85)</f>
        <v/>
      </c>
      <c r="H982" s="9">
        <f>IFERROR(XLOOKUP(E982, '04_Products'!$A:$A, '04_Products'!$F:$F), 0)</f>
        <v/>
      </c>
      <c r="I982" s="9">
        <f>F982*G982</f>
        <v/>
      </c>
      <c r="J982" s="11" t="n">
        <v>0.1</v>
      </c>
      <c r="K982" s="9">
        <f>I982*J982</f>
        <v/>
      </c>
      <c r="L982" s="9">
        <f>I982-K982</f>
        <v/>
      </c>
      <c r="M982" s="9">
        <f>F982*H982</f>
        <v/>
      </c>
      <c r="N982" s="9">
        <f>L982-M982</f>
        <v/>
      </c>
      <c r="O982" s="11">
        <f>IFERROR(N982/L982, 0)</f>
        <v/>
      </c>
      <c r="P982" s="8">
        <f>YEAR(C982)</f>
        <v/>
      </c>
      <c r="Q982" s="8">
        <f>TEXT(C982, "yyyy-mm")</f>
        <v/>
      </c>
      <c r="R982" s="8" t="inlineStr">
        <is>
          <t>Direct Web</t>
        </is>
      </c>
      <c r="S982" s="8" t="inlineStr">
        <is>
          <t>REG-NA</t>
        </is>
      </c>
    </row>
    <row r="983">
      <c r="A983" s="8" t="inlineStr">
        <is>
          <t>DTL-0000992</t>
        </is>
      </c>
      <c r="B983" s="8" t="inlineStr">
        <is>
          <t>ORD-000498</t>
        </is>
      </c>
      <c r="C983" s="10" t="inlineStr">
        <is>
          <t>2024-07-18</t>
        </is>
      </c>
      <c r="D983" s="8" t="inlineStr">
        <is>
          <t>CUST-06947</t>
        </is>
      </c>
      <c r="E983" s="8" t="inlineStr">
        <is>
          <t>PRD-0025</t>
        </is>
      </c>
      <c r="F983" s="8" t="n">
        <v>4</v>
      </c>
      <c r="G983" s="9">
        <f>IFERROR(XLOOKUP(E983, '04_Products'!$A:$A, '04_Products'!$G:$G), 537.57)</f>
        <v/>
      </c>
      <c r="H983" s="9">
        <f>IFERROR(XLOOKUP(E983, '04_Products'!$A:$A, '04_Products'!$F:$F), 0)</f>
        <v/>
      </c>
      <c r="I983" s="9">
        <f>F983*G983</f>
        <v/>
      </c>
      <c r="J983" s="11" t="n">
        <v>0</v>
      </c>
      <c r="K983" s="9">
        <f>I983*J983</f>
        <v/>
      </c>
      <c r="L983" s="9">
        <f>I983-K983</f>
        <v/>
      </c>
      <c r="M983" s="9">
        <f>F983*H983</f>
        <v/>
      </c>
      <c r="N983" s="9">
        <f>L983-M983</f>
        <v/>
      </c>
      <c r="O983" s="11">
        <f>IFERROR(N983/L983, 0)</f>
        <v/>
      </c>
      <c r="P983" s="8">
        <f>YEAR(C983)</f>
        <v/>
      </c>
      <c r="Q983" s="8">
        <f>TEXT(C983, "yyyy-mm")</f>
        <v/>
      </c>
      <c r="R983" s="8" t="inlineStr">
        <is>
          <t>Direct Web</t>
        </is>
      </c>
      <c r="S983" s="8" t="inlineStr">
        <is>
          <t>REG-NA</t>
        </is>
      </c>
    </row>
    <row r="984">
      <c r="A984" s="8" t="inlineStr">
        <is>
          <t>DTL-0000993</t>
        </is>
      </c>
      <c r="B984" s="8" t="inlineStr">
        <is>
          <t>ORD-000499</t>
        </is>
      </c>
      <c r="C984" s="10" t="inlineStr">
        <is>
          <t>2025-11-21</t>
        </is>
      </c>
      <c r="D984" s="8" t="inlineStr">
        <is>
          <t>CUST-00598</t>
        </is>
      </c>
      <c r="E984" s="8" t="inlineStr">
        <is>
          <t>PRD-0371</t>
        </is>
      </c>
      <c r="F984" s="8" t="n">
        <v>1</v>
      </c>
      <c r="G984" s="9">
        <f>IFERROR(XLOOKUP(E984, '04_Products'!$A:$A, '04_Products'!$G:$G), 41.78)</f>
        <v/>
      </c>
      <c r="H984" s="9">
        <f>IFERROR(XLOOKUP(E984, '04_Products'!$A:$A, '04_Products'!$F:$F), 0)</f>
        <v/>
      </c>
      <c r="I984" s="9">
        <f>F984*G984</f>
        <v/>
      </c>
      <c r="J984" s="11" t="n">
        <v>0.1</v>
      </c>
      <c r="K984" s="9">
        <f>I984*J984</f>
        <v/>
      </c>
      <c r="L984" s="9">
        <f>I984-K984</f>
        <v/>
      </c>
      <c r="M984" s="9">
        <f>F984*H984</f>
        <v/>
      </c>
      <c r="N984" s="9">
        <f>L984-M984</f>
        <v/>
      </c>
      <c r="O984" s="11">
        <f>IFERROR(N984/L984, 0)</f>
        <v/>
      </c>
      <c r="P984" s="8">
        <f>YEAR(C984)</f>
        <v/>
      </c>
      <c r="Q984" s="8">
        <f>TEXT(C984, "yyyy-mm")</f>
        <v/>
      </c>
      <c r="R984" s="8" t="inlineStr">
        <is>
          <t>Direct Web</t>
        </is>
      </c>
      <c r="S984" s="8" t="inlineStr">
        <is>
          <t>REG-APAC</t>
        </is>
      </c>
    </row>
    <row r="985">
      <c r="A985" s="8" t="inlineStr">
        <is>
          <t>DTL-0000994</t>
        </is>
      </c>
      <c r="B985" s="8" t="inlineStr">
        <is>
          <t>ORD-000499</t>
        </is>
      </c>
      <c r="C985" s="10" t="inlineStr">
        <is>
          <t>2025-11-21</t>
        </is>
      </c>
      <c r="D985" s="8" t="inlineStr">
        <is>
          <t>CUST-00598</t>
        </is>
      </c>
      <c r="E985" s="8" t="inlineStr">
        <is>
          <t>PRD-0343</t>
        </is>
      </c>
      <c r="F985" s="8" t="n">
        <v>5</v>
      </c>
      <c r="G985" s="9">
        <f>IFERROR(XLOOKUP(E985, '04_Products'!$A:$A, '04_Products'!$G:$G), 52.81)</f>
        <v/>
      </c>
      <c r="H985" s="9">
        <f>IFERROR(XLOOKUP(E985, '04_Products'!$A:$A, '04_Products'!$F:$F), 0)</f>
        <v/>
      </c>
      <c r="I985" s="9">
        <f>F985*G985</f>
        <v/>
      </c>
      <c r="J985" s="11" t="n">
        <v>0.05</v>
      </c>
      <c r="K985" s="9">
        <f>I985*J985</f>
        <v/>
      </c>
      <c r="L985" s="9">
        <f>I985-K985</f>
        <v/>
      </c>
      <c r="M985" s="9">
        <f>F985*H985</f>
        <v/>
      </c>
      <c r="N985" s="9">
        <f>L985-M985</f>
        <v/>
      </c>
      <c r="O985" s="11">
        <f>IFERROR(N985/L985, 0)</f>
        <v/>
      </c>
      <c r="P985" s="8">
        <f>YEAR(C985)</f>
        <v/>
      </c>
      <c r="Q985" s="8">
        <f>TEXT(C985, "yyyy-mm")</f>
        <v/>
      </c>
      <c r="R985" s="8" t="inlineStr">
        <is>
          <t>Direct Web</t>
        </is>
      </c>
      <c r="S985" s="8" t="inlineStr">
        <is>
          <t>REG-APAC</t>
        </is>
      </c>
    </row>
    <row r="986">
      <c r="A986" s="8" t="inlineStr">
        <is>
          <t>DTL-0000995</t>
        </is>
      </c>
      <c r="B986" s="8" t="inlineStr">
        <is>
          <t>ORD-000500</t>
        </is>
      </c>
      <c r="C986" s="10" t="inlineStr">
        <is>
          <t>2025-07-27</t>
        </is>
      </c>
      <c r="D986" s="8" t="inlineStr">
        <is>
          <t>CUST-05668</t>
        </is>
      </c>
      <c r="E986" s="8" t="inlineStr">
        <is>
          <t>PRD-0481</t>
        </is>
      </c>
      <c r="F986" s="8" t="n">
        <v>2</v>
      </c>
      <c r="G986" s="9">
        <f>IFERROR(XLOOKUP(E986, '04_Products'!$A:$A, '04_Products'!$G:$G), 143.11)</f>
        <v/>
      </c>
      <c r="H986" s="9">
        <f>IFERROR(XLOOKUP(E986, '04_Products'!$A:$A, '04_Products'!$F:$F), 0)</f>
        <v/>
      </c>
      <c r="I986" s="9">
        <f>F986*G986</f>
        <v/>
      </c>
      <c r="J986" s="11" t="n">
        <v>0.05</v>
      </c>
      <c r="K986" s="9">
        <f>I986*J986</f>
        <v/>
      </c>
      <c r="L986" s="9">
        <f>I986-K986</f>
        <v/>
      </c>
      <c r="M986" s="9">
        <f>F986*H986</f>
        <v/>
      </c>
      <c r="N986" s="9">
        <f>L986-M986</f>
        <v/>
      </c>
      <c r="O986" s="11">
        <f>IFERROR(N986/L986, 0)</f>
        <v/>
      </c>
      <c r="P986" s="8">
        <f>YEAR(C986)</f>
        <v/>
      </c>
      <c r="Q986" s="8">
        <f>TEXT(C986, "yyyy-mm")</f>
        <v/>
      </c>
      <c r="R986" s="8" t="inlineStr">
        <is>
          <t>Direct Web</t>
        </is>
      </c>
      <c r="S986" s="8" t="inlineStr">
        <is>
          <t>REG-NA</t>
        </is>
      </c>
    </row>
    <row r="987">
      <c r="A987" s="8" t="inlineStr">
        <is>
          <t>DTL-0000996</t>
        </is>
      </c>
      <c r="B987" s="8" t="inlineStr">
        <is>
          <t>ORD-000501</t>
        </is>
      </c>
      <c r="C987" s="10" t="inlineStr">
        <is>
          <t>2023-12-16</t>
        </is>
      </c>
      <c r="D987" s="8" t="inlineStr">
        <is>
          <t>CUST-01962</t>
        </is>
      </c>
      <c r="E987" s="8" t="inlineStr">
        <is>
          <t>PRD-0008</t>
        </is>
      </c>
      <c r="F987" s="8" t="n">
        <v>1</v>
      </c>
      <c r="G987" s="9">
        <f>IFERROR(XLOOKUP(E987, '04_Products'!$A:$A, '04_Products'!$G:$G), 323.49)</f>
        <v/>
      </c>
      <c r="H987" s="9">
        <f>IFERROR(XLOOKUP(E987, '04_Products'!$A:$A, '04_Products'!$F:$F), 0)</f>
        <v/>
      </c>
      <c r="I987" s="9">
        <f>F987*G987</f>
        <v/>
      </c>
      <c r="J987" s="11" t="n">
        <v>0.05</v>
      </c>
      <c r="K987" s="9">
        <f>I987*J987</f>
        <v/>
      </c>
      <c r="L987" s="9">
        <f>I987-K987</f>
        <v/>
      </c>
      <c r="M987" s="9">
        <f>F987*H987</f>
        <v/>
      </c>
      <c r="N987" s="9">
        <f>L987-M987</f>
        <v/>
      </c>
      <c r="O987" s="11">
        <f>IFERROR(N987/L987, 0)</f>
        <v/>
      </c>
      <c r="P987" s="8">
        <f>YEAR(C987)</f>
        <v/>
      </c>
      <c r="Q987" s="8">
        <f>TEXT(C987, "yyyy-mm")</f>
        <v/>
      </c>
      <c r="R987" s="8" t="inlineStr">
        <is>
          <t>Direct Web</t>
        </is>
      </c>
      <c r="S987" s="8" t="inlineStr">
        <is>
          <t>REG-EU</t>
        </is>
      </c>
    </row>
    <row r="988">
      <c r="A988" s="8" t="inlineStr">
        <is>
          <t>DTL-0000997</t>
        </is>
      </c>
      <c r="B988" s="8" t="inlineStr">
        <is>
          <t>ORD-000502</t>
        </is>
      </c>
      <c r="C988" s="10" t="inlineStr">
        <is>
          <t>2024-11-20</t>
        </is>
      </c>
      <c r="D988" s="8" t="inlineStr">
        <is>
          <t>CUST-01707</t>
        </is>
      </c>
      <c r="E988" s="8" t="inlineStr">
        <is>
          <t>PRD-0491</t>
        </is>
      </c>
      <c r="F988" s="8" t="n">
        <v>2</v>
      </c>
      <c r="G988" s="9">
        <f>IFERROR(XLOOKUP(E988, '04_Products'!$A:$A, '04_Products'!$G:$G), 39.93)</f>
        <v/>
      </c>
      <c r="H988" s="9">
        <f>IFERROR(XLOOKUP(E988, '04_Products'!$A:$A, '04_Products'!$F:$F), 0)</f>
        <v/>
      </c>
      <c r="I988" s="9">
        <f>F988*G988</f>
        <v/>
      </c>
      <c r="J988" s="11" t="n">
        <v>0.15</v>
      </c>
      <c r="K988" s="9">
        <f>I988*J988</f>
        <v/>
      </c>
      <c r="L988" s="9">
        <f>I988-K988</f>
        <v/>
      </c>
      <c r="M988" s="9">
        <f>F988*H988</f>
        <v/>
      </c>
      <c r="N988" s="9">
        <f>L988-M988</f>
        <v/>
      </c>
      <c r="O988" s="11">
        <f>IFERROR(N988/L988, 0)</f>
        <v/>
      </c>
      <c r="P988" s="8">
        <f>YEAR(C988)</f>
        <v/>
      </c>
      <c r="Q988" s="8">
        <f>TEXT(C988, "yyyy-mm")</f>
        <v/>
      </c>
      <c r="R988" s="8" t="inlineStr">
        <is>
          <t>Direct Web</t>
        </is>
      </c>
      <c r="S988" s="8" t="inlineStr">
        <is>
          <t>REG-NA</t>
        </is>
      </c>
    </row>
    <row r="989">
      <c r="A989" s="8" t="inlineStr">
        <is>
          <t>DTL-0000998</t>
        </is>
      </c>
      <c r="B989" s="8" t="inlineStr">
        <is>
          <t>ORD-000502</t>
        </is>
      </c>
      <c r="C989" s="10" t="inlineStr">
        <is>
          <t>2024-11-20</t>
        </is>
      </c>
      <c r="D989" s="8" t="inlineStr">
        <is>
          <t>CUST-01707</t>
        </is>
      </c>
      <c r="E989" s="8" t="inlineStr">
        <is>
          <t>PRD-0318</t>
        </is>
      </c>
      <c r="F989" s="8" t="n">
        <v>8</v>
      </c>
      <c r="G989" s="9">
        <f>IFERROR(XLOOKUP(E989, '04_Products'!$A:$A, '04_Products'!$G:$G), 130.98)</f>
        <v/>
      </c>
      <c r="H989" s="9">
        <f>IFERROR(XLOOKUP(E989, '04_Products'!$A:$A, '04_Products'!$F:$F), 0)</f>
        <v/>
      </c>
      <c r="I989" s="9">
        <f>F989*G989</f>
        <v/>
      </c>
      <c r="J989" s="11" t="n">
        <v>0.15</v>
      </c>
      <c r="K989" s="9">
        <f>I989*J989</f>
        <v/>
      </c>
      <c r="L989" s="9">
        <f>I989-K989</f>
        <v/>
      </c>
      <c r="M989" s="9">
        <f>F989*H989</f>
        <v/>
      </c>
      <c r="N989" s="9">
        <f>L989-M989</f>
        <v/>
      </c>
      <c r="O989" s="11">
        <f>IFERROR(N989/L989, 0)</f>
        <v/>
      </c>
      <c r="P989" s="8">
        <f>YEAR(C989)</f>
        <v/>
      </c>
      <c r="Q989" s="8">
        <f>TEXT(C989, "yyyy-mm")</f>
        <v/>
      </c>
      <c r="R989" s="8" t="inlineStr">
        <is>
          <t>Direct Web</t>
        </is>
      </c>
      <c r="S989" s="8" t="inlineStr">
        <is>
          <t>REG-NA</t>
        </is>
      </c>
    </row>
    <row r="990">
      <c r="A990" s="8" t="inlineStr">
        <is>
          <t>DTL-0000999</t>
        </is>
      </c>
      <c r="B990" s="8" t="inlineStr">
        <is>
          <t>ORD-000503</t>
        </is>
      </c>
      <c r="C990" s="10" t="inlineStr">
        <is>
          <t>2024-11-02</t>
        </is>
      </c>
      <c r="D990" s="8" t="inlineStr">
        <is>
          <t>CUST-06482</t>
        </is>
      </c>
      <c r="E990" s="8" t="inlineStr">
        <is>
          <t>PRD-0085</t>
        </is>
      </c>
      <c r="F990" s="8" t="n">
        <v>1</v>
      </c>
      <c r="G990" s="9">
        <f>IFERROR(XLOOKUP(E990, '04_Products'!$A:$A, '04_Products'!$G:$G), 202.10)</f>
        <v/>
      </c>
      <c r="H990" s="9">
        <f>IFERROR(XLOOKUP(E990, '04_Products'!$A:$A, '04_Products'!$F:$F), 0)</f>
        <v/>
      </c>
      <c r="I990" s="9">
        <f>F990*G990</f>
        <v/>
      </c>
      <c r="J990" s="11" t="n">
        <v>0.1</v>
      </c>
      <c r="K990" s="9">
        <f>I990*J990</f>
        <v/>
      </c>
      <c r="L990" s="9">
        <f>I990-K990</f>
        <v/>
      </c>
      <c r="M990" s="9">
        <f>F990*H990</f>
        <v/>
      </c>
      <c r="N990" s="9">
        <f>L990-M990</f>
        <v/>
      </c>
      <c r="O990" s="11">
        <f>IFERROR(N990/L990, 0)</f>
        <v/>
      </c>
      <c r="P990" s="8">
        <f>YEAR(C990)</f>
        <v/>
      </c>
      <c r="Q990" s="8">
        <f>TEXT(C990, "yyyy-mm")</f>
        <v/>
      </c>
      <c r="R990" s="8" t="inlineStr">
        <is>
          <t>B2B Portal</t>
        </is>
      </c>
      <c r="S990" s="8" t="inlineStr">
        <is>
          <t>REG-NA</t>
        </is>
      </c>
    </row>
    <row r="991">
      <c r="A991" s="8" t="inlineStr">
        <is>
          <t>DTL-0001000</t>
        </is>
      </c>
      <c r="B991" s="8" t="inlineStr">
        <is>
          <t>ORD-000504</t>
        </is>
      </c>
      <c r="C991" s="10" t="inlineStr">
        <is>
          <t>2023-11-21</t>
        </is>
      </c>
      <c r="D991" s="8" t="inlineStr">
        <is>
          <t>CUST-04696</t>
        </is>
      </c>
      <c r="E991" s="8" t="inlineStr">
        <is>
          <t>PRD-0469</t>
        </is>
      </c>
      <c r="F991" s="8" t="n">
        <v>8</v>
      </c>
      <c r="G991" s="9">
        <f>IFERROR(XLOOKUP(E991, '04_Products'!$A:$A, '04_Products'!$G:$G), 892.14)</f>
        <v/>
      </c>
      <c r="H991" s="9">
        <f>IFERROR(XLOOKUP(E991, '04_Products'!$A:$A, '04_Products'!$F:$F), 0)</f>
        <v/>
      </c>
      <c r="I991" s="9">
        <f>F991*G991</f>
        <v/>
      </c>
      <c r="J991" s="11" t="n">
        <v>0.05</v>
      </c>
      <c r="K991" s="9">
        <f>I991*J991</f>
        <v/>
      </c>
      <c r="L991" s="9">
        <f>I991-K991</f>
        <v/>
      </c>
      <c r="M991" s="9">
        <f>F991*H991</f>
        <v/>
      </c>
      <c r="N991" s="9">
        <f>L991-M991</f>
        <v/>
      </c>
      <c r="O991" s="11">
        <f>IFERROR(N991/L991, 0)</f>
        <v/>
      </c>
      <c r="P991" s="8">
        <f>YEAR(C991)</f>
        <v/>
      </c>
      <c r="Q991" s="8">
        <f>TEXT(C991, "yyyy-mm")</f>
        <v/>
      </c>
      <c r="R991" s="8" t="inlineStr">
        <is>
          <t>Mobile App</t>
        </is>
      </c>
      <c r="S991" s="8" t="inlineStr">
        <is>
          <t>REG-NA</t>
        </is>
      </c>
    </row>
    <row r="992">
      <c r="A992" s="8" t="inlineStr">
        <is>
          <t>DTL-0001001</t>
        </is>
      </c>
      <c r="B992" s="8" t="inlineStr">
        <is>
          <t>ORD-000505</t>
        </is>
      </c>
      <c r="C992" s="10" t="inlineStr">
        <is>
          <t>2024-08-16</t>
        </is>
      </c>
      <c r="D992" s="8" t="inlineStr">
        <is>
          <t>CUST-05188</t>
        </is>
      </c>
      <c r="E992" s="8" t="inlineStr">
        <is>
          <t>PRD-0307</t>
        </is>
      </c>
      <c r="F992" s="8" t="n">
        <v>1</v>
      </c>
      <c r="G992" s="9">
        <f>IFERROR(XLOOKUP(E992, '04_Products'!$A:$A, '04_Products'!$G:$G), 762.88)</f>
        <v/>
      </c>
      <c r="H992" s="9">
        <f>IFERROR(XLOOKUP(E992, '04_Products'!$A:$A, '04_Products'!$F:$F), 0)</f>
        <v/>
      </c>
      <c r="I992" s="9">
        <f>F992*G992</f>
        <v/>
      </c>
      <c r="J992" s="11" t="n">
        <v>0.1</v>
      </c>
      <c r="K992" s="9">
        <f>I992*J992</f>
        <v/>
      </c>
      <c r="L992" s="9">
        <f>I992-K992</f>
        <v/>
      </c>
      <c r="M992" s="9">
        <f>F992*H992</f>
        <v/>
      </c>
      <c r="N992" s="9">
        <f>L992-M992</f>
        <v/>
      </c>
      <c r="O992" s="11">
        <f>IFERROR(N992/L992, 0)</f>
        <v/>
      </c>
      <c r="P992" s="8">
        <f>YEAR(C992)</f>
        <v/>
      </c>
      <c r="Q992" s="8">
        <f>TEXT(C992, "yyyy-mm")</f>
        <v/>
      </c>
      <c r="R992" s="8" t="inlineStr">
        <is>
          <t>Mobile App</t>
        </is>
      </c>
      <c r="S992" s="8" t="inlineStr">
        <is>
          <t>REG-APAC</t>
        </is>
      </c>
    </row>
    <row r="993">
      <c r="A993" s="8" t="inlineStr">
        <is>
          <t>DTL-0001002</t>
        </is>
      </c>
      <c r="B993" s="8" t="inlineStr">
        <is>
          <t>ORD-000506</t>
        </is>
      </c>
      <c r="C993" s="10" t="inlineStr">
        <is>
          <t>2025-06-10</t>
        </is>
      </c>
      <c r="D993" s="8" t="inlineStr">
        <is>
          <t>CUST-04879</t>
        </is>
      </c>
      <c r="E993" s="8" t="inlineStr">
        <is>
          <t>PRD-0167</t>
        </is>
      </c>
      <c r="F993" s="8" t="n">
        <v>1</v>
      </c>
      <c r="G993" s="9">
        <f>IFERROR(XLOOKUP(E993, '04_Products'!$A:$A, '04_Products'!$G:$G), 606.81)</f>
        <v/>
      </c>
      <c r="H993" s="9">
        <f>IFERROR(XLOOKUP(E993, '04_Products'!$A:$A, '04_Products'!$F:$F), 0)</f>
        <v/>
      </c>
      <c r="I993" s="9">
        <f>F993*G993</f>
        <v/>
      </c>
      <c r="J993" s="11" t="n">
        <v>0.1</v>
      </c>
      <c r="K993" s="9">
        <f>I993*J993</f>
        <v/>
      </c>
      <c r="L993" s="9">
        <f>I993-K993</f>
        <v/>
      </c>
      <c r="M993" s="9">
        <f>F993*H993</f>
        <v/>
      </c>
      <c r="N993" s="9">
        <f>L993-M993</f>
        <v/>
      </c>
      <c r="O993" s="11">
        <f>IFERROR(N993/L993, 0)</f>
        <v/>
      </c>
      <c r="P993" s="8">
        <f>YEAR(C993)</f>
        <v/>
      </c>
      <c r="Q993" s="8">
        <f>TEXT(C993, "yyyy-mm")</f>
        <v/>
      </c>
      <c r="R993" s="8" t="inlineStr">
        <is>
          <t>Mobile App</t>
        </is>
      </c>
      <c r="S993" s="8" t="inlineStr">
        <is>
          <t>REG-EU</t>
        </is>
      </c>
    </row>
    <row r="994">
      <c r="A994" s="8" t="inlineStr">
        <is>
          <t>DTL-0001003</t>
        </is>
      </c>
      <c r="B994" s="8" t="inlineStr">
        <is>
          <t>ORD-000506</t>
        </is>
      </c>
      <c r="C994" s="10" t="inlineStr">
        <is>
          <t>2025-06-10</t>
        </is>
      </c>
      <c r="D994" s="8" t="inlineStr">
        <is>
          <t>CUST-04879</t>
        </is>
      </c>
      <c r="E994" s="8" t="inlineStr">
        <is>
          <t>PRD-0290</t>
        </is>
      </c>
      <c r="F994" s="8" t="n">
        <v>1</v>
      </c>
      <c r="G994" s="9">
        <f>IFERROR(XLOOKUP(E994, '04_Products'!$A:$A, '04_Products'!$G:$G), 404.49)</f>
        <v/>
      </c>
      <c r="H994" s="9">
        <f>IFERROR(XLOOKUP(E994, '04_Products'!$A:$A, '04_Products'!$F:$F), 0)</f>
        <v/>
      </c>
      <c r="I994" s="9">
        <f>F994*G994</f>
        <v/>
      </c>
      <c r="J994" s="11" t="n">
        <v>0</v>
      </c>
      <c r="K994" s="9">
        <f>I994*J994</f>
        <v/>
      </c>
      <c r="L994" s="9">
        <f>I994-K994</f>
        <v/>
      </c>
      <c r="M994" s="9">
        <f>F994*H994</f>
        <v/>
      </c>
      <c r="N994" s="9">
        <f>L994-M994</f>
        <v/>
      </c>
      <c r="O994" s="11">
        <f>IFERROR(N994/L994, 0)</f>
        <v/>
      </c>
      <c r="P994" s="8">
        <f>YEAR(C994)</f>
        <v/>
      </c>
      <c r="Q994" s="8">
        <f>TEXT(C994, "yyyy-mm")</f>
        <v/>
      </c>
      <c r="R994" s="8" t="inlineStr">
        <is>
          <t>Mobile App</t>
        </is>
      </c>
      <c r="S994" s="8" t="inlineStr">
        <is>
          <t>REG-EU</t>
        </is>
      </c>
    </row>
    <row r="995">
      <c r="A995" s="8" t="inlineStr">
        <is>
          <t>DTL-0001004</t>
        </is>
      </c>
      <c r="B995" s="8" t="inlineStr">
        <is>
          <t>ORD-000507</t>
        </is>
      </c>
      <c r="C995" s="10" t="inlineStr">
        <is>
          <t>2023-09-19</t>
        </is>
      </c>
      <c r="D995" s="8" t="inlineStr">
        <is>
          <t>CUST-00336</t>
        </is>
      </c>
      <c r="E995" s="8" t="inlineStr">
        <is>
          <t>PRD-0113</t>
        </is>
      </c>
      <c r="F995" s="8" t="n">
        <v>1</v>
      </c>
      <c r="G995" s="9">
        <f>IFERROR(XLOOKUP(E995, '04_Products'!$A:$A, '04_Products'!$G:$G), 70.09)</f>
        <v/>
      </c>
      <c r="H995" s="9">
        <f>IFERROR(XLOOKUP(E995, '04_Products'!$A:$A, '04_Products'!$F:$F), 0)</f>
        <v/>
      </c>
      <c r="I995" s="9">
        <f>F995*G995</f>
        <v/>
      </c>
      <c r="J995" s="11" t="n">
        <v>0.05</v>
      </c>
      <c r="K995" s="9">
        <f>I995*J995</f>
        <v/>
      </c>
      <c r="L995" s="9">
        <f>I995-K995</f>
        <v/>
      </c>
      <c r="M995" s="9">
        <f>F995*H995</f>
        <v/>
      </c>
      <c r="N995" s="9">
        <f>L995-M995</f>
        <v/>
      </c>
      <c r="O995" s="11">
        <f>IFERROR(N995/L995, 0)</f>
        <v/>
      </c>
      <c r="P995" s="8">
        <f>YEAR(C995)</f>
        <v/>
      </c>
      <c r="Q995" s="8">
        <f>TEXT(C995, "yyyy-mm")</f>
        <v/>
      </c>
      <c r="R995" s="8" t="inlineStr">
        <is>
          <t>B2B Portal</t>
        </is>
      </c>
      <c r="S995" s="8" t="inlineStr">
        <is>
          <t>REG-EU</t>
        </is>
      </c>
    </row>
    <row r="996">
      <c r="A996" s="8" t="inlineStr">
        <is>
          <t>DTL-0001005</t>
        </is>
      </c>
      <c r="B996" s="8" t="inlineStr">
        <is>
          <t>ORD-000508</t>
        </is>
      </c>
      <c r="C996" s="10" t="inlineStr">
        <is>
          <t>2025-10-17</t>
        </is>
      </c>
      <c r="D996" s="8" t="inlineStr">
        <is>
          <t>CUST-05728</t>
        </is>
      </c>
      <c r="E996" s="8" t="inlineStr">
        <is>
          <t>PRD-0040</t>
        </is>
      </c>
      <c r="F996" s="8" t="n">
        <v>1</v>
      </c>
      <c r="G996" s="9">
        <f>IFERROR(XLOOKUP(E996, '04_Products'!$A:$A, '04_Products'!$G:$G), 28.56)</f>
        <v/>
      </c>
      <c r="H996" s="9">
        <f>IFERROR(XLOOKUP(E996, '04_Products'!$A:$A, '04_Products'!$F:$F), 0)</f>
        <v/>
      </c>
      <c r="I996" s="9">
        <f>F996*G996</f>
        <v/>
      </c>
      <c r="J996" s="11" t="n">
        <v>0.05</v>
      </c>
      <c r="K996" s="9">
        <f>I996*J996</f>
        <v/>
      </c>
      <c r="L996" s="9">
        <f>I996-K996</f>
        <v/>
      </c>
      <c r="M996" s="9">
        <f>F996*H996</f>
        <v/>
      </c>
      <c r="N996" s="9">
        <f>L996-M996</f>
        <v/>
      </c>
      <c r="O996" s="11">
        <f>IFERROR(N996/L996, 0)</f>
        <v/>
      </c>
      <c r="P996" s="8">
        <f>YEAR(C996)</f>
        <v/>
      </c>
      <c r="Q996" s="8">
        <f>TEXT(C996, "yyyy-mm")</f>
        <v/>
      </c>
      <c r="R996" s="8" t="inlineStr">
        <is>
          <t>Direct Web</t>
        </is>
      </c>
      <c r="S996" s="8" t="inlineStr">
        <is>
          <t>REG-APAC</t>
        </is>
      </c>
    </row>
    <row r="997">
      <c r="A997" s="8" t="inlineStr">
        <is>
          <t>DTL-0001006</t>
        </is>
      </c>
      <c r="B997" s="8" t="inlineStr">
        <is>
          <t>ORD-000509</t>
        </is>
      </c>
      <c r="C997" s="10" t="inlineStr">
        <is>
          <t>2025-11-23</t>
        </is>
      </c>
      <c r="D997" s="8" t="inlineStr">
        <is>
          <t>CUST-05561</t>
        </is>
      </c>
      <c r="E997" s="8" t="inlineStr">
        <is>
          <t>PRD-0358</t>
        </is>
      </c>
      <c r="F997" s="8" t="n">
        <v>1</v>
      </c>
      <c r="G997" s="9">
        <f>IFERROR(XLOOKUP(E997, '04_Products'!$A:$A, '04_Products'!$G:$G), 795.41)</f>
        <v/>
      </c>
      <c r="H997" s="9">
        <f>IFERROR(XLOOKUP(E997, '04_Products'!$A:$A, '04_Products'!$F:$F), 0)</f>
        <v/>
      </c>
      <c r="I997" s="9">
        <f>F997*G997</f>
        <v/>
      </c>
      <c r="J997" s="11" t="n">
        <v>0</v>
      </c>
      <c r="K997" s="9">
        <f>I997*J997</f>
        <v/>
      </c>
      <c r="L997" s="9">
        <f>I997-K997</f>
        <v/>
      </c>
      <c r="M997" s="9">
        <f>F997*H997</f>
        <v/>
      </c>
      <c r="N997" s="9">
        <f>L997-M997</f>
        <v/>
      </c>
      <c r="O997" s="11">
        <f>IFERROR(N997/L997, 0)</f>
        <v/>
      </c>
      <c r="P997" s="8">
        <f>YEAR(C997)</f>
        <v/>
      </c>
      <c r="Q997" s="8">
        <f>TEXT(C997, "yyyy-mm")</f>
        <v/>
      </c>
      <c r="R997" s="8" t="inlineStr">
        <is>
          <t>Direct Web</t>
        </is>
      </c>
      <c r="S997" s="8" t="inlineStr">
        <is>
          <t>REG-NA</t>
        </is>
      </c>
    </row>
    <row r="998">
      <c r="A998" s="8" t="inlineStr">
        <is>
          <t>DTL-0001007</t>
        </is>
      </c>
      <c r="B998" s="8" t="inlineStr">
        <is>
          <t>ORD-000509</t>
        </is>
      </c>
      <c r="C998" s="10" t="inlineStr">
        <is>
          <t>2025-11-23</t>
        </is>
      </c>
      <c r="D998" s="8" t="inlineStr">
        <is>
          <t>CUST-05561</t>
        </is>
      </c>
      <c r="E998" s="8" t="inlineStr">
        <is>
          <t>PRD-0020</t>
        </is>
      </c>
      <c r="F998" s="8" t="n">
        <v>3</v>
      </c>
      <c r="G998" s="9">
        <f>IFERROR(XLOOKUP(E998, '04_Products'!$A:$A, '04_Products'!$G:$G), 22.42)</f>
        <v/>
      </c>
      <c r="H998" s="9">
        <f>IFERROR(XLOOKUP(E998, '04_Products'!$A:$A, '04_Products'!$F:$F), 0)</f>
        <v/>
      </c>
      <c r="I998" s="9">
        <f>F998*G998</f>
        <v/>
      </c>
      <c r="J998" s="11" t="n">
        <v>0.1</v>
      </c>
      <c r="K998" s="9">
        <f>I998*J998</f>
        <v/>
      </c>
      <c r="L998" s="9">
        <f>I998-K998</f>
        <v/>
      </c>
      <c r="M998" s="9">
        <f>F998*H998</f>
        <v/>
      </c>
      <c r="N998" s="9">
        <f>L998-M998</f>
        <v/>
      </c>
      <c r="O998" s="11">
        <f>IFERROR(N998/L998, 0)</f>
        <v/>
      </c>
      <c r="P998" s="8">
        <f>YEAR(C998)</f>
        <v/>
      </c>
      <c r="Q998" s="8">
        <f>TEXT(C998, "yyyy-mm")</f>
        <v/>
      </c>
      <c r="R998" s="8" t="inlineStr">
        <is>
          <t>Direct Web</t>
        </is>
      </c>
      <c r="S998" s="8" t="inlineStr">
        <is>
          <t>REG-NA</t>
        </is>
      </c>
    </row>
    <row r="999">
      <c r="A999" s="8" t="inlineStr">
        <is>
          <t>DTL-0001008</t>
        </is>
      </c>
      <c r="B999" s="8" t="inlineStr">
        <is>
          <t>ORD-000509</t>
        </is>
      </c>
      <c r="C999" s="10" t="inlineStr">
        <is>
          <t>2025-11-23</t>
        </is>
      </c>
      <c r="D999" s="8" t="inlineStr">
        <is>
          <t>CUST-05561</t>
        </is>
      </c>
      <c r="E999" s="8" t="inlineStr">
        <is>
          <t>PRD-0432</t>
        </is>
      </c>
      <c r="F999" s="8" t="n">
        <v>1</v>
      </c>
      <c r="G999" s="9">
        <f>IFERROR(XLOOKUP(E999, '04_Products'!$A:$A, '04_Products'!$G:$G), 25.28)</f>
        <v/>
      </c>
      <c r="H999" s="9">
        <f>IFERROR(XLOOKUP(E999, '04_Products'!$A:$A, '04_Products'!$F:$F), 0)</f>
        <v/>
      </c>
      <c r="I999" s="9">
        <f>F999*G999</f>
        <v/>
      </c>
      <c r="J999" s="11" t="n">
        <v>0.05</v>
      </c>
      <c r="K999" s="9">
        <f>I999*J999</f>
        <v/>
      </c>
      <c r="L999" s="9">
        <f>I999-K999</f>
        <v/>
      </c>
      <c r="M999" s="9">
        <f>F999*H999</f>
        <v/>
      </c>
      <c r="N999" s="9">
        <f>L999-M999</f>
        <v/>
      </c>
      <c r="O999" s="11">
        <f>IFERROR(N999/L999, 0)</f>
        <v/>
      </c>
      <c r="P999" s="8">
        <f>YEAR(C999)</f>
        <v/>
      </c>
      <c r="Q999" s="8">
        <f>TEXT(C999, "yyyy-mm")</f>
        <v/>
      </c>
      <c r="R999" s="8" t="inlineStr">
        <is>
          <t>Direct Web</t>
        </is>
      </c>
      <c r="S999" s="8" t="inlineStr">
        <is>
          <t>REG-NA</t>
        </is>
      </c>
    </row>
    <row r="1000">
      <c r="A1000" s="8" t="inlineStr">
        <is>
          <t>DTL-0001009</t>
        </is>
      </c>
      <c r="B1000" s="8" t="inlineStr">
        <is>
          <t>ORD-000510</t>
        </is>
      </c>
      <c r="C1000" s="10" t="inlineStr">
        <is>
          <t>2023-03-16</t>
        </is>
      </c>
      <c r="D1000" s="8" t="inlineStr">
        <is>
          <t>CUST-03961</t>
        </is>
      </c>
      <c r="E1000" s="8" t="inlineStr">
        <is>
          <t>PRD-0217</t>
        </is>
      </c>
      <c r="F1000" s="8" t="n">
        <v>2</v>
      </c>
      <c r="G1000" s="9">
        <f>IFERROR(XLOOKUP(E1000, '04_Products'!$A:$A, '04_Products'!$G:$G), 457.08)</f>
        <v/>
      </c>
      <c r="H1000" s="9">
        <f>IFERROR(XLOOKUP(E1000, '04_Products'!$A:$A, '04_Products'!$F:$F), 0)</f>
        <v/>
      </c>
      <c r="I1000" s="9">
        <f>F1000*G1000</f>
        <v/>
      </c>
      <c r="J1000" s="11" t="n">
        <v>0</v>
      </c>
      <c r="K1000" s="9">
        <f>I1000*J1000</f>
        <v/>
      </c>
      <c r="L1000" s="9">
        <f>I1000-K1000</f>
        <v/>
      </c>
      <c r="M1000" s="9">
        <f>F1000*H1000</f>
        <v/>
      </c>
      <c r="N1000" s="9">
        <f>L1000-M1000</f>
        <v/>
      </c>
      <c r="O1000" s="11">
        <f>IFERROR(N1000/L1000, 0)</f>
        <v/>
      </c>
      <c r="P1000" s="8">
        <f>YEAR(C1000)</f>
        <v/>
      </c>
      <c r="Q1000" s="8">
        <f>TEXT(C1000, "yyyy-mm")</f>
        <v/>
      </c>
      <c r="R1000" s="8" t="inlineStr">
        <is>
          <t>Mobile App</t>
        </is>
      </c>
      <c r="S1000" s="8" t="inlineStr">
        <is>
          <t>REG-NA</t>
        </is>
      </c>
    </row>
    <row r="1001">
      <c r="A1001" s="8" t="inlineStr">
        <is>
          <t>DTL-0001010</t>
        </is>
      </c>
      <c r="B1001" s="8" t="inlineStr">
        <is>
          <t>ORD-000510</t>
        </is>
      </c>
      <c r="C1001" s="10" t="inlineStr">
        <is>
          <t>2023-03-16</t>
        </is>
      </c>
      <c r="D1001" s="8" t="inlineStr">
        <is>
          <t>CUST-03961</t>
        </is>
      </c>
      <c r="E1001" s="8" t="inlineStr">
        <is>
          <t>PRD-0341</t>
        </is>
      </c>
      <c r="F1001" s="8" t="n">
        <v>2</v>
      </c>
      <c r="G1001" s="9">
        <f>IFERROR(XLOOKUP(E1001, '04_Products'!$A:$A, '04_Products'!$G:$G), 26.88)</f>
        <v/>
      </c>
      <c r="H1001" s="9">
        <f>IFERROR(XLOOKUP(E1001, '04_Products'!$A:$A, '04_Products'!$F:$F), 0)</f>
        <v/>
      </c>
      <c r="I1001" s="9">
        <f>F1001*G1001</f>
        <v/>
      </c>
      <c r="J1001" s="11" t="n">
        <v>0.25</v>
      </c>
      <c r="K1001" s="9">
        <f>I1001*J1001</f>
        <v/>
      </c>
      <c r="L1001" s="9">
        <f>I1001-K1001</f>
        <v/>
      </c>
      <c r="M1001" s="9">
        <f>F1001*H1001</f>
        <v/>
      </c>
      <c r="N1001" s="9">
        <f>L1001-M1001</f>
        <v/>
      </c>
      <c r="O1001" s="11">
        <f>IFERROR(N1001/L1001, 0)</f>
        <v/>
      </c>
      <c r="P1001" s="8">
        <f>YEAR(C1001)</f>
        <v/>
      </c>
      <c r="Q1001" s="8">
        <f>TEXT(C1001, "yyyy-mm")</f>
        <v/>
      </c>
      <c r="R1001" s="8" t="inlineStr">
        <is>
          <t>Mobile App</t>
        </is>
      </c>
      <c r="S1001" s="8" t="inlineStr">
        <is>
          <t>REG-NA</t>
        </is>
      </c>
    </row>
    <row r="1002">
      <c r="A1002" s="8" t="inlineStr">
        <is>
          <t>DTL-0001011</t>
        </is>
      </c>
      <c r="B1002" s="8" t="inlineStr">
        <is>
          <t>ORD-000510</t>
        </is>
      </c>
      <c r="C1002" s="10" t="inlineStr">
        <is>
          <t>2023-03-16</t>
        </is>
      </c>
      <c r="D1002" s="8" t="inlineStr">
        <is>
          <t>CUST-03961</t>
        </is>
      </c>
      <c r="E1002" s="8" t="inlineStr">
        <is>
          <t>PRD-0003</t>
        </is>
      </c>
      <c r="F1002" s="8" t="n">
        <v>2</v>
      </c>
      <c r="G1002" s="9">
        <f>IFERROR(XLOOKUP(E1002, '04_Products'!$A:$A, '04_Products'!$G:$G), 807.39)</f>
        <v/>
      </c>
      <c r="H1002" s="9">
        <f>IFERROR(XLOOKUP(E1002, '04_Products'!$A:$A, '04_Products'!$F:$F), 0)</f>
        <v/>
      </c>
      <c r="I1002" s="9">
        <f>F1002*G1002</f>
        <v/>
      </c>
      <c r="J1002" s="11" t="n">
        <v>0</v>
      </c>
      <c r="K1002" s="9">
        <f>I1002*J1002</f>
        <v/>
      </c>
      <c r="L1002" s="9">
        <f>I1002-K1002</f>
        <v/>
      </c>
      <c r="M1002" s="9">
        <f>F1002*H1002</f>
        <v/>
      </c>
      <c r="N1002" s="9">
        <f>L1002-M1002</f>
        <v/>
      </c>
      <c r="O1002" s="11">
        <f>IFERROR(N1002/L1002, 0)</f>
        <v/>
      </c>
      <c r="P1002" s="8">
        <f>YEAR(C1002)</f>
        <v/>
      </c>
      <c r="Q1002" s="8">
        <f>TEXT(C1002, "yyyy-mm")</f>
        <v/>
      </c>
      <c r="R1002" s="8" t="inlineStr">
        <is>
          <t>Mobile App</t>
        </is>
      </c>
      <c r="S1002" s="8" t="inlineStr">
        <is>
          <t>REG-NA</t>
        </is>
      </c>
    </row>
    <row r="1003">
      <c r="A1003" s="8" t="inlineStr">
        <is>
          <t>DTL-0001012</t>
        </is>
      </c>
      <c r="B1003" s="8" t="inlineStr">
        <is>
          <t>ORD-000511</t>
        </is>
      </c>
      <c r="C1003" s="10" t="inlineStr">
        <is>
          <t>2025-07-04</t>
        </is>
      </c>
      <c r="D1003" s="8" t="inlineStr">
        <is>
          <t>CUST-01260</t>
        </is>
      </c>
      <c r="E1003" s="8" t="inlineStr">
        <is>
          <t>PRD-0242</t>
        </is>
      </c>
      <c r="F1003" s="8" t="n">
        <v>2</v>
      </c>
      <c r="G1003" s="9">
        <f>IFERROR(XLOOKUP(E1003, '04_Products'!$A:$A, '04_Products'!$G:$G), 745.06)</f>
        <v/>
      </c>
      <c r="H1003" s="9">
        <f>IFERROR(XLOOKUP(E1003, '04_Products'!$A:$A, '04_Products'!$F:$F), 0)</f>
        <v/>
      </c>
      <c r="I1003" s="9">
        <f>F1003*G1003</f>
        <v/>
      </c>
      <c r="J1003" s="11" t="n">
        <v>0.05</v>
      </c>
      <c r="K1003" s="9">
        <f>I1003*J1003</f>
        <v/>
      </c>
      <c r="L1003" s="9">
        <f>I1003-K1003</f>
        <v/>
      </c>
      <c r="M1003" s="9">
        <f>F1003*H1003</f>
        <v/>
      </c>
      <c r="N1003" s="9">
        <f>L1003-M1003</f>
        <v/>
      </c>
      <c r="O1003" s="11">
        <f>IFERROR(N1003/L1003, 0)</f>
        <v/>
      </c>
      <c r="P1003" s="8">
        <f>YEAR(C1003)</f>
        <v/>
      </c>
      <c r="Q1003" s="8">
        <f>TEXT(C1003, "yyyy-mm")</f>
        <v/>
      </c>
      <c r="R1003" s="8" t="inlineStr">
        <is>
          <t>Direct Web</t>
        </is>
      </c>
      <c r="S1003" s="8" t="inlineStr">
        <is>
          <t>REG-APAC</t>
        </is>
      </c>
    </row>
    <row r="1004">
      <c r="A1004" s="8" t="inlineStr">
        <is>
          <t>DTL-0001013</t>
        </is>
      </c>
      <c r="B1004" s="8" t="inlineStr">
        <is>
          <t>ORD-000511</t>
        </is>
      </c>
      <c r="C1004" s="10" t="inlineStr">
        <is>
          <t>2025-07-04</t>
        </is>
      </c>
      <c r="D1004" s="8" t="inlineStr">
        <is>
          <t>CUST-01260</t>
        </is>
      </c>
      <c r="E1004" s="8" t="inlineStr">
        <is>
          <t>PRD-0443</t>
        </is>
      </c>
      <c r="F1004" s="8" t="n">
        <v>1</v>
      </c>
      <c r="G1004" s="9">
        <f>IFERROR(XLOOKUP(E1004, '04_Products'!$A:$A, '04_Products'!$G:$G), 101.81)</f>
        <v/>
      </c>
      <c r="H1004" s="9">
        <f>IFERROR(XLOOKUP(E1004, '04_Products'!$A:$A, '04_Products'!$F:$F), 0)</f>
        <v/>
      </c>
      <c r="I1004" s="9">
        <f>F1004*G1004</f>
        <v/>
      </c>
      <c r="J1004" s="11" t="n">
        <v>0.05</v>
      </c>
      <c r="K1004" s="9">
        <f>I1004*J1004</f>
        <v/>
      </c>
      <c r="L1004" s="9">
        <f>I1004-K1004</f>
        <v/>
      </c>
      <c r="M1004" s="9">
        <f>F1004*H1004</f>
        <v/>
      </c>
      <c r="N1004" s="9">
        <f>L1004-M1004</f>
        <v/>
      </c>
      <c r="O1004" s="11">
        <f>IFERROR(N1004/L1004, 0)</f>
        <v/>
      </c>
      <c r="P1004" s="8">
        <f>YEAR(C1004)</f>
        <v/>
      </c>
      <c r="Q1004" s="8">
        <f>TEXT(C1004, "yyyy-mm")</f>
        <v/>
      </c>
      <c r="R1004" s="8" t="inlineStr">
        <is>
          <t>Direct Web</t>
        </is>
      </c>
      <c r="S1004" s="8" t="inlineStr">
        <is>
          <t>REG-APAC</t>
        </is>
      </c>
    </row>
    <row r="1005">
      <c r="A1005" s="8" t="inlineStr">
        <is>
          <t>DTL-0001014</t>
        </is>
      </c>
      <c r="B1005" s="8" t="inlineStr">
        <is>
          <t>ORD-000511</t>
        </is>
      </c>
      <c r="C1005" s="10" t="inlineStr">
        <is>
          <t>2025-07-04</t>
        </is>
      </c>
      <c r="D1005" s="8" t="inlineStr">
        <is>
          <t>CUST-01260</t>
        </is>
      </c>
      <c r="E1005" s="8" t="inlineStr">
        <is>
          <t>PRD-0157</t>
        </is>
      </c>
      <c r="F1005" s="8" t="n">
        <v>1</v>
      </c>
      <c r="G1005" s="9">
        <f>IFERROR(XLOOKUP(E1005, '04_Products'!$A:$A, '04_Products'!$G:$G), 227.80)</f>
        <v/>
      </c>
      <c r="H1005" s="9">
        <f>IFERROR(XLOOKUP(E1005, '04_Products'!$A:$A, '04_Products'!$F:$F), 0)</f>
        <v/>
      </c>
      <c r="I1005" s="9">
        <f>F1005*G1005</f>
        <v/>
      </c>
      <c r="J1005" s="11" t="n">
        <v>0.05</v>
      </c>
      <c r="K1005" s="9">
        <f>I1005*J1005</f>
        <v/>
      </c>
      <c r="L1005" s="9">
        <f>I1005-K1005</f>
        <v/>
      </c>
      <c r="M1005" s="9">
        <f>F1005*H1005</f>
        <v/>
      </c>
      <c r="N1005" s="9">
        <f>L1005-M1005</f>
        <v/>
      </c>
      <c r="O1005" s="11">
        <f>IFERROR(N1005/L1005, 0)</f>
        <v/>
      </c>
      <c r="P1005" s="8">
        <f>YEAR(C1005)</f>
        <v/>
      </c>
      <c r="Q1005" s="8">
        <f>TEXT(C1005, "yyyy-mm")</f>
        <v/>
      </c>
      <c r="R1005" s="8" t="inlineStr">
        <is>
          <t>Direct Web</t>
        </is>
      </c>
      <c r="S1005" s="8" t="inlineStr">
        <is>
          <t>REG-APAC</t>
        </is>
      </c>
    </row>
    <row r="1006">
      <c r="A1006" s="8" t="inlineStr">
        <is>
          <t>DTL-0001015</t>
        </is>
      </c>
      <c r="B1006" s="8" t="inlineStr">
        <is>
          <t>ORD-000511</t>
        </is>
      </c>
      <c r="C1006" s="10" t="inlineStr">
        <is>
          <t>2025-07-04</t>
        </is>
      </c>
      <c r="D1006" s="8" t="inlineStr">
        <is>
          <t>CUST-01260</t>
        </is>
      </c>
      <c r="E1006" s="8" t="inlineStr">
        <is>
          <t>PRD-0070</t>
        </is>
      </c>
      <c r="F1006" s="8" t="n">
        <v>2</v>
      </c>
      <c r="G1006" s="9">
        <f>IFERROR(XLOOKUP(E1006, '04_Products'!$A:$A, '04_Products'!$G:$G), 70.35)</f>
        <v/>
      </c>
      <c r="H1006" s="9">
        <f>IFERROR(XLOOKUP(E1006, '04_Products'!$A:$A, '04_Products'!$F:$F), 0)</f>
        <v/>
      </c>
      <c r="I1006" s="9">
        <f>F1006*G1006</f>
        <v/>
      </c>
      <c r="J1006" s="11" t="n">
        <v>0</v>
      </c>
      <c r="K1006" s="9">
        <f>I1006*J1006</f>
        <v/>
      </c>
      <c r="L1006" s="9">
        <f>I1006-K1006</f>
        <v/>
      </c>
      <c r="M1006" s="9">
        <f>F1006*H1006</f>
        <v/>
      </c>
      <c r="N1006" s="9">
        <f>L1006-M1006</f>
        <v/>
      </c>
      <c r="O1006" s="11">
        <f>IFERROR(N1006/L1006, 0)</f>
        <v/>
      </c>
      <c r="P1006" s="8">
        <f>YEAR(C1006)</f>
        <v/>
      </c>
      <c r="Q1006" s="8">
        <f>TEXT(C1006, "yyyy-mm")</f>
        <v/>
      </c>
      <c r="R1006" s="8" t="inlineStr">
        <is>
          <t>Direct Web</t>
        </is>
      </c>
      <c r="S1006" s="8" t="inlineStr">
        <is>
          <t>REG-APAC</t>
        </is>
      </c>
    </row>
    <row r="1007">
      <c r="A1007" s="8" t="inlineStr">
        <is>
          <t>DTL-0001016</t>
        </is>
      </c>
      <c r="B1007" s="8" t="inlineStr">
        <is>
          <t>ORD-000511</t>
        </is>
      </c>
      <c r="C1007" s="10" t="inlineStr">
        <is>
          <t>2025-07-04</t>
        </is>
      </c>
      <c r="D1007" s="8" t="inlineStr">
        <is>
          <t>CUST-01260</t>
        </is>
      </c>
      <c r="E1007" s="8" t="inlineStr">
        <is>
          <t>PRD-0376</t>
        </is>
      </c>
      <c r="F1007" s="8" t="n">
        <v>1</v>
      </c>
      <c r="G1007" s="9">
        <f>IFERROR(XLOOKUP(E1007, '04_Products'!$A:$A, '04_Products'!$G:$G), 219.88)</f>
        <v/>
      </c>
      <c r="H1007" s="9">
        <f>IFERROR(XLOOKUP(E1007, '04_Products'!$A:$A, '04_Products'!$F:$F), 0)</f>
        <v/>
      </c>
      <c r="I1007" s="9">
        <f>F1007*G1007</f>
        <v/>
      </c>
      <c r="J1007" s="11" t="n">
        <v>0.05</v>
      </c>
      <c r="K1007" s="9">
        <f>I1007*J1007</f>
        <v/>
      </c>
      <c r="L1007" s="9">
        <f>I1007-K1007</f>
        <v/>
      </c>
      <c r="M1007" s="9">
        <f>F1007*H1007</f>
        <v/>
      </c>
      <c r="N1007" s="9">
        <f>L1007-M1007</f>
        <v/>
      </c>
      <c r="O1007" s="11">
        <f>IFERROR(N1007/L1007, 0)</f>
        <v/>
      </c>
      <c r="P1007" s="8">
        <f>YEAR(C1007)</f>
        <v/>
      </c>
      <c r="Q1007" s="8">
        <f>TEXT(C1007, "yyyy-mm")</f>
        <v/>
      </c>
      <c r="R1007" s="8" t="inlineStr">
        <is>
          <t>Direct Web</t>
        </is>
      </c>
      <c r="S1007" s="8" t="inlineStr">
        <is>
          <t>REG-APAC</t>
        </is>
      </c>
    </row>
    <row r="1008">
      <c r="A1008" s="8" t="inlineStr">
        <is>
          <t>DTL-0001017</t>
        </is>
      </c>
      <c r="B1008" s="8" t="inlineStr">
        <is>
          <t>ORD-000512</t>
        </is>
      </c>
      <c r="C1008" s="10" t="inlineStr">
        <is>
          <t>2023-10-27</t>
        </is>
      </c>
      <c r="D1008" s="8" t="inlineStr">
        <is>
          <t>CUST-05032</t>
        </is>
      </c>
      <c r="E1008" s="8" t="inlineStr">
        <is>
          <t>PRD-0425</t>
        </is>
      </c>
      <c r="F1008" s="8" t="n">
        <v>3</v>
      </c>
      <c r="G1008" s="9">
        <f>IFERROR(XLOOKUP(E1008, '04_Products'!$A:$A, '04_Products'!$G:$G), 805.83)</f>
        <v/>
      </c>
      <c r="H1008" s="9">
        <f>IFERROR(XLOOKUP(E1008, '04_Products'!$A:$A, '04_Products'!$F:$F), 0)</f>
        <v/>
      </c>
      <c r="I1008" s="9">
        <f>F1008*G1008</f>
        <v/>
      </c>
      <c r="J1008" s="11" t="n">
        <v>0.1</v>
      </c>
      <c r="K1008" s="9">
        <f>I1008*J1008</f>
        <v/>
      </c>
      <c r="L1008" s="9">
        <f>I1008-K1008</f>
        <v/>
      </c>
      <c r="M1008" s="9">
        <f>F1008*H1008</f>
        <v/>
      </c>
      <c r="N1008" s="9">
        <f>L1008-M1008</f>
        <v/>
      </c>
      <c r="O1008" s="11">
        <f>IFERROR(N1008/L1008, 0)</f>
        <v/>
      </c>
      <c r="P1008" s="8">
        <f>YEAR(C1008)</f>
        <v/>
      </c>
      <c r="Q1008" s="8">
        <f>TEXT(C1008, "yyyy-mm")</f>
        <v/>
      </c>
      <c r="R1008" s="8" t="inlineStr">
        <is>
          <t>Mobile App</t>
        </is>
      </c>
      <c r="S1008" s="8" t="inlineStr">
        <is>
          <t>REG-NA</t>
        </is>
      </c>
    </row>
    <row r="1009">
      <c r="A1009" s="8" t="inlineStr">
        <is>
          <t>DTL-0001018</t>
        </is>
      </c>
      <c r="B1009" s="8" t="inlineStr">
        <is>
          <t>ORD-000513</t>
        </is>
      </c>
      <c r="C1009" s="10" t="inlineStr">
        <is>
          <t>2025-07-09</t>
        </is>
      </c>
      <c r="D1009" s="8" t="inlineStr">
        <is>
          <t>CUST-02942</t>
        </is>
      </c>
      <c r="E1009" s="8" t="inlineStr">
        <is>
          <t>PRD-0463</t>
        </is>
      </c>
      <c r="F1009" s="8" t="n">
        <v>1</v>
      </c>
      <c r="G1009" s="9">
        <f>IFERROR(XLOOKUP(E1009, '04_Products'!$A:$A, '04_Products'!$G:$G), 123.72)</f>
        <v/>
      </c>
      <c r="H1009" s="9">
        <f>IFERROR(XLOOKUP(E1009, '04_Products'!$A:$A, '04_Products'!$F:$F), 0)</f>
        <v/>
      </c>
      <c r="I1009" s="9">
        <f>F1009*G1009</f>
        <v/>
      </c>
      <c r="J1009" s="11" t="n">
        <v>0</v>
      </c>
      <c r="K1009" s="9">
        <f>I1009*J1009</f>
        <v/>
      </c>
      <c r="L1009" s="9">
        <f>I1009-K1009</f>
        <v/>
      </c>
      <c r="M1009" s="9">
        <f>F1009*H1009</f>
        <v/>
      </c>
      <c r="N1009" s="9">
        <f>L1009-M1009</f>
        <v/>
      </c>
      <c r="O1009" s="11">
        <f>IFERROR(N1009/L1009, 0)</f>
        <v/>
      </c>
      <c r="P1009" s="8">
        <f>YEAR(C1009)</f>
        <v/>
      </c>
      <c r="Q1009" s="8">
        <f>TEXT(C1009, "yyyy-mm")</f>
        <v/>
      </c>
      <c r="R1009" s="8" t="inlineStr">
        <is>
          <t>Direct Web</t>
        </is>
      </c>
      <c r="S1009" s="8" t="inlineStr">
        <is>
          <t>REG-NA</t>
        </is>
      </c>
    </row>
    <row r="1010">
      <c r="A1010" s="8" t="inlineStr">
        <is>
          <t>DTL-0001019</t>
        </is>
      </c>
      <c r="B1010" s="8" t="inlineStr">
        <is>
          <t>ORD-000513</t>
        </is>
      </c>
      <c r="C1010" s="10" t="inlineStr">
        <is>
          <t>2025-07-09</t>
        </is>
      </c>
      <c r="D1010" s="8" t="inlineStr">
        <is>
          <t>CUST-02942</t>
        </is>
      </c>
      <c r="E1010" s="8" t="inlineStr">
        <is>
          <t>PRD-0287</t>
        </is>
      </c>
      <c r="F1010" s="8" t="n">
        <v>3</v>
      </c>
      <c r="G1010" s="9">
        <f>IFERROR(XLOOKUP(E1010, '04_Products'!$A:$A, '04_Products'!$G:$G), 214.91)</f>
        <v/>
      </c>
      <c r="H1010" s="9">
        <f>IFERROR(XLOOKUP(E1010, '04_Products'!$A:$A, '04_Products'!$F:$F), 0)</f>
        <v/>
      </c>
      <c r="I1010" s="9">
        <f>F1010*G1010</f>
        <v/>
      </c>
      <c r="J1010" s="11" t="n">
        <v>0.1</v>
      </c>
      <c r="K1010" s="9">
        <f>I1010*J1010</f>
        <v/>
      </c>
      <c r="L1010" s="9">
        <f>I1010-K1010</f>
        <v/>
      </c>
      <c r="M1010" s="9">
        <f>F1010*H1010</f>
        <v/>
      </c>
      <c r="N1010" s="9">
        <f>L1010-M1010</f>
        <v/>
      </c>
      <c r="O1010" s="11">
        <f>IFERROR(N1010/L1010, 0)</f>
        <v/>
      </c>
      <c r="P1010" s="8">
        <f>YEAR(C1010)</f>
        <v/>
      </c>
      <c r="Q1010" s="8">
        <f>TEXT(C1010, "yyyy-mm")</f>
        <v/>
      </c>
      <c r="R1010" s="8" t="inlineStr">
        <is>
          <t>Direct Web</t>
        </is>
      </c>
      <c r="S1010" s="8" t="inlineStr">
        <is>
          <t>REG-NA</t>
        </is>
      </c>
    </row>
    <row r="1011">
      <c r="A1011" s="8" t="inlineStr">
        <is>
          <t>DTL-0001020</t>
        </is>
      </c>
      <c r="B1011" s="8" t="inlineStr">
        <is>
          <t>ORD-000514</t>
        </is>
      </c>
      <c r="C1011" s="10" t="inlineStr">
        <is>
          <t>2024-12-16</t>
        </is>
      </c>
      <c r="D1011" s="8" t="inlineStr">
        <is>
          <t>CUST-04932</t>
        </is>
      </c>
      <c r="E1011" s="8" t="inlineStr">
        <is>
          <t>PRD-0120</t>
        </is>
      </c>
      <c r="F1011" s="8" t="n">
        <v>1</v>
      </c>
      <c r="G1011" s="9">
        <f>IFERROR(XLOOKUP(E1011, '04_Products'!$A:$A, '04_Products'!$G:$G), 1001.04)</f>
        <v/>
      </c>
      <c r="H1011" s="9">
        <f>IFERROR(XLOOKUP(E1011, '04_Products'!$A:$A, '04_Products'!$F:$F), 0)</f>
        <v/>
      </c>
      <c r="I1011" s="9">
        <f>F1011*G1011</f>
        <v/>
      </c>
      <c r="J1011" s="11" t="n">
        <v>0</v>
      </c>
      <c r="K1011" s="9">
        <f>I1011*J1011</f>
        <v/>
      </c>
      <c r="L1011" s="9">
        <f>I1011-K1011</f>
        <v/>
      </c>
      <c r="M1011" s="9">
        <f>F1011*H1011</f>
        <v/>
      </c>
      <c r="N1011" s="9">
        <f>L1011-M1011</f>
        <v/>
      </c>
      <c r="O1011" s="11">
        <f>IFERROR(N1011/L1011, 0)</f>
        <v/>
      </c>
      <c r="P1011" s="8">
        <f>YEAR(C1011)</f>
        <v/>
      </c>
      <c r="Q1011" s="8">
        <f>TEXT(C1011, "yyyy-mm")</f>
        <v/>
      </c>
      <c r="R1011" s="8" t="inlineStr">
        <is>
          <t>Mobile App</t>
        </is>
      </c>
      <c r="S1011" s="8" t="inlineStr">
        <is>
          <t>REG-NA</t>
        </is>
      </c>
    </row>
    <row r="1012">
      <c r="A1012" s="8" t="inlineStr">
        <is>
          <t>DTL-0001021</t>
        </is>
      </c>
      <c r="B1012" s="8" t="inlineStr">
        <is>
          <t>ORD-000515</t>
        </is>
      </c>
      <c r="C1012" s="10" t="inlineStr">
        <is>
          <t>2023-02-07</t>
        </is>
      </c>
      <c r="D1012" s="8" t="inlineStr">
        <is>
          <t>CUST-03152</t>
        </is>
      </c>
      <c r="E1012" s="8" t="inlineStr">
        <is>
          <t>PRD-0274</t>
        </is>
      </c>
      <c r="F1012" s="8" t="n">
        <v>1</v>
      </c>
      <c r="G1012" s="9">
        <f>IFERROR(XLOOKUP(E1012, '04_Products'!$A:$A, '04_Products'!$G:$G), 74.99)</f>
        <v/>
      </c>
      <c r="H1012" s="9">
        <f>IFERROR(XLOOKUP(E1012, '04_Products'!$A:$A, '04_Products'!$F:$F), 0)</f>
        <v/>
      </c>
      <c r="I1012" s="9">
        <f>F1012*G1012</f>
        <v/>
      </c>
      <c r="J1012" s="11" t="n">
        <v>0</v>
      </c>
      <c r="K1012" s="9">
        <f>I1012*J1012</f>
        <v/>
      </c>
      <c r="L1012" s="9">
        <f>I1012-K1012</f>
        <v/>
      </c>
      <c r="M1012" s="9">
        <f>F1012*H1012</f>
        <v/>
      </c>
      <c r="N1012" s="9">
        <f>L1012-M1012</f>
        <v/>
      </c>
      <c r="O1012" s="11">
        <f>IFERROR(N1012/L1012, 0)</f>
        <v/>
      </c>
      <c r="P1012" s="8">
        <f>YEAR(C1012)</f>
        <v/>
      </c>
      <c r="Q1012" s="8">
        <f>TEXT(C1012, "yyyy-mm")</f>
        <v/>
      </c>
      <c r="R1012" s="8" t="inlineStr">
        <is>
          <t>B2B Portal</t>
        </is>
      </c>
      <c r="S1012" s="8" t="inlineStr">
        <is>
          <t>REG-APAC</t>
        </is>
      </c>
    </row>
    <row r="1013">
      <c r="A1013" s="8" t="inlineStr">
        <is>
          <t>DTL-0001022</t>
        </is>
      </c>
      <c r="B1013" s="8" t="inlineStr">
        <is>
          <t>ORD-000515</t>
        </is>
      </c>
      <c r="C1013" s="10" t="inlineStr">
        <is>
          <t>2023-02-07</t>
        </is>
      </c>
      <c r="D1013" s="8" t="inlineStr">
        <is>
          <t>CUST-03152</t>
        </is>
      </c>
      <c r="E1013" s="8" t="inlineStr">
        <is>
          <t>PRD-0341</t>
        </is>
      </c>
      <c r="F1013" s="8" t="n">
        <v>3</v>
      </c>
      <c r="G1013" s="9">
        <f>IFERROR(XLOOKUP(E1013, '04_Products'!$A:$A, '04_Products'!$G:$G), 26.88)</f>
        <v/>
      </c>
      <c r="H1013" s="9">
        <f>IFERROR(XLOOKUP(E1013, '04_Products'!$A:$A, '04_Products'!$F:$F), 0)</f>
        <v/>
      </c>
      <c r="I1013" s="9">
        <f>F1013*G1013</f>
        <v/>
      </c>
      <c r="J1013" s="11" t="n">
        <v>0</v>
      </c>
      <c r="K1013" s="9">
        <f>I1013*J1013</f>
        <v/>
      </c>
      <c r="L1013" s="9">
        <f>I1013-K1013</f>
        <v/>
      </c>
      <c r="M1013" s="9">
        <f>F1013*H1013</f>
        <v/>
      </c>
      <c r="N1013" s="9">
        <f>L1013-M1013</f>
        <v/>
      </c>
      <c r="O1013" s="11">
        <f>IFERROR(N1013/L1013, 0)</f>
        <v/>
      </c>
      <c r="P1013" s="8">
        <f>YEAR(C1013)</f>
        <v/>
      </c>
      <c r="Q1013" s="8">
        <f>TEXT(C1013, "yyyy-mm")</f>
        <v/>
      </c>
      <c r="R1013" s="8" t="inlineStr">
        <is>
          <t>B2B Portal</t>
        </is>
      </c>
      <c r="S1013" s="8" t="inlineStr">
        <is>
          <t>REG-APAC</t>
        </is>
      </c>
    </row>
    <row r="1014">
      <c r="A1014" s="8" t="inlineStr">
        <is>
          <t>DTL-0001023</t>
        </is>
      </c>
      <c r="B1014" s="8" t="inlineStr">
        <is>
          <t>ORD-000516</t>
        </is>
      </c>
      <c r="C1014" s="10" t="inlineStr">
        <is>
          <t>2024-05-27</t>
        </is>
      </c>
      <c r="D1014" s="8" t="inlineStr">
        <is>
          <t>CUST-01928</t>
        </is>
      </c>
      <c r="E1014" s="8" t="inlineStr">
        <is>
          <t>PRD-0275</t>
        </is>
      </c>
      <c r="F1014" s="8" t="n">
        <v>1</v>
      </c>
      <c r="G1014" s="9">
        <f>IFERROR(XLOOKUP(E1014, '04_Products'!$A:$A, '04_Products'!$G:$G), 786.53)</f>
        <v/>
      </c>
      <c r="H1014" s="9">
        <f>IFERROR(XLOOKUP(E1014, '04_Products'!$A:$A, '04_Products'!$F:$F), 0)</f>
        <v/>
      </c>
      <c r="I1014" s="9">
        <f>F1014*G1014</f>
        <v/>
      </c>
      <c r="J1014" s="11" t="n">
        <v>0</v>
      </c>
      <c r="K1014" s="9">
        <f>I1014*J1014</f>
        <v/>
      </c>
      <c r="L1014" s="9">
        <f>I1014-K1014</f>
        <v/>
      </c>
      <c r="M1014" s="9">
        <f>F1014*H1014</f>
        <v/>
      </c>
      <c r="N1014" s="9">
        <f>L1014-M1014</f>
        <v/>
      </c>
      <c r="O1014" s="11">
        <f>IFERROR(N1014/L1014, 0)</f>
        <v/>
      </c>
      <c r="P1014" s="8">
        <f>YEAR(C1014)</f>
        <v/>
      </c>
      <c r="Q1014" s="8">
        <f>TEXT(C1014, "yyyy-mm")</f>
        <v/>
      </c>
      <c r="R1014" s="8" t="inlineStr">
        <is>
          <t>Affiliate Partner</t>
        </is>
      </c>
      <c r="S1014" s="8" t="inlineStr">
        <is>
          <t>REG-NA</t>
        </is>
      </c>
    </row>
    <row r="1015">
      <c r="A1015" s="8" t="inlineStr">
        <is>
          <t>DTL-0001024</t>
        </is>
      </c>
      <c r="B1015" s="8" t="inlineStr">
        <is>
          <t>ORD-000517</t>
        </is>
      </c>
      <c r="C1015" s="10" t="inlineStr">
        <is>
          <t>2025-11-09</t>
        </is>
      </c>
      <c r="D1015" s="8" t="inlineStr">
        <is>
          <t>CUST-00115</t>
        </is>
      </c>
      <c r="E1015" s="8" t="inlineStr">
        <is>
          <t>PRD-0214</t>
        </is>
      </c>
      <c r="F1015" s="8" t="n">
        <v>2</v>
      </c>
      <c r="G1015" s="9">
        <f>IFERROR(XLOOKUP(E1015, '04_Products'!$A:$A, '04_Products'!$G:$G), 482.72)</f>
        <v/>
      </c>
      <c r="H1015" s="9">
        <f>IFERROR(XLOOKUP(E1015, '04_Products'!$A:$A, '04_Products'!$F:$F), 0)</f>
        <v/>
      </c>
      <c r="I1015" s="9">
        <f>F1015*G1015</f>
        <v/>
      </c>
      <c r="J1015" s="11" t="n">
        <v>0</v>
      </c>
      <c r="K1015" s="9">
        <f>I1015*J1015</f>
        <v/>
      </c>
      <c r="L1015" s="9">
        <f>I1015-K1015</f>
        <v/>
      </c>
      <c r="M1015" s="9">
        <f>F1015*H1015</f>
        <v/>
      </c>
      <c r="N1015" s="9">
        <f>L1015-M1015</f>
        <v/>
      </c>
      <c r="O1015" s="11">
        <f>IFERROR(N1015/L1015, 0)</f>
        <v/>
      </c>
      <c r="P1015" s="8">
        <f>YEAR(C1015)</f>
        <v/>
      </c>
      <c r="Q1015" s="8">
        <f>TEXT(C1015, "yyyy-mm")</f>
        <v/>
      </c>
      <c r="R1015" s="8" t="inlineStr">
        <is>
          <t>Direct Web</t>
        </is>
      </c>
      <c r="S1015" s="8" t="inlineStr">
        <is>
          <t>REG-NA</t>
        </is>
      </c>
    </row>
    <row r="1016">
      <c r="A1016" s="8" t="inlineStr">
        <is>
          <t>DTL-0001025</t>
        </is>
      </c>
      <c r="B1016" s="8" t="inlineStr">
        <is>
          <t>ORD-000518</t>
        </is>
      </c>
      <c r="C1016" s="10" t="inlineStr">
        <is>
          <t>2023-12-09</t>
        </is>
      </c>
      <c r="D1016" s="8" t="inlineStr">
        <is>
          <t>CUST-03015</t>
        </is>
      </c>
      <c r="E1016" s="8" t="inlineStr">
        <is>
          <t>PRD-0292</t>
        </is>
      </c>
      <c r="F1016" s="8" t="n">
        <v>3</v>
      </c>
      <c r="G1016" s="9">
        <f>IFERROR(XLOOKUP(E1016, '04_Products'!$A:$A, '04_Products'!$G:$G), 44.76)</f>
        <v/>
      </c>
      <c r="H1016" s="9">
        <f>IFERROR(XLOOKUP(E1016, '04_Products'!$A:$A, '04_Products'!$F:$F), 0)</f>
        <v/>
      </c>
      <c r="I1016" s="9">
        <f>F1016*G1016</f>
        <v/>
      </c>
      <c r="J1016" s="11" t="n">
        <v>0.1</v>
      </c>
      <c r="K1016" s="9">
        <f>I1016*J1016</f>
        <v/>
      </c>
      <c r="L1016" s="9">
        <f>I1016-K1016</f>
        <v/>
      </c>
      <c r="M1016" s="9">
        <f>F1016*H1016</f>
        <v/>
      </c>
      <c r="N1016" s="9">
        <f>L1016-M1016</f>
        <v/>
      </c>
      <c r="O1016" s="11">
        <f>IFERROR(N1016/L1016, 0)</f>
        <v/>
      </c>
      <c r="P1016" s="8">
        <f>YEAR(C1016)</f>
        <v/>
      </c>
      <c r="Q1016" s="8">
        <f>TEXT(C1016, "yyyy-mm")</f>
        <v/>
      </c>
      <c r="R1016" s="8" t="inlineStr">
        <is>
          <t>Mobile App</t>
        </is>
      </c>
      <c r="S1016" s="8" t="inlineStr">
        <is>
          <t>REG-APAC</t>
        </is>
      </c>
    </row>
    <row r="1017">
      <c r="A1017" s="8" t="inlineStr">
        <is>
          <t>DTL-0001026</t>
        </is>
      </c>
      <c r="B1017" s="8" t="inlineStr">
        <is>
          <t>ORD-000519</t>
        </is>
      </c>
      <c r="C1017" s="10" t="inlineStr">
        <is>
          <t>2025-10-26</t>
        </is>
      </c>
      <c r="D1017" s="8" t="inlineStr">
        <is>
          <t>CUST-01952</t>
        </is>
      </c>
      <c r="E1017" s="8" t="inlineStr">
        <is>
          <t>PRD-0289</t>
        </is>
      </c>
      <c r="F1017" s="8" t="n">
        <v>4</v>
      </c>
      <c r="G1017" s="9">
        <f>IFERROR(XLOOKUP(E1017, '04_Products'!$A:$A, '04_Products'!$G:$G), 579.40)</f>
        <v/>
      </c>
      <c r="H1017" s="9">
        <f>IFERROR(XLOOKUP(E1017, '04_Products'!$A:$A, '04_Products'!$F:$F), 0)</f>
        <v/>
      </c>
      <c r="I1017" s="9">
        <f>F1017*G1017</f>
        <v/>
      </c>
      <c r="J1017" s="11" t="n">
        <v>0.15</v>
      </c>
      <c r="K1017" s="9">
        <f>I1017*J1017</f>
        <v/>
      </c>
      <c r="L1017" s="9">
        <f>I1017-K1017</f>
        <v/>
      </c>
      <c r="M1017" s="9">
        <f>F1017*H1017</f>
        <v/>
      </c>
      <c r="N1017" s="9">
        <f>L1017-M1017</f>
        <v/>
      </c>
      <c r="O1017" s="11">
        <f>IFERROR(N1017/L1017, 0)</f>
        <v/>
      </c>
      <c r="P1017" s="8">
        <f>YEAR(C1017)</f>
        <v/>
      </c>
      <c r="Q1017" s="8">
        <f>TEXT(C1017, "yyyy-mm")</f>
        <v/>
      </c>
      <c r="R1017" s="8" t="inlineStr">
        <is>
          <t>Mobile App</t>
        </is>
      </c>
      <c r="S1017" s="8" t="inlineStr">
        <is>
          <t>REG-EU</t>
        </is>
      </c>
    </row>
    <row r="1018">
      <c r="A1018" s="8" t="inlineStr">
        <is>
          <t>DTL-0001027</t>
        </is>
      </c>
      <c r="B1018" s="8" t="inlineStr">
        <is>
          <t>ORD-000519</t>
        </is>
      </c>
      <c r="C1018" s="10" t="inlineStr">
        <is>
          <t>2025-10-26</t>
        </is>
      </c>
      <c r="D1018" s="8" t="inlineStr">
        <is>
          <t>CUST-01952</t>
        </is>
      </c>
      <c r="E1018" s="8" t="inlineStr">
        <is>
          <t>PRD-0111</t>
        </is>
      </c>
      <c r="F1018" s="8" t="n">
        <v>1</v>
      </c>
      <c r="G1018" s="9">
        <f>IFERROR(XLOOKUP(E1018, '04_Products'!$A:$A, '04_Products'!$G:$G), 63.37)</f>
        <v/>
      </c>
      <c r="H1018" s="9">
        <f>IFERROR(XLOOKUP(E1018, '04_Products'!$A:$A, '04_Products'!$F:$F), 0)</f>
        <v/>
      </c>
      <c r="I1018" s="9">
        <f>F1018*G1018</f>
        <v/>
      </c>
      <c r="J1018" s="11" t="n">
        <v>0.15</v>
      </c>
      <c r="K1018" s="9">
        <f>I1018*J1018</f>
        <v/>
      </c>
      <c r="L1018" s="9">
        <f>I1018-K1018</f>
        <v/>
      </c>
      <c r="M1018" s="9">
        <f>F1018*H1018</f>
        <v/>
      </c>
      <c r="N1018" s="9">
        <f>L1018-M1018</f>
        <v/>
      </c>
      <c r="O1018" s="11">
        <f>IFERROR(N1018/L1018, 0)</f>
        <v/>
      </c>
      <c r="P1018" s="8">
        <f>YEAR(C1018)</f>
        <v/>
      </c>
      <c r="Q1018" s="8">
        <f>TEXT(C1018, "yyyy-mm")</f>
        <v/>
      </c>
      <c r="R1018" s="8" t="inlineStr">
        <is>
          <t>Mobile App</t>
        </is>
      </c>
      <c r="S1018" s="8" t="inlineStr">
        <is>
          <t>REG-EU</t>
        </is>
      </c>
    </row>
    <row r="1019">
      <c r="A1019" s="8" t="inlineStr">
        <is>
          <t>DTL-0001028</t>
        </is>
      </c>
      <c r="B1019" s="8" t="inlineStr">
        <is>
          <t>ORD-000520</t>
        </is>
      </c>
      <c r="C1019" s="10" t="inlineStr">
        <is>
          <t>2023-04-26</t>
        </is>
      </c>
      <c r="D1019" s="8" t="inlineStr">
        <is>
          <t>CUST-03468</t>
        </is>
      </c>
      <c r="E1019" s="8" t="inlineStr">
        <is>
          <t>PRD-0316</t>
        </is>
      </c>
      <c r="F1019" s="8" t="n">
        <v>1</v>
      </c>
      <c r="G1019" s="9">
        <f>IFERROR(XLOOKUP(E1019, '04_Products'!$A:$A, '04_Products'!$G:$G), 575.96)</f>
        <v/>
      </c>
      <c r="H1019" s="9">
        <f>IFERROR(XLOOKUP(E1019, '04_Products'!$A:$A, '04_Products'!$F:$F), 0)</f>
        <v/>
      </c>
      <c r="I1019" s="9">
        <f>F1019*G1019</f>
        <v/>
      </c>
      <c r="J1019" s="11" t="n">
        <v>0</v>
      </c>
      <c r="K1019" s="9">
        <f>I1019*J1019</f>
        <v/>
      </c>
      <c r="L1019" s="9">
        <f>I1019-K1019</f>
        <v/>
      </c>
      <c r="M1019" s="9">
        <f>F1019*H1019</f>
        <v/>
      </c>
      <c r="N1019" s="9">
        <f>L1019-M1019</f>
        <v/>
      </c>
      <c r="O1019" s="11">
        <f>IFERROR(N1019/L1019, 0)</f>
        <v/>
      </c>
      <c r="P1019" s="8">
        <f>YEAR(C1019)</f>
        <v/>
      </c>
      <c r="Q1019" s="8">
        <f>TEXT(C1019, "yyyy-mm")</f>
        <v/>
      </c>
      <c r="R1019" s="8" t="inlineStr">
        <is>
          <t>Affiliate Partner</t>
        </is>
      </c>
      <c r="S1019" s="8" t="inlineStr">
        <is>
          <t>REG-APAC</t>
        </is>
      </c>
    </row>
    <row r="1020">
      <c r="A1020" s="8" t="inlineStr">
        <is>
          <t>DTL-0001029</t>
        </is>
      </c>
      <c r="B1020" s="8" t="inlineStr">
        <is>
          <t>ORD-000521</t>
        </is>
      </c>
      <c r="C1020" s="10" t="inlineStr">
        <is>
          <t>2024-11-13</t>
        </is>
      </c>
      <c r="D1020" s="8" t="inlineStr">
        <is>
          <t>CUST-00837</t>
        </is>
      </c>
      <c r="E1020" s="8" t="inlineStr">
        <is>
          <t>PRD-0327</t>
        </is>
      </c>
      <c r="F1020" s="8" t="n">
        <v>2</v>
      </c>
      <c r="G1020" s="9">
        <f>IFERROR(XLOOKUP(E1020, '04_Products'!$A:$A, '04_Products'!$G:$G), 165.39)</f>
        <v/>
      </c>
      <c r="H1020" s="9">
        <f>IFERROR(XLOOKUP(E1020, '04_Products'!$A:$A, '04_Products'!$F:$F), 0)</f>
        <v/>
      </c>
      <c r="I1020" s="9">
        <f>F1020*G1020</f>
        <v/>
      </c>
      <c r="J1020" s="11" t="n">
        <v>0.05</v>
      </c>
      <c r="K1020" s="9">
        <f>I1020*J1020</f>
        <v/>
      </c>
      <c r="L1020" s="9">
        <f>I1020-K1020</f>
        <v/>
      </c>
      <c r="M1020" s="9">
        <f>F1020*H1020</f>
        <v/>
      </c>
      <c r="N1020" s="9">
        <f>L1020-M1020</f>
        <v/>
      </c>
      <c r="O1020" s="11">
        <f>IFERROR(N1020/L1020, 0)</f>
        <v/>
      </c>
      <c r="P1020" s="8">
        <f>YEAR(C1020)</f>
        <v/>
      </c>
      <c r="Q1020" s="8">
        <f>TEXT(C1020, "yyyy-mm")</f>
        <v/>
      </c>
      <c r="R1020" s="8" t="inlineStr">
        <is>
          <t>B2B Portal</t>
        </is>
      </c>
      <c r="S1020" s="8" t="inlineStr">
        <is>
          <t>REG-NA</t>
        </is>
      </c>
    </row>
    <row r="1021">
      <c r="A1021" s="8" t="inlineStr">
        <is>
          <t>DTL-0001030</t>
        </is>
      </c>
      <c r="B1021" s="8" t="inlineStr">
        <is>
          <t>ORD-000521</t>
        </is>
      </c>
      <c r="C1021" s="10" t="inlineStr">
        <is>
          <t>2024-11-13</t>
        </is>
      </c>
      <c r="D1021" s="8" t="inlineStr">
        <is>
          <t>CUST-00837</t>
        </is>
      </c>
      <c r="E1021" s="8" t="inlineStr">
        <is>
          <t>PRD-0191</t>
        </is>
      </c>
      <c r="F1021" s="8" t="n">
        <v>2</v>
      </c>
      <c r="G1021" s="9">
        <f>IFERROR(XLOOKUP(E1021, '04_Products'!$A:$A, '04_Products'!$G:$G), 45.09)</f>
        <v/>
      </c>
      <c r="H1021" s="9">
        <f>IFERROR(XLOOKUP(E1021, '04_Products'!$A:$A, '04_Products'!$F:$F), 0)</f>
        <v/>
      </c>
      <c r="I1021" s="9">
        <f>F1021*G1021</f>
        <v/>
      </c>
      <c r="J1021" s="11" t="n">
        <v>0.05</v>
      </c>
      <c r="K1021" s="9">
        <f>I1021*J1021</f>
        <v/>
      </c>
      <c r="L1021" s="9">
        <f>I1021-K1021</f>
        <v/>
      </c>
      <c r="M1021" s="9">
        <f>F1021*H1021</f>
        <v/>
      </c>
      <c r="N1021" s="9">
        <f>L1021-M1021</f>
        <v/>
      </c>
      <c r="O1021" s="11">
        <f>IFERROR(N1021/L1021, 0)</f>
        <v/>
      </c>
      <c r="P1021" s="8">
        <f>YEAR(C1021)</f>
        <v/>
      </c>
      <c r="Q1021" s="8">
        <f>TEXT(C1021, "yyyy-mm")</f>
        <v/>
      </c>
      <c r="R1021" s="8" t="inlineStr">
        <is>
          <t>B2B Portal</t>
        </is>
      </c>
      <c r="S1021" s="8" t="inlineStr">
        <is>
          <t>REG-NA</t>
        </is>
      </c>
    </row>
    <row r="1022">
      <c r="A1022" s="8" t="inlineStr">
        <is>
          <t>DTL-0001031</t>
        </is>
      </c>
      <c r="B1022" s="8" t="inlineStr">
        <is>
          <t>ORD-000522</t>
        </is>
      </c>
      <c r="C1022" s="10" t="inlineStr">
        <is>
          <t>2023-07-16</t>
        </is>
      </c>
      <c r="D1022" s="8" t="inlineStr">
        <is>
          <t>CUST-03756</t>
        </is>
      </c>
      <c r="E1022" s="8" t="inlineStr">
        <is>
          <t>PRD-0263</t>
        </is>
      </c>
      <c r="F1022" s="8" t="n">
        <v>2</v>
      </c>
      <c r="G1022" s="9">
        <f>IFERROR(XLOOKUP(E1022, '04_Products'!$A:$A, '04_Products'!$G:$G), 59.33)</f>
        <v/>
      </c>
      <c r="H1022" s="9">
        <f>IFERROR(XLOOKUP(E1022, '04_Products'!$A:$A, '04_Products'!$F:$F), 0)</f>
        <v/>
      </c>
      <c r="I1022" s="9">
        <f>F1022*G1022</f>
        <v/>
      </c>
      <c r="J1022" s="11" t="n">
        <v>0.05</v>
      </c>
      <c r="K1022" s="9">
        <f>I1022*J1022</f>
        <v/>
      </c>
      <c r="L1022" s="9">
        <f>I1022-K1022</f>
        <v/>
      </c>
      <c r="M1022" s="9">
        <f>F1022*H1022</f>
        <v/>
      </c>
      <c r="N1022" s="9">
        <f>L1022-M1022</f>
        <v/>
      </c>
      <c r="O1022" s="11">
        <f>IFERROR(N1022/L1022, 0)</f>
        <v/>
      </c>
      <c r="P1022" s="8">
        <f>YEAR(C1022)</f>
        <v/>
      </c>
      <c r="Q1022" s="8">
        <f>TEXT(C1022, "yyyy-mm")</f>
        <v/>
      </c>
      <c r="R1022" s="8" t="inlineStr">
        <is>
          <t>Mobile App</t>
        </is>
      </c>
      <c r="S1022" s="8" t="inlineStr">
        <is>
          <t>REG-NA</t>
        </is>
      </c>
    </row>
    <row r="1023">
      <c r="A1023" s="8" t="inlineStr">
        <is>
          <t>DTL-0001032</t>
        </is>
      </c>
      <c r="B1023" s="8" t="inlineStr">
        <is>
          <t>ORD-000522</t>
        </is>
      </c>
      <c r="C1023" s="10" t="inlineStr">
        <is>
          <t>2023-07-16</t>
        </is>
      </c>
      <c r="D1023" s="8" t="inlineStr">
        <is>
          <t>CUST-03756</t>
        </is>
      </c>
      <c r="E1023" s="8" t="inlineStr">
        <is>
          <t>PRD-0418</t>
        </is>
      </c>
      <c r="F1023" s="8" t="n">
        <v>1</v>
      </c>
      <c r="G1023" s="9">
        <f>IFERROR(XLOOKUP(E1023, '04_Products'!$A:$A, '04_Products'!$G:$G), 287.35)</f>
        <v/>
      </c>
      <c r="H1023" s="9">
        <f>IFERROR(XLOOKUP(E1023, '04_Products'!$A:$A, '04_Products'!$F:$F), 0)</f>
        <v/>
      </c>
      <c r="I1023" s="9">
        <f>F1023*G1023</f>
        <v/>
      </c>
      <c r="J1023" s="11" t="n">
        <v>0.1</v>
      </c>
      <c r="K1023" s="9">
        <f>I1023*J1023</f>
        <v/>
      </c>
      <c r="L1023" s="9">
        <f>I1023-K1023</f>
        <v/>
      </c>
      <c r="M1023" s="9">
        <f>F1023*H1023</f>
        <v/>
      </c>
      <c r="N1023" s="9">
        <f>L1023-M1023</f>
        <v/>
      </c>
      <c r="O1023" s="11">
        <f>IFERROR(N1023/L1023, 0)</f>
        <v/>
      </c>
      <c r="P1023" s="8">
        <f>YEAR(C1023)</f>
        <v/>
      </c>
      <c r="Q1023" s="8">
        <f>TEXT(C1023, "yyyy-mm")</f>
        <v/>
      </c>
      <c r="R1023" s="8" t="inlineStr">
        <is>
          <t>Mobile App</t>
        </is>
      </c>
      <c r="S1023" s="8" t="inlineStr">
        <is>
          <t>REG-NA</t>
        </is>
      </c>
    </row>
    <row r="1024">
      <c r="A1024" s="8" t="inlineStr">
        <is>
          <t>DTL-0001033</t>
        </is>
      </c>
      <c r="B1024" s="8" t="inlineStr">
        <is>
          <t>ORD-000523</t>
        </is>
      </c>
      <c r="C1024" s="10" t="inlineStr">
        <is>
          <t>2023-07-29</t>
        </is>
      </c>
      <c r="D1024" s="8" t="inlineStr">
        <is>
          <t>CUST-07543</t>
        </is>
      </c>
      <c r="E1024" s="8" t="inlineStr">
        <is>
          <t>PRD-0109</t>
        </is>
      </c>
      <c r="F1024" s="8" t="n">
        <v>3</v>
      </c>
      <c r="G1024" s="9">
        <f>IFERROR(XLOOKUP(E1024, '04_Products'!$A:$A, '04_Products'!$G:$G), 53.86)</f>
        <v/>
      </c>
      <c r="H1024" s="9">
        <f>IFERROR(XLOOKUP(E1024, '04_Products'!$A:$A, '04_Products'!$F:$F), 0)</f>
        <v/>
      </c>
      <c r="I1024" s="9">
        <f>F1024*G1024</f>
        <v/>
      </c>
      <c r="J1024" s="11" t="n">
        <v>0.1</v>
      </c>
      <c r="K1024" s="9">
        <f>I1024*J1024</f>
        <v/>
      </c>
      <c r="L1024" s="9">
        <f>I1024-K1024</f>
        <v/>
      </c>
      <c r="M1024" s="9">
        <f>F1024*H1024</f>
        <v/>
      </c>
      <c r="N1024" s="9">
        <f>L1024-M1024</f>
        <v/>
      </c>
      <c r="O1024" s="11">
        <f>IFERROR(N1024/L1024, 0)</f>
        <v/>
      </c>
      <c r="P1024" s="8">
        <f>YEAR(C1024)</f>
        <v/>
      </c>
      <c r="Q1024" s="8">
        <f>TEXT(C1024, "yyyy-mm")</f>
        <v/>
      </c>
      <c r="R1024" s="8" t="inlineStr">
        <is>
          <t>B2B Portal</t>
        </is>
      </c>
      <c r="S1024" s="8" t="inlineStr">
        <is>
          <t>REG-NA</t>
        </is>
      </c>
    </row>
    <row r="1025">
      <c r="A1025" s="8" t="inlineStr">
        <is>
          <t>DTL-0001034</t>
        </is>
      </c>
      <c r="B1025" s="8" t="inlineStr">
        <is>
          <t>ORD-000524</t>
        </is>
      </c>
      <c r="C1025" s="10" t="inlineStr">
        <is>
          <t>2023-10-25</t>
        </is>
      </c>
      <c r="D1025" s="8" t="inlineStr">
        <is>
          <t>CUST-05377</t>
        </is>
      </c>
      <c r="E1025" s="8" t="inlineStr">
        <is>
          <t>PRD-0017</t>
        </is>
      </c>
      <c r="F1025" s="8" t="n">
        <v>2</v>
      </c>
      <c r="G1025" s="9">
        <f>IFERROR(XLOOKUP(E1025, '04_Products'!$A:$A, '04_Products'!$G:$G), 931.16)</f>
        <v/>
      </c>
      <c r="H1025" s="9">
        <f>IFERROR(XLOOKUP(E1025, '04_Products'!$A:$A, '04_Products'!$F:$F), 0)</f>
        <v/>
      </c>
      <c r="I1025" s="9">
        <f>F1025*G1025</f>
        <v/>
      </c>
      <c r="J1025" s="11" t="n">
        <v>0.05</v>
      </c>
      <c r="K1025" s="9">
        <f>I1025*J1025</f>
        <v/>
      </c>
      <c r="L1025" s="9">
        <f>I1025-K1025</f>
        <v/>
      </c>
      <c r="M1025" s="9">
        <f>F1025*H1025</f>
        <v/>
      </c>
      <c r="N1025" s="9">
        <f>L1025-M1025</f>
        <v/>
      </c>
      <c r="O1025" s="11">
        <f>IFERROR(N1025/L1025, 0)</f>
        <v/>
      </c>
      <c r="P1025" s="8">
        <f>YEAR(C1025)</f>
        <v/>
      </c>
      <c r="Q1025" s="8">
        <f>TEXT(C1025, "yyyy-mm")</f>
        <v/>
      </c>
      <c r="R1025" s="8" t="inlineStr">
        <is>
          <t>Direct Web</t>
        </is>
      </c>
      <c r="S1025" s="8" t="inlineStr">
        <is>
          <t>REG-LATAM</t>
        </is>
      </c>
    </row>
    <row r="1026">
      <c r="A1026" s="8" t="inlineStr">
        <is>
          <t>DTL-0001035</t>
        </is>
      </c>
      <c r="B1026" s="8" t="inlineStr">
        <is>
          <t>ORD-000524</t>
        </is>
      </c>
      <c r="C1026" s="10" t="inlineStr">
        <is>
          <t>2023-10-25</t>
        </is>
      </c>
      <c r="D1026" s="8" t="inlineStr">
        <is>
          <t>CUST-05377</t>
        </is>
      </c>
      <c r="E1026" s="8" t="inlineStr">
        <is>
          <t>PRD-0151</t>
        </is>
      </c>
      <c r="F1026" s="8" t="n">
        <v>1</v>
      </c>
      <c r="G1026" s="9">
        <f>IFERROR(XLOOKUP(E1026, '04_Products'!$A:$A, '04_Products'!$G:$G), 643.51)</f>
        <v/>
      </c>
      <c r="H1026" s="9">
        <f>IFERROR(XLOOKUP(E1026, '04_Products'!$A:$A, '04_Products'!$F:$F), 0)</f>
        <v/>
      </c>
      <c r="I1026" s="9">
        <f>F1026*G1026</f>
        <v/>
      </c>
      <c r="J1026" s="11" t="n">
        <v>0</v>
      </c>
      <c r="K1026" s="9">
        <f>I1026*J1026</f>
        <v/>
      </c>
      <c r="L1026" s="9">
        <f>I1026-K1026</f>
        <v/>
      </c>
      <c r="M1026" s="9">
        <f>F1026*H1026</f>
        <v/>
      </c>
      <c r="N1026" s="9">
        <f>L1026-M1026</f>
        <v/>
      </c>
      <c r="O1026" s="11">
        <f>IFERROR(N1026/L1026, 0)</f>
        <v/>
      </c>
      <c r="P1026" s="8">
        <f>YEAR(C1026)</f>
        <v/>
      </c>
      <c r="Q1026" s="8">
        <f>TEXT(C1026, "yyyy-mm")</f>
        <v/>
      </c>
      <c r="R1026" s="8" t="inlineStr">
        <is>
          <t>Direct Web</t>
        </is>
      </c>
      <c r="S1026" s="8" t="inlineStr">
        <is>
          <t>REG-LATAM</t>
        </is>
      </c>
    </row>
    <row r="1027">
      <c r="A1027" s="8" t="inlineStr">
        <is>
          <t>DTL-0001036</t>
        </is>
      </c>
      <c r="B1027" s="8" t="inlineStr">
        <is>
          <t>ORD-000524</t>
        </is>
      </c>
      <c r="C1027" s="10" t="inlineStr">
        <is>
          <t>2023-10-25</t>
        </is>
      </c>
      <c r="D1027" s="8" t="inlineStr">
        <is>
          <t>CUST-05377</t>
        </is>
      </c>
      <c r="E1027" s="8" t="inlineStr">
        <is>
          <t>PRD-0128</t>
        </is>
      </c>
      <c r="F1027" s="8" t="n">
        <v>1</v>
      </c>
      <c r="G1027" s="9">
        <f>IFERROR(XLOOKUP(E1027, '04_Products'!$A:$A, '04_Products'!$G:$G), 570.32)</f>
        <v/>
      </c>
      <c r="H1027" s="9">
        <f>IFERROR(XLOOKUP(E1027, '04_Products'!$A:$A, '04_Products'!$F:$F), 0)</f>
        <v/>
      </c>
      <c r="I1027" s="9">
        <f>F1027*G1027</f>
        <v/>
      </c>
      <c r="J1027" s="11" t="n">
        <v>0.05</v>
      </c>
      <c r="K1027" s="9">
        <f>I1027*J1027</f>
        <v/>
      </c>
      <c r="L1027" s="9">
        <f>I1027-K1027</f>
        <v/>
      </c>
      <c r="M1027" s="9">
        <f>F1027*H1027</f>
        <v/>
      </c>
      <c r="N1027" s="9">
        <f>L1027-M1027</f>
        <v/>
      </c>
      <c r="O1027" s="11">
        <f>IFERROR(N1027/L1027, 0)</f>
        <v/>
      </c>
      <c r="P1027" s="8">
        <f>YEAR(C1027)</f>
        <v/>
      </c>
      <c r="Q1027" s="8">
        <f>TEXT(C1027, "yyyy-mm")</f>
        <v/>
      </c>
      <c r="R1027" s="8" t="inlineStr">
        <is>
          <t>Direct Web</t>
        </is>
      </c>
      <c r="S1027" s="8" t="inlineStr">
        <is>
          <t>REG-LATAM</t>
        </is>
      </c>
    </row>
    <row r="1028">
      <c r="A1028" s="8" t="inlineStr">
        <is>
          <t>DTL-0001037</t>
        </is>
      </c>
      <c r="B1028" s="8" t="inlineStr">
        <is>
          <t>ORD-000525</t>
        </is>
      </c>
      <c r="C1028" s="10" t="inlineStr">
        <is>
          <t>2024-03-19</t>
        </is>
      </c>
      <c r="D1028" s="8" t="inlineStr">
        <is>
          <t>CUST-04061</t>
        </is>
      </c>
      <c r="E1028" s="8" t="inlineStr">
        <is>
          <t>PRD-0126</t>
        </is>
      </c>
      <c r="F1028" s="8" t="n">
        <v>2</v>
      </c>
      <c r="G1028" s="9">
        <f>IFERROR(XLOOKUP(E1028, '04_Products'!$A:$A, '04_Products'!$G:$G), 195.24)</f>
        <v/>
      </c>
      <c r="H1028" s="9">
        <f>IFERROR(XLOOKUP(E1028, '04_Products'!$A:$A, '04_Products'!$F:$F), 0)</f>
        <v/>
      </c>
      <c r="I1028" s="9">
        <f>F1028*G1028</f>
        <v/>
      </c>
      <c r="J1028" s="11" t="n">
        <v>0.1</v>
      </c>
      <c r="K1028" s="9">
        <f>I1028*J1028</f>
        <v/>
      </c>
      <c r="L1028" s="9">
        <f>I1028-K1028</f>
        <v/>
      </c>
      <c r="M1028" s="9">
        <f>F1028*H1028</f>
        <v/>
      </c>
      <c r="N1028" s="9">
        <f>L1028-M1028</f>
        <v/>
      </c>
      <c r="O1028" s="11">
        <f>IFERROR(N1028/L1028, 0)</f>
        <v/>
      </c>
      <c r="P1028" s="8">
        <f>YEAR(C1028)</f>
        <v/>
      </c>
      <c r="Q1028" s="8">
        <f>TEXT(C1028, "yyyy-mm")</f>
        <v/>
      </c>
      <c r="R1028" s="8" t="inlineStr">
        <is>
          <t>Affiliate Partner</t>
        </is>
      </c>
      <c r="S1028" s="8" t="inlineStr">
        <is>
          <t>REG-NA</t>
        </is>
      </c>
    </row>
    <row r="1029">
      <c r="A1029" s="8" t="inlineStr">
        <is>
          <t>DTL-0001038</t>
        </is>
      </c>
      <c r="B1029" s="8" t="inlineStr">
        <is>
          <t>ORD-000526</t>
        </is>
      </c>
      <c r="C1029" s="10" t="inlineStr">
        <is>
          <t>2023-10-06</t>
        </is>
      </c>
      <c r="D1029" s="8" t="inlineStr">
        <is>
          <t>CUST-07575</t>
        </is>
      </c>
      <c r="E1029" s="8" t="inlineStr">
        <is>
          <t>PRD-0273</t>
        </is>
      </c>
      <c r="F1029" s="8" t="n">
        <v>3</v>
      </c>
      <c r="G1029" s="9">
        <f>IFERROR(XLOOKUP(E1029, '04_Products'!$A:$A, '04_Products'!$G:$G), 19.23)</f>
        <v/>
      </c>
      <c r="H1029" s="9">
        <f>IFERROR(XLOOKUP(E1029, '04_Products'!$A:$A, '04_Products'!$F:$F), 0)</f>
        <v/>
      </c>
      <c r="I1029" s="9">
        <f>F1029*G1029</f>
        <v/>
      </c>
      <c r="J1029" s="11" t="n">
        <v>0.15</v>
      </c>
      <c r="K1029" s="9">
        <f>I1029*J1029</f>
        <v/>
      </c>
      <c r="L1029" s="9">
        <f>I1029-K1029</f>
        <v/>
      </c>
      <c r="M1029" s="9">
        <f>F1029*H1029</f>
        <v/>
      </c>
      <c r="N1029" s="9">
        <f>L1029-M1029</f>
        <v/>
      </c>
      <c r="O1029" s="11">
        <f>IFERROR(N1029/L1029, 0)</f>
        <v/>
      </c>
      <c r="P1029" s="8">
        <f>YEAR(C1029)</f>
        <v/>
      </c>
      <c r="Q1029" s="8">
        <f>TEXT(C1029, "yyyy-mm")</f>
        <v/>
      </c>
      <c r="R1029" s="8" t="inlineStr">
        <is>
          <t>Affiliate Partner</t>
        </is>
      </c>
      <c r="S1029" s="8" t="inlineStr">
        <is>
          <t>REG-EU</t>
        </is>
      </c>
    </row>
    <row r="1030">
      <c r="A1030" s="8" t="inlineStr">
        <is>
          <t>DTL-0001039</t>
        </is>
      </c>
      <c r="B1030" s="8" t="inlineStr">
        <is>
          <t>ORD-000527</t>
        </is>
      </c>
      <c r="C1030" s="10" t="inlineStr">
        <is>
          <t>2025-12-01</t>
        </is>
      </c>
      <c r="D1030" s="8" t="inlineStr">
        <is>
          <t>CUST-07597</t>
        </is>
      </c>
      <c r="E1030" s="8" t="inlineStr">
        <is>
          <t>PRD-0192</t>
        </is>
      </c>
      <c r="F1030" s="8" t="n">
        <v>1</v>
      </c>
      <c r="G1030" s="9">
        <f>IFERROR(XLOOKUP(E1030, '04_Products'!$A:$A, '04_Products'!$G:$G), 26.26)</f>
        <v/>
      </c>
      <c r="H1030" s="9">
        <f>IFERROR(XLOOKUP(E1030, '04_Products'!$A:$A, '04_Products'!$F:$F), 0)</f>
        <v/>
      </c>
      <c r="I1030" s="9">
        <f>F1030*G1030</f>
        <v/>
      </c>
      <c r="J1030" s="11" t="n">
        <v>0.05</v>
      </c>
      <c r="K1030" s="9">
        <f>I1030*J1030</f>
        <v/>
      </c>
      <c r="L1030" s="9">
        <f>I1030-K1030</f>
        <v/>
      </c>
      <c r="M1030" s="9">
        <f>F1030*H1030</f>
        <v/>
      </c>
      <c r="N1030" s="9">
        <f>L1030-M1030</f>
        <v/>
      </c>
      <c r="O1030" s="11">
        <f>IFERROR(N1030/L1030, 0)</f>
        <v/>
      </c>
      <c r="P1030" s="8">
        <f>YEAR(C1030)</f>
        <v/>
      </c>
      <c r="Q1030" s="8">
        <f>TEXT(C1030, "yyyy-mm")</f>
        <v/>
      </c>
      <c r="R1030" s="8" t="inlineStr">
        <is>
          <t>Mobile App</t>
        </is>
      </c>
      <c r="S1030" s="8" t="inlineStr">
        <is>
          <t>REG-EU</t>
        </is>
      </c>
    </row>
    <row r="1031">
      <c r="A1031" s="8" t="inlineStr">
        <is>
          <t>DTL-0001040</t>
        </is>
      </c>
      <c r="B1031" s="8" t="inlineStr">
        <is>
          <t>ORD-000527</t>
        </is>
      </c>
      <c r="C1031" s="10" t="inlineStr">
        <is>
          <t>2025-12-01</t>
        </is>
      </c>
      <c r="D1031" s="8" t="inlineStr">
        <is>
          <t>CUST-07597</t>
        </is>
      </c>
      <c r="E1031" s="8" t="inlineStr">
        <is>
          <t>PRD-0452</t>
        </is>
      </c>
      <c r="F1031" s="8" t="n">
        <v>1</v>
      </c>
      <c r="G1031" s="9">
        <f>IFERROR(XLOOKUP(E1031, '04_Products'!$A:$A, '04_Products'!$G:$G), 52.31)</f>
        <v/>
      </c>
      <c r="H1031" s="9">
        <f>IFERROR(XLOOKUP(E1031, '04_Products'!$A:$A, '04_Products'!$F:$F), 0)</f>
        <v/>
      </c>
      <c r="I1031" s="9">
        <f>F1031*G1031</f>
        <v/>
      </c>
      <c r="J1031" s="11" t="n">
        <v>0.15</v>
      </c>
      <c r="K1031" s="9">
        <f>I1031*J1031</f>
        <v/>
      </c>
      <c r="L1031" s="9">
        <f>I1031-K1031</f>
        <v/>
      </c>
      <c r="M1031" s="9">
        <f>F1031*H1031</f>
        <v/>
      </c>
      <c r="N1031" s="9">
        <f>L1031-M1031</f>
        <v/>
      </c>
      <c r="O1031" s="11">
        <f>IFERROR(N1031/L1031, 0)</f>
        <v/>
      </c>
      <c r="P1031" s="8">
        <f>YEAR(C1031)</f>
        <v/>
      </c>
      <c r="Q1031" s="8">
        <f>TEXT(C1031, "yyyy-mm")</f>
        <v/>
      </c>
      <c r="R1031" s="8" t="inlineStr">
        <is>
          <t>Mobile App</t>
        </is>
      </c>
      <c r="S1031" s="8" t="inlineStr">
        <is>
          <t>REG-EU</t>
        </is>
      </c>
    </row>
    <row r="1032">
      <c r="A1032" s="8" t="inlineStr">
        <is>
          <t>DTL-0001041</t>
        </is>
      </c>
      <c r="B1032" s="8" t="inlineStr">
        <is>
          <t>ORD-000528</t>
        </is>
      </c>
      <c r="C1032" s="10" t="inlineStr">
        <is>
          <t>2025-11-29</t>
        </is>
      </c>
      <c r="D1032" s="8" t="inlineStr">
        <is>
          <t>CUST-07915</t>
        </is>
      </c>
      <c r="E1032" s="8" t="inlineStr">
        <is>
          <t>PRD-0457</t>
        </is>
      </c>
      <c r="F1032" s="8" t="n">
        <v>3</v>
      </c>
      <c r="G1032" s="9">
        <f>IFERROR(XLOOKUP(E1032, '04_Products'!$A:$A, '04_Products'!$G:$G), 29.97)</f>
        <v/>
      </c>
      <c r="H1032" s="9">
        <f>IFERROR(XLOOKUP(E1032, '04_Products'!$A:$A, '04_Products'!$F:$F), 0)</f>
        <v/>
      </c>
      <c r="I1032" s="9">
        <f>F1032*G1032</f>
        <v/>
      </c>
      <c r="J1032" s="11" t="n">
        <v>0.1</v>
      </c>
      <c r="K1032" s="9">
        <f>I1032*J1032</f>
        <v/>
      </c>
      <c r="L1032" s="9">
        <f>I1032-K1032</f>
        <v/>
      </c>
      <c r="M1032" s="9">
        <f>F1032*H1032</f>
        <v/>
      </c>
      <c r="N1032" s="9">
        <f>L1032-M1032</f>
        <v/>
      </c>
      <c r="O1032" s="11">
        <f>IFERROR(N1032/L1032, 0)</f>
        <v/>
      </c>
      <c r="P1032" s="8">
        <f>YEAR(C1032)</f>
        <v/>
      </c>
      <c r="Q1032" s="8">
        <f>TEXT(C1032, "yyyy-mm")</f>
        <v/>
      </c>
      <c r="R1032" s="8" t="inlineStr">
        <is>
          <t>Mobile App</t>
        </is>
      </c>
      <c r="S1032" s="8" t="inlineStr">
        <is>
          <t>REG-APAC</t>
        </is>
      </c>
    </row>
    <row r="1033">
      <c r="A1033" s="8" t="inlineStr">
        <is>
          <t>DTL-0001042</t>
        </is>
      </c>
      <c r="B1033" s="8" t="inlineStr">
        <is>
          <t>ORD-000528</t>
        </is>
      </c>
      <c r="C1033" s="10" t="inlineStr">
        <is>
          <t>2025-11-29</t>
        </is>
      </c>
      <c r="D1033" s="8" t="inlineStr">
        <is>
          <t>CUST-07915</t>
        </is>
      </c>
      <c r="E1033" s="8" t="inlineStr">
        <is>
          <t>PRD-0428</t>
        </is>
      </c>
      <c r="F1033" s="8" t="n">
        <v>2</v>
      </c>
      <c r="G1033" s="9">
        <f>IFERROR(XLOOKUP(E1033, '04_Products'!$A:$A, '04_Products'!$G:$G), 991.23)</f>
        <v/>
      </c>
      <c r="H1033" s="9">
        <f>IFERROR(XLOOKUP(E1033, '04_Products'!$A:$A, '04_Products'!$F:$F), 0)</f>
        <v/>
      </c>
      <c r="I1033" s="9">
        <f>F1033*G1033</f>
        <v/>
      </c>
      <c r="J1033" s="11" t="n">
        <v>0.2</v>
      </c>
      <c r="K1033" s="9">
        <f>I1033*J1033</f>
        <v/>
      </c>
      <c r="L1033" s="9">
        <f>I1033-K1033</f>
        <v/>
      </c>
      <c r="M1033" s="9">
        <f>F1033*H1033</f>
        <v/>
      </c>
      <c r="N1033" s="9">
        <f>L1033-M1033</f>
        <v/>
      </c>
      <c r="O1033" s="11">
        <f>IFERROR(N1033/L1033, 0)</f>
        <v/>
      </c>
      <c r="P1033" s="8">
        <f>YEAR(C1033)</f>
        <v/>
      </c>
      <c r="Q1033" s="8">
        <f>TEXT(C1033, "yyyy-mm")</f>
        <v/>
      </c>
      <c r="R1033" s="8" t="inlineStr">
        <is>
          <t>Mobile App</t>
        </is>
      </c>
      <c r="S1033" s="8" t="inlineStr">
        <is>
          <t>REG-APAC</t>
        </is>
      </c>
    </row>
    <row r="1034">
      <c r="A1034" s="8" t="inlineStr">
        <is>
          <t>DTL-0001043</t>
        </is>
      </c>
      <c r="B1034" s="8" t="inlineStr">
        <is>
          <t>ORD-000528</t>
        </is>
      </c>
      <c r="C1034" s="10" t="inlineStr">
        <is>
          <t>2025-11-29</t>
        </is>
      </c>
      <c r="D1034" s="8" t="inlineStr">
        <is>
          <t>CUST-07915</t>
        </is>
      </c>
      <c r="E1034" s="8" t="inlineStr">
        <is>
          <t>PRD-0137</t>
        </is>
      </c>
      <c r="F1034" s="8" t="n">
        <v>5</v>
      </c>
      <c r="G1034" s="9">
        <f>IFERROR(XLOOKUP(E1034, '04_Products'!$A:$A, '04_Products'!$G:$G), 438.30)</f>
        <v/>
      </c>
      <c r="H1034" s="9">
        <f>IFERROR(XLOOKUP(E1034, '04_Products'!$A:$A, '04_Products'!$F:$F), 0)</f>
        <v/>
      </c>
      <c r="I1034" s="9">
        <f>F1034*G1034</f>
        <v/>
      </c>
      <c r="J1034" s="11" t="n">
        <v>0</v>
      </c>
      <c r="K1034" s="9">
        <f>I1034*J1034</f>
        <v/>
      </c>
      <c r="L1034" s="9">
        <f>I1034-K1034</f>
        <v/>
      </c>
      <c r="M1034" s="9">
        <f>F1034*H1034</f>
        <v/>
      </c>
      <c r="N1034" s="9">
        <f>L1034-M1034</f>
        <v/>
      </c>
      <c r="O1034" s="11">
        <f>IFERROR(N1034/L1034, 0)</f>
        <v/>
      </c>
      <c r="P1034" s="8">
        <f>YEAR(C1034)</f>
        <v/>
      </c>
      <c r="Q1034" s="8">
        <f>TEXT(C1034, "yyyy-mm")</f>
        <v/>
      </c>
      <c r="R1034" s="8" t="inlineStr">
        <is>
          <t>Mobile App</t>
        </is>
      </c>
      <c r="S1034" s="8" t="inlineStr">
        <is>
          <t>REG-APAC</t>
        </is>
      </c>
    </row>
    <row r="1035">
      <c r="A1035" s="8" t="inlineStr">
        <is>
          <t>DTL-0001044</t>
        </is>
      </c>
      <c r="B1035" s="8" t="inlineStr">
        <is>
          <t>ORD-000528</t>
        </is>
      </c>
      <c r="C1035" s="10" t="inlineStr">
        <is>
          <t>2025-11-29</t>
        </is>
      </c>
      <c r="D1035" s="8" t="inlineStr">
        <is>
          <t>CUST-07915</t>
        </is>
      </c>
      <c r="E1035" s="8" t="inlineStr">
        <is>
          <t>PRD-0355</t>
        </is>
      </c>
      <c r="F1035" s="8" t="n">
        <v>1</v>
      </c>
      <c r="G1035" s="9">
        <f>IFERROR(XLOOKUP(E1035, '04_Products'!$A:$A, '04_Products'!$G:$G), 95.40)</f>
        <v/>
      </c>
      <c r="H1035" s="9">
        <f>IFERROR(XLOOKUP(E1035, '04_Products'!$A:$A, '04_Products'!$F:$F), 0)</f>
        <v/>
      </c>
      <c r="I1035" s="9">
        <f>F1035*G1035</f>
        <v/>
      </c>
      <c r="J1035" s="11" t="n">
        <v>0</v>
      </c>
      <c r="K1035" s="9">
        <f>I1035*J1035</f>
        <v/>
      </c>
      <c r="L1035" s="9">
        <f>I1035-K1035</f>
        <v/>
      </c>
      <c r="M1035" s="9">
        <f>F1035*H1035</f>
        <v/>
      </c>
      <c r="N1035" s="9">
        <f>L1035-M1035</f>
        <v/>
      </c>
      <c r="O1035" s="11">
        <f>IFERROR(N1035/L1035, 0)</f>
        <v/>
      </c>
      <c r="P1035" s="8">
        <f>YEAR(C1035)</f>
        <v/>
      </c>
      <c r="Q1035" s="8">
        <f>TEXT(C1035, "yyyy-mm")</f>
        <v/>
      </c>
      <c r="R1035" s="8" t="inlineStr">
        <is>
          <t>Mobile App</t>
        </is>
      </c>
      <c r="S1035" s="8" t="inlineStr">
        <is>
          <t>REG-APAC</t>
        </is>
      </c>
    </row>
    <row r="1036">
      <c r="A1036" s="8" t="inlineStr">
        <is>
          <t>DTL-0001045</t>
        </is>
      </c>
      <c r="B1036" s="8" t="inlineStr">
        <is>
          <t>ORD-000529</t>
        </is>
      </c>
      <c r="C1036" s="10" t="inlineStr">
        <is>
          <t>2023-07-02</t>
        </is>
      </c>
      <c r="D1036" s="8" t="inlineStr">
        <is>
          <t>CUST-05130</t>
        </is>
      </c>
      <c r="E1036" s="8" t="inlineStr">
        <is>
          <t>PRD-0459</t>
        </is>
      </c>
      <c r="F1036" s="8" t="n">
        <v>1</v>
      </c>
      <c r="G1036" s="9">
        <f>IFERROR(XLOOKUP(E1036, '04_Products'!$A:$A, '04_Products'!$G:$G), 55.95)</f>
        <v/>
      </c>
      <c r="H1036" s="9">
        <f>IFERROR(XLOOKUP(E1036, '04_Products'!$A:$A, '04_Products'!$F:$F), 0)</f>
        <v/>
      </c>
      <c r="I1036" s="9">
        <f>F1036*G1036</f>
        <v/>
      </c>
      <c r="J1036" s="11" t="n">
        <v>0.05</v>
      </c>
      <c r="K1036" s="9">
        <f>I1036*J1036</f>
        <v/>
      </c>
      <c r="L1036" s="9">
        <f>I1036-K1036</f>
        <v/>
      </c>
      <c r="M1036" s="9">
        <f>F1036*H1036</f>
        <v/>
      </c>
      <c r="N1036" s="9">
        <f>L1036-M1036</f>
        <v/>
      </c>
      <c r="O1036" s="11">
        <f>IFERROR(N1036/L1036, 0)</f>
        <v/>
      </c>
      <c r="P1036" s="8">
        <f>YEAR(C1036)</f>
        <v/>
      </c>
      <c r="Q1036" s="8">
        <f>TEXT(C1036, "yyyy-mm")</f>
        <v/>
      </c>
      <c r="R1036" s="8" t="inlineStr">
        <is>
          <t>Direct Web</t>
        </is>
      </c>
      <c r="S1036" s="8" t="inlineStr">
        <is>
          <t>REG-LATAM</t>
        </is>
      </c>
    </row>
    <row r="1037">
      <c r="A1037" s="8" t="inlineStr">
        <is>
          <t>DTL-0001046</t>
        </is>
      </c>
      <c r="B1037" s="8" t="inlineStr">
        <is>
          <t>ORD-000529</t>
        </is>
      </c>
      <c r="C1037" s="10" t="inlineStr">
        <is>
          <t>2023-07-02</t>
        </is>
      </c>
      <c r="D1037" s="8" t="inlineStr">
        <is>
          <t>CUST-05130</t>
        </is>
      </c>
      <c r="E1037" s="8" t="inlineStr">
        <is>
          <t>PRD-0368</t>
        </is>
      </c>
      <c r="F1037" s="8" t="n">
        <v>1</v>
      </c>
      <c r="G1037" s="9">
        <f>IFERROR(XLOOKUP(E1037, '04_Products'!$A:$A, '04_Products'!$G:$G), 590.05)</f>
        <v/>
      </c>
      <c r="H1037" s="9">
        <f>IFERROR(XLOOKUP(E1037, '04_Products'!$A:$A, '04_Products'!$F:$F), 0)</f>
        <v/>
      </c>
      <c r="I1037" s="9">
        <f>F1037*G1037</f>
        <v/>
      </c>
      <c r="J1037" s="11" t="n">
        <v>0.05</v>
      </c>
      <c r="K1037" s="9">
        <f>I1037*J1037</f>
        <v/>
      </c>
      <c r="L1037" s="9">
        <f>I1037-K1037</f>
        <v/>
      </c>
      <c r="M1037" s="9">
        <f>F1037*H1037</f>
        <v/>
      </c>
      <c r="N1037" s="9">
        <f>L1037-M1037</f>
        <v/>
      </c>
      <c r="O1037" s="11">
        <f>IFERROR(N1037/L1037, 0)</f>
        <v/>
      </c>
      <c r="P1037" s="8">
        <f>YEAR(C1037)</f>
        <v/>
      </c>
      <c r="Q1037" s="8">
        <f>TEXT(C1037, "yyyy-mm")</f>
        <v/>
      </c>
      <c r="R1037" s="8" t="inlineStr">
        <is>
          <t>Direct Web</t>
        </is>
      </c>
      <c r="S1037" s="8" t="inlineStr">
        <is>
          <t>REG-LATAM</t>
        </is>
      </c>
    </row>
    <row r="1038">
      <c r="A1038" s="8" t="inlineStr">
        <is>
          <t>DTL-0001047</t>
        </is>
      </c>
      <c r="B1038" s="8" t="inlineStr">
        <is>
          <t>ORD-000530</t>
        </is>
      </c>
      <c r="C1038" s="10" t="inlineStr">
        <is>
          <t>2024-03-15</t>
        </is>
      </c>
      <c r="D1038" s="8" t="inlineStr">
        <is>
          <t>CUST-05558</t>
        </is>
      </c>
      <c r="E1038" s="8" t="inlineStr">
        <is>
          <t>PRD-0436</t>
        </is>
      </c>
      <c r="F1038" s="8" t="n">
        <v>4</v>
      </c>
      <c r="G1038" s="9">
        <f>IFERROR(XLOOKUP(E1038, '04_Products'!$A:$A, '04_Products'!$G:$G), 325.02)</f>
        <v/>
      </c>
      <c r="H1038" s="9">
        <f>IFERROR(XLOOKUP(E1038, '04_Products'!$A:$A, '04_Products'!$F:$F), 0)</f>
        <v/>
      </c>
      <c r="I1038" s="9">
        <f>F1038*G1038</f>
        <v/>
      </c>
      <c r="J1038" s="11" t="n">
        <v>0</v>
      </c>
      <c r="K1038" s="9">
        <f>I1038*J1038</f>
        <v/>
      </c>
      <c r="L1038" s="9">
        <f>I1038-K1038</f>
        <v/>
      </c>
      <c r="M1038" s="9">
        <f>F1038*H1038</f>
        <v/>
      </c>
      <c r="N1038" s="9">
        <f>L1038-M1038</f>
        <v/>
      </c>
      <c r="O1038" s="11">
        <f>IFERROR(N1038/L1038, 0)</f>
        <v/>
      </c>
      <c r="P1038" s="8">
        <f>YEAR(C1038)</f>
        <v/>
      </c>
      <c r="Q1038" s="8">
        <f>TEXT(C1038, "yyyy-mm")</f>
        <v/>
      </c>
      <c r="R1038" s="8" t="inlineStr">
        <is>
          <t>Affiliate Partner</t>
        </is>
      </c>
      <c r="S1038" s="8" t="inlineStr">
        <is>
          <t>REG-NA</t>
        </is>
      </c>
    </row>
    <row r="1039">
      <c r="A1039" s="8" t="inlineStr">
        <is>
          <t>DTL-0001048</t>
        </is>
      </c>
      <c r="B1039" s="8" t="inlineStr">
        <is>
          <t>ORD-000530</t>
        </is>
      </c>
      <c r="C1039" s="10" t="inlineStr">
        <is>
          <t>2024-03-15</t>
        </is>
      </c>
      <c r="D1039" s="8" t="inlineStr">
        <is>
          <t>CUST-05558</t>
        </is>
      </c>
      <c r="E1039" s="8" t="inlineStr">
        <is>
          <t>PRD-0406</t>
        </is>
      </c>
      <c r="F1039" s="8" t="n">
        <v>2</v>
      </c>
      <c r="G1039" s="9">
        <f>IFERROR(XLOOKUP(E1039, '04_Products'!$A:$A, '04_Products'!$G:$G), 666.52)</f>
        <v/>
      </c>
      <c r="H1039" s="9">
        <f>IFERROR(XLOOKUP(E1039, '04_Products'!$A:$A, '04_Products'!$F:$F), 0)</f>
        <v/>
      </c>
      <c r="I1039" s="9">
        <f>F1039*G1039</f>
        <v/>
      </c>
      <c r="J1039" s="11" t="n">
        <v>0.05</v>
      </c>
      <c r="K1039" s="9">
        <f>I1039*J1039</f>
        <v/>
      </c>
      <c r="L1039" s="9">
        <f>I1039-K1039</f>
        <v/>
      </c>
      <c r="M1039" s="9">
        <f>F1039*H1039</f>
        <v/>
      </c>
      <c r="N1039" s="9">
        <f>L1039-M1039</f>
        <v/>
      </c>
      <c r="O1039" s="11">
        <f>IFERROR(N1039/L1039, 0)</f>
        <v/>
      </c>
      <c r="P1039" s="8">
        <f>YEAR(C1039)</f>
        <v/>
      </c>
      <c r="Q1039" s="8">
        <f>TEXT(C1039, "yyyy-mm")</f>
        <v/>
      </c>
      <c r="R1039" s="8" t="inlineStr">
        <is>
          <t>Affiliate Partner</t>
        </is>
      </c>
      <c r="S1039" s="8" t="inlineStr">
        <is>
          <t>REG-NA</t>
        </is>
      </c>
    </row>
    <row r="1040">
      <c r="A1040" s="8" t="inlineStr">
        <is>
          <t>DTL-0001049</t>
        </is>
      </c>
      <c r="B1040" s="8" t="inlineStr">
        <is>
          <t>ORD-000531</t>
        </is>
      </c>
      <c r="C1040" s="10" t="inlineStr">
        <is>
          <t>2024-02-15</t>
        </is>
      </c>
      <c r="D1040" s="8" t="inlineStr">
        <is>
          <t>CUST-06099</t>
        </is>
      </c>
      <c r="E1040" s="8" t="inlineStr">
        <is>
          <t>PRD-0145</t>
        </is>
      </c>
      <c r="F1040" s="8" t="n">
        <v>1</v>
      </c>
      <c r="G1040" s="9">
        <f>IFERROR(XLOOKUP(E1040, '04_Products'!$A:$A, '04_Products'!$G:$G), 37.95)</f>
        <v/>
      </c>
      <c r="H1040" s="9">
        <f>IFERROR(XLOOKUP(E1040, '04_Products'!$A:$A, '04_Products'!$F:$F), 0)</f>
        <v/>
      </c>
      <c r="I1040" s="9">
        <f>F1040*G1040</f>
        <v/>
      </c>
      <c r="J1040" s="11" t="n">
        <v>0</v>
      </c>
      <c r="K1040" s="9">
        <f>I1040*J1040</f>
        <v/>
      </c>
      <c r="L1040" s="9">
        <f>I1040-K1040</f>
        <v/>
      </c>
      <c r="M1040" s="9">
        <f>F1040*H1040</f>
        <v/>
      </c>
      <c r="N1040" s="9">
        <f>L1040-M1040</f>
        <v/>
      </c>
      <c r="O1040" s="11">
        <f>IFERROR(N1040/L1040, 0)</f>
        <v/>
      </c>
      <c r="P1040" s="8">
        <f>YEAR(C1040)</f>
        <v/>
      </c>
      <c r="Q1040" s="8">
        <f>TEXT(C1040, "yyyy-mm")</f>
        <v/>
      </c>
      <c r="R1040" s="8" t="inlineStr">
        <is>
          <t>B2B Portal</t>
        </is>
      </c>
      <c r="S1040" s="8" t="inlineStr">
        <is>
          <t>REG-LATAM</t>
        </is>
      </c>
    </row>
    <row r="1041">
      <c r="A1041" s="8" t="inlineStr">
        <is>
          <t>DTL-0001050</t>
        </is>
      </c>
      <c r="B1041" s="8" t="inlineStr">
        <is>
          <t>ORD-000532</t>
        </is>
      </c>
      <c r="C1041" s="10" t="inlineStr">
        <is>
          <t>2024-03-15</t>
        </is>
      </c>
      <c r="D1041" s="8" t="inlineStr">
        <is>
          <t>CUST-03418</t>
        </is>
      </c>
      <c r="E1041" s="8" t="inlineStr">
        <is>
          <t>PRD-0006</t>
        </is>
      </c>
      <c r="F1041" s="8" t="n">
        <v>1</v>
      </c>
      <c r="G1041" s="9">
        <f>IFERROR(XLOOKUP(E1041, '04_Products'!$A:$A, '04_Products'!$G:$G), 64.34)</f>
        <v/>
      </c>
      <c r="H1041" s="9">
        <f>IFERROR(XLOOKUP(E1041, '04_Products'!$A:$A, '04_Products'!$F:$F), 0)</f>
        <v/>
      </c>
      <c r="I1041" s="9">
        <f>F1041*G1041</f>
        <v/>
      </c>
      <c r="J1041" s="11" t="n">
        <v>0</v>
      </c>
      <c r="K1041" s="9">
        <f>I1041*J1041</f>
        <v/>
      </c>
      <c r="L1041" s="9">
        <f>I1041-K1041</f>
        <v/>
      </c>
      <c r="M1041" s="9">
        <f>F1041*H1041</f>
        <v/>
      </c>
      <c r="N1041" s="9">
        <f>L1041-M1041</f>
        <v/>
      </c>
      <c r="O1041" s="11">
        <f>IFERROR(N1041/L1041, 0)</f>
        <v/>
      </c>
      <c r="P1041" s="8">
        <f>YEAR(C1041)</f>
        <v/>
      </c>
      <c r="Q1041" s="8">
        <f>TEXT(C1041, "yyyy-mm")</f>
        <v/>
      </c>
      <c r="R1041" s="8" t="inlineStr">
        <is>
          <t>Mobile App</t>
        </is>
      </c>
      <c r="S1041" s="8" t="inlineStr">
        <is>
          <t>REG-NA</t>
        </is>
      </c>
    </row>
    <row r="1042">
      <c r="A1042" s="8" t="inlineStr">
        <is>
          <t>DTL-0001051</t>
        </is>
      </c>
      <c r="B1042" s="8" t="inlineStr">
        <is>
          <t>ORD-000533</t>
        </is>
      </c>
      <c r="C1042" s="10" t="inlineStr">
        <is>
          <t>2025-06-26</t>
        </is>
      </c>
      <c r="D1042" s="8" t="inlineStr">
        <is>
          <t>CUST-06850</t>
        </is>
      </c>
      <c r="E1042" s="8" t="inlineStr">
        <is>
          <t>PRD-0237</t>
        </is>
      </c>
      <c r="F1042" s="8" t="n">
        <v>1</v>
      </c>
      <c r="G1042" s="9">
        <f>IFERROR(XLOOKUP(E1042, '04_Products'!$A:$A, '04_Products'!$G:$G), 59.70)</f>
        <v/>
      </c>
      <c r="H1042" s="9">
        <f>IFERROR(XLOOKUP(E1042, '04_Products'!$A:$A, '04_Products'!$F:$F), 0)</f>
        <v/>
      </c>
      <c r="I1042" s="9">
        <f>F1042*G1042</f>
        <v/>
      </c>
      <c r="J1042" s="11" t="n">
        <v>0.05</v>
      </c>
      <c r="K1042" s="9">
        <f>I1042*J1042</f>
        <v/>
      </c>
      <c r="L1042" s="9">
        <f>I1042-K1042</f>
        <v/>
      </c>
      <c r="M1042" s="9">
        <f>F1042*H1042</f>
        <v/>
      </c>
      <c r="N1042" s="9">
        <f>L1042-M1042</f>
        <v/>
      </c>
      <c r="O1042" s="11">
        <f>IFERROR(N1042/L1042, 0)</f>
        <v/>
      </c>
      <c r="P1042" s="8">
        <f>YEAR(C1042)</f>
        <v/>
      </c>
      <c r="Q1042" s="8">
        <f>TEXT(C1042, "yyyy-mm")</f>
        <v/>
      </c>
      <c r="R1042" s="8" t="inlineStr">
        <is>
          <t>Mobile App</t>
        </is>
      </c>
      <c r="S1042" s="8" t="inlineStr">
        <is>
          <t>REG-APAC</t>
        </is>
      </c>
    </row>
    <row r="1043">
      <c r="A1043" s="8" t="inlineStr">
        <is>
          <t>DTL-0001052</t>
        </is>
      </c>
      <c r="B1043" s="8" t="inlineStr">
        <is>
          <t>ORD-000534</t>
        </is>
      </c>
      <c r="C1043" s="10" t="inlineStr">
        <is>
          <t>2025-04-14</t>
        </is>
      </c>
      <c r="D1043" s="8" t="inlineStr">
        <is>
          <t>CUST-03322</t>
        </is>
      </c>
      <c r="E1043" s="8" t="inlineStr">
        <is>
          <t>PRD-0058</t>
        </is>
      </c>
      <c r="F1043" s="8" t="n">
        <v>1</v>
      </c>
      <c r="G1043" s="9">
        <f>IFERROR(XLOOKUP(E1043, '04_Products'!$A:$A, '04_Products'!$G:$G), 809.52)</f>
        <v/>
      </c>
      <c r="H1043" s="9">
        <f>IFERROR(XLOOKUP(E1043, '04_Products'!$A:$A, '04_Products'!$F:$F), 0)</f>
        <v/>
      </c>
      <c r="I1043" s="9">
        <f>F1043*G1043</f>
        <v/>
      </c>
      <c r="J1043" s="11" t="n">
        <v>0</v>
      </c>
      <c r="K1043" s="9">
        <f>I1043*J1043</f>
        <v/>
      </c>
      <c r="L1043" s="9">
        <f>I1043-K1043</f>
        <v/>
      </c>
      <c r="M1043" s="9">
        <f>F1043*H1043</f>
        <v/>
      </c>
      <c r="N1043" s="9">
        <f>L1043-M1043</f>
        <v/>
      </c>
      <c r="O1043" s="11">
        <f>IFERROR(N1043/L1043, 0)</f>
        <v/>
      </c>
      <c r="P1043" s="8">
        <f>YEAR(C1043)</f>
        <v/>
      </c>
      <c r="Q1043" s="8">
        <f>TEXT(C1043, "yyyy-mm")</f>
        <v/>
      </c>
      <c r="R1043" s="8" t="inlineStr">
        <is>
          <t>Direct Web</t>
        </is>
      </c>
      <c r="S1043" s="8" t="inlineStr">
        <is>
          <t>REG-EU</t>
        </is>
      </c>
    </row>
    <row r="1044">
      <c r="A1044" s="8" t="inlineStr">
        <is>
          <t>DTL-0001053</t>
        </is>
      </c>
      <c r="B1044" s="8" t="inlineStr">
        <is>
          <t>ORD-000535</t>
        </is>
      </c>
      <c r="C1044" s="10" t="inlineStr">
        <is>
          <t>2024-11-23</t>
        </is>
      </c>
      <c r="D1044" s="8" t="inlineStr">
        <is>
          <t>CUST-03926</t>
        </is>
      </c>
      <c r="E1044" s="8" t="inlineStr">
        <is>
          <t>PRD-0146</t>
        </is>
      </c>
      <c r="F1044" s="8" t="n">
        <v>1</v>
      </c>
      <c r="G1044" s="9">
        <f>IFERROR(XLOOKUP(E1044, '04_Products'!$A:$A, '04_Products'!$G:$G), 195.73)</f>
        <v/>
      </c>
      <c r="H1044" s="9">
        <f>IFERROR(XLOOKUP(E1044, '04_Products'!$A:$A, '04_Products'!$F:$F), 0)</f>
        <v/>
      </c>
      <c r="I1044" s="9">
        <f>F1044*G1044</f>
        <v/>
      </c>
      <c r="J1044" s="11" t="n">
        <v>0</v>
      </c>
      <c r="K1044" s="9">
        <f>I1044*J1044</f>
        <v/>
      </c>
      <c r="L1044" s="9">
        <f>I1044-K1044</f>
        <v/>
      </c>
      <c r="M1044" s="9">
        <f>F1044*H1044</f>
        <v/>
      </c>
      <c r="N1044" s="9">
        <f>L1044-M1044</f>
        <v/>
      </c>
      <c r="O1044" s="11">
        <f>IFERROR(N1044/L1044, 0)</f>
        <v/>
      </c>
      <c r="P1044" s="8">
        <f>YEAR(C1044)</f>
        <v/>
      </c>
      <c r="Q1044" s="8">
        <f>TEXT(C1044, "yyyy-mm")</f>
        <v/>
      </c>
      <c r="R1044" s="8" t="inlineStr">
        <is>
          <t>Direct Web</t>
        </is>
      </c>
      <c r="S1044" s="8" t="inlineStr">
        <is>
          <t>REG-EU</t>
        </is>
      </c>
    </row>
    <row r="1045">
      <c r="A1045" s="8" t="inlineStr">
        <is>
          <t>DTL-0001054</t>
        </is>
      </c>
      <c r="B1045" s="8" t="inlineStr">
        <is>
          <t>ORD-000536</t>
        </is>
      </c>
      <c r="C1045" s="10" t="inlineStr">
        <is>
          <t>2023-03-06</t>
        </is>
      </c>
      <c r="D1045" s="8" t="inlineStr">
        <is>
          <t>CUST-06783</t>
        </is>
      </c>
      <c r="E1045" s="8" t="inlineStr">
        <is>
          <t>PRD-0344</t>
        </is>
      </c>
      <c r="F1045" s="8" t="n">
        <v>3</v>
      </c>
      <c r="G1045" s="9">
        <f>IFERROR(XLOOKUP(E1045, '04_Products'!$A:$A, '04_Products'!$G:$G), 337.02)</f>
        <v/>
      </c>
      <c r="H1045" s="9">
        <f>IFERROR(XLOOKUP(E1045, '04_Products'!$A:$A, '04_Products'!$F:$F), 0)</f>
        <v/>
      </c>
      <c r="I1045" s="9">
        <f>F1045*G1045</f>
        <v/>
      </c>
      <c r="J1045" s="11" t="n">
        <v>0.1</v>
      </c>
      <c r="K1045" s="9">
        <f>I1045*J1045</f>
        <v/>
      </c>
      <c r="L1045" s="9">
        <f>I1045-K1045</f>
        <v/>
      </c>
      <c r="M1045" s="9">
        <f>F1045*H1045</f>
        <v/>
      </c>
      <c r="N1045" s="9">
        <f>L1045-M1045</f>
        <v/>
      </c>
      <c r="O1045" s="11">
        <f>IFERROR(N1045/L1045, 0)</f>
        <v/>
      </c>
      <c r="P1045" s="8">
        <f>YEAR(C1045)</f>
        <v/>
      </c>
      <c r="Q1045" s="8">
        <f>TEXT(C1045, "yyyy-mm")</f>
        <v/>
      </c>
      <c r="R1045" s="8" t="inlineStr">
        <is>
          <t>B2B Portal</t>
        </is>
      </c>
      <c r="S1045" s="8" t="inlineStr">
        <is>
          <t>REG-EU</t>
        </is>
      </c>
    </row>
    <row r="1046">
      <c r="A1046" s="8" t="inlineStr">
        <is>
          <t>DTL-0001055</t>
        </is>
      </c>
      <c r="B1046" s="8" t="inlineStr">
        <is>
          <t>ORD-000536</t>
        </is>
      </c>
      <c r="C1046" s="10" t="inlineStr">
        <is>
          <t>2023-03-06</t>
        </is>
      </c>
      <c r="D1046" s="8" t="inlineStr">
        <is>
          <t>CUST-06783</t>
        </is>
      </c>
      <c r="E1046" s="8" t="inlineStr">
        <is>
          <t>PRD-0142</t>
        </is>
      </c>
      <c r="F1046" s="8" t="n">
        <v>1</v>
      </c>
      <c r="G1046" s="9">
        <f>IFERROR(XLOOKUP(E1046, '04_Products'!$A:$A, '04_Products'!$G:$G), 44.60)</f>
        <v/>
      </c>
      <c r="H1046" s="9">
        <f>IFERROR(XLOOKUP(E1046, '04_Products'!$A:$A, '04_Products'!$F:$F), 0)</f>
        <v/>
      </c>
      <c r="I1046" s="9">
        <f>F1046*G1046</f>
        <v/>
      </c>
      <c r="J1046" s="11" t="n">
        <v>0.05</v>
      </c>
      <c r="K1046" s="9">
        <f>I1046*J1046</f>
        <v/>
      </c>
      <c r="L1046" s="9">
        <f>I1046-K1046</f>
        <v/>
      </c>
      <c r="M1046" s="9">
        <f>F1046*H1046</f>
        <v/>
      </c>
      <c r="N1046" s="9">
        <f>L1046-M1046</f>
        <v/>
      </c>
      <c r="O1046" s="11">
        <f>IFERROR(N1046/L1046, 0)</f>
        <v/>
      </c>
      <c r="P1046" s="8">
        <f>YEAR(C1046)</f>
        <v/>
      </c>
      <c r="Q1046" s="8">
        <f>TEXT(C1046, "yyyy-mm")</f>
        <v/>
      </c>
      <c r="R1046" s="8" t="inlineStr">
        <is>
          <t>B2B Portal</t>
        </is>
      </c>
      <c r="S1046" s="8" t="inlineStr">
        <is>
          <t>REG-EU</t>
        </is>
      </c>
    </row>
    <row r="1047">
      <c r="A1047" s="8" t="inlineStr">
        <is>
          <t>DTL-0001056</t>
        </is>
      </c>
      <c r="B1047" s="8" t="inlineStr">
        <is>
          <t>ORD-000537</t>
        </is>
      </c>
      <c r="C1047" s="10" t="inlineStr">
        <is>
          <t>2023-05-18</t>
        </is>
      </c>
      <c r="D1047" s="8" t="inlineStr">
        <is>
          <t>CUST-06366</t>
        </is>
      </c>
      <c r="E1047" s="8" t="inlineStr">
        <is>
          <t>PRD-0169</t>
        </is>
      </c>
      <c r="F1047" s="8" t="n">
        <v>1</v>
      </c>
      <c r="G1047" s="9">
        <f>IFERROR(XLOOKUP(E1047, '04_Products'!$A:$A, '04_Products'!$G:$G), 68.87)</f>
        <v/>
      </c>
      <c r="H1047" s="9">
        <f>IFERROR(XLOOKUP(E1047, '04_Products'!$A:$A, '04_Products'!$F:$F), 0)</f>
        <v/>
      </c>
      <c r="I1047" s="9">
        <f>F1047*G1047</f>
        <v/>
      </c>
      <c r="J1047" s="11" t="n">
        <v>0</v>
      </c>
      <c r="K1047" s="9">
        <f>I1047*J1047</f>
        <v/>
      </c>
      <c r="L1047" s="9">
        <f>I1047-K1047</f>
        <v/>
      </c>
      <c r="M1047" s="9">
        <f>F1047*H1047</f>
        <v/>
      </c>
      <c r="N1047" s="9">
        <f>L1047-M1047</f>
        <v/>
      </c>
      <c r="O1047" s="11">
        <f>IFERROR(N1047/L1047, 0)</f>
        <v/>
      </c>
      <c r="P1047" s="8">
        <f>YEAR(C1047)</f>
        <v/>
      </c>
      <c r="Q1047" s="8">
        <f>TEXT(C1047, "yyyy-mm")</f>
        <v/>
      </c>
      <c r="R1047" s="8" t="inlineStr">
        <is>
          <t>Mobile App</t>
        </is>
      </c>
      <c r="S1047" s="8" t="inlineStr">
        <is>
          <t>REG-EU</t>
        </is>
      </c>
    </row>
    <row r="1048">
      <c r="A1048" s="8" t="inlineStr">
        <is>
          <t>DTL-0001057</t>
        </is>
      </c>
      <c r="B1048" s="8" t="inlineStr">
        <is>
          <t>ORD-000537</t>
        </is>
      </c>
      <c r="C1048" s="10" t="inlineStr">
        <is>
          <t>2023-05-18</t>
        </is>
      </c>
      <c r="D1048" s="8" t="inlineStr">
        <is>
          <t>CUST-06366</t>
        </is>
      </c>
      <c r="E1048" s="8" t="inlineStr">
        <is>
          <t>PRD-0195</t>
        </is>
      </c>
      <c r="F1048" s="8" t="n">
        <v>2</v>
      </c>
      <c r="G1048" s="9">
        <f>IFERROR(XLOOKUP(E1048, '04_Products'!$A:$A, '04_Products'!$G:$G), 193.08)</f>
        <v/>
      </c>
      <c r="H1048" s="9">
        <f>IFERROR(XLOOKUP(E1048, '04_Products'!$A:$A, '04_Products'!$F:$F), 0)</f>
        <v/>
      </c>
      <c r="I1048" s="9">
        <f>F1048*G1048</f>
        <v/>
      </c>
      <c r="J1048" s="11" t="n">
        <v>0</v>
      </c>
      <c r="K1048" s="9">
        <f>I1048*J1048</f>
        <v/>
      </c>
      <c r="L1048" s="9">
        <f>I1048-K1048</f>
        <v/>
      </c>
      <c r="M1048" s="9">
        <f>F1048*H1048</f>
        <v/>
      </c>
      <c r="N1048" s="9">
        <f>L1048-M1048</f>
        <v/>
      </c>
      <c r="O1048" s="11">
        <f>IFERROR(N1048/L1048, 0)</f>
        <v/>
      </c>
      <c r="P1048" s="8">
        <f>YEAR(C1048)</f>
        <v/>
      </c>
      <c r="Q1048" s="8">
        <f>TEXT(C1048, "yyyy-mm")</f>
        <v/>
      </c>
      <c r="R1048" s="8" t="inlineStr">
        <is>
          <t>Mobile App</t>
        </is>
      </c>
      <c r="S1048" s="8" t="inlineStr">
        <is>
          <t>REG-EU</t>
        </is>
      </c>
    </row>
    <row r="1049">
      <c r="A1049" s="8" t="inlineStr">
        <is>
          <t>DTL-0001058</t>
        </is>
      </c>
      <c r="B1049" s="8" t="inlineStr">
        <is>
          <t>ORD-000538</t>
        </is>
      </c>
      <c r="C1049" s="10" t="inlineStr">
        <is>
          <t>2025-02-25</t>
        </is>
      </c>
      <c r="D1049" s="8" t="inlineStr">
        <is>
          <t>CUST-05568</t>
        </is>
      </c>
      <c r="E1049" s="8" t="inlineStr">
        <is>
          <t>PRD-0283</t>
        </is>
      </c>
      <c r="F1049" s="8" t="n">
        <v>1</v>
      </c>
      <c r="G1049" s="9">
        <f>IFERROR(XLOOKUP(E1049, '04_Products'!$A:$A, '04_Products'!$G:$G), 778.89)</f>
        <v/>
      </c>
      <c r="H1049" s="9">
        <f>IFERROR(XLOOKUP(E1049, '04_Products'!$A:$A, '04_Products'!$F:$F), 0)</f>
        <v/>
      </c>
      <c r="I1049" s="9">
        <f>F1049*G1049</f>
        <v/>
      </c>
      <c r="J1049" s="11" t="n">
        <v>0</v>
      </c>
      <c r="K1049" s="9">
        <f>I1049*J1049</f>
        <v/>
      </c>
      <c r="L1049" s="9">
        <f>I1049-K1049</f>
        <v/>
      </c>
      <c r="M1049" s="9">
        <f>F1049*H1049</f>
        <v/>
      </c>
      <c r="N1049" s="9">
        <f>L1049-M1049</f>
        <v/>
      </c>
      <c r="O1049" s="11">
        <f>IFERROR(N1049/L1049, 0)</f>
        <v/>
      </c>
      <c r="P1049" s="8">
        <f>YEAR(C1049)</f>
        <v/>
      </c>
      <c r="Q1049" s="8">
        <f>TEXT(C1049, "yyyy-mm")</f>
        <v/>
      </c>
      <c r="R1049" s="8" t="inlineStr">
        <is>
          <t>Direct Web</t>
        </is>
      </c>
      <c r="S1049" s="8" t="inlineStr">
        <is>
          <t>REG-APAC</t>
        </is>
      </c>
    </row>
    <row r="1050">
      <c r="A1050" s="8" t="inlineStr">
        <is>
          <t>DTL-0001059</t>
        </is>
      </c>
      <c r="B1050" s="8" t="inlineStr">
        <is>
          <t>ORD-000538</t>
        </is>
      </c>
      <c r="C1050" s="10" t="inlineStr">
        <is>
          <t>2025-02-25</t>
        </is>
      </c>
      <c r="D1050" s="8" t="inlineStr">
        <is>
          <t>CUST-05568</t>
        </is>
      </c>
      <c r="E1050" s="8" t="inlineStr">
        <is>
          <t>PRD-0077</t>
        </is>
      </c>
      <c r="F1050" s="8" t="n">
        <v>1</v>
      </c>
      <c r="G1050" s="9">
        <f>IFERROR(XLOOKUP(E1050, '04_Products'!$A:$A, '04_Products'!$G:$G), 1210.48)</f>
        <v/>
      </c>
      <c r="H1050" s="9">
        <f>IFERROR(XLOOKUP(E1050, '04_Products'!$A:$A, '04_Products'!$F:$F), 0)</f>
        <v/>
      </c>
      <c r="I1050" s="9">
        <f>F1050*G1050</f>
        <v/>
      </c>
      <c r="J1050" s="11" t="n">
        <v>0.25</v>
      </c>
      <c r="K1050" s="9">
        <f>I1050*J1050</f>
        <v/>
      </c>
      <c r="L1050" s="9">
        <f>I1050-K1050</f>
        <v/>
      </c>
      <c r="M1050" s="9">
        <f>F1050*H1050</f>
        <v/>
      </c>
      <c r="N1050" s="9">
        <f>L1050-M1050</f>
        <v/>
      </c>
      <c r="O1050" s="11">
        <f>IFERROR(N1050/L1050, 0)</f>
        <v/>
      </c>
      <c r="P1050" s="8">
        <f>YEAR(C1050)</f>
        <v/>
      </c>
      <c r="Q1050" s="8">
        <f>TEXT(C1050, "yyyy-mm")</f>
        <v/>
      </c>
      <c r="R1050" s="8" t="inlineStr">
        <is>
          <t>Direct Web</t>
        </is>
      </c>
      <c r="S1050" s="8" t="inlineStr">
        <is>
          <t>REG-APAC</t>
        </is>
      </c>
    </row>
    <row r="1051">
      <c r="A1051" s="8" t="inlineStr">
        <is>
          <t>DTL-0001060</t>
        </is>
      </c>
      <c r="B1051" s="8" t="inlineStr">
        <is>
          <t>ORD-000538</t>
        </is>
      </c>
      <c r="C1051" s="10" t="inlineStr">
        <is>
          <t>2025-02-25</t>
        </is>
      </c>
      <c r="D1051" s="8" t="inlineStr">
        <is>
          <t>CUST-05568</t>
        </is>
      </c>
      <c r="E1051" s="8" t="inlineStr">
        <is>
          <t>PRD-0277</t>
        </is>
      </c>
      <c r="F1051" s="8" t="n">
        <v>2</v>
      </c>
      <c r="G1051" s="9">
        <f>IFERROR(XLOOKUP(E1051, '04_Products'!$A:$A, '04_Products'!$G:$G), 990.61)</f>
        <v/>
      </c>
      <c r="H1051" s="9">
        <f>IFERROR(XLOOKUP(E1051, '04_Products'!$A:$A, '04_Products'!$F:$F), 0)</f>
        <v/>
      </c>
      <c r="I1051" s="9">
        <f>F1051*G1051</f>
        <v/>
      </c>
      <c r="J1051" s="11" t="n">
        <v>0</v>
      </c>
      <c r="K1051" s="9">
        <f>I1051*J1051</f>
        <v/>
      </c>
      <c r="L1051" s="9">
        <f>I1051-K1051</f>
        <v/>
      </c>
      <c r="M1051" s="9">
        <f>F1051*H1051</f>
        <v/>
      </c>
      <c r="N1051" s="9">
        <f>L1051-M1051</f>
        <v/>
      </c>
      <c r="O1051" s="11">
        <f>IFERROR(N1051/L1051, 0)</f>
        <v/>
      </c>
      <c r="P1051" s="8">
        <f>YEAR(C1051)</f>
        <v/>
      </c>
      <c r="Q1051" s="8">
        <f>TEXT(C1051, "yyyy-mm")</f>
        <v/>
      </c>
      <c r="R1051" s="8" t="inlineStr">
        <is>
          <t>Direct Web</t>
        </is>
      </c>
      <c r="S1051" s="8" t="inlineStr">
        <is>
          <t>REG-APAC</t>
        </is>
      </c>
    </row>
    <row r="1052">
      <c r="A1052" s="8" t="inlineStr">
        <is>
          <t>DTL-0001061</t>
        </is>
      </c>
      <c r="B1052" s="8" t="inlineStr">
        <is>
          <t>ORD-000539</t>
        </is>
      </c>
      <c r="C1052" s="10" t="inlineStr">
        <is>
          <t>2024-03-20</t>
        </is>
      </c>
      <c r="D1052" s="8" t="inlineStr">
        <is>
          <t>CUST-04173</t>
        </is>
      </c>
      <c r="E1052" s="8" t="inlineStr">
        <is>
          <t>PRD-0218</t>
        </is>
      </c>
      <c r="F1052" s="8" t="n">
        <v>8</v>
      </c>
      <c r="G1052" s="9">
        <f>IFERROR(XLOOKUP(E1052, '04_Products'!$A:$A, '04_Products'!$G:$G), 468.61)</f>
        <v/>
      </c>
      <c r="H1052" s="9">
        <f>IFERROR(XLOOKUP(E1052, '04_Products'!$A:$A, '04_Products'!$F:$F), 0)</f>
        <v/>
      </c>
      <c r="I1052" s="9">
        <f>F1052*G1052</f>
        <v/>
      </c>
      <c r="J1052" s="11" t="n">
        <v>0.2</v>
      </c>
      <c r="K1052" s="9">
        <f>I1052*J1052</f>
        <v/>
      </c>
      <c r="L1052" s="9">
        <f>I1052-K1052</f>
        <v/>
      </c>
      <c r="M1052" s="9">
        <f>F1052*H1052</f>
        <v/>
      </c>
      <c r="N1052" s="9">
        <f>L1052-M1052</f>
        <v/>
      </c>
      <c r="O1052" s="11">
        <f>IFERROR(N1052/L1052, 0)</f>
        <v/>
      </c>
      <c r="P1052" s="8">
        <f>YEAR(C1052)</f>
        <v/>
      </c>
      <c r="Q1052" s="8">
        <f>TEXT(C1052, "yyyy-mm")</f>
        <v/>
      </c>
      <c r="R1052" s="8" t="inlineStr">
        <is>
          <t>Direct Web</t>
        </is>
      </c>
      <c r="S1052" s="8" t="inlineStr">
        <is>
          <t>REG-NA</t>
        </is>
      </c>
    </row>
    <row r="1053">
      <c r="A1053" s="8" t="inlineStr">
        <is>
          <t>DTL-0001062</t>
        </is>
      </c>
      <c r="B1053" s="8" t="inlineStr">
        <is>
          <t>ORD-000539</t>
        </is>
      </c>
      <c r="C1053" s="10" t="inlineStr">
        <is>
          <t>2024-03-20</t>
        </is>
      </c>
      <c r="D1053" s="8" t="inlineStr">
        <is>
          <t>CUST-04173</t>
        </is>
      </c>
      <c r="E1053" s="8" t="inlineStr">
        <is>
          <t>PRD-0493</t>
        </is>
      </c>
      <c r="F1053" s="8" t="n">
        <v>2</v>
      </c>
      <c r="G1053" s="9">
        <f>IFERROR(XLOOKUP(E1053, '04_Products'!$A:$A, '04_Products'!$G:$G), 502.97)</f>
        <v/>
      </c>
      <c r="H1053" s="9">
        <f>IFERROR(XLOOKUP(E1053, '04_Products'!$A:$A, '04_Products'!$F:$F), 0)</f>
        <v/>
      </c>
      <c r="I1053" s="9">
        <f>F1053*G1053</f>
        <v/>
      </c>
      <c r="J1053" s="11" t="n">
        <v>0</v>
      </c>
      <c r="K1053" s="9">
        <f>I1053*J1053</f>
        <v/>
      </c>
      <c r="L1053" s="9">
        <f>I1053-K1053</f>
        <v/>
      </c>
      <c r="M1053" s="9">
        <f>F1053*H1053</f>
        <v/>
      </c>
      <c r="N1053" s="9">
        <f>L1053-M1053</f>
        <v/>
      </c>
      <c r="O1053" s="11">
        <f>IFERROR(N1053/L1053, 0)</f>
        <v/>
      </c>
      <c r="P1053" s="8">
        <f>YEAR(C1053)</f>
        <v/>
      </c>
      <c r="Q1053" s="8">
        <f>TEXT(C1053, "yyyy-mm")</f>
        <v/>
      </c>
      <c r="R1053" s="8" t="inlineStr">
        <is>
          <t>Direct Web</t>
        </is>
      </c>
      <c r="S1053" s="8" t="inlineStr">
        <is>
          <t>REG-NA</t>
        </is>
      </c>
    </row>
    <row r="1054">
      <c r="A1054" s="8" t="inlineStr">
        <is>
          <t>DTL-0001063</t>
        </is>
      </c>
      <c r="B1054" s="8" t="inlineStr">
        <is>
          <t>ORD-000539</t>
        </is>
      </c>
      <c r="C1054" s="10" t="inlineStr">
        <is>
          <t>2024-03-20</t>
        </is>
      </c>
      <c r="D1054" s="8" t="inlineStr">
        <is>
          <t>CUST-04173</t>
        </is>
      </c>
      <c r="E1054" s="8" t="inlineStr">
        <is>
          <t>PRD-0497</t>
        </is>
      </c>
      <c r="F1054" s="8" t="n">
        <v>1</v>
      </c>
      <c r="G1054" s="9">
        <f>IFERROR(XLOOKUP(E1054, '04_Products'!$A:$A, '04_Products'!$G:$G), 620.15)</f>
        <v/>
      </c>
      <c r="H1054" s="9">
        <f>IFERROR(XLOOKUP(E1054, '04_Products'!$A:$A, '04_Products'!$F:$F), 0)</f>
        <v/>
      </c>
      <c r="I1054" s="9">
        <f>F1054*G1054</f>
        <v/>
      </c>
      <c r="J1054" s="11" t="n">
        <v>0</v>
      </c>
      <c r="K1054" s="9">
        <f>I1054*J1054</f>
        <v/>
      </c>
      <c r="L1054" s="9">
        <f>I1054-K1054</f>
        <v/>
      </c>
      <c r="M1054" s="9">
        <f>F1054*H1054</f>
        <v/>
      </c>
      <c r="N1054" s="9">
        <f>L1054-M1054</f>
        <v/>
      </c>
      <c r="O1054" s="11">
        <f>IFERROR(N1054/L1054, 0)</f>
        <v/>
      </c>
      <c r="P1054" s="8">
        <f>YEAR(C1054)</f>
        <v/>
      </c>
      <c r="Q1054" s="8">
        <f>TEXT(C1054, "yyyy-mm")</f>
        <v/>
      </c>
      <c r="R1054" s="8" t="inlineStr">
        <is>
          <t>Direct Web</t>
        </is>
      </c>
      <c r="S1054" s="8" t="inlineStr">
        <is>
          <t>REG-NA</t>
        </is>
      </c>
    </row>
    <row r="1055">
      <c r="A1055" s="8" t="inlineStr">
        <is>
          <t>DTL-0001064</t>
        </is>
      </c>
      <c r="B1055" s="8" t="inlineStr">
        <is>
          <t>ORD-000539</t>
        </is>
      </c>
      <c r="C1055" s="10" t="inlineStr">
        <is>
          <t>2024-03-20</t>
        </is>
      </c>
      <c r="D1055" s="8" t="inlineStr">
        <is>
          <t>CUST-04173</t>
        </is>
      </c>
      <c r="E1055" s="8" t="inlineStr">
        <is>
          <t>PRD-0479</t>
        </is>
      </c>
      <c r="F1055" s="8" t="n">
        <v>1</v>
      </c>
      <c r="G1055" s="9">
        <f>IFERROR(XLOOKUP(E1055, '04_Products'!$A:$A, '04_Products'!$G:$G), 816.11)</f>
        <v/>
      </c>
      <c r="H1055" s="9">
        <f>IFERROR(XLOOKUP(E1055, '04_Products'!$A:$A, '04_Products'!$F:$F), 0)</f>
        <v/>
      </c>
      <c r="I1055" s="9">
        <f>F1055*G1055</f>
        <v/>
      </c>
      <c r="J1055" s="11" t="n">
        <v>0</v>
      </c>
      <c r="K1055" s="9">
        <f>I1055*J1055</f>
        <v/>
      </c>
      <c r="L1055" s="9">
        <f>I1055-K1055</f>
        <v/>
      </c>
      <c r="M1055" s="9">
        <f>F1055*H1055</f>
        <v/>
      </c>
      <c r="N1055" s="9">
        <f>L1055-M1055</f>
        <v/>
      </c>
      <c r="O1055" s="11">
        <f>IFERROR(N1055/L1055, 0)</f>
        <v/>
      </c>
      <c r="P1055" s="8">
        <f>YEAR(C1055)</f>
        <v/>
      </c>
      <c r="Q1055" s="8">
        <f>TEXT(C1055, "yyyy-mm")</f>
        <v/>
      </c>
      <c r="R1055" s="8" t="inlineStr">
        <is>
          <t>Direct Web</t>
        </is>
      </c>
      <c r="S1055" s="8" t="inlineStr">
        <is>
          <t>REG-NA</t>
        </is>
      </c>
    </row>
    <row r="1056">
      <c r="A1056" s="8" t="inlineStr">
        <is>
          <t>DTL-0001065</t>
        </is>
      </c>
      <c r="B1056" s="8" t="inlineStr">
        <is>
          <t>ORD-000539</t>
        </is>
      </c>
      <c r="C1056" s="10" t="inlineStr">
        <is>
          <t>2024-03-20</t>
        </is>
      </c>
      <c r="D1056" s="8" t="inlineStr">
        <is>
          <t>CUST-04173</t>
        </is>
      </c>
      <c r="E1056" s="8" t="inlineStr">
        <is>
          <t>PRD-0154</t>
        </is>
      </c>
      <c r="F1056" s="8" t="n">
        <v>1</v>
      </c>
      <c r="G1056" s="9">
        <f>IFERROR(XLOOKUP(E1056, '04_Products'!$A:$A, '04_Products'!$G:$G), 168.94)</f>
        <v/>
      </c>
      <c r="H1056" s="9">
        <f>IFERROR(XLOOKUP(E1056, '04_Products'!$A:$A, '04_Products'!$F:$F), 0)</f>
        <v/>
      </c>
      <c r="I1056" s="9">
        <f>F1056*G1056</f>
        <v/>
      </c>
      <c r="J1056" s="11" t="n">
        <v>0</v>
      </c>
      <c r="K1056" s="9">
        <f>I1056*J1056</f>
        <v/>
      </c>
      <c r="L1056" s="9">
        <f>I1056-K1056</f>
        <v/>
      </c>
      <c r="M1056" s="9">
        <f>F1056*H1056</f>
        <v/>
      </c>
      <c r="N1056" s="9">
        <f>L1056-M1056</f>
        <v/>
      </c>
      <c r="O1056" s="11">
        <f>IFERROR(N1056/L1056, 0)</f>
        <v/>
      </c>
      <c r="P1056" s="8">
        <f>YEAR(C1056)</f>
        <v/>
      </c>
      <c r="Q1056" s="8">
        <f>TEXT(C1056, "yyyy-mm")</f>
        <v/>
      </c>
      <c r="R1056" s="8" t="inlineStr">
        <is>
          <t>Direct Web</t>
        </is>
      </c>
      <c r="S1056" s="8" t="inlineStr">
        <is>
          <t>REG-NA</t>
        </is>
      </c>
    </row>
    <row r="1057">
      <c r="A1057" s="8" t="inlineStr">
        <is>
          <t>DTL-0001066</t>
        </is>
      </c>
      <c r="B1057" s="8" t="inlineStr">
        <is>
          <t>ORD-000540</t>
        </is>
      </c>
      <c r="C1057" s="10" t="inlineStr">
        <is>
          <t>2024-10-22</t>
        </is>
      </c>
      <c r="D1057" s="8" t="inlineStr">
        <is>
          <t>CUST-07421</t>
        </is>
      </c>
      <c r="E1057" s="8" t="inlineStr">
        <is>
          <t>PRD-0483</t>
        </is>
      </c>
      <c r="F1057" s="8" t="n">
        <v>1</v>
      </c>
      <c r="G1057" s="9">
        <f>IFERROR(XLOOKUP(E1057, '04_Products'!$A:$A, '04_Products'!$G:$G), 50.97)</f>
        <v/>
      </c>
      <c r="H1057" s="9">
        <f>IFERROR(XLOOKUP(E1057, '04_Products'!$A:$A, '04_Products'!$F:$F), 0)</f>
        <v/>
      </c>
      <c r="I1057" s="9">
        <f>F1057*G1057</f>
        <v/>
      </c>
      <c r="J1057" s="11" t="n">
        <v>0.15</v>
      </c>
      <c r="K1057" s="9">
        <f>I1057*J1057</f>
        <v/>
      </c>
      <c r="L1057" s="9">
        <f>I1057-K1057</f>
        <v/>
      </c>
      <c r="M1057" s="9">
        <f>F1057*H1057</f>
        <v/>
      </c>
      <c r="N1057" s="9">
        <f>L1057-M1057</f>
        <v/>
      </c>
      <c r="O1057" s="11">
        <f>IFERROR(N1057/L1057, 0)</f>
        <v/>
      </c>
      <c r="P1057" s="8">
        <f>YEAR(C1057)</f>
        <v/>
      </c>
      <c r="Q1057" s="8">
        <f>TEXT(C1057, "yyyy-mm")</f>
        <v/>
      </c>
      <c r="R1057" s="8" t="inlineStr">
        <is>
          <t>Direct Web</t>
        </is>
      </c>
      <c r="S1057" s="8" t="inlineStr">
        <is>
          <t>REG-EU</t>
        </is>
      </c>
    </row>
    <row r="1058">
      <c r="A1058" s="8" t="inlineStr">
        <is>
          <t>DTL-0001067</t>
        </is>
      </c>
      <c r="B1058" s="8" t="inlineStr">
        <is>
          <t>ORD-000540</t>
        </is>
      </c>
      <c r="C1058" s="10" t="inlineStr">
        <is>
          <t>2024-10-22</t>
        </is>
      </c>
      <c r="D1058" s="8" t="inlineStr">
        <is>
          <t>CUST-07421</t>
        </is>
      </c>
      <c r="E1058" s="8" t="inlineStr">
        <is>
          <t>PRD-0303</t>
        </is>
      </c>
      <c r="F1058" s="8" t="n">
        <v>1</v>
      </c>
      <c r="G1058" s="9">
        <f>IFERROR(XLOOKUP(E1058, '04_Products'!$A:$A, '04_Products'!$G:$G), 61.92)</f>
        <v/>
      </c>
      <c r="H1058" s="9">
        <f>IFERROR(XLOOKUP(E1058, '04_Products'!$A:$A, '04_Products'!$F:$F), 0)</f>
        <v/>
      </c>
      <c r="I1058" s="9">
        <f>F1058*G1058</f>
        <v/>
      </c>
      <c r="J1058" s="11" t="n">
        <v>0</v>
      </c>
      <c r="K1058" s="9">
        <f>I1058*J1058</f>
        <v/>
      </c>
      <c r="L1058" s="9">
        <f>I1058-K1058</f>
        <v/>
      </c>
      <c r="M1058" s="9">
        <f>F1058*H1058</f>
        <v/>
      </c>
      <c r="N1058" s="9">
        <f>L1058-M1058</f>
        <v/>
      </c>
      <c r="O1058" s="11">
        <f>IFERROR(N1058/L1058, 0)</f>
        <v/>
      </c>
      <c r="P1058" s="8">
        <f>YEAR(C1058)</f>
        <v/>
      </c>
      <c r="Q1058" s="8">
        <f>TEXT(C1058, "yyyy-mm")</f>
        <v/>
      </c>
      <c r="R1058" s="8" t="inlineStr">
        <is>
          <t>Direct Web</t>
        </is>
      </c>
      <c r="S1058" s="8" t="inlineStr">
        <is>
          <t>REG-EU</t>
        </is>
      </c>
    </row>
    <row r="1059">
      <c r="A1059" s="8" t="inlineStr">
        <is>
          <t>DTL-0001068</t>
        </is>
      </c>
      <c r="B1059" s="8" t="inlineStr">
        <is>
          <t>ORD-000541</t>
        </is>
      </c>
      <c r="C1059" s="10" t="inlineStr">
        <is>
          <t>2023-04-12</t>
        </is>
      </c>
      <c r="D1059" s="8" t="inlineStr">
        <is>
          <t>CUST-06245</t>
        </is>
      </c>
      <c r="E1059" s="8" t="inlineStr">
        <is>
          <t>PRD-0030</t>
        </is>
      </c>
      <c r="F1059" s="8" t="n">
        <v>2</v>
      </c>
      <c r="G1059" s="9">
        <f>IFERROR(XLOOKUP(E1059, '04_Products'!$A:$A, '04_Products'!$G:$G), 298.29)</f>
        <v/>
      </c>
      <c r="H1059" s="9">
        <f>IFERROR(XLOOKUP(E1059, '04_Products'!$A:$A, '04_Products'!$F:$F), 0)</f>
        <v/>
      </c>
      <c r="I1059" s="9">
        <f>F1059*G1059</f>
        <v/>
      </c>
      <c r="J1059" s="11" t="n">
        <v>0</v>
      </c>
      <c r="K1059" s="9">
        <f>I1059*J1059</f>
        <v/>
      </c>
      <c r="L1059" s="9">
        <f>I1059-K1059</f>
        <v/>
      </c>
      <c r="M1059" s="9">
        <f>F1059*H1059</f>
        <v/>
      </c>
      <c r="N1059" s="9">
        <f>L1059-M1059</f>
        <v/>
      </c>
      <c r="O1059" s="11">
        <f>IFERROR(N1059/L1059, 0)</f>
        <v/>
      </c>
      <c r="P1059" s="8">
        <f>YEAR(C1059)</f>
        <v/>
      </c>
      <c r="Q1059" s="8">
        <f>TEXT(C1059, "yyyy-mm")</f>
        <v/>
      </c>
      <c r="R1059" s="8" t="inlineStr">
        <is>
          <t>Direct Web</t>
        </is>
      </c>
      <c r="S1059" s="8" t="inlineStr">
        <is>
          <t>REG-APAC</t>
        </is>
      </c>
    </row>
    <row r="1060">
      <c r="A1060" s="8" t="inlineStr">
        <is>
          <t>DTL-0001069</t>
        </is>
      </c>
      <c r="B1060" s="8" t="inlineStr">
        <is>
          <t>ORD-000542</t>
        </is>
      </c>
      <c r="C1060" s="10" t="inlineStr">
        <is>
          <t>2024-12-08</t>
        </is>
      </c>
      <c r="D1060" s="8" t="inlineStr">
        <is>
          <t>CUST-07985</t>
        </is>
      </c>
      <c r="E1060" s="8" t="inlineStr">
        <is>
          <t>PRD-0275</t>
        </is>
      </c>
      <c r="F1060" s="8" t="n">
        <v>2</v>
      </c>
      <c r="G1060" s="9">
        <f>IFERROR(XLOOKUP(E1060, '04_Products'!$A:$A, '04_Products'!$G:$G), 786.53)</f>
        <v/>
      </c>
      <c r="H1060" s="9">
        <f>IFERROR(XLOOKUP(E1060, '04_Products'!$A:$A, '04_Products'!$F:$F), 0)</f>
        <v/>
      </c>
      <c r="I1060" s="9">
        <f>F1060*G1060</f>
        <v/>
      </c>
      <c r="J1060" s="11" t="n">
        <v>0.25</v>
      </c>
      <c r="K1060" s="9">
        <f>I1060*J1060</f>
        <v/>
      </c>
      <c r="L1060" s="9">
        <f>I1060-K1060</f>
        <v/>
      </c>
      <c r="M1060" s="9">
        <f>F1060*H1060</f>
        <v/>
      </c>
      <c r="N1060" s="9">
        <f>L1060-M1060</f>
        <v/>
      </c>
      <c r="O1060" s="11">
        <f>IFERROR(N1060/L1060, 0)</f>
        <v/>
      </c>
      <c r="P1060" s="8">
        <f>YEAR(C1060)</f>
        <v/>
      </c>
      <c r="Q1060" s="8">
        <f>TEXT(C1060, "yyyy-mm")</f>
        <v/>
      </c>
      <c r="R1060" s="8" t="inlineStr">
        <is>
          <t>Affiliate Partner</t>
        </is>
      </c>
      <c r="S1060" s="8" t="inlineStr">
        <is>
          <t>REG-EU</t>
        </is>
      </c>
    </row>
    <row r="1061">
      <c r="A1061" s="8" t="inlineStr">
        <is>
          <t>DTL-0001070</t>
        </is>
      </c>
      <c r="B1061" s="8" t="inlineStr">
        <is>
          <t>ORD-000542</t>
        </is>
      </c>
      <c r="C1061" s="10" t="inlineStr">
        <is>
          <t>2024-12-08</t>
        </is>
      </c>
      <c r="D1061" s="8" t="inlineStr">
        <is>
          <t>CUST-07985</t>
        </is>
      </c>
      <c r="E1061" s="8" t="inlineStr">
        <is>
          <t>PRD-0046</t>
        </is>
      </c>
      <c r="F1061" s="8" t="n">
        <v>1</v>
      </c>
      <c r="G1061" s="9">
        <f>IFERROR(XLOOKUP(E1061, '04_Products'!$A:$A, '04_Products'!$G:$G), 692.90)</f>
        <v/>
      </c>
      <c r="H1061" s="9">
        <f>IFERROR(XLOOKUP(E1061, '04_Products'!$A:$A, '04_Products'!$F:$F), 0)</f>
        <v/>
      </c>
      <c r="I1061" s="9">
        <f>F1061*G1061</f>
        <v/>
      </c>
      <c r="J1061" s="11" t="n">
        <v>0.05</v>
      </c>
      <c r="K1061" s="9">
        <f>I1061*J1061</f>
        <v/>
      </c>
      <c r="L1061" s="9">
        <f>I1061-K1061</f>
        <v/>
      </c>
      <c r="M1061" s="9">
        <f>F1061*H1061</f>
        <v/>
      </c>
      <c r="N1061" s="9">
        <f>L1061-M1061</f>
        <v/>
      </c>
      <c r="O1061" s="11">
        <f>IFERROR(N1061/L1061, 0)</f>
        <v/>
      </c>
      <c r="P1061" s="8">
        <f>YEAR(C1061)</f>
        <v/>
      </c>
      <c r="Q1061" s="8">
        <f>TEXT(C1061, "yyyy-mm")</f>
        <v/>
      </c>
      <c r="R1061" s="8" t="inlineStr">
        <is>
          <t>Affiliate Partner</t>
        </is>
      </c>
      <c r="S1061" s="8" t="inlineStr">
        <is>
          <t>REG-EU</t>
        </is>
      </c>
    </row>
    <row r="1062">
      <c r="A1062" s="8" t="inlineStr">
        <is>
          <t>DTL-0001071</t>
        </is>
      </c>
      <c r="B1062" s="8" t="inlineStr">
        <is>
          <t>ORD-000542</t>
        </is>
      </c>
      <c r="C1062" s="10" t="inlineStr">
        <is>
          <t>2024-12-08</t>
        </is>
      </c>
      <c r="D1062" s="8" t="inlineStr">
        <is>
          <t>CUST-07985</t>
        </is>
      </c>
      <c r="E1062" s="8" t="inlineStr">
        <is>
          <t>PRD-0189</t>
        </is>
      </c>
      <c r="F1062" s="8" t="n">
        <v>1</v>
      </c>
      <c r="G1062" s="9">
        <f>IFERROR(XLOOKUP(E1062, '04_Products'!$A:$A, '04_Products'!$G:$G), 526.66)</f>
        <v/>
      </c>
      <c r="H1062" s="9">
        <f>IFERROR(XLOOKUP(E1062, '04_Products'!$A:$A, '04_Products'!$F:$F), 0)</f>
        <v/>
      </c>
      <c r="I1062" s="9">
        <f>F1062*G1062</f>
        <v/>
      </c>
      <c r="J1062" s="11" t="n">
        <v>0.1</v>
      </c>
      <c r="K1062" s="9">
        <f>I1062*J1062</f>
        <v/>
      </c>
      <c r="L1062" s="9">
        <f>I1062-K1062</f>
        <v/>
      </c>
      <c r="M1062" s="9">
        <f>F1062*H1062</f>
        <v/>
      </c>
      <c r="N1062" s="9">
        <f>L1062-M1062</f>
        <v/>
      </c>
      <c r="O1062" s="11">
        <f>IFERROR(N1062/L1062, 0)</f>
        <v/>
      </c>
      <c r="P1062" s="8">
        <f>YEAR(C1062)</f>
        <v/>
      </c>
      <c r="Q1062" s="8">
        <f>TEXT(C1062, "yyyy-mm")</f>
        <v/>
      </c>
      <c r="R1062" s="8" t="inlineStr">
        <is>
          <t>Affiliate Partner</t>
        </is>
      </c>
      <c r="S1062" s="8" t="inlineStr">
        <is>
          <t>REG-EU</t>
        </is>
      </c>
    </row>
    <row r="1063">
      <c r="A1063" s="8" t="inlineStr">
        <is>
          <t>DTL-0001072</t>
        </is>
      </c>
      <c r="B1063" s="8" t="inlineStr">
        <is>
          <t>ORD-000542</t>
        </is>
      </c>
      <c r="C1063" s="10" t="inlineStr">
        <is>
          <t>2024-12-08</t>
        </is>
      </c>
      <c r="D1063" s="8" t="inlineStr">
        <is>
          <t>CUST-07985</t>
        </is>
      </c>
      <c r="E1063" s="8" t="inlineStr">
        <is>
          <t>PRD-0423</t>
        </is>
      </c>
      <c r="F1063" s="8" t="n">
        <v>2</v>
      </c>
      <c r="G1063" s="9">
        <f>IFERROR(XLOOKUP(E1063, '04_Products'!$A:$A, '04_Products'!$G:$G), 922.78)</f>
        <v/>
      </c>
      <c r="H1063" s="9">
        <f>IFERROR(XLOOKUP(E1063, '04_Products'!$A:$A, '04_Products'!$F:$F), 0)</f>
        <v/>
      </c>
      <c r="I1063" s="9">
        <f>F1063*G1063</f>
        <v/>
      </c>
      <c r="J1063" s="11" t="n">
        <v>0</v>
      </c>
      <c r="K1063" s="9">
        <f>I1063*J1063</f>
        <v/>
      </c>
      <c r="L1063" s="9">
        <f>I1063-K1063</f>
        <v/>
      </c>
      <c r="M1063" s="9">
        <f>F1063*H1063</f>
        <v/>
      </c>
      <c r="N1063" s="9">
        <f>L1063-M1063</f>
        <v/>
      </c>
      <c r="O1063" s="11">
        <f>IFERROR(N1063/L1063, 0)</f>
        <v/>
      </c>
      <c r="P1063" s="8">
        <f>YEAR(C1063)</f>
        <v/>
      </c>
      <c r="Q1063" s="8">
        <f>TEXT(C1063, "yyyy-mm")</f>
        <v/>
      </c>
      <c r="R1063" s="8" t="inlineStr">
        <is>
          <t>Affiliate Partner</t>
        </is>
      </c>
      <c r="S1063" s="8" t="inlineStr">
        <is>
          <t>REG-EU</t>
        </is>
      </c>
    </row>
    <row r="1064">
      <c r="A1064" s="8" t="inlineStr">
        <is>
          <t>DTL-0001073</t>
        </is>
      </c>
      <c r="B1064" s="8" t="inlineStr">
        <is>
          <t>ORD-000543</t>
        </is>
      </c>
      <c r="C1064" s="10" t="inlineStr">
        <is>
          <t>2023-06-13</t>
        </is>
      </c>
      <c r="D1064" s="8" t="inlineStr">
        <is>
          <t>CUST-06840</t>
        </is>
      </c>
      <c r="E1064" s="8" t="inlineStr">
        <is>
          <t>PRD-0450</t>
        </is>
      </c>
      <c r="F1064" s="8" t="n">
        <v>1</v>
      </c>
      <c r="G1064" s="9">
        <f>IFERROR(XLOOKUP(E1064, '04_Products'!$A:$A, '04_Products'!$G:$G), 646.81)</f>
        <v/>
      </c>
      <c r="H1064" s="9">
        <f>IFERROR(XLOOKUP(E1064, '04_Products'!$A:$A, '04_Products'!$F:$F), 0)</f>
        <v/>
      </c>
      <c r="I1064" s="9">
        <f>F1064*G1064</f>
        <v/>
      </c>
      <c r="J1064" s="11" t="n">
        <v>0.05</v>
      </c>
      <c r="K1064" s="9">
        <f>I1064*J1064</f>
        <v/>
      </c>
      <c r="L1064" s="9">
        <f>I1064-K1064</f>
        <v/>
      </c>
      <c r="M1064" s="9">
        <f>F1064*H1064</f>
        <v/>
      </c>
      <c r="N1064" s="9">
        <f>L1064-M1064</f>
        <v/>
      </c>
      <c r="O1064" s="11">
        <f>IFERROR(N1064/L1064, 0)</f>
        <v/>
      </c>
      <c r="P1064" s="8">
        <f>YEAR(C1064)</f>
        <v/>
      </c>
      <c r="Q1064" s="8">
        <f>TEXT(C1064, "yyyy-mm")</f>
        <v/>
      </c>
      <c r="R1064" s="8" t="inlineStr">
        <is>
          <t>Direct Web</t>
        </is>
      </c>
      <c r="S1064" s="8" t="inlineStr">
        <is>
          <t>REG-NA</t>
        </is>
      </c>
    </row>
    <row r="1065">
      <c r="A1065" s="8" t="inlineStr">
        <is>
          <t>DTL-0001074</t>
        </is>
      </c>
      <c r="B1065" s="8" t="inlineStr">
        <is>
          <t>ORD-000544</t>
        </is>
      </c>
      <c r="C1065" s="10" t="inlineStr">
        <is>
          <t>2025-10-02</t>
        </is>
      </c>
      <c r="D1065" s="8" t="inlineStr">
        <is>
          <t>CUST-02631</t>
        </is>
      </c>
      <c r="E1065" s="8" t="inlineStr">
        <is>
          <t>PRD-0125</t>
        </is>
      </c>
      <c r="F1065" s="8" t="n">
        <v>1</v>
      </c>
      <c r="G1065" s="9">
        <f>IFERROR(XLOOKUP(E1065, '04_Products'!$A:$A, '04_Products'!$G:$G), 1389.75)</f>
        <v/>
      </c>
      <c r="H1065" s="9">
        <f>IFERROR(XLOOKUP(E1065, '04_Products'!$A:$A, '04_Products'!$F:$F), 0)</f>
        <v/>
      </c>
      <c r="I1065" s="9">
        <f>F1065*G1065</f>
        <v/>
      </c>
      <c r="J1065" s="11" t="n">
        <v>0</v>
      </c>
      <c r="K1065" s="9">
        <f>I1065*J1065</f>
        <v/>
      </c>
      <c r="L1065" s="9">
        <f>I1065-K1065</f>
        <v/>
      </c>
      <c r="M1065" s="9">
        <f>F1065*H1065</f>
        <v/>
      </c>
      <c r="N1065" s="9">
        <f>L1065-M1065</f>
        <v/>
      </c>
      <c r="O1065" s="11">
        <f>IFERROR(N1065/L1065, 0)</f>
        <v/>
      </c>
      <c r="P1065" s="8">
        <f>YEAR(C1065)</f>
        <v/>
      </c>
      <c r="Q1065" s="8">
        <f>TEXT(C1065, "yyyy-mm")</f>
        <v/>
      </c>
      <c r="R1065" s="8" t="inlineStr">
        <is>
          <t>Mobile App</t>
        </is>
      </c>
      <c r="S1065" s="8" t="inlineStr">
        <is>
          <t>REG-EU</t>
        </is>
      </c>
    </row>
    <row r="1066">
      <c r="A1066" s="8" t="inlineStr">
        <is>
          <t>DTL-0001075</t>
        </is>
      </c>
      <c r="B1066" s="8" t="inlineStr">
        <is>
          <t>ORD-000545</t>
        </is>
      </c>
      <c r="C1066" s="10" t="inlineStr">
        <is>
          <t>2023-04-04</t>
        </is>
      </c>
      <c r="D1066" s="8" t="inlineStr">
        <is>
          <t>CUST-04306</t>
        </is>
      </c>
      <c r="E1066" s="8" t="inlineStr">
        <is>
          <t>PRD-0038</t>
        </is>
      </c>
      <c r="F1066" s="8" t="n">
        <v>2</v>
      </c>
      <c r="G1066" s="9">
        <f>IFERROR(XLOOKUP(E1066, '04_Products'!$A:$A, '04_Products'!$G:$G), 220.46)</f>
        <v/>
      </c>
      <c r="H1066" s="9">
        <f>IFERROR(XLOOKUP(E1066, '04_Products'!$A:$A, '04_Products'!$F:$F), 0)</f>
        <v/>
      </c>
      <c r="I1066" s="9">
        <f>F1066*G1066</f>
        <v/>
      </c>
      <c r="J1066" s="11" t="n">
        <v>0.1</v>
      </c>
      <c r="K1066" s="9">
        <f>I1066*J1066</f>
        <v/>
      </c>
      <c r="L1066" s="9">
        <f>I1066-K1066</f>
        <v/>
      </c>
      <c r="M1066" s="9">
        <f>F1066*H1066</f>
        <v/>
      </c>
      <c r="N1066" s="9">
        <f>L1066-M1066</f>
        <v/>
      </c>
      <c r="O1066" s="11">
        <f>IFERROR(N1066/L1066, 0)</f>
        <v/>
      </c>
      <c r="P1066" s="8">
        <f>YEAR(C1066)</f>
        <v/>
      </c>
      <c r="Q1066" s="8">
        <f>TEXT(C1066, "yyyy-mm")</f>
        <v/>
      </c>
      <c r="R1066" s="8" t="inlineStr">
        <is>
          <t>Direct Web</t>
        </is>
      </c>
      <c r="S1066" s="8" t="inlineStr">
        <is>
          <t>REG-APAC</t>
        </is>
      </c>
    </row>
    <row r="1067">
      <c r="A1067" s="8" t="inlineStr">
        <is>
          <t>DTL-0001076</t>
        </is>
      </c>
      <c r="B1067" s="8" t="inlineStr">
        <is>
          <t>ORD-000546</t>
        </is>
      </c>
      <c r="C1067" s="10" t="inlineStr">
        <is>
          <t>2025-11-05</t>
        </is>
      </c>
      <c r="D1067" s="8" t="inlineStr">
        <is>
          <t>CUST-01522</t>
        </is>
      </c>
      <c r="E1067" s="8" t="inlineStr">
        <is>
          <t>PRD-0460</t>
        </is>
      </c>
      <c r="F1067" s="8" t="n">
        <v>2</v>
      </c>
      <c r="G1067" s="9">
        <f>IFERROR(XLOOKUP(E1067, '04_Products'!$A:$A, '04_Products'!$G:$G), 331.54)</f>
        <v/>
      </c>
      <c r="H1067" s="9">
        <f>IFERROR(XLOOKUP(E1067, '04_Products'!$A:$A, '04_Products'!$F:$F), 0)</f>
        <v/>
      </c>
      <c r="I1067" s="9">
        <f>F1067*G1067</f>
        <v/>
      </c>
      <c r="J1067" s="11" t="n">
        <v>0.15</v>
      </c>
      <c r="K1067" s="9">
        <f>I1067*J1067</f>
        <v/>
      </c>
      <c r="L1067" s="9">
        <f>I1067-K1067</f>
        <v/>
      </c>
      <c r="M1067" s="9">
        <f>F1067*H1067</f>
        <v/>
      </c>
      <c r="N1067" s="9">
        <f>L1067-M1067</f>
        <v/>
      </c>
      <c r="O1067" s="11">
        <f>IFERROR(N1067/L1067, 0)</f>
        <v/>
      </c>
      <c r="P1067" s="8">
        <f>YEAR(C1067)</f>
        <v/>
      </c>
      <c r="Q1067" s="8">
        <f>TEXT(C1067, "yyyy-mm")</f>
        <v/>
      </c>
      <c r="R1067" s="8" t="inlineStr">
        <is>
          <t>Mobile App</t>
        </is>
      </c>
      <c r="S1067" s="8" t="inlineStr">
        <is>
          <t>REG-EU</t>
        </is>
      </c>
    </row>
    <row r="1068">
      <c r="A1068" s="8" t="inlineStr">
        <is>
          <t>DTL-0001077</t>
        </is>
      </c>
      <c r="B1068" s="8" t="inlineStr">
        <is>
          <t>ORD-000546</t>
        </is>
      </c>
      <c r="C1068" s="10" t="inlineStr">
        <is>
          <t>2025-11-05</t>
        </is>
      </c>
      <c r="D1068" s="8" t="inlineStr">
        <is>
          <t>CUST-01522</t>
        </is>
      </c>
      <c r="E1068" s="8" t="inlineStr">
        <is>
          <t>PRD-0321</t>
        </is>
      </c>
      <c r="F1068" s="8" t="n">
        <v>1</v>
      </c>
      <c r="G1068" s="9">
        <f>IFERROR(XLOOKUP(E1068, '04_Products'!$A:$A, '04_Products'!$G:$G), 684.87)</f>
        <v/>
      </c>
      <c r="H1068" s="9">
        <f>IFERROR(XLOOKUP(E1068, '04_Products'!$A:$A, '04_Products'!$F:$F), 0)</f>
        <v/>
      </c>
      <c r="I1068" s="9">
        <f>F1068*G1068</f>
        <v/>
      </c>
      <c r="J1068" s="11" t="n">
        <v>0.2</v>
      </c>
      <c r="K1068" s="9">
        <f>I1068*J1068</f>
        <v/>
      </c>
      <c r="L1068" s="9">
        <f>I1068-K1068</f>
        <v/>
      </c>
      <c r="M1068" s="9">
        <f>F1068*H1068</f>
        <v/>
      </c>
      <c r="N1068" s="9">
        <f>L1068-M1068</f>
        <v/>
      </c>
      <c r="O1068" s="11">
        <f>IFERROR(N1068/L1068, 0)</f>
        <v/>
      </c>
      <c r="P1068" s="8">
        <f>YEAR(C1068)</f>
        <v/>
      </c>
      <c r="Q1068" s="8">
        <f>TEXT(C1068, "yyyy-mm")</f>
        <v/>
      </c>
      <c r="R1068" s="8" t="inlineStr">
        <is>
          <t>Mobile App</t>
        </is>
      </c>
      <c r="S1068" s="8" t="inlineStr">
        <is>
          <t>REG-EU</t>
        </is>
      </c>
    </row>
    <row r="1069">
      <c r="A1069" s="8" t="inlineStr">
        <is>
          <t>DTL-0001078</t>
        </is>
      </c>
      <c r="B1069" s="8" t="inlineStr">
        <is>
          <t>ORD-000547</t>
        </is>
      </c>
      <c r="C1069" s="10" t="inlineStr">
        <is>
          <t>2025-11-21</t>
        </is>
      </c>
      <c r="D1069" s="8" t="inlineStr">
        <is>
          <t>CUST-07742</t>
        </is>
      </c>
      <c r="E1069" s="8" t="inlineStr">
        <is>
          <t>PRD-0246</t>
        </is>
      </c>
      <c r="F1069" s="8" t="n">
        <v>1</v>
      </c>
      <c r="G1069" s="9">
        <f>IFERROR(XLOOKUP(E1069, '04_Products'!$A:$A, '04_Products'!$G:$G), 1238.92)</f>
        <v/>
      </c>
      <c r="H1069" s="9">
        <f>IFERROR(XLOOKUP(E1069, '04_Products'!$A:$A, '04_Products'!$F:$F), 0)</f>
        <v/>
      </c>
      <c r="I1069" s="9">
        <f>F1069*G1069</f>
        <v/>
      </c>
      <c r="J1069" s="11" t="n">
        <v>0</v>
      </c>
      <c r="K1069" s="9">
        <f>I1069*J1069</f>
        <v/>
      </c>
      <c r="L1069" s="9">
        <f>I1069-K1069</f>
        <v/>
      </c>
      <c r="M1069" s="9">
        <f>F1069*H1069</f>
        <v/>
      </c>
      <c r="N1069" s="9">
        <f>L1069-M1069</f>
        <v/>
      </c>
      <c r="O1069" s="11">
        <f>IFERROR(N1069/L1069, 0)</f>
        <v/>
      </c>
      <c r="P1069" s="8">
        <f>YEAR(C1069)</f>
        <v/>
      </c>
      <c r="Q1069" s="8">
        <f>TEXT(C1069, "yyyy-mm")</f>
        <v/>
      </c>
      <c r="R1069" s="8" t="inlineStr">
        <is>
          <t>Affiliate Partner</t>
        </is>
      </c>
      <c r="S1069" s="8" t="inlineStr">
        <is>
          <t>REG-EU</t>
        </is>
      </c>
    </row>
    <row r="1070">
      <c r="A1070" s="8" t="inlineStr">
        <is>
          <t>DTL-0001079</t>
        </is>
      </c>
      <c r="B1070" s="8" t="inlineStr">
        <is>
          <t>ORD-000548</t>
        </is>
      </c>
      <c r="C1070" s="10" t="inlineStr">
        <is>
          <t>2024-04-29</t>
        </is>
      </c>
      <c r="D1070" s="8" t="inlineStr">
        <is>
          <t>CUST-04548</t>
        </is>
      </c>
      <c r="E1070" s="8" t="inlineStr">
        <is>
          <t>PRD-0043</t>
        </is>
      </c>
      <c r="F1070" s="8" t="n">
        <v>1</v>
      </c>
      <c r="G1070" s="9">
        <f>IFERROR(XLOOKUP(E1070, '04_Products'!$A:$A, '04_Products'!$G:$G), 174.44)</f>
        <v/>
      </c>
      <c r="H1070" s="9">
        <f>IFERROR(XLOOKUP(E1070, '04_Products'!$A:$A, '04_Products'!$F:$F), 0)</f>
        <v/>
      </c>
      <c r="I1070" s="9">
        <f>F1070*G1070</f>
        <v/>
      </c>
      <c r="J1070" s="11" t="n">
        <v>0.2</v>
      </c>
      <c r="K1070" s="9">
        <f>I1070*J1070</f>
        <v/>
      </c>
      <c r="L1070" s="9">
        <f>I1070-K1070</f>
        <v/>
      </c>
      <c r="M1070" s="9">
        <f>F1070*H1070</f>
        <v/>
      </c>
      <c r="N1070" s="9">
        <f>L1070-M1070</f>
        <v/>
      </c>
      <c r="O1070" s="11">
        <f>IFERROR(N1070/L1070, 0)</f>
        <v/>
      </c>
      <c r="P1070" s="8">
        <f>YEAR(C1070)</f>
        <v/>
      </c>
      <c r="Q1070" s="8">
        <f>TEXT(C1070, "yyyy-mm")</f>
        <v/>
      </c>
      <c r="R1070" s="8" t="inlineStr">
        <is>
          <t>Direct Web</t>
        </is>
      </c>
      <c r="S1070" s="8" t="inlineStr">
        <is>
          <t>REG-APAC</t>
        </is>
      </c>
    </row>
    <row r="1071">
      <c r="A1071" s="8" t="inlineStr">
        <is>
          <t>DTL-0001080</t>
        </is>
      </c>
      <c r="B1071" s="8" t="inlineStr">
        <is>
          <t>ORD-000549</t>
        </is>
      </c>
      <c r="C1071" s="10" t="inlineStr">
        <is>
          <t>2025-07-17</t>
        </is>
      </c>
      <c r="D1071" s="8" t="inlineStr">
        <is>
          <t>CUST-00994</t>
        </is>
      </c>
      <c r="E1071" s="8" t="inlineStr">
        <is>
          <t>PRD-0111</t>
        </is>
      </c>
      <c r="F1071" s="8" t="n">
        <v>5</v>
      </c>
      <c r="G1071" s="9">
        <f>IFERROR(XLOOKUP(E1071, '04_Products'!$A:$A, '04_Products'!$G:$G), 63.37)</f>
        <v/>
      </c>
      <c r="H1071" s="9">
        <f>IFERROR(XLOOKUP(E1071, '04_Products'!$A:$A, '04_Products'!$F:$F), 0)</f>
        <v/>
      </c>
      <c r="I1071" s="9">
        <f>F1071*G1071</f>
        <v/>
      </c>
      <c r="J1071" s="11" t="n">
        <v>0.05</v>
      </c>
      <c r="K1071" s="9">
        <f>I1071*J1071</f>
        <v/>
      </c>
      <c r="L1071" s="9">
        <f>I1071-K1071</f>
        <v/>
      </c>
      <c r="M1071" s="9">
        <f>F1071*H1071</f>
        <v/>
      </c>
      <c r="N1071" s="9">
        <f>L1071-M1071</f>
        <v/>
      </c>
      <c r="O1071" s="11">
        <f>IFERROR(N1071/L1071, 0)</f>
        <v/>
      </c>
      <c r="P1071" s="8">
        <f>YEAR(C1071)</f>
        <v/>
      </c>
      <c r="Q1071" s="8">
        <f>TEXT(C1071, "yyyy-mm")</f>
        <v/>
      </c>
      <c r="R1071" s="8" t="inlineStr">
        <is>
          <t>Direct Web</t>
        </is>
      </c>
      <c r="S1071" s="8" t="inlineStr">
        <is>
          <t>REG-LATAM</t>
        </is>
      </c>
    </row>
    <row r="1072">
      <c r="A1072" s="8" t="inlineStr">
        <is>
          <t>DTL-0001081</t>
        </is>
      </c>
      <c r="B1072" s="8" t="inlineStr">
        <is>
          <t>ORD-000549</t>
        </is>
      </c>
      <c r="C1072" s="10" t="inlineStr">
        <is>
          <t>2025-07-17</t>
        </is>
      </c>
      <c r="D1072" s="8" t="inlineStr">
        <is>
          <t>CUST-00994</t>
        </is>
      </c>
      <c r="E1072" s="8" t="inlineStr">
        <is>
          <t>PRD-0362</t>
        </is>
      </c>
      <c r="F1072" s="8" t="n">
        <v>1</v>
      </c>
      <c r="G1072" s="9">
        <f>IFERROR(XLOOKUP(E1072, '04_Products'!$A:$A, '04_Products'!$G:$G), 110.63)</f>
        <v/>
      </c>
      <c r="H1072" s="9">
        <f>IFERROR(XLOOKUP(E1072, '04_Products'!$A:$A, '04_Products'!$F:$F), 0)</f>
        <v/>
      </c>
      <c r="I1072" s="9">
        <f>F1072*G1072</f>
        <v/>
      </c>
      <c r="J1072" s="11" t="n">
        <v>0.2</v>
      </c>
      <c r="K1072" s="9">
        <f>I1072*J1072</f>
        <v/>
      </c>
      <c r="L1072" s="9">
        <f>I1072-K1072</f>
        <v/>
      </c>
      <c r="M1072" s="9">
        <f>F1072*H1072</f>
        <v/>
      </c>
      <c r="N1072" s="9">
        <f>L1072-M1072</f>
        <v/>
      </c>
      <c r="O1072" s="11">
        <f>IFERROR(N1072/L1072, 0)</f>
        <v/>
      </c>
      <c r="P1072" s="8">
        <f>YEAR(C1072)</f>
        <v/>
      </c>
      <c r="Q1072" s="8">
        <f>TEXT(C1072, "yyyy-mm")</f>
        <v/>
      </c>
      <c r="R1072" s="8" t="inlineStr">
        <is>
          <t>Direct Web</t>
        </is>
      </c>
      <c r="S1072" s="8" t="inlineStr">
        <is>
          <t>REG-LATAM</t>
        </is>
      </c>
    </row>
    <row r="1073">
      <c r="A1073" s="8" t="inlineStr">
        <is>
          <t>DTL-0001082</t>
        </is>
      </c>
      <c r="B1073" s="8" t="inlineStr">
        <is>
          <t>ORD-000549</t>
        </is>
      </c>
      <c r="C1073" s="10" t="inlineStr">
        <is>
          <t>2025-07-17</t>
        </is>
      </c>
      <c r="D1073" s="8" t="inlineStr">
        <is>
          <t>CUST-00994</t>
        </is>
      </c>
      <c r="E1073" s="8" t="inlineStr">
        <is>
          <t>PRD-0225</t>
        </is>
      </c>
      <c r="F1073" s="8" t="n">
        <v>1</v>
      </c>
      <c r="G1073" s="9">
        <f>IFERROR(XLOOKUP(E1073, '04_Products'!$A:$A, '04_Products'!$G:$G), 266.58)</f>
        <v/>
      </c>
      <c r="H1073" s="9">
        <f>IFERROR(XLOOKUP(E1073, '04_Products'!$A:$A, '04_Products'!$F:$F), 0)</f>
        <v/>
      </c>
      <c r="I1073" s="9">
        <f>F1073*G1073</f>
        <v/>
      </c>
      <c r="J1073" s="11" t="n">
        <v>0</v>
      </c>
      <c r="K1073" s="9">
        <f>I1073*J1073</f>
        <v/>
      </c>
      <c r="L1073" s="9">
        <f>I1073-K1073</f>
        <v/>
      </c>
      <c r="M1073" s="9">
        <f>F1073*H1073</f>
        <v/>
      </c>
      <c r="N1073" s="9">
        <f>L1073-M1073</f>
        <v/>
      </c>
      <c r="O1073" s="11">
        <f>IFERROR(N1073/L1073, 0)</f>
        <v/>
      </c>
      <c r="P1073" s="8">
        <f>YEAR(C1073)</f>
        <v/>
      </c>
      <c r="Q1073" s="8">
        <f>TEXT(C1073, "yyyy-mm")</f>
        <v/>
      </c>
      <c r="R1073" s="8" t="inlineStr">
        <is>
          <t>Direct Web</t>
        </is>
      </c>
      <c r="S1073" s="8" t="inlineStr">
        <is>
          <t>REG-LATAM</t>
        </is>
      </c>
    </row>
    <row r="1074">
      <c r="A1074" s="8" t="inlineStr">
        <is>
          <t>DTL-0001083</t>
        </is>
      </c>
      <c r="B1074" s="8" t="inlineStr">
        <is>
          <t>ORD-000549</t>
        </is>
      </c>
      <c r="C1074" s="10" t="inlineStr">
        <is>
          <t>2025-07-17</t>
        </is>
      </c>
      <c r="D1074" s="8" t="inlineStr">
        <is>
          <t>CUST-00994</t>
        </is>
      </c>
      <c r="E1074" s="8" t="inlineStr">
        <is>
          <t>PRD-0167</t>
        </is>
      </c>
      <c r="F1074" s="8" t="n">
        <v>1</v>
      </c>
      <c r="G1074" s="9">
        <f>IFERROR(XLOOKUP(E1074, '04_Products'!$A:$A, '04_Products'!$G:$G), 606.81)</f>
        <v/>
      </c>
      <c r="H1074" s="9">
        <f>IFERROR(XLOOKUP(E1074, '04_Products'!$A:$A, '04_Products'!$F:$F), 0)</f>
        <v/>
      </c>
      <c r="I1074" s="9">
        <f>F1074*G1074</f>
        <v/>
      </c>
      <c r="J1074" s="11" t="n">
        <v>0</v>
      </c>
      <c r="K1074" s="9">
        <f>I1074*J1074</f>
        <v/>
      </c>
      <c r="L1074" s="9">
        <f>I1074-K1074</f>
        <v/>
      </c>
      <c r="M1074" s="9">
        <f>F1074*H1074</f>
        <v/>
      </c>
      <c r="N1074" s="9">
        <f>L1074-M1074</f>
        <v/>
      </c>
      <c r="O1074" s="11">
        <f>IFERROR(N1074/L1074, 0)</f>
        <v/>
      </c>
      <c r="P1074" s="8">
        <f>YEAR(C1074)</f>
        <v/>
      </c>
      <c r="Q1074" s="8">
        <f>TEXT(C1074, "yyyy-mm")</f>
        <v/>
      </c>
      <c r="R1074" s="8" t="inlineStr">
        <is>
          <t>Direct Web</t>
        </is>
      </c>
      <c r="S1074" s="8" t="inlineStr">
        <is>
          <t>REG-LATAM</t>
        </is>
      </c>
    </row>
    <row r="1075">
      <c r="A1075" s="8" t="inlineStr">
        <is>
          <t>DTL-0001084</t>
        </is>
      </c>
      <c r="B1075" s="8" t="inlineStr">
        <is>
          <t>ORD-000549</t>
        </is>
      </c>
      <c r="C1075" s="10" t="inlineStr">
        <is>
          <t>2025-07-17</t>
        </is>
      </c>
      <c r="D1075" s="8" t="inlineStr">
        <is>
          <t>CUST-00994</t>
        </is>
      </c>
      <c r="E1075" s="8" t="inlineStr">
        <is>
          <t>PRD-0188</t>
        </is>
      </c>
      <c r="F1075" s="8" t="n">
        <v>2</v>
      </c>
      <c r="G1075" s="9">
        <f>IFERROR(XLOOKUP(E1075, '04_Products'!$A:$A, '04_Products'!$G:$G), 946.83)</f>
        <v/>
      </c>
      <c r="H1075" s="9">
        <f>IFERROR(XLOOKUP(E1075, '04_Products'!$A:$A, '04_Products'!$F:$F), 0)</f>
        <v/>
      </c>
      <c r="I1075" s="9">
        <f>F1075*G1075</f>
        <v/>
      </c>
      <c r="J1075" s="11" t="n">
        <v>0</v>
      </c>
      <c r="K1075" s="9">
        <f>I1075*J1075</f>
        <v/>
      </c>
      <c r="L1075" s="9">
        <f>I1075-K1075</f>
        <v/>
      </c>
      <c r="M1075" s="9">
        <f>F1075*H1075</f>
        <v/>
      </c>
      <c r="N1075" s="9">
        <f>L1075-M1075</f>
        <v/>
      </c>
      <c r="O1075" s="11">
        <f>IFERROR(N1075/L1075, 0)</f>
        <v/>
      </c>
      <c r="P1075" s="8">
        <f>YEAR(C1075)</f>
        <v/>
      </c>
      <c r="Q1075" s="8">
        <f>TEXT(C1075, "yyyy-mm")</f>
        <v/>
      </c>
      <c r="R1075" s="8" t="inlineStr">
        <is>
          <t>Direct Web</t>
        </is>
      </c>
      <c r="S1075" s="8" t="inlineStr">
        <is>
          <t>REG-LATAM</t>
        </is>
      </c>
    </row>
    <row r="1076">
      <c r="A1076" s="8" t="inlineStr">
        <is>
          <t>DTL-0001085</t>
        </is>
      </c>
      <c r="B1076" s="8" t="inlineStr">
        <is>
          <t>ORD-000550</t>
        </is>
      </c>
      <c r="C1076" s="10" t="inlineStr">
        <is>
          <t>2023-07-23</t>
        </is>
      </c>
      <c r="D1076" s="8" t="inlineStr">
        <is>
          <t>CUST-02185</t>
        </is>
      </c>
      <c r="E1076" s="8" t="inlineStr">
        <is>
          <t>PRD-0457</t>
        </is>
      </c>
      <c r="F1076" s="8" t="n">
        <v>1</v>
      </c>
      <c r="G1076" s="9">
        <f>IFERROR(XLOOKUP(E1076, '04_Products'!$A:$A, '04_Products'!$G:$G), 29.97)</f>
        <v/>
      </c>
      <c r="H1076" s="9">
        <f>IFERROR(XLOOKUP(E1076, '04_Products'!$A:$A, '04_Products'!$F:$F), 0)</f>
        <v/>
      </c>
      <c r="I1076" s="9">
        <f>F1076*G1076</f>
        <v/>
      </c>
      <c r="J1076" s="11" t="n">
        <v>0.1</v>
      </c>
      <c r="K1076" s="9">
        <f>I1076*J1076</f>
        <v/>
      </c>
      <c r="L1076" s="9">
        <f>I1076-K1076</f>
        <v/>
      </c>
      <c r="M1076" s="9">
        <f>F1076*H1076</f>
        <v/>
      </c>
      <c r="N1076" s="9">
        <f>L1076-M1076</f>
        <v/>
      </c>
      <c r="O1076" s="11">
        <f>IFERROR(N1076/L1076, 0)</f>
        <v/>
      </c>
      <c r="P1076" s="8">
        <f>YEAR(C1076)</f>
        <v/>
      </c>
      <c r="Q1076" s="8">
        <f>TEXT(C1076, "yyyy-mm")</f>
        <v/>
      </c>
      <c r="R1076" s="8" t="inlineStr">
        <is>
          <t>Direct Web</t>
        </is>
      </c>
      <c r="S1076" s="8" t="inlineStr">
        <is>
          <t>REG-EU</t>
        </is>
      </c>
    </row>
    <row r="1077">
      <c r="A1077" s="8" t="inlineStr">
        <is>
          <t>DTL-0001086</t>
        </is>
      </c>
      <c r="B1077" s="8" t="inlineStr">
        <is>
          <t>ORD-000551</t>
        </is>
      </c>
      <c r="C1077" s="10" t="inlineStr">
        <is>
          <t>2023-06-18</t>
        </is>
      </c>
      <c r="D1077" s="8" t="inlineStr">
        <is>
          <t>CUST-02919</t>
        </is>
      </c>
      <c r="E1077" s="8" t="inlineStr">
        <is>
          <t>PRD-0274</t>
        </is>
      </c>
      <c r="F1077" s="8" t="n">
        <v>2</v>
      </c>
      <c r="G1077" s="9">
        <f>IFERROR(XLOOKUP(E1077, '04_Products'!$A:$A, '04_Products'!$G:$G), 74.99)</f>
        <v/>
      </c>
      <c r="H1077" s="9">
        <f>IFERROR(XLOOKUP(E1077, '04_Products'!$A:$A, '04_Products'!$F:$F), 0)</f>
        <v/>
      </c>
      <c r="I1077" s="9">
        <f>F1077*G1077</f>
        <v/>
      </c>
      <c r="J1077" s="11" t="n">
        <v>0.05</v>
      </c>
      <c r="K1077" s="9">
        <f>I1077*J1077</f>
        <v/>
      </c>
      <c r="L1077" s="9">
        <f>I1077-K1077</f>
        <v/>
      </c>
      <c r="M1077" s="9">
        <f>F1077*H1077</f>
        <v/>
      </c>
      <c r="N1077" s="9">
        <f>L1077-M1077</f>
        <v/>
      </c>
      <c r="O1077" s="11">
        <f>IFERROR(N1077/L1077, 0)</f>
        <v/>
      </c>
      <c r="P1077" s="8">
        <f>YEAR(C1077)</f>
        <v/>
      </c>
      <c r="Q1077" s="8">
        <f>TEXT(C1077, "yyyy-mm")</f>
        <v/>
      </c>
      <c r="R1077" s="8" t="inlineStr">
        <is>
          <t>B2B Portal</t>
        </is>
      </c>
      <c r="S1077" s="8" t="inlineStr">
        <is>
          <t>REG-EU</t>
        </is>
      </c>
    </row>
    <row r="1078">
      <c r="A1078" s="8" t="inlineStr">
        <is>
          <t>DTL-0001087</t>
        </is>
      </c>
      <c r="B1078" s="8" t="inlineStr">
        <is>
          <t>ORD-000551</t>
        </is>
      </c>
      <c r="C1078" s="10" t="inlineStr">
        <is>
          <t>2023-06-18</t>
        </is>
      </c>
      <c r="D1078" s="8" t="inlineStr">
        <is>
          <t>CUST-02919</t>
        </is>
      </c>
      <c r="E1078" s="8" t="inlineStr">
        <is>
          <t>PRD-0184</t>
        </is>
      </c>
      <c r="F1078" s="8" t="n">
        <v>1</v>
      </c>
      <c r="G1078" s="9">
        <f>IFERROR(XLOOKUP(E1078, '04_Products'!$A:$A, '04_Products'!$G:$G), 79.57)</f>
        <v/>
      </c>
      <c r="H1078" s="9">
        <f>IFERROR(XLOOKUP(E1078, '04_Products'!$A:$A, '04_Products'!$F:$F), 0)</f>
        <v/>
      </c>
      <c r="I1078" s="9">
        <f>F1078*G1078</f>
        <v/>
      </c>
      <c r="J1078" s="11" t="n">
        <v>0.15</v>
      </c>
      <c r="K1078" s="9">
        <f>I1078*J1078</f>
        <v/>
      </c>
      <c r="L1078" s="9">
        <f>I1078-K1078</f>
        <v/>
      </c>
      <c r="M1078" s="9">
        <f>F1078*H1078</f>
        <v/>
      </c>
      <c r="N1078" s="9">
        <f>L1078-M1078</f>
        <v/>
      </c>
      <c r="O1078" s="11">
        <f>IFERROR(N1078/L1078, 0)</f>
        <v/>
      </c>
      <c r="P1078" s="8">
        <f>YEAR(C1078)</f>
        <v/>
      </c>
      <c r="Q1078" s="8">
        <f>TEXT(C1078, "yyyy-mm")</f>
        <v/>
      </c>
      <c r="R1078" s="8" t="inlineStr">
        <is>
          <t>B2B Portal</t>
        </is>
      </c>
      <c r="S1078" s="8" t="inlineStr">
        <is>
          <t>REG-EU</t>
        </is>
      </c>
    </row>
    <row r="1079">
      <c r="A1079" s="8" t="inlineStr">
        <is>
          <t>DTL-0001088</t>
        </is>
      </c>
      <c r="B1079" s="8" t="inlineStr">
        <is>
          <t>ORD-000551</t>
        </is>
      </c>
      <c r="C1079" s="10" t="inlineStr">
        <is>
          <t>2023-06-18</t>
        </is>
      </c>
      <c r="D1079" s="8" t="inlineStr">
        <is>
          <t>CUST-02919</t>
        </is>
      </c>
      <c r="E1079" s="8" t="inlineStr">
        <is>
          <t>PRD-0366</t>
        </is>
      </c>
      <c r="F1079" s="8" t="n">
        <v>1</v>
      </c>
      <c r="G1079" s="9">
        <f>IFERROR(XLOOKUP(E1079, '04_Products'!$A:$A, '04_Products'!$G:$G), 772.59)</f>
        <v/>
      </c>
      <c r="H1079" s="9">
        <f>IFERROR(XLOOKUP(E1079, '04_Products'!$A:$A, '04_Products'!$F:$F), 0)</f>
        <v/>
      </c>
      <c r="I1079" s="9">
        <f>F1079*G1079</f>
        <v/>
      </c>
      <c r="J1079" s="11" t="n">
        <v>0</v>
      </c>
      <c r="K1079" s="9">
        <f>I1079*J1079</f>
        <v/>
      </c>
      <c r="L1079" s="9">
        <f>I1079-K1079</f>
        <v/>
      </c>
      <c r="M1079" s="9">
        <f>F1079*H1079</f>
        <v/>
      </c>
      <c r="N1079" s="9">
        <f>L1079-M1079</f>
        <v/>
      </c>
      <c r="O1079" s="11">
        <f>IFERROR(N1079/L1079, 0)</f>
        <v/>
      </c>
      <c r="P1079" s="8">
        <f>YEAR(C1079)</f>
        <v/>
      </c>
      <c r="Q1079" s="8">
        <f>TEXT(C1079, "yyyy-mm")</f>
        <v/>
      </c>
      <c r="R1079" s="8" t="inlineStr">
        <is>
          <t>B2B Portal</t>
        </is>
      </c>
      <c r="S1079" s="8" t="inlineStr">
        <is>
          <t>REG-EU</t>
        </is>
      </c>
    </row>
    <row r="1080">
      <c r="A1080" s="8" t="inlineStr">
        <is>
          <t>DTL-0001089</t>
        </is>
      </c>
      <c r="B1080" s="8" t="inlineStr">
        <is>
          <t>ORD-000552</t>
        </is>
      </c>
      <c r="C1080" s="10" t="inlineStr">
        <is>
          <t>2023-06-07</t>
        </is>
      </c>
      <c r="D1080" s="8" t="inlineStr">
        <is>
          <t>CUST-06591</t>
        </is>
      </c>
      <c r="E1080" s="8" t="inlineStr">
        <is>
          <t>PRD-0225</t>
        </is>
      </c>
      <c r="F1080" s="8" t="n">
        <v>4</v>
      </c>
      <c r="G1080" s="9">
        <f>IFERROR(XLOOKUP(E1080, '04_Products'!$A:$A, '04_Products'!$G:$G), 266.58)</f>
        <v/>
      </c>
      <c r="H1080" s="9">
        <f>IFERROR(XLOOKUP(E1080, '04_Products'!$A:$A, '04_Products'!$F:$F), 0)</f>
        <v/>
      </c>
      <c r="I1080" s="9">
        <f>F1080*G1080</f>
        <v/>
      </c>
      <c r="J1080" s="11" t="n">
        <v>0.2</v>
      </c>
      <c r="K1080" s="9">
        <f>I1080*J1080</f>
        <v/>
      </c>
      <c r="L1080" s="9">
        <f>I1080-K1080</f>
        <v/>
      </c>
      <c r="M1080" s="9">
        <f>F1080*H1080</f>
        <v/>
      </c>
      <c r="N1080" s="9">
        <f>L1080-M1080</f>
        <v/>
      </c>
      <c r="O1080" s="11">
        <f>IFERROR(N1080/L1080, 0)</f>
        <v/>
      </c>
      <c r="P1080" s="8">
        <f>YEAR(C1080)</f>
        <v/>
      </c>
      <c r="Q1080" s="8">
        <f>TEXT(C1080, "yyyy-mm")</f>
        <v/>
      </c>
      <c r="R1080" s="8" t="inlineStr">
        <is>
          <t>Direct Web</t>
        </is>
      </c>
      <c r="S1080" s="8" t="inlineStr">
        <is>
          <t>REG-EU</t>
        </is>
      </c>
    </row>
    <row r="1081">
      <c r="A1081" s="8" t="inlineStr">
        <is>
          <t>DTL-0001090</t>
        </is>
      </c>
      <c r="B1081" s="8" t="inlineStr">
        <is>
          <t>ORD-000552</t>
        </is>
      </c>
      <c r="C1081" s="10" t="inlineStr">
        <is>
          <t>2023-06-07</t>
        </is>
      </c>
      <c r="D1081" s="8" t="inlineStr">
        <is>
          <t>CUST-06591</t>
        </is>
      </c>
      <c r="E1081" s="8" t="inlineStr">
        <is>
          <t>PRD-0038</t>
        </is>
      </c>
      <c r="F1081" s="8" t="n">
        <v>1</v>
      </c>
      <c r="G1081" s="9">
        <f>IFERROR(XLOOKUP(E1081, '04_Products'!$A:$A, '04_Products'!$G:$G), 220.46)</f>
        <v/>
      </c>
      <c r="H1081" s="9">
        <f>IFERROR(XLOOKUP(E1081, '04_Products'!$A:$A, '04_Products'!$F:$F), 0)</f>
        <v/>
      </c>
      <c r="I1081" s="9">
        <f>F1081*G1081</f>
        <v/>
      </c>
      <c r="J1081" s="11" t="n">
        <v>0</v>
      </c>
      <c r="K1081" s="9">
        <f>I1081*J1081</f>
        <v/>
      </c>
      <c r="L1081" s="9">
        <f>I1081-K1081</f>
        <v/>
      </c>
      <c r="M1081" s="9">
        <f>F1081*H1081</f>
        <v/>
      </c>
      <c r="N1081" s="9">
        <f>L1081-M1081</f>
        <v/>
      </c>
      <c r="O1081" s="11">
        <f>IFERROR(N1081/L1081, 0)</f>
        <v/>
      </c>
      <c r="P1081" s="8">
        <f>YEAR(C1081)</f>
        <v/>
      </c>
      <c r="Q1081" s="8">
        <f>TEXT(C1081, "yyyy-mm")</f>
        <v/>
      </c>
      <c r="R1081" s="8" t="inlineStr">
        <is>
          <t>Direct Web</t>
        </is>
      </c>
      <c r="S1081" s="8" t="inlineStr">
        <is>
          <t>REG-EU</t>
        </is>
      </c>
    </row>
    <row r="1082">
      <c r="A1082" s="8" t="inlineStr">
        <is>
          <t>DTL-0001091</t>
        </is>
      </c>
      <c r="B1082" s="8" t="inlineStr">
        <is>
          <t>ORD-000553</t>
        </is>
      </c>
      <c r="C1082" s="10" t="inlineStr">
        <is>
          <t>2025-02-11</t>
        </is>
      </c>
      <c r="D1082" s="8" t="inlineStr">
        <is>
          <t>CUST-03391</t>
        </is>
      </c>
      <c r="E1082" s="8" t="inlineStr">
        <is>
          <t>PRD-0033</t>
        </is>
      </c>
      <c r="F1082" s="8" t="n">
        <v>1</v>
      </c>
      <c r="G1082" s="9">
        <f>IFERROR(XLOOKUP(E1082, '04_Products'!$A:$A, '04_Products'!$G:$G), 87.68)</f>
        <v/>
      </c>
      <c r="H1082" s="9">
        <f>IFERROR(XLOOKUP(E1082, '04_Products'!$A:$A, '04_Products'!$F:$F), 0)</f>
        <v/>
      </c>
      <c r="I1082" s="9">
        <f>F1082*G1082</f>
        <v/>
      </c>
      <c r="J1082" s="11" t="n">
        <v>0</v>
      </c>
      <c r="K1082" s="9">
        <f>I1082*J1082</f>
        <v/>
      </c>
      <c r="L1082" s="9">
        <f>I1082-K1082</f>
        <v/>
      </c>
      <c r="M1082" s="9">
        <f>F1082*H1082</f>
        <v/>
      </c>
      <c r="N1082" s="9">
        <f>L1082-M1082</f>
        <v/>
      </c>
      <c r="O1082" s="11">
        <f>IFERROR(N1082/L1082, 0)</f>
        <v/>
      </c>
      <c r="P1082" s="8">
        <f>YEAR(C1082)</f>
        <v/>
      </c>
      <c r="Q1082" s="8">
        <f>TEXT(C1082, "yyyy-mm")</f>
        <v/>
      </c>
      <c r="R1082" s="8" t="inlineStr">
        <is>
          <t>Direct Web</t>
        </is>
      </c>
      <c r="S1082" s="8" t="inlineStr">
        <is>
          <t>REG-NA</t>
        </is>
      </c>
    </row>
    <row r="1083">
      <c r="A1083" s="8" t="inlineStr">
        <is>
          <t>DTL-0001092</t>
        </is>
      </c>
      <c r="B1083" s="8" t="inlineStr">
        <is>
          <t>ORD-000553</t>
        </is>
      </c>
      <c r="C1083" s="10" t="inlineStr">
        <is>
          <t>2025-02-11</t>
        </is>
      </c>
      <c r="D1083" s="8" t="inlineStr">
        <is>
          <t>CUST-03391</t>
        </is>
      </c>
      <c r="E1083" s="8" t="inlineStr">
        <is>
          <t>PRD-0142</t>
        </is>
      </c>
      <c r="F1083" s="8" t="n">
        <v>1</v>
      </c>
      <c r="G1083" s="9">
        <f>IFERROR(XLOOKUP(E1083, '04_Products'!$A:$A, '04_Products'!$G:$G), 44.60)</f>
        <v/>
      </c>
      <c r="H1083" s="9">
        <f>IFERROR(XLOOKUP(E1083, '04_Products'!$A:$A, '04_Products'!$F:$F), 0)</f>
        <v/>
      </c>
      <c r="I1083" s="9">
        <f>F1083*G1083</f>
        <v/>
      </c>
      <c r="J1083" s="11" t="n">
        <v>0.1</v>
      </c>
      <c r="K1083" s="9">
        <f>I1083*J1083</f>
        <v/>
      </c>
      <c r="L1083" s="9">
        <f>I1083-K1083</f>
        <v/>
      </c>
      <c r="M1083" s="9">
        <f>F1083*H1083</f>
        <v/>
      </c>
      <c r="N1083" s="9">
        <f>L1083-M1083</f>
        <v/>
      </c>
      <c r="O1083" s="11">
        <f>IFERROR(N1083/L1083, 0)</f>
        <v/>
      </c>
      <c r="P1083" s="8">
        <f>YEAR(C1083)</f>
        <v/>
      </c>
      <c r="Q1083" s="8">
        <f>TEXT(C1083, "yyyy-mm")</f>
        <v/>
      </c>
      <c r="R1083" s="8" t="inlineStr">
        <is>
          <t>Direct Web</t>
        </is>
      </c>
      <c r="S1083" s="8" t="inlineStr">
        <is>
          <t>REG-NA</t>
        </is>
      </c>
    </row>
    <row r="1084">
      <c r="A1084" s="8" t="inlineStr">
        <is>
          <t>DTL-0001093</t>
        </is>
      </c>
      <c r="B1084" s="8" t="inlineStr">
        <is>
          <t>ORD-000554</t>
        </is>
      </c>
      <c r="C1084" s="10" t="inlineStr">
        <is>
          <t>2023-11-22</t>
        </is>
      </c>
      <c r="D1084" s="8" t="inlineStr">
        <is>
          <t>CUST-06961</t>
        </is>
      </c>
      <c r="E1084" s="8" t="inlineStr">
        <is>
          <t>PRD-0173</t>
        </is>
      </c>
      <c r="F1084" s="8" t="n">
        <v>4</v>
      </c>
      <c r="G1084" s="9">
        <f>IFERROR(XLOOKUP(E1084, '04_Products'!$A:$A, '04_Products'!$G:$G), 62.36)</f>
        <v/>
      </c>
      <c r="H1084" s="9">
        <f>IFERROR(XLOOKUP(E1084, '04_Products'!$A:$A, '04_Products'!$F:$F), 0)</f>
        <v/>
      </c>
      <c r="I1084" s="9">
        <f>F1084*G1084</f>
        <v/>
      </c>
      <c r="J1084" s="11" t="n">
        <v>0.15</v>
      </c>
      <c r="K1084" s="9">
        <f>I1084*J1084</f>
        <v/>
      </c>
      <c r="L1084" s="9">
        <f>I1084-K1084</f>
        <v/>
      </c>
      <c r="M1084" s="9">
        <f>F1084*H1084</f>
        <v/>
      </c>
      <c r="N1084" s="9">
        <f>L1084-M1084</f>
        <v/>
      </c>
      <c r="O1084" s="11">
        <f>IFERROR(N1084/L1084, 0)</f>
        <v/>
      </c>
      <c r="P1084" s="8">
        <f>YEAR(C1084)</f>
        <v/>
      </c>
      <c r="Q1084" s="8">
        <f>TEXT(C1084, "yyyy-mm")</f>
        <v/>
      </c>
      <c r="R1084" s="8" t="inlineStr">
        <is>
          <t>Affiliate Partner</t>
        </is>
      </c>
      <c r="S1084" s="8" t="inlineStr">
        <is>
          <t>REG-APAC</t>
        </is>
      </c>
    </row>
    <row r="1085">
      <c r="A1085" s="8" t="inlineStr">
        <is>
          <t>DTL-0001094</t>
        </is>
      </c>
      <c r="B1085" s="8" t="inlineStr">
        <is>
          <t>ORD-000554</t>
        </is>
      </c>
      <c r="C1085" s="10" t="inlineStr">
        <is>
          <t>2023-11-22</t>
        </is>
      </c>
      <c r="D1085" s="8" t="inlineStr">
        <is>
          <t>CUST-06961</t>
        </is>
      </c>
      <c r="E1085" s="8" t="inlineStr">
        <is>
          <t>PRD-0286</t>
        </is>
      </c>
      <c r="F1085" s="8" t="n">
        <v>2</v>
      </c>
      <c r="G1085" s="9">
        <f>IFERROR(XLOOKUP(E1085, '04_Products'!$A:$A, '04_Products'!$G:$G), 232.89)</f>
        <v/>
      </c>
      <c r="H1085" s="9">
        <f>IFERROR(XLOOKUP(E1085, '04_Products'!$A:$A, '04_Products'!$F:$F), 0)</f>
        <v/>
      </c>
      <c r="I1085" s="9">
        <f>F1085*G1085</f>
        <v/>
      </c>
      <c r="J1085" s="11" t="n">
        <v>0.05</v>
      </c>
      <c r="K1085" s="9">
        <f>I1085*J1085</f>
        <v/>
      </c>
      <c r="L1085" s="9">
        <f>I1085-K1085</f>
        <v/>
      </c>
      <c r="M1085" s="9">
        <f>F1085*H1085</f>
        <v/>
      </c>
      <c r="N1085" s="9">
        <f>L1085-M1085</f>
        <v/>
      </c>
      <c r="O1085" s="11">
        <f>IFERROR(N1085/L1085, 0)</f>
        <v/>
      </c>
      <c r="P1085" s="8">
        <f>YEAR(C1085)</f>
        <v/>
      </c>
      <c r="Q1085" s="8">
        <f>TEXT(C1085, "yyyy-mm")</f>
        <v/>
      </c>
      <c r="R1085" s="8" t="inlineStr">
        <is>
          <t>Affiliate Partner</t>
        </is>
      </c>
      <c r="S1085" s="8" t="inlineStr">
        <is>
          <t>REG-APAC</t>
        </is>
      </c>
    </row>
    <row r="1086">
      <c r="A1086" s="8" t="inlineStr">
        <is>
          <t>DTL-0001095</t>
        </is>
      </c>
      <c r="B1086" s="8" t="inlineStr">
        <is>
          <t>ORD-000555</t>
        </is>
      </c>
      <c r="C1086" s="10" t="inlineStr">
        <is>
          <t>2024-04-01</t>
        </is>
      </c>
      <c r="D1086" s="8" t="inlineStr">
        <is>
          <t>CUST-01500</t>
        </is>
      </c>
      <c r="E1086" s="8" t="inlineStr">
        <is>
          <t>PRD-0188</t>
        </is>
      </c>
      <c r="F1086" s="8" t="n">
        <v>2</v>
      </c>
      <c r="G1086" s="9">
        <f>IFERROR(XLOOKUP(E1086, '04_Products'!$A:$A, '04_Products'!$G:$G), 946.83)</f>
        <v/>
      </c>
      <c r="H1086" s="9">
        <f>IFERROR(XLOOKUP(E1086, '04_Products'!$A:$A, '04_Products'!$F:$F), 0)</f>
        <v/>
      </c>
      <c r="I1086" s="9">
        <f>F1086*G1086</f>
        <v/>
      </c>
      <c r="J1086" s="11" t="n">
        <v>0.2</v>
      </c>
      <c r="K1086" s="9">
        <f>I1086*J1086</f>
        <v/>
      </c>
      <c r="L1086" s="9">
        <f>I1086-K1086</f>
        <v/>
      </c>
      <c r="M1086" s="9">
        <f>F1086*H1086</f>
        <v/>
      </c>
      <c r="N1086" s="9">
        <f>L1086-M1086</f>
        <v/>
      </c>
      <c r="O1086" s="11">
        <f>IFERROR(N1086/L1086, 0)</f>
        <v/>
      </c>
      <c r="P1086" s="8">
        <f>YEAR(C1086)</f>
        <v/>
      </c>
      <c r="Q1086" s="8">
        <f>TEXT(C1086, "yyyy-mm")</f>
        <v/>
      </c>
      <c r="R1086" s="8" t="inlineStr">
        <is>
          <t>Mobile App</t>
        </is>
      </c>
      <c r="S1086" s="8" t="inlineStr">
        <is>
          <t>REG-APAC</t>
        </is>
      </c>
    </row>
    <row r="1087">
      <c r="A1087" s="8" t="inlineStr">
        <is>
          <t>DTL-0001096</t>
        </is>
      </c>
      <c r="B1087" s="8" t="inlineStr">
        <is>
          <t>ORD-000555</t>
        </is>
      </c>
      <c r="C1087" s="10" t="inlineStr">
        <is>
          <t>2024-04-01</t>
        </is>
      </c>
      <c r="D1087" s="8" t="inlineStr">
        <is>
          <t>CUST-01500</t>
        </is>
      </c>
      <c r="E1087" s="8" t="inlineStr">
        <is>
          <t>PRD-0130</t>
        </is>
      </c>
      <c r="F1087" s="8" t="n">
        <v>1</v>
      </c>
      <c r="G1087" s="9">
        <f>IFERROR(XLOOKUP(E1087, '04_Products'!$A:$A, '04_Products'!$G:$G), 593.34)</f>
        <v/>
      </c>
      <c r="H1087" s="9">
        <f>IFERROR(XLOOKUP(E1087, '04_Products'!$A:$A, '04_Products'!$F:$F), 0)</f>
        <v/>
      </c>
      <c r="I1087" s="9">
        <f>F1087*G1087</f>
        <v/>
      </c>
      <c r="J1087" s="11" t="n">
        <v>0.2</v>
      </c>
      <c r="K1087" s="9">
        <f>I1087*J1087</f>
        <v/>
      </c>
      <c r="L1087" s="9">
        <f>I1087-K1087</f>
        <v/>
      </c>
      <c r="M1087" s="9">
        <f>F1087*H1087</f>
        <v/>
      </c>
      <c r="N1087" s="9">
        <f>L1087-M1087</f>
        <v/>
      </c>
      <c r="O1087" s="11">
        <f>IFERROR(N1087/L1087, 0)</f>
        <v/>
      </c>
      <c r="P1087" s="8">
        <f>YEAR(C1087)</f>
        <v/>
      </c>
      <c r="Q1087" s="8">
        <f>TEXT(C1087, "yyyy-mm")</f>
        <v/>
      </c>
      <c r="R1087" s="8" t="inlineStr">
        <is>
          <t>Mobile App</t>
        </is>
      </c>
      <c r="S1087" s="8" t="inlineStr">
        <is>
          <t>REG-APAC</t>
        </is>
      </c>
    </row>
    <row r="1088">
      <c r="A1088" s="8" t="inlineStr">
        <is>
          <t>DTL-0001097</t>
        </is>
      </c>
      <c r="B1088" s="8" t="inlineStr">
        <is>
          <t>ORD-000555</t>
        </is>
      </c>
      <c r="C1088" s="10" t="inlineStr">
        <is>
          <t>2024-04-01</t>
        </is>
      </c>
      <c r="D1088" s="8" t="inlineStr">
        <is>
          <t>CUST-01500</t>
        </is>
      </c>
      <c r="E1088" s="8" t="inlineStr">
        <is>
          <t>PRD-0421</t>
        </is>
      </c>
      <c r="F1088" s="8" t="n">
        <v>2</v>
      </c>
      <c r="G1088" s="9">
        <f>IFERROR(XLOOKUP(E1088, '04_Products'!$A:$A, '04_Products'!$G:$G), 50.08)</f>
        <v/>
      </c>
      <c r="H1088" s="9">
        <f>IFERROR(XLOOKUP(E1088, '04_Products'!$A:$A, '04_Products'!$F:$F), 0)</f>
        <v/>
      </c>
      <c r="I1088" s="9">
        <f>F1088*G1088</f>
        <v/>
      </c>
      <c r="J1088" s="11" t="n">
        <v>0.05</v>
      </c>
      <c r="K1088" s="9">
        <f>I1088*J1088</f>
        <v/>
      </c>
      <c r="L1088" s="9">
        <f>I1088-K1088</f>
        <v/>
      </c>
      <c r="M1088" s="9">
        <f>F1088*H1088</f>
        <v/>
      </c>
      <c r="N1088" s="9">
        <f>L1088-M1088</f>
        <v/>
      </c>
      <c r="O1088" s="11">
        <f>IFERROR(N1088/L1088, 0)</f>
        <v/>
      </c>
      <c r="P1088" s="8">
        <f>YEAR(C1088)</f>
        <v/>
      </c>
      <c r="Q1088" s="8">
        <f>TEXT(C1088, "yyyy-mm")</f>
        <v/>
      </c>
      <c r="R1088" s="8" t="inlineStr">
        <is>
          <t>Mobile App</t>
        </is>
      </c>
      <c r="S1088" s="8" t="inlineStr">
        <is>
          <t>REG-APAC</t>
        </is>
      </c>
    </row>
    <row r="1089">
      <c r="A1089" s="8" t="inlineStr">
        <is>
          <t>DTL-0001098</t>
        </is>
      </c>
      <c r="B1089" s="8" t="inlineStr">
        <is>
          <t>ORD-000555</t>
        </is>
      </c>
      <c r="C1089" s="10" t="inlineStr">
        <is>
          <t>2024-04-01</t>
        </is>
      </c>
      <c r="D1089" s="8" t="inlineStr">
        <is>
          <t>CUST-01500</t>
        </is>
      </c>
      <c r="E1089" s="8" t="inlineStr">
        <is>
          <t>PRD-0402</t>
        </is>
      </c>
      <c r="F1089" s="8" t="n">
        <v>3</v>
      </c>
      <c r="G1089" s="9">
        <f>IFERROR(XLOOKUP(E1089, '04_Products'!$A:$A, '04_Products'!$G:$G), 1065.19)</f>
        <v/>
      </c>
      <c r="H1089" s="9">
        <f>IFERROR(XLOOKUP(E1089, '04_Products'!$A:$A, '04_Products'!$F:$F), 0)</f>
        <v/>
      </c>
      <c r="I1089" s="9">
        <f>F1089*G1089</f>
        <v/>
      </c>
      <c r="J1089" s="11" t="n">
        <v>0</v>
      </c>
      <c r="K1089" s="9">
        <f>I1089*J1089</f>
        <v/>
      </c>
      <c r="L1089" s="9">
        <f>I1089-K1089</f>
        <v/>
      </c>
      <c r="M1089" s="9">
        <f>F1089*H1089</f>
        <v/>
      </c>
      <c r="N1089" s="9">
        <f>L1089-M1089</f>
        <v/>
      </c>
      <c r="O1089" s="11">
        <f>IFERROR(N1089/L1089, 0)</f>
        <v/>
      </c>
      <c r="P1089" s="8">
        <f>YEAR(C1089)</f>
        <v/>
      </c>
      <c r="Q1089" s="8">
        <f>TEXT(C1089, "yyyy-mm")</f>
        <v/>
      </c>
      <c r="R1089" s="8" t="inlineStr">
        <is>
          <t>Mobile App</t>
        </is>
      </c>
      <c r="S1089" s="8" t="inlineStr">
        <is>
          <t>REG-APAC</t>
        </is>
      </c>
    </row>
    <row r="1090">
      <c r="A1090" s="8" t="inlineStr">
        <is>
          <t>DTL-0001099</t>
        </is>
      </c>
      <c r="B1090" s="8" t="inlineStr">
        <is>
          <t>ORD-000556</t>
        </is>
      </c>
      <c r="C1090" s="10" t="inlineStr">
        <is>
          <t>2024-11-27</t>
        </is>
      </c>
      <c r="D1090" s="8" t="inlineStr">
        <is>
          <t>CUST-05045</t>
        </is>
      </c>
      <c r="E1090" s="8" t="inlineStr">
        <is>
          <t>PRD-0064</t>
        </is>
      </c>
      <c r="F1090" s="8" t="n">
        <v>2</v>
      </c>
      <c r="G1090" s="9">
        <f>IFERROR(XLOOKUP(E1090, '04_Products'!$A:$A, '04_Products'!$G:$G), 36.84)</f>
        <v/>
      </c>
      <c r="H1090" s="9">
        <f>IFERROR(XLOOKUP(E1090, '04_Products'!$A:$A, '04_Products'!$F:$F), 0)</f>
        <v/>
      </c>
      <c r="I1090" s="9">
        <f>F1090*G1090</f>
        <v/>
      </c>
      <c r="J1090" s="11" t="n">
        <v>0</v>
      </c>
      <c r="K1090" s="9">
        <f>I1090*J1090</f>
        <v/>
      </c>
      <c r="L1090" s="9">
        <f>I1090-K1090</f>
        <v/>
      </c>
      <c r="M1090" s="9">
        <f>F1090*H1090</f>
        <v/>
      </c>
      <c r="N1090" s="9">
        <f>L1090-M1090</f>
        <v/>
      </c>
      <c r="O1090" s="11">
        <f>IFERROR(N1090/L1090, 0)</f>
        <v/>
      </c>
      <c r="P1090" s="8">
        <f>YEAR(C1090)</f>
        <v/>
      </c>
      <c r="Q1090" s="8">
        <f>TEXT(C1090, "yyyy-mm")</f>
        <v/>
      </c>
      <c r="R1090" s="8" t="inlineStr">
        <is>
          <t>Mobile App</t>
        </is>
      </c>
      <c r="S1090" s="8" t="inlineStr">
        <is>
          <t>REG-APAC</t>
        </is>
      </c>
    </row>
    <row r="1091">
      <c r="A1091" s="8" t="inlineStr">
        <is>
          <t>DTL-0001100</t>
        </is>
      </c>
      <c r="B1091" s="8" t="inlineStr">
        <is>
          <t>ORD-000556</t>
        </is>
      </c>
      <c r="C1091" s="10" t="inlineStr">
        <is>
          <t>2024-11-27</t>
        </is>
      </c>
      <c r="D1091" s="8" t="inlineStr">
        <is>
          <t>CUST-05045</t>
        </is>
      </c>
      <c r="E1091" s="8" t="inlineStr">
        <is>
          <t>PRD-0400</t>
        </is>
      </c>
      <c r="F1091" s="8" t="n">
        <v>1</v>
      </c>
      <c r="G1091" s="9">
        <f>IFERROR(XLOOKUP(E1091, '04_Products'!$A:$A, '04_Products'!$G:$G), 409.11)</f>
        <v/>
      </c>
      <c r="H1091" s="9">
        <f>IFERROR(XLOOKUP(E1091, '04_Products'!$A:$A, '04_Products'!$F:$F), 0)</f>
        <v/>
      </c>
      <c r="I1091" s="9">
        <f>F1091*G1091</f>
        <v/>
      </c>
      <c r="J1091" s="11" t="n">
        <v>0</v>
      </c>
      <c r="K1091" s="9">
        <f>I1091*J1091</f>
        <v/>
      </c>
      <c r="L1091" s="9">
        <f>I1091-K1091</f>
        <v/>
      </c>
      <c r="M1091" s="9">
        <f>F1091*H1091</f>
        <v/>
      </c>
      <c r="N1091" s="9">
        <f>L1091-M1091</f>
        <v/>
      </c>
      <c r="O1091" s="11">
        <f>IFERROR(N1091/L1091, 0)</f>
        <v/>
      </c>
      <c r="P1091" s="8">
        <f>YEAR(C1091)</f>
        <v/>
      </c>
      <c r="Q1091" s="8">
        <f>TEXT(C1091, "yyyy-mm")</f>
        <v/>
      </c>
      <c r="R1091" s="8" t="inlineStr">
        <is>
          <t>Mobile App</t>
        </is>
      </c>
      <c r="S1091" s="8" t="inlineStr">
        <is>
          <t>REG-APAC</t>
        </is>
      </c>
    </row>
    <row r="1092">
      <c r="A1092" s="8" t="inlineStr">
        <is>
          <t>DTL-0001101</t>
        </is>
      </c>
      <c r="B1092" s="8" t="inlineStr">
        <is>
          <t>ORD-000557</t>
        </is>
      </c>
      <c r="C1092" s="10" t="inlineStr">
        <is>
          <t>2023-03-16</t>
        </is>
      </c>
      <c r="D1092" s="8" t="inlineStr">
        <is>
          <t>CUST-02278</t>
        </is>
      </c>
      <c r="E1092" s="8" t="inlineStr">
        <is>
          <t>PRD-0038</t>
        </is>
      </c>
      <c r="F1092" s="8" t="n">
        <v>4</v>
      </c>
      <c r="G1092" s="9">
        <f>IFERROR(XLOOKUP(E1092, '04_Products'!$A:$A, '04_Products'!$G:$G), 220.46)</f>
        <v/>
      </c>
      <c r="H1092" s="9">
        <f>IFERROR(XLOOKUP(E1092, '04_Products'!$A:$A, '04_Products'!$F:$F), 0)</f>
        <v/>
      </c>
      <c r="I1092" s="9">
        <f>F1092*G1092</f>
        <v/>
      </c>
      <c r="J1092" s="11" t="n">
        <v>0.1</v>
      </c>
      <c r="K1092" s="9">
        <f>I1092*J1092</f>
        <v/>
      </c>
      <c r="L1092" s="9">
        <f>I1092-K1092</f>
        <v/>
      </c>
      <c r="M1092" s="9">
        <f>F1092*H1092</f>
        <v/>
      </c>
      <c r="N1092" s="9">
        <f>L1092-M1092</f>
        <v/>
      </c>
      <c r="O1092" s="11">
        <f>IFERROR(N1092/L1092, 0)</f>
        <v/>
      </c>
      <c r="P1092" s="8">
        <f>YEAR(C1092)</f>
        <v/>
      </c>
      <c r="Q1092" s="8">
        <f>TEXT(C1092, "yyyy-mm")</f>
        <v/>
      </c>
      <c r="R1092" s="8" t="inlineStr">
        <is>
          <t>B2B Portal</t>
        </is>
      </c>
      <c r="S1092" s="8" t="inlineStr">
        <is>
          <t>REG-EU</t>
        </is>
      </c>
    </row>
    <row r="1093">
      <c r="A1093" s="8" t="inlineStr">
        <is>
          <t>DTL-0001102</t>
        </is>
      </c>
      <c r="B1093" s="8" t="inlineStr">
        <is>
          <t>ORD-000558</t>
        </is>
      </c>
      <c r="C1093" s="10" t="inlineStr">
        <is>
          <t>2025-08-14</t>
        </is>
      </c>
      <c r="D1093" s="8" t="inlineStr">
        <is>
          <t>CUST-00225</t>
        </is>
      </c>
      <c r="E1093" s="8" t="inlineStr">
        <is>
          <t>PRD-0161</t>
        </is>
      </c>
      <c r="F1093" s="8" t="n">
        <v>4</v>
      </c>
      <c r="G1093" s="9">
        <f>IFERROR(XLOOKUP(E1093, '04_Products'!$A:$A, '04_Products'!$G:$G), 192.49)</f>
        <v/>
      </c>
      <c r="H1093" s="9">
        <f>IFERROR(XLOOKUP(E1093, '04_Products'!$A:$A, '04_Products'!$F:$F), 0)</f>
        <v/>
      </c>
      <c r="I1093" s="9">
        <f>F1093*G1093</f>
        <v/>
      </c>
      <c r="J1093" s="11" t="n">
        <v>0</v>
      </c>
      <c r="K1093" s="9">
        <f>I1093*J1093</f>
        <v/>
      </c>
      <c r="L1093" s="9">
        <f>I1093-K1093</f>
        <v/>
      </c>
      <c r="M1093" s="9">
        <f>F1093*H1093</f>
        <v/>
      </c>
      <c r="N1093" s="9">
        <f>L1093-M1093</f>
        <v/>
      </c>
      <c r="O1093" s="11">
        <f>IFERROR(N1093/L1093, 0)</f>
        <v/>
      </c>
      <c r="P1093" s="8">
        <f>YEAR(C1093)</f>
        <v/>
      </c>
      <c r="Q1093" s="8">
        <f>TEXT(C1093, "yyyy-mm")</f>
        <v/>
      </c>
      <c r="R1093" s="8" t="inlineStr">
        <is>
          <t>Affiliate Partner</t>
        </is>
      </c>
      <c r="S1093" s="8" t="inlineStr">
        <is>
          <t>REG-LATAM</t>
        </is>
      </c>
    </row>
    <row r="1094">
      <c r="A1094" s="8" t="inlineStr">
        <is>
          <t>DTL-0001103</t>
        </is>
      </c>
      <c r="B1094" s="8" t="inlineStr">
        <is>
          <t>ORD-000558</t>
        </is>
      </c>
      <c r="C1094" s="10" t="inlineStr">
        <is>
          <t>2025-08-14</t>
        </is>
      </c>
      <c r="D1094" s="8" t="inlineStr">
        <is>
          <t>CUST-00225</t>
        </is>
      </c>
      <c r="E1094" s="8" t="inlineStr">
        <is>
          <t>PRD-0207</t>
        </is>
      </c>
      <c r="F1094" s="8" t="n">
        <v>1</v>
      </c>
      <c r="G1094" s="9">
        <f>IFERROR(XLOOKUP(E1094, '04_Products'!$A:$A, '04_Products'!$G:$G), 1025.22)</f>
        <v/>
      </c>
      <c r="H1094" s="9">
        <f>IFERROR(XLOOKUP(E1094, '04_Products'!$A:$A, '04_Products'!$F:$F), 0)</f>
        <v/>
      </c>
      <c r="I1094" s="9">
        <f>F1094*G1094</f>
        <v/>
      </c>
      <c r="J1094" s="11" t="n">
        <v>0.1</v>
      </c>
      <c r="K1094" s="9">
        <f>I1094*J1094</f>
        <v/>
      </c>
      <c r="L1094" s="9">
        <f>I1094-K1094</f>
        <v/>
      </c>
      <c r="M1094" s="9">
        <f>F1094*H1094</f>
        <v/>
      </c>
      <c r="N1094" s="9">
        <f>L1094-M1094</f>
        <v/>
      </c>
      <c r="O1094" s="11">
        <f>IFERROR(N1094/L1094, 0)</f>
        <v/>
      </c>
      <c r="P1094" s="8">
        <f>YEAR(C1094)</f>
        <v/>
      </c>
      <c r="Q1094" s="8">
        <f>TEXT(C1094, "yyyy-mm")</f>
        <v/>
      </c>
      <c r="R1094" s="8" t="inlineStr">
        <is>
          <t>Affiliate Partner</t>
        </is>
      </c>
      <c r="S1094" s="8" t="inlineStr">
        <is>
          <t>REG-LATAM</t>
        </is>
      </c>
    </row>
    <row r="1095">
      <c r="A1095" s="8" t="inlineStr">
        <is>
          <t>DTL-0001104</t>
        </is>
      </c>
      <c r="B1095" s="8" t="inlineStr">
        <is>
          <t>ORD-000558</t>
        </is>
      </c>
      <c r="C1095" s="10" t="inlineStr">
        <is>
          <t>2025-08-14</t>
        </is>
      </c>
      <c r="D1095" s="8" t="inlineStr">
        <is>
          <t>CUST-00225</t>
        </is>
      </c>
      <c r="E1095" s="8" t="inlineStr">
        <is>
          <t>PRD-0155</t>
        </is>
      </c>
      <c r="F1095" s="8" t="n">
        <v>2</v>
      </c>
      <c r="G1095" s="9">
        <f>IFERROR(XLOOKUP(E1095, '04_Products'!$A:$A, '04_Products'!$G:$G), 472.85)</f>
        <v/>
      </c>
      <c r="H1095" s="9">
        <f>IFERROR(XLOOKUP(E1095, '04_Products'!$A:$A, '04_Products'!$F:$F), 0)</f>
        <v/>
      </c>
      <c r="I1095" s="9">
        <f>F1095*G1095</f>
        <v/>
      </c>
      <c r="J1095" s="11" t="n">
        <v>0</v>
      </c>
      <c r="K1095" s="9">
        <f>I1095*J1095</f>
        <v/>
      </c>
      <c r="L1095" s="9">
        <f>I1095-K1095</f>
        <v/>
      </c>
      <c r="M1095" s="9">
        <f>F1095*H1095</f>
        <v/>
      </c>
      <c r="N1095" s="9">
        <f>L1095-M1095</f>
        <v/>
      </c>
      <c r="O1095" s="11">
        <f>IFERROR(N1095/L1095, 0)</f>
        <v/>
      </c>
      <c r="P1095" s="8">
        <f>YEAR(C1095)</f>
        <v/>
      </c>
      <c r="Q1095" s="8">
        <f>TEXT(C1095, "yyyy-mm")</f>
        <v/>
      </c>
      <c r="R1095" s="8" t="inlineStr">
        <is>
          <t>Affiliate Partner</t>
        </is>
      </c>
      <c r="S1095" s="8" t="inlineStr">
        <is>
          <t>REG-LATAM</t>
        </is>
      </c>
    </row>
    <row r="1096">
      <c r="A1096" s="8" t="inlineStr">
        <is>
          <t>DTL-0001105</t>
        </is>
      </c>
      <c r="B1096" s="8" t="inlineStr">
        <is>
          <t>ORD-000559</t>
        </is>
      </c>
      <c r="C1096" s="10" t="inlineStr">
        <is>
          <t>2025-05-27</t>
        </is>
      </c>
      <c r="D1096" s="8" t="inlineStr">
        <is>
          <t>CUST-05737</t>
        </is>
      </c>
      <c r="E1096" s="8" t="inlineStr">
        <is>
          <t>PRD-0354</t>
        </is>
      </c>
      <c r="F1096" s="8" t="n">
        <v>2</v>
      </c>
      <c r="G1096" s="9">
        <f>IFERROR(XLOOKUP(E1096, '04_Products'!$A:$A, '04_Products'!$G:$G), 70.99)</f>
        <v/>
      </c>
      <c r="H1096" s="9">
        <f>IFERROR(XLOOKUP(E1096, '04_Products'!$A:$A, '04_Products'!$F:$F), 0)</f>
        <v/>
      </c>
      <c r="I1096" s="9">
        <f>F1096*G1096</f>
        <v/>
      </c>
      <c r="J1096" s="11" t="n">
        <v>0.15</v>
      </c>
      <c r="K1096" s="9">
        <f>I1096*J1096</f>
        <v/>
      </c>
      <c r="L1096" s="9">
        <f>I1096-K1096</f>
        <v/>
      </c>
      <c r="M1096" s="9">
        <f>F1096*H1096</f>
        <v/>
      </c>
      <c r="N1096" s="9">
        <f>L1096-M1096</f>
        <v/>
      </c>
      <c r="O1096" s="11">
        <f>IFERROR(N1096/L1096, 0)</f>
        <v/>
      </c>
      <c r="P1096" s="8">
        <f>YEAR(C1096)</f>
        <v/>
      </c>
      <c r="Q1096" s="8">
        <f>TEXT(C1096, "yyyy-mm")</f>
        <v/>
      </c>
      <c r="R1096" s="8" t="inlineStr">
        <is>
          <t>Mobile App</t>
        </is>
      </c>
      <c r="S1096" s="8" t="inlineStr">
        <is>
          <t>REG-APAC</t>
        </is>
      </c>
    </row>
    <row r="1097">
      <c r="A1097" s="8" t="inlineStr">
        <is>
          <t>DTL-0001106</t>
        </is>
      </c>
      <c r="B1097" s="8" t="inlineStr">
        <is>
          <t>ORD-000559</t>
        </is>
      </c>
      <c r="C1097" s="10" t="inlineStr">
        <is>
          <t>2025-05-27</t>
        </is>
      </c>
      <c r="D1097" s="8" t="inlineStr">
        <is>
          <t>CUST-05737</t>
        </is>
      </c>
      <c r="E1097" s="8" t="inlineStr">
        <is>
          <t>PRD-0184</t>
        </is>
      </c>
      <c r="F1097" s="8" t="n">
        <v>1</v>
      </c>
      <c r="G1097" s="9">
        <f>IFERROR(XLOOKUP(E1097, '04_Products'!$A:$A, '04_Products'!$G:$G), 79.57)</f>
        <v/>
      </c>
      <c r="H1097" s="9">
        <f>IFERROR(XLOOKUP(E1097, '04_Products'!$A:$A, '04_Products'!$F:$F), 0)</f>
        <v/>
      </c>
      <c r="I1097" s="9">
        <f>F1097*G1097</f>
        <v/>
      </c>
      <c r="J1097" s="11" t="n">
        <v>0.15</v>
      </c>
      <c r="K1097" s="9">
        <f>I1097*J1097</f>
        <v/>
      </c>
      <c r="L1097" s="9">
        <f>I1097-K1097</f>
        <v/>
      </c>
      <c r="M1097" s="9">
        <f>F1097*H1097</f>
        <v/>
      </c>
      <c r="N1097" s="9">
        <f>L1097-M1097</f>
        <v/>
      </c>
      <c r="O1097" s="11">
        <f>IFERROR(N1097/L1097, 0)</f>
        <v/>
      </c>
      <c r="P1097" s="8">
        <f>YEAR(C1097)</f>
        <v/>
      </c>
      <c r="Q1097" s="8">
        <f>TEXT(C1097, "yyyy-mm")</f>
        <v/>
      </c>
      <c r="R1097" s="8" t="inlineStr">
        <is>
          <t>Mobile App</t>
        </is>
      </c>
      <c r="S1097" s="8" t="inlineStr">
        <is>
          <t>REG-APAC</t>
        </is>
      </c>
    </row>
    <row r="1098">
      <c r="A1098" s="8" t="inlineStr">
        <is>
          <t>DTL-0001107</t>
        </is>
      </c>
      <c r="B1098" s="8" t="inlineStr">
        <is>
          <t>ORD-000559</t>
        </is>
      </c>
      <c r="C1098" s="10" t="inlineStr">
        <is>
          <t>2025-05-27</t>
        </is>
      </c>
      <c r="D1098" s="8" t="inlineStr">
        <is>
          <t>CUST-05737</t>
        </is>
      </c>
      <c r="E1098" s="8" t="inlineStr">
        <is>
          <t>PRD-0355</t>
        </is>
      </c>
      <c r="F1098" s="8" t="n">
        <v>1</v>
      </c>
      <c r="G1098" s="9">
        <f>IFERROR(XLOOKUP(E1098, '04_Products'!$A:$A, '04_Products'!$G:$G), 95.40)</f>
        <v/>
      </c>
      <c r="H1098" s="9">
        <f>IFERROR(XLOOKUP(E1098, '04_Products'!$A:$A, '04_Products'!$F:$F), 0)</f>
        <v/>
      </c>
      <c r="I1098" s="9">
        <f>F1098*G1098</f>
        <v/>
      </c>
      <c r="J1098" s="11" t="n">
        <v>0</v>
      </c>
      <c r="K1098" s="9">
        <f>I1098*J1098</f>
        <v/>
      </c>
      <c r="L1098" s="9">
        <f>I1098-K1098</f>
        <v/>
      </c>
      <c r="M1098" s="9">
        <f>F1098*H1098</f>
        <v/>
      </c>
      <c r="N1098" s="9">
        <f>L1098-M1098</f>
        <v/>
      </c>
      <c r="O1098" s="11">
        <f>IFERROR(N1098/L1098, 0)</f>
        <v/>
      </c>
      <c r="P1098" s="8">
        <f>YEAR(C1098)</f>
        <v/>
      </c>
      <c r="Q1098" s="8">
        <f>TEXT(C1098, "yyyy-mm")</f>
        <v/>
      </c>
      <c r="R1098" s="8" t="inlineStr">
        <is>
          <t>Mobile App</t>
        </is>
      </c>
      <c r="S1098" s="8" t="inlineStr">
        <is>
          <t>REG-APAC</t>
        </is>
      </c>
    </row>
    <row r="1099">
      <c r="A1099" s="8" t="inlineStr">
        <is>
          <t>DTL-0001108</t>
        </is>
      </c>
      <c r="B1099" s="8" t="inlineStr">
        <is>
          <t>ORD-000560</t>
        </is>
      </c>
      <c r="C1099" s="10" t="inlineStr">
        <is>
          <t>2025-04-08</t>
        </is>
      </c>
      <c r="D1099" s="8" t="inlineStr">
        <is>
          <t>CUST-03725</t>
        </is>
      </c>
      <c r="E1099" s="8" t="inlineStr">
        <is>
          <t>PRD-0086</t>
        </is>
      </c>
      <c r="F1099" s="8" t="n">
        <v>1</v>
      </c>
      <c r="G1099" s="9">
        <f>IFERROR(XLOOKUP(E1099, '04_Products'!$A:$A, '04_Products'!$G:$G), 996.20)</f>
        <v/>
      </c>
      <c r="H1099" s="9">
        <f>IFERROR(XLOOKUP(E1099, '04_Products'!$A:$A, '04_Products'!$F:$F), 0)</f>
        <v/>
      </c>
      <c r="I1099" s="9">
        <f>F1099*G1099</f>
        <v/>
      </c>
      <c r="J1099" s="11" t="n">
        <v>0</v>
      </c>
      <c r="K1099" s="9">
        <f>I1099*J1099</f>
        <v/>
      </c>
      <c r="L1099" s="9">
        <f>I1099-K1099</f>
        <v/>
      </c>
      <c r="M1099" s="9">
        <f>F1099*H1099</f>
        <v/>
      </c>
      <c r="N1099" s="9">
        <f>L1099-M1099</f>
        <v/>
      </c>
      <c r="O1099" s="11">
        <f>IFERROR(N1099/L1099, 0)</f>
        <v/>
      </c>
      <c r="P1099" s="8">
        <f>YEAR(C1099)</f>
        <v/>
      </c>
      <c r="Q1099" s="8">
        <f>TEXT(C1099, "yyyy-mm")</f>
        <v/>
      </c>
      <c r="R1099" s="8" t="inlineStr">
        <is>
          <t>Direct Web</t>
        </is>
      </c>
      <c r="S1099" s="8" t="inlineStr">
        <is>
          <t>REG-NA</t>
        </is>
      </c>
    </row>
    <row r="1100">
      <c r="A1100" s="8" t="inlineStr">
        <is>
          <t>DTL-0001109</t>
        </is>
      </c>
      <c r="B1100" s="8" t="inlineStr">
        <is>
          <t>ORD-000560</t>
        </is>
      </c>
      <c r="C1100" s="10" t="inlineStr">
        <is>
          <t>2025-04-08</t>
        </is>
      </c>
      <c r="D1100" s="8" t="inlineStr">
        <is>
          <t>CUST-03725</t>
        </is>
      </c>
      <c r="E1100" s="8" t="inlineStr">
        <is>
          <t>PRD-0041</t>
        </is>
      </c>
      <c r="F1100" s="8" t="n">
        <v>2</v>
      </c>
      <c r="G1100" s="9">
        <f>IFERROR(XLOOKUP(E1100, '04_Products'!$A:$A, '04_Products'!$G:$G), 71.67)</f>
        <v/>
      </c>
      <c r="H1100" s="9">
        <f>IFERROR(XLOOKUP(E1100, '04_Products'!$A:$A, '04_Products'!$F:$F), 0)</f>
        <v/>
      </c>
      <c r="I1100" s="9">
        <f>F1100*G1100</f>
        <v/>
      </c>
      <c r="J1100" s="11" t="n">
        <v>0.15</v>
      </c>
      <c r="K1100" s="9">
        <f>I1100*J1100</f>
        <v/>
      </c>
      <c r="L1100" s="9">
        <f>I1100-K1100</f>
        <v/>
      </c>
      <c r="M1100" s="9">
        <f>F1100*H1100</f>
        <v/>
      </c>
      <c r="N1100" s="9">
        <f>L1100-M1100</f>
        <v/>
      </c>
      <c r="O1100" s="11">
        <f>IFERROR(N1100/L1100, 0)</f>
        <v/>
      </c>
      <c r="P1100" s="8">
        <f>YEAR(C1100)</f>
        <v/>
      </c>
      <c r="Q1100" s="8">
        <f>TEXT(C1100, "yyyy-mm")</f>
        <v/>
      </c>
      <c r="R1100" s="8" t="inlineStr">
        <is>
          <t>Direct Web</t>
        </is>
      </c>
      <c r="S1100" s="8" t="inlineStr">
        <is>
          <t>REG-NA</t>
        </is>
      </c>
    </row>
    <row r="1101">
      <c r="A1101" s="8" t="inlineStr">
        <is>
          <t>DTL-0001110</t>
        </is>
      </c>
      <c r="B1101" s="8" t="inlineStr">
        <is>
          <t>ORD-000561</t>
        </is>
      </c>
      <c r="C1101" s="10" t="inlineStr">
        <is>
          <t>2025-01-24</t>
        </is>
      </c>
      <c r="D1101" s="8" t="inlineStr">
        <is>
          <t>CUST-02154</t>
        </is>
      </c>
      <c r="E1101" s="8" t="inlineStr">
        <is>
          <t>PRD-0042</t>
        </is>
      </c>
      <c r="F1101" s="8" t="n">
        <v>1</v>
      </c>
      <c r="G1101" s="9">
        <f>IFERROR(XLOOKUP(E1101, '04_Products'!$A:$A, '04_Products'!$G:$G), 758.99)</f>
        <v/>
      </c>
      <c r="H1101" s="9">
        <f>IFERROR(XLOOKUP(E1101, '04_Products'!$A:$A, '04_Products'!$F:$F), 0)</f>
        <v/>
      </c>
      <c r="I1101" s="9">
        <f>F1101*G1101</f>
        <v/>
      </c>
      <c r="J1101" s="11" t="n">
        <v>0.05</v>
      </c>
      <c r="K1101" s="9">
        <f>I1101*J1101</f>
        <v/>
      </c>
      <c r="L1101" s="9">
        <f>I1101-K1101</f>
        <v/>
      </c>
      <c r="M1101" s="9">
        <f>F1101*H1101</f>
        <v/>
      </c>
      <c r="N1101" s="9">
        <f>L1101-M1101</f>
        <v/>
      </c>
      <c r="O1101" s="11">
        <f>IFERROR(N1101/L1101, 0)</f>
        <v/>
      </c>
      <c r="P1101" s="8">
        <f>YEAR(C1101)</f>
        <v/>
      </c>
      <c r="Q1101" s="8">
        <f>TEXT(C1101, "yyyy-mm")</f>
        <v/>
      </c>
      <c r="R1101" s="8" t="inlineStr">
        <is>
          <t>Affiliate Partner</t>
        </is>
      </c>
      <c r="S1101" s="8" t="inlineStr">
        <is>
          <t>REG-NA</t>
        </is>
      </c>
    </row>
    <row r="1102">
      <c r="A1102" s="8" t="inlineStr">
        <is>
          <t>DTL-0001111</t>
        </is>
      </c>
      <c r="B1102" s="8" t="inlineStr">
        <is>
          <t>ORD-000562</t>
        </is>
      </c>
      <c r="C1102" s="10" t="inlineStr">
        <is>
          <t>2023-03-17</t>
        </is>
      </c>
      <c r="D1102" s="8" t="inlineStr">
        <is>
          <t>CUST-00500</t>
        </is>
      </c>
      <c r="E1102" s="8" t="inlineStr">
        <is>
          <t>PRD-0452</t>
        </is>
      </c>
      <c r="F1102" s="8" t="n">
        <v>1</v>
      </c>
      <c r="G1102" s="9">
        <f>IFERROR(XLOOKUP(E1102, '04_Products'!$A:$A, '04_Products'!$G:$G), 52.31)</f>
        <v/>
      </c>
      <c r="H1102" s="9">
        <f>IFERROR(XLOOKUP(E1102, '04_Products'!$A:$A, '04_Products'!$F:$F), 0)</f>
        <v/>
      </c>
      <c r="I1102" s="9">
        <f>F1102*G1102</f>
        <v/>
      </c>
      <c r="J1102" s="11" t="n">
        <v>0.05</v>
      </c>
      <c r="K1102" s="9">
        <f>I1102*J1102</f>
        <v/>
      </c>
      <c r="L1102" s="9">
        <f>I1102-K1102</f>
        <v/>
      </c>
      <c r="M1102" s="9">
        <f>F1102*H1102</f>
        <v/>
      </c>
      <c r="N1102" s="9">
        <f>L1102-M1102</f>
        <v/>
      </c>
      <c r="O1102" s="11">
        <f>IFERROR(N1102/L1102, 0)</f>
        <v/>
      </c>
      <c r="P1102" s="8">
        <f>YEAR(C1102)</f>
        <v/>
      </c>
      <c r="Q1102" s="8">
        <f>TEXT(C1102, "yyyy-mm")</f>
        <v/>
      </c>
      <c r="R1102" s="8" t="inlineStr">
        <is>
          <t>Mobile App</t>
        </is>
      </c>
      <c r="S1102" s="8" t="inlineStr">
        <is>
          <t>REG-NA</t>
        </is>
      </c>
    </row>
    <row r="1103">
      <c r="A1103" s="8" t="inlineStr">
        <is>
          <t>DTL-0001112</t>
        </is>
      </c>
      <c r="B1103" s="8" t="inlineStr">
        <is>
          <t>ORD-000563</t>
        </is>
      </c>
      <c r="C1103" s="10" t="inlineStr">
        <is>
          <t>2024-03-26</t>
        </is>
      </c>
      <c r="D1103" s="8" t="inlineStr">
        <is>
          <t>CUST-05133</t>
        </is>
      </c>
      <c r="E1103" s="8" t="inlineStr">
        <is>
          <t>PRD-0338</t>
        </is>
      </c>
      <c r="F1103" s="8" t="n">
        <v>1</v>
      </c>
      <c r="G1103" s="9">
        <f>IFERROR(XLOOKUP(E1103, '04_Products'!$A:$A, '04_Products'!$G:$G), 76.99)</f>
        <v/>
      </c>
      <c r="H1103" s="9">
        <f>IFERROR(XLOOKUP(E1103, '04_Products'!$A:$A, '04_Products'!$F:$F), 0)</f>
        <v/>
      </c>
      <c r="I1103" s="9">
        <f>F1103*G1103</f>
        <v/>
      </c>
      <c r="J1103" s="11" t="n">
        <v>0.1</v>
      </c>
      <c r="K1103" s="9">
        <f>I1103*J1103</f>
        <v/>
      </c>
      <c r="L1103" s="9">
        <f>I1103-K1103</f>
        <v/>
      </c>
      <c r="M1103" s="9">
        <f>F1103*H1103</f>
        <v/>
      </c>
      <c r="N1103" s="9">
        <f>L1103-M1103</f>
        <v/>
      </c>
      <c r="O1103" s="11">
        <f>IFERROR(N1103/L1103, 0)</f>
        <v/>
      </c>
      <c r="P1103" s="8">
        <f>YEAR(C1103)</f>
        <v/>
      </c>
      <c r="Q1103" s="8">
        <f>TEXT(C1103, "yyyy-mm")</f>
        <v/>
      </c>
      <c r="R1103" s="8" t="inlineStr">
        <is>
          <t>Direct Web</t>
        </is>
      </c>
      <c r="S1103" s="8" t="inlineStr">
        <is>
          <t>REG-APAC</t>
        </is>
      </c>
    </row>
    <row r="1104">
      <c r="A1104" s="8" t="inlineStr">
        <is>
          <t>DTL-0001113</t>
        </is>
      </c>
      <c r="B1104" s="8" t="inlineStr">
        <is>
          <t>ORD-000563</t>
        </is>
      </c>
      <c r="C1104" s="10" t="inlineStr">
        <is>
          <t>2024-03-26</t>
        </is>
      </c>
      <c r="D1104" s="8" t="inlineStr">
        <is>
          <t>CUST-05133</t>
        </is>
      </c>
      <c r="E1104" s="8" t="inlineStr">
        <is>
          <t>PRD-0359</t>
        </is>
      </c>
      <c r="F1104" s="8" t="n">
        <v>2</v>
      </c>
      <c r="G1104" s="9">
        <f>IFERROR(XLOOKUP(E1104, '04_Products'!$A:$A, '04_Products'!$G:$G), 1075.75)</f>
        <v/>
      </c>
      <c r="H1104" s="9">
        <f>IFERROR(XLOOKUP(E1104, '04_Products'!$A:$A, '04_Products'!$F:$F), 0)</f>
        <v/>
      </c>
      <c r="I1104" s="9">
        <f>F1104*G1104</f>
        <v/>
      </c>
      <c r="J1104" s="11" t="n">
        <v>0.1</v>
      </c>
      <c r="K1104" s="9">
        <f>I1104*J1104</f>
        <v/>
      </c>
      <c r="L1104" s="9">
        <f>I1104-K1104</f>
        <v/>
      </c>
      <c r="M1104" s="9">
        <f>F1104*H1104</f>
        <v/>
      </c>
      <c r="N1104" s="9">
        <f>L1104-M1104</f>
        <v/>
      </c>
      <c r="O1104" s="11">
        <f>IFERROR(N1104/L1104, 0)</f>
        <v/>
      </c>
      <c r="P1104" s="8">
        <f>YEAR(C1104)</f>
        <v/>
      </c>
      <c r="Q1104" s="8">
        <f>TEXT(C1104, "yyyy-mm")</f>
        <v/>
      </c>
      <c r="R1104" s="8" t="inlineStr">
        <is>
          <t>Direct Web</t>
        </is>
      </c>
      <c r="S1104" s="8" t="inlineStr">
        <is>
          <t>REG-APAC</t>
        </is>
      </c>
    </row>
    <row r="1105">
      <c r="A1105" s="8" t="inlineStr">
        <is>
          <t>DTL-0001114</t>
        </is>
      </c>
      <c r="B1105" s="8" t="inlineStr">
        <is>
          <t>ORD-000564</t>
        </is>
      </c>
      <c r="C1105" s="10" t="inlineStr">
        <is>
          <t>2023-06-12</t>
        </is>
      </c>
      <c r="D1105" s="8" t="inlineStr">
        <is>
          <t>CUST-02510</t>
        </is>
      </c>
      <c r="E1105" s="8" t="inlineStr">
        <is>
          <t>PRD-0414</t>
        </is>
      </c>
      <c r="F1105" s="8" t="n">
        <v>1</v>
      </c>
      <c r="G1105" s="9">
        <f>IFERROR(XLOOKUP(E1105, '04_Products'!$A:$A, '04_Products'!$G:$G), 101.77)</f>
        <v/>
      </c>
      <c r="H1105" s="9">
        <f>IFERROR(XLOOKUP(E1105, '04_Products'!$A:$A, '04_Products'!$F:$F), 0)</f>
        <v/>
      </c>
      <c r="I1105" s="9">
        <f>F1105*G1105</f>
        <v/>
      </c>
      <c r="J1105" s="11" t="n">
        <v>0.05</v>
      </c>
      <c r="K1105" s="9">
        <f>I1105*J1105</f>
        <v/>
      </c>
      <c r="L1105" s="9">
        <f>I1105-K1105</f>
        <v/>
      </c>
      <c r="M1105" s="9">
        <f>F1105*H1105</f>
        <v/>
      </c>
      <c r="N1105" s="9">
        <f>L1105-M1105</f>
        <v/>
      </c>
      <c r="O1105" s="11">
        <f>IFERROR(N1105/L1105, 0)</f>
        <v/>
      </c>
      <c r="P1105" s="8">
        <f>YEAR(C1105)</f>
        <v/>
      </c>
      <c r="Q1105" s="8">
        <f>TEXT(C1105, "yyyy-mm")</f>
        <v/>
      </c>
      <c r="R1105" s="8" t="inlineStr">
        <is>
          <t>Mobile App</t>
        </is>
      </c>
      <c r="S1105" s="8" t="inlineStr">
        <is>
          <t>REG-NA</t>
        </is>
      </c>
    </row>
    <row r="1106">
      <c r="A1106" s="8" t="inlineStr">
        <is>
          <t>DTL-0001115</t>
        </is>
      </c>
      <c r="B1106" s="8" t="inlineStr">
        <is>
          <t>ORD-000564</t>
        </is>
      </c>
      <c r="C1106" s="10" t="inlineStr">
        <is>
          <t>2023-06-12</t>
        </is>
      </c>
      <c r="D1106" s="8" t="inlineStr">
        <is>
          <t>CUST-02510</t>
        </is>
      </c>
      <c r="E1106" s="8" t="inlineStr">
        <is>
          <t>PRD-0365</t>
        </is>
      </c>
      <c r="F1106" s="8" t="n">
        <v>1</v>
      </c>
      <c r="G1106" s="9">
        <f>IFERROR(XLOOKUP(E1106, '04_Products'!$A:$A, '04_Products'!$G:$G), 81.70)</f>
        <v/>
      </c>
      <c r="H1106" s="9">
        <f>IFERROR(XLOOKUP(E1106, '04_Products'!$A:$A, '04_Products'!$F:$F), 0)</f>
        <v/>
      </c>
      <c r="I1106" s="9">
        <f>F1106*G1106</f>
        <v/>
      </c>
      <c r="J1106" s="11" t="n">
        <v>0.15</v>
      </c>
      <c r="K1106" s="9">
        <f>I1106*J1106</f>
        <v/>
      </c>
      <c r="L1106" s="9">
        <f>I1106-K1106</f>
        <v/>
      </c>
      <c r="M1106" s="9">
        <f>F1106*H1106</f>
        <v/>
      </c>
      <c r="N1106" s="9">
        <f>L1106-M1106</f>
        <v/>
      </c>
      <c r="O1106" s="11">
        <f>IFERROR(N1106/L1106, 0)</f>
        <v/>
      </c>
      <c r="P1106" s="8">
        <f>YEAR(C1106)</f>
        <v/>
      </c>
      <c r="Q1106" s="8">
        <f>TEXT(C1106, "yyyy-mm")</f>
        <v/>
      </c>
      <c r="R1106" s="8" t="inlineStr">
        <is>
          <t>Mobile App</t>
        </is>
      </c>
      <c r="S1106" s="8" t="inlineStr">
        <is>
          <t>REG-NA</t>
        </is>
      </c>
    </row>
    <row r="1107">
      <c r="A1107" s="8" t="inlineStr">
        <is>
          <t>DTL-0001116</t>
        </is>
      </c>
      <c r="B1107" s="8" t="inlineStr">
        <is>
          <t>ORD-000564</t>
        </is>
      </c>
      <c r="C1107" s="10" t="inlineStr">
        <is>
          <t>2023-06-12</t>
        </is>
      </c>
      <c r="D1107" s="8" t="inlineStr">
        <is>
          <t>CUST-02510</t>
        </is>
      </c>
      <c r="E1107" s="8" t="inlineStr">
        <is>
          <t>PRD-0158</t>
        </is>
      </c>
      <c r="F1107" s="8" t="n">
        <v>1</v>
      </c>
      <c r="G1107" s="9">
        <f>IFERROR(XLOOKUP(E1107, '04_Products'!$A:$A, '04_Products'!$G:$G), 68.30)</f>
        <v/>
      </c>
      <c r="H1107" s="9">
        <f>IFERROR(XLOOKUP(E1107, '04_Products'!$A:$A, '04_Products'!$F:$F), 0)</f>
        <v/>
      </c>
      <c r="I1107" s="9">
        <f>F1107*G1107</f>
        <v/>
      </c>
      <c r="J1107" s="11" t="n">
        <v>0</v>
      </c>
      <c r="K1107" s="9">
        <f>I1107*J1107</f>
        <v/>
      </c>
      <c r="L1107" s="9">
        <f>I1107-K1107</f>
        <v/>
      </c>
      <c r="M1107" s="9">
        <f>F1107*H1107</f>
        <v/>
      </c>
      <c r="N1107" s="9">
        <f>L1107-M1107</f>
        <v/>
      </c>
      <c r="O1107" s="11">
        <f>IFERROR(N1107/L1107, 0)</f>
        <v/>
      </c>
      <c r="P1107" s="8">
        <f>YEAR(C1107)</f>
        <v/>
      </c>
      <c r="Q1107" s="8">
        <f>TEXT(C1107, "yyyy-mm")</f>
        <v/>
      </c>
      <c r="R1107" s="8" t="inlineStr">
        <is>
          <t>Mobile App</t>
        </is>
      </c>
      <c r="S1107" s="8" t="inlineStr">
        <is>
          <t>REG-NA</t>
        </is>
      </c>
    </row>
    <row r="1108">
      <c r="A1108" s="8" t="inlineStr">
        <is>
          <t>DTL-0001117</t>
        </is>
      </c>
      <c r="B1108" s="8" t="inlineStr">
        <is>
          <t>ORD-000565</t>
        </is>
      </c>
      <c r="C1108" s="10" t="inlineStr">
        <is>
          <t>2024-04-18</t>
        </is>
      </c>
      <c r="D1108" s="8" t="inlineStr">
        <is>
          <t>CUST-01604</t>
        </is>
      </c>
      <c r="E1108" s="8" t="inlineStr">
        <is>
          <t>PRD-0257</t>
        </is>
      </c>
      <c r="F1108" s="8" t="n">
        <v>1</v>
      </c>
      <c r="G1108" s="9">
        <f>IFERROR(XLOOKUP(E1108, '04_Products'!$A:$A, '04_Products'!$G:$G), 31.28)</f>
        <v/>
      </c>
      <c r="H1108" s="9">
        <f>IFERROR(XLOOKUP(E1108, '04_Products'!$A:$A, '04_Products'!$F:$F), 0)</f>
        <v/>
      </c>
      <c r="I1108" s="9">
        <f>F1108*G1108</f>
        <v/>
      </c>
      <c r="J1108" s="11" t="n">
        <v>0.2</v>
      </c>
      <c r="K1108" s="9">
        <f>I1108*J1108</f>
        <v/>
      </c>
      <c r="L1108" s="9">
        <f>I1108-K1108</f>
        <v/>
      </c>
      <c r="M1108" s="9">
        <f>F1108*H1108</f>
        <v/>
      </c>
      <c r="N1108" s="9">
        <f>L1108-M1108</f>
        <v/>
      </c>
      <c r="O1108" s="11">
        <f>IFERROR(N1108/L1108, 0)</f>
        <v/>
      </c>
      <c r="P1108" s="8">
        <f>YEAR(C1108)</f>
        <v/>
      </c>
      <c r="Q1108" s="8">
        <f>TEXT(C1108, "yyyy-mm")</f>
        <v/>
      </c>
      <c r="R1108" s="8" t="inlineStr">
        <is>
          <t>Mobile App</t>
        </is>
      </c>
      <c r="S1108" s="8" t="inlineStr">
        <is>
          <t>REG-NA</t>
        </is>
      </c>
    </row>
    <row r="1109">
      <c r="A1109" s="8" t="inlineStr">
        <is>
          <t>DTL-0001118</t>
        </is>
      </c>
      <c r="B1109" s="8" t="inlineStr">
        <is>
          <t>ORD-000566</t>
        </is>
      </c>
      <c r="C1109" s="10" t="inlineStr">
        <is>
          <t>2024-10-06</t>
        </is>
      </c>
      <c r="D1109" s="8" t="inlineStr">
        <is>
          <t>CUST-00720</t>
        </is>
      </c>
      <c r="E1109" s="8" t="inlineStr">
        <is>
          <t>PRD-0151</t>
        </is>
      </c>
      <c r="F1109" s="8" t="n">
        <v>1</v>
      </c>
      <c r="G1109" s="9">
        <f>IFERROR(XLOOKUP(E1109, '04_Products'!$A:$A, '04_Products'!$G:$G), 643.51)</f>
        <v/>
      </c>
      <c r="H1109" s="9">
        <f>IFERROR(XLOOKUP(E1109, '04_Products'!$A:$A, '04_Products'!$F:$F), 0)</f>
        <v/>
      </c>
      <c r="I1109" s="9">
        <f>F1109*G1109</f>
        <v/>
      </c>
      <c r="J1109" s="11" t="n">
        <v>0.15</v>
      </c>
      <c r="K1109" s="9">
        <f>I1109*J1109</f>
        <v/>
      </c>
      <c r="L1109" s="9">
        <f>I1109-K1109</f>
        <v/>
      </c>
      <c r="M1109" s="9">
        <f>F1109*H1109</f>
        <v/>
      </c>
      <c r="N1109" s="9">
        <f>L1109-M1109</f>
        <v/>
      </c>
      <c r="O1109" s="11">
        <f>IFERROR(N1109/L1109, 0)</f>
        <v/>
      </c>
      <c r="P1109" s="8">
        <f>YEAR(C1109)</f>
        <v/>
      </c>
      <c r="Q1109" s="8">
        <f>TEXT(C1109, "yyyy-mm")</f>
        <v/>
      </c>
      <c r="R1109" s="8" t="inlineStr">
        <is>
          <t>Mobile App</t>
        </is>
      </c>
      <c r="S1109" s="8" t="inlineStr">
        <is>
          <t>REG-EU</t>
        </is>
      </c>
    </row>
    <row r="1110">
      <c r="A1110" s="8" t="inlineStr">
        <is>
          <t>DTL-0001119</t>
        </is>
      </c>
      <c r="B1110" s="8" t="inlineStr">
        <is>
          <t>ORD-000566</t>
        </is>
      </c>
      <c r="C1110" s="10" t="inlineStr">
        <is>
          <t>2024-10-06</t>
        </is>
      </c>
      <c r="D1110" s="8" t="inlineStr">
        <is>
          <t>CUST-00720</t>
        </is>
      </c>
      <c r="E1110" s="8" t="inlineStr">
        <is>
          <t>PRD-0418</t>
        </is>
      </c>
      <c r="F1110" s="8" t="n">
        <v>1</v>
      </c>
      <c r="G1110" s="9">
        <f>IFERROR(XLOOKUP(E1110, '04_Products'!$A:$A, '04_Products'!$G:$G), 287.35)</f>
        <v/>
      </c>
      <c r="H1110" s="9">
        <f>IFERROR(XLOOKUP(E1110, '04_Products'!$A:$A, '04_Products'!$F:$F), 0)</f>
        <v/>
      </c>
      <c r="I1110" s="9">
        <f>F1110*G1110</f>
        <v/>
      </c>
      <c r="J1110" s="11" t="n">
        <v>0</v>
      </c>
      <c r="K1110" s="9">
        <f>I1110*J1110</f>
        <v/>
      </c>
      <c r="L1110" s="9">
        <f>I1110-K1110</f>
        <v/>
      </c>
      <c r="M1110" s="9">
        <f>F1110*H1110</f>
        <v/>
      </c>
      <c r="N1110" s="9">
        <f>L1110-M1110</f>
        <v/>
      </c>
      <c r="O1110" s="11">
        <f>IFERROR(N1110/L1110, 0)</f>
        <v/>
      </c>
      <c r="P1110" s="8">
        <f>YEAR(C1110)</f>
        <v/>
      </c>
      <c r="Q1110" s="8">
        <f>TEXT(C1110, "yyyy-mm")</f>
        <v/>
      </c>
      <c r="R1110" s="8" t="inlineStr">
        <is>
          <t>Mobile App</t>
        </is>
      </c>
      <c r="S1110" s="8" t="inlineStr">
        <is>
          <t>REG-EU</t>
        </is>
      </c>
    </row>
    <row r="1111">
      <c r="A1111" s="8" t="inlineStr">
        <is>
          <t>DTL-0001120</t>
        </is>
      </c>
      <c r="B1111" s="8" t="inlineStr">
        <is>
          <t>ORD-000567</t>
        </is>
      </c>
      <c r="C1111" s="10" t="inlineStr">
        <is>
          <t>2023-05-25</t>
        </is>
      </c>
      <c r="D1111" s="8" t="inlineStr">
        <is>
          <t>CUST-01204</t>
        </is>
      </c>
      <c r="E1111" s="8" t="inlineStr">
        <is>
          <t>PRD-0350</t>
        </is>
      </c>
      <c r="F1111" s="8" t="n">
        <v>2</v>
      </c>
      <c r="G1111" s="9">
        <f>IFERROR(XLOOKUP(E1111, '04_Products'!$A:$A, '04_Products'!$G:$G), 66.90)</f>
        <v/>
      </c>
      <c r="H1111" s="9">
        <f>IFERROR(XLOOKUP(E1111, '04_Products'!$A:$A, '04_Products'!$F:$F), 0)</f>
        <v/>
      </c>
      <c r="I1111" s="9">
        <f>F1111*G1111</f>
        <v/>
      </c>
      <c r="J1111" s="11" t="n">
        <v>0.1</v>
      </c>
      <c r="K1111" s="9">
        <f>I1111*J1111</f>
        <v/>
      </c>
      <c r="L1111" s="9">
        <f>I1111-K1111</f>
        <v/>
      </c>
      <c r="M1111" s="9">
        <f>F1111*H1111</f>
        <v/>
      </c>
      <c r="N1111" s="9">
        <f>L1111-M1111</f>
        <v/>
      </c>
      <c r="O1111" s="11">
        <f>IFERROR(N1111/L1111, 0)</f>
        <v/>
      </c>
      <c r="P1111" s="8">
        <f>YEAR(C1111)</f>
        <v/>
      </c>
      <c r="Q1111" s="8">
        <f>TEXT(C1111, "yyyy-mm")</f>
        <v/>
      </c>
      <c r="R1111" s="8" t="inlineStr">
        <is>
          <t>Direct Web</t>
        </is>
      </c>
      <c r="S1111" s="8" t="inlineStr">
        <is>
          <t>REG-LATAM</t>
        </is>
      </c>
    </row>
    <row r="1112">
      <c r="A1112" s="8" t="inlineStr">
        <is>
          <t>DTL-0001121</t>
        </is>
      </c>
      <c r="B1112" s="8" t="inlineStr">
        <is>
          <t>ORD-000567</t>
        </is>
      </c>
      <c r="C1112" s="10" t="inlineStr">
        <is>
          <t>2023-05-25</t>
        </is>
      </c>
      <c r="D1112" s="8" t="inlineStr">
        <is>
          <t>CUST-01204</t>
        </is>
      </c>
      <c r="E1112" s="8" t="inlineStr">
        <is>
          <t>PRD-0173</t>
        </is>
      </c>
      <c r="F1112" s="8" t="n">
        <v>1</v>
      </c>
      <c r="G1112" s="9">
        <f>IFERROR(XLOOKUP(E1112, '04_Products'!$A:$A, '04_Products'!$G:$G), 62.36)</f>
        <v/>
      </c>
      <c r="H1112" s="9">
        <f>IFERROR(XLOOKUP(E1112, '04_Products'!$A:$A, '04_Products'!$F:$F), 0)</f>
        <v/>
      </c>
      <c r="I1112" s="9">
        <f>F1112*G1112</f>
        <v/>
      </c>
      <c r="J1112" s="11" t="n">
        <v>0</v>
      </c>
      <c r="K1112" s="9">
        <f>I1112*J1112</f>
        <v/>
      </c>
      <c r="L1112" s="9">
        <f>I1112-K1112</f>
        <v/>
      </c>
      <c r="M1112" s="9">
        <f>F1112*H1112</f>
        <v/>
      </c>
      <c r="N1112" s="9">
        <f>L1112-M1112</f>
        <v/>
      </c>
      <c r="O1112" s="11">
        <f>IFERROR(N1112/L1112, 0)</f>
        <v/>
      </c>
      <c r="P1112" s="8">
        <f>YEAR(C1112)</f>
        <v/>
      </c>
      <c r="Q1112" s="8">
        <f>TEXT(C1112, "yyyy-mm")</f>
        <v/>
      </c>
      <c r="R1112" s="8" t="inlineStr">
        <is>
          <t>Direct Web</t>
        </is>
      </c>
      <c r="S1112" s="8" t="inlineStr">
        <is>
          <t>REG-LATAM</t>
        </is>
      </c>
    </row>
    <row r="1113">
      <c r="A1113" s="8" t="inlineStr">
        <is>
          <t>DTL-0001122</t>
        </is>
      </c>
      <c r="B1113" s="8" t="inlineStr">
        <is>
          <t>ORD-000567</t>
        </is>
      </c>
      <c r="C1113" s="10" t="inlineStr">
        <is>
          <t>2023-05-25</t>
        </is>
      </c>
      <c r="D1113" s="8" t="inlineStr">
        <is>
          <t>CUST-01204</t>
        </is>
      </c>
      <c r="E1113" s="8" t="inlineStr">
        <is>
          <t>PRD-0250</t>
        </is>
      </c>
      <c r="F1113" s="8" t="n">
        <v>1</v>
      </c>
      <c r="G1113" s="9">
        <f>IFERROR(XLOOKUP(E1113, '04_Products'!$A:$A, '04_Products'!$G:$G), 91.75)</f>
        <v/>
      </c>
      <c r="H1113" s="9">
        <f>IFERROR(XLOOKUP(E1113, '04_Products'!$A:$A, '04_Products'!$F:$F), 0)</f>
        <v/>
      </c>
      <c r="I1113" s="9">
        <f>F1113*G1113</f>
        <v/>
      </c>
      <c r="J1113" s="11" t="n">
        <v>0</v>
      </c>
      <c r="K1113" s="9">
        <f>I1113*J1113</f>
        <v/>
      </c>
      <c r="L1113" s="9">
        <f>I1113-K1113</f>
        <v/>
      </c>
      <c r="M1113" s="9">
        <f>F1113*H1113</f>
        <v/>
      </c>
      <c r="N1113" s="9">
        <f>L1113-M1113</f>
        <v/>
      </c>
      <c r="O1113" s="11">
        <f>IFERROR(N1113/L1113, 0)</f>
        <v/>
      </c>
      <c r="P1113" s="8">
        <f>YEAR(C1113)</f>
        <v/>
      </c>
      <c r="Q1113" s="8">
        <f>TEXT(C1113, "yyyy-mm")</f>
        <v/>
      </c>
      <c r="R1113" s="8" t="inlineStr">
        <is>
          <t>Direct Web</t>
        </is>
      </c>
      <c r="S1113" s="8" t="inlineStr">
        <is>
          <t>REG-LATAM</t>
        </is>
      </c>
    </row>
    <row r="1114">
      <c r="A1114" s="8" t="inlineStr">
        <is>
          <t>DTL-0001123</t>
        </is>
      </c>
      <c r="B1114" s="8" t="inlineStr">
        <is>
          <t>ORD-000567</t>
        </is>
      </c>
      <c r="C1114" s="10" t="inlineStr">
        <is>
          <t>2023-05-25</t>
        </is>
      </c>
      <c r="D1114" s="8" t="inlineStr">
        <is>
          <t>CUST-01204</t>
        </is>
      </c>
      <c r="E1114" s="8" t="inlineStr">
        <is>
          <t>PRD-0032</t>
        </is>
      </c>
      <c r="F1114" s="8" t="n">
        <v>1</v>
      </c>
      <c r="G1114" s="9">
        <f>IFERROR(XLOOKUP(E1114, '04_Products'!$A:$A, '04_Products'!$G:$G), 226.36)</f>
        <v/>
      </c>
      <c r="H1114" s="9">
        <f>IFERROR(XLOOKUP(E1114, '04_Products'!$A:$A, '04_Products'!$F:$F), 0)</f>
        <v/>
      </c>
      <c r="I1114" s="9">
        <f>F1114*G1114</f>
        <v/>
      </c>
      <c r="J1114" s="11" t="n">
        <v>0.15</v>
      </c>
      <c r="K1114" s="9">
        <f>I1114*J1114</f>
        <v/>
      </c>
      <c r="L1114" s="9">
        <f>I1114-K1114</f>
        <v/>
      </c>
      <c r="M1114" s="9">
        <f>F1114*H1114</f>
        <v/>
      </c>
      <c r="N1114" s="9">
        <f>L1114-M1114</f>
        <v/>
      </c>
      <c r="O1114" s="11">
        <f>IFERROR(N1114/L1114, 0)</f>
        <v/>
      </c>
      <c r="P1114" s="8">
        <f>YEAR(C1114)</f>
        <v/>
      </c>
      <c r="Q1114" s="8">
        <f>TEXT(C1114, "yyyy-mm")</f>
        <v/>
      </c>
      <c r="R1114" s="8" t="inlineStr">
        <is>
          <t>Direct Web</t>
        </is>
      </c>
      <c r="S1114" s="8" t="inlineStr">
        <is>
          <t>REG-LATAM</t>
        </is>
      </c>
    </row>
    <row r="1115">
      <c r="A1115" s="8" t="inlineStr">
        <is>
          <t>DTL-0001124</t>
        </is>
      </c>
      <c r="B1115" s="8" t="inlineStr">
        <is>
          <t>ORD-000567</t>
        </is>
      </c>
      <c r="C1115" s="10" t="inlineStr">
        <is>
          <t>2023-05-25</t>
        </is>
      </c>
      <c r="D1115" s="8" t="inlineStr">
        <is>
          <t>CUST-01204</t>
        </is>
      </c>
      <c r="E1115" s="8" t="inlineStr">
        <is>
          <t>PRD-0287</t>
        </is>
      </c>
      <c r="F1115" s="8" t="n">
        <v>2</v>
      </c>
      <c r="G1115" s="9">
        <f>IFERROR(XLOOKUP(E1115, '04_Products'!$A:$A, '04_Products'!$G:$G), 214.91)</f>
        <v/>
      </c>
      <c r="H1115" s="9">
        <f>IFERROR(XLOOKUP(E1115, '04_Products'!$A:$A, '04_Products'!$F:$F), 0)</f>
        <v/>
      </c>
      <c r="I1115" s="9">
        <f>F1115*G1115</f>
        <v/>
      </c>
      <c r="J1115" s="11" t="n">
        <v>0.05</v>
      </c>
      <c r="K1115" s="9">
        <f>I1115*J1115</f>
        <v/>
      </c>
      <c r="L1115" s="9">
        <f>I1115-K1115</f>
        <v/>
      </c>
      <c r="M1115" s="9">
        <f>F1115*H1115</f>
        <v/>
      </c>
      <c r="N1115" s="9">
        <f>L1115-M1115</f>
        <v/>
      </c>
      <c r="O1115" s="11">
        <f>IFERROR(N1115/L1115, 0)</f>
        <v/>
      </c>
      <c r="P1115" s="8">
        <f>YEAR(C1115)</f>
        <v/>
      </c>
      <c r="Q1115" s="8">
        <f>TEXT(C1115, "yyyy-mm")</f>
        <v/>
      </c>
      <c r="R1115" s="8" t="inlineStr">
        <is>
          <t>Direct Web</t>
        </is>
      </c>
      <c r="S1115" s="8" t="inlineStr">
        <is>
          <t>REG-LATAM</t>
        </is>
      </c>
    </row>
    <row r="1116">
      <c r="A1116" s="8" t="inlineStr">
        <is>
          <t>DTL-0001125</t>
        </is>
      </c>
      <c r="B1116" s="8" t="inlineStr">
        <is>
          <t>ORD-000568</t>
        </is>
      </c>
      <c r="C1116" s="10" t="inlineStr">
        <is>
          <t>2024-05-20</t>
        </is>
      </c>
      <c r="D1116" s="8" t="inlineStr">
        <is>
          <t>CUST-00817</t>
        </is>
      </c>
      <c r="E1116" s="8" t="inlineStr">
        <is>
          <t>PRD-0128</t>
        </is>
      </c>
      <c r="F1116" s="8" t="n">
        <v>1</v>
      </c>
      <c r="G1116" s="9">
        <f>IFERROR(XLOOKUP(E1116, '04_Products'!$A:$A, '04_Products'!$G:$G), 570.32)</f>
        <v/>
      </c>
      <c r="H1116" s="9">
        <f>IFERROR(XLOOKUP(E1116, '04_Products'!$A:$A, '04_Products'!$F:$F), 0)</f>
        <v/>
      </c>
      <c r="I1116" s="9">
        <f>F1116*G1116</f>
        <v/>
      </c>
      <c r="J1116" s="11" t="n">
        <v>0</v>
      </c>
      <c r="K1116" s="9">
        <f>I1116*J1116</f>
        <v/>
      </c>
      <c r="L1116" s="9">
        <f>I1116-K1116</f>
        <v/>
      </c>
      <c r="M1116" s="9">
        <f>F1116*H1116</f>
        <v/>
      </c>
      <c r="N1116" s="9">
        <f>L1116-M1116</f>
        <v/>
      </c>
      <c r="O1116" s="11">
        <f>IFERROR(N1116/L1116, 0)</f>
        <v/>
      </c>
      <c r="P1116" s="8">
        <f>YEAR(C1116)</f>
        <v/>
      </c>
      <c r="Q1116" s="8">
        <f>TEXT(C1116, "yyyy-mm")</f>
        <v/>
      </c>
      <c r="R1116" s="8" t="inlineStr">
        <is>
          <t>Mobile App</t>
        </is>
      </c>
      <c r="S1116" s="8" t="inlineStr">
        <is>
          <t>REG-EU</t>
        </is>
      </c>
    </row>
    <row r="1117">
      <c r="A1117" s="8" t="inlineStr">
        <is>
          <t>DTL-0001126</t>
        </is>
      </c>
      <c r="B1117" s="8" t="inlineStr">
        <is>
          <t>ORD-000568</t>
        </is>
      </c>
      <c r="C1117" s="10" t="inlineStr">
        <is>
          <t>2024-05-20</t>
        </is>
      </c>
      <c r="D1117" s="8" t="inlineStr">
        <is>
          <t>CUST-00817</t>
        </is>
      </c>
      <c r="E1117" s="8" t="inlineStr">
        <is>
          <t>PRD-0469</t>
        </is>
      </c>
      <c r="F1117" s="8" t="n">
        <v>1</v>
      </c>
      <c r="G1117" s="9">
        <f>IFERROR(XLOOKUP(E1117, '04_Products'!$A:$A, '04_Products'!$G:$G), 892.14)</f>
        <v/>
      </c>
      <c r="H1117" s="9">
        <f>IFERROR(XLOOKUP(E1117, '04_Products'!$A:$A, '04_Products'!$F:$F), 0)</f>
        <v/>
      </c>
      <c r="I1117" s="9">
        <f>F1117*G1117</f>
        <v/>
      </c>
      <c r="J1117" s="11" t="n">
        <v>0.15</v>
      </c>
      <c r="K1117" s="9">
        <f>I1117*J1117</f>
        <v/>
      </c>
      <c r="L1117" s="9">
        <f>I1117-K1117</f>
        <v/>
      </c>
      <c r="M1117" s="9">
        <f>F1117*H1117</f>
        <v/>
      </c>
      <c r="N1117" s="9">
        <f>L1117-M1117</f>
        <v/>
      </c>
      <c r="O1117" s="11">
        <f>IFERROR(N1117/L1117, 0)</f>
        <v/>
      </c>
      <c r="P1117" s="8">
        <f>YEAR(C1117)</f>
        <v/>
      </c>
      <c r="Q1117" s="8">
        <f>TEXT(C1117, "yyyy-mm")</f>
        <v/>
      </c>
      <c r="R1117" s="8" t="inlineStr">
        <is>
          <t>Mobile App</t>
        </is>
      </c>
      <c r="S1117" s="8" t="inlineStr">
        <is>
          <t>REG-EU</t>
        </is>
      </c>
    </row>
    <row r="1118">
      <c r="A1118" s="8" t="inlineStr">
        <is>
          <t>DTL-0001127</t>
        </is>
      </c>
      <c r="B1118" s="8" t="inlineStr">
        <is>
          <t>ORD-000568</t>
        </is>
      </c>
      <c r="C1118" s="10" t="inlineStr">
        <is>
          <t>2024-05-20</t>
        </is>
      </c>
      <c r="D1118" s="8" t="inlineStr">
        <is>
          <t>CUST-00817</t>
        </is>
      </c>
      <c r="E1118" s="8" t="inlineStr">
        <is>
          <t>PRD-0223</t>
        </is>
      </c>
      <c r="F1118" s="8" t="n">
        <v>1</v>
      </c>
      <c r="G1118" s="9">
        <f>IFERROR(XLOOKUP(E1118, '04_Products'!$A:$A, '04_Products'!$G:$G), 31.04)</f>
        <v/>
      </c>
      <c r="H1118" s="9">
        <f>IFERROR(XLOOKUP(E1118, '04_Products'!$A:$A, '04_Products'!$F:$F), 0)</f>
        <v/>
      </c>
      <c r="I1118" s="9">
        <f>F1118*G1118</f>
        <v/>
      </c>
      <c r="J1118" s="11" t="n">
        <v>0</v>
      </c>
      <c r="K1118" s="9">
        <f>I1118*J1118</f>
        <v/>
      </c>
      <c r="L1118" s="9">
        <f>I1118-K1118</f>
        <v/>
      </c>
      <c r="M1118" s="9">
        <f>F1118*H1118</f>
        <v/>
      </c>
      <c r="N1118" s="9">
        <f>L1118-M1118</f>
        <v/>
      </c>
      <c r="O1118" s="11">
        <f>IFERROR(N1118/L1118, 0)</f>
        <v/>
      </c>
      <c r="P1118" s="8">
        <f>YEAR(C1118)</f>
        <v/>
      </c>
      <c r="Q1118" s="8">
        <f>TEXT(C1118, "yyyy-mm")</f>
        <v/>
      </c>
      <c r="R1118" s="8" t="inlineStr">
        <is>
          <t>Mobile App</t>
        </is>
      </c>
      <c r="S1118" s="8" t="inlineStr">
        <is>
          <t>REG-EU</t>
        </is>
      </c>
    </row>
    <row r="1119">
      <c r="A1119" s="8" t="inlineStr">
        <is>
          <t>DTL-0001128</t>
        </is>
      </c>
      <c r="B1119" s="8" t="inlineStr">
        <is>
          <t>ORD-000568</t>
        </is>
      </c>
      <c r="C1119" s="10" t="inlineStr">
        <is>
          <t>2024-05-20</t>
        </is>
      </c>
      <c r="D1119" s="8" t="inlineStr">
        <is>
          <t>CUST-00817</t>
        </is>
      </c>
      <c r="E1119" s="8" t="inlineStr">
        <is>
          <t>PRD-0432</t>
        </is>
      </c>
      <c r="F1119" s="8" t="n">
        <v>3</v>
      </c>
      <c r="G1119" s="9">
        <f>IFERROR(XLOOKUP(E1119, '04_Products'!$A:$A, '04_Products'!$G:$G), 25.28)</f>
        <v/>
      </c>
      <c r="H1119" s="9">
        <f>IFERROR(XLOOKUP(E1119, '04_Products'!$A:$A, '04_Products'!$F:$F), 0)</f>
        <v/>
      </c>
      <c r="I1119" s="9">
        <f>F1119*G1119</f>
        <v/>
      </c>
      <c r="J1119" s="11" t="n">
        <v>0.05</v>
      </c>
      <c r="K1119" s="9">
        <f>I1119*J1119</f>
        <v/>
      </c>
      <c r="L1119" s="9">
        <f>I1119-K1119</f>
        <v/>
      </c>
      <c r="M1119" s="9">
        <f>F1119*H1119</f>
        <v/>
      </c>
      <c r="N1119" s="9">
        <f>L1119-M1119</f>
        <v/>
      </c>
      <c r="O1119" s="11">
        <f>IFERROR(N1119/L1119, 0)</f>
        <v/>
      </c>
      <c r="P1119" s="8">
        <f>YEAR(C1119)</f>
        <v/>
      </c>
      <c r="Q1119" s="8">
        <f>TEXT(C1119, "yyyy-mm")</f>
        <v/>
      </c>
      <c r="R1119" s="8" t="inlineStr">
        <is>
          <t>Mobile App</t>
        </is>
      </c>
      <c r="S1119" s="8" t="inlineStr">
        <is>
          <t>REG-EU</t>
        </is>
      </c>
    </row>
    <row r="1120">
      <c r="A1120" s="8" t="inlineStr">
        <is>
          <t>DTL-0001129</t>
        </is>
      </c>
      <c r="B1120" s="8" t="inlineStr">
        <is>
          <t>ORD-000569</t>
        </is>
      </c>
      <c r="C1120" s="10" t="inlineStr">
        <is>
          <t>2023-03-25</t>
        </is>
      </c>
      <c r="D1120" s="8" t="inlineStr">
        <is>
          <t>CUST-04656</t>
        </is>
      </c>
      <c r="E1120" s="8" t="inlineStr">
        <is>
          <t>PRD-0058</t>
        </is>
      </c>
      <c r="F1120" s="8" t="n">
        <v>2</v>
      </c>
      <c r="G1120" s="9">
        <f>IFERROR(XLOOKUP(E1120, '04_Products'!$A:$A, '04_Products'!$G:$G), 809.52)</f>
        <v/>
      </c>
      <c r="H1120" s="9">
        <f>IFERROR(XLOOKUP(E1120, '04_Products'!$A:$A, '04_Products'!$F:$F), 0)</f>
        <v/>
      </c>
      <c r="I1120" s="9">
        <f>F1120*G1120</f>
        <v/>
      </c>
      <c r="J1120" s="11" t="n">
        <v>0.05</v>
      </c>
      <c r="K1120" s="9">
        <f>I1120*J1120</f>
        <v/>
      </c>
      <c r="L1120" s="9">
        <f>I1120-K1120</f>
        <v/>
      </c>
      <c r="M1120" s="9">
        <f>F1120*H1120</f>
        <v/>
      </c>
      <c r="N1120" s="9">
        <f>L1120-M1120</f>
        <v/>
      </c>
      <c r="O1120" s="11">
        <f>IFERROR(N1120/L1120, 0)</f>
        <v/>
      </c>
      <c r="P1120" s="8">
        <f>YEAR(C1120)</f>
        <v/>
      </c>
      <c r="Q1120" s="8">
        <f>TEXT(C1120, "yyyy-mm")</f>
        <v/>
      </c>
      <c r="R1120" s="8" t="inlineStr">
        <is>
          <t>Direct Web</t>
        </is>
      </c>
      <c r="S1120" s="8" t="inlineStr">
        <is>
          <t>REG-EU</t>
        </is>
      </c>
    </row>
    <row r="1121">
      <c r="A1121" s="8" t="inlineStr">
        <is>
          <t>DTL-0001130</t>
        </is>
      </c>
      <c r="B1121" s="8" t="inlineStr">
        <is>
          <t>ORD-000569</t>
        </is>
      </c>
      <c r="C1121" s="10" t="inlineStr">
        <is>
          <t>2023-03-25</t>
        </is>
      </c>
      <c r="D1121" s="8" t="inlineStr">
        <is>
          <t>CUST-04656</t>
        </is>
      </c>
      <c r="E1121" s="8" t="inlineStr">
        <is>
          <t>PRD-0088</t>
        </is>
      </c>
      <c r="F1121" s="8" t="n">
        <v>1</v>
      </c>
      <c r="G1121" s="9">
        <f>IFERROR(XLOOKUP(E1121, '04_Products'!$A:$A, '04_Products'!$G:$G), 952.03)</f>
        <v/>
      </c>
      <c r="H1121" s="9">
        <f>IFERROR(XLOOKUP(E1121, '04_Products'!$A:$A, '04_Products'!$F:$F), 0)</f>
        <v/>
      </c>
      <c r="I1121" s="9">
        <f>F1121*G1121</f>
        <v/>
      </c>
      <c r="J1121" s="11" t="n">
        <v>0</v>
      </c>
      <c r="K1121" s="9">
        <f>I1121*J1121</f>
        <v/>
      </c>
      <c r="L1121" s="9">
        <f>I1121-K1121</f>
        <v/>
      </c>
      <c r="M1121" s="9">
        <f>F1121*H1121</f>
        <v/>
      </c>
      <c r="N1121" s="9">
        <f>L1121-M1121</f>
        <v/>
      </c>
      <c r="O1121" s="11">
        <f>IFERROR(N1121/L1121, 0)</f>
        <v/>
      </c>
      <c r="P1121" s="8">
        <f>YEAR(C1121)</f>
        <v/>
      </c>
      <c r="Q1121" s="8">
        <f>TEXT(C1121, "yyyy-mm")</f>
        <v/>
      </c>
      <c r="R1121" s="8" t="inlineStr">
        <is>
          <t>Direct Web</t>
        </is>
      </c>
      <c r="S1121" s="8" t="inlineStr">
        <is>
          <t>REG-EU</t>
        </is>
      </c>
    </row>
    <row r="1122">
      <c r="A1122" s="8" t="inlineStr">
        <is>
          <t>DTL-0001131</t>
        </is>
      </c>
      <c r="B1122" s="8" t="inlineStr">
        <is>
          <t>ORD-000569</t>
        </is>
      </c>
      <c r="C1122" s="10" t="inlineStr">
        <is>
          <t>2023-03-25</t>
        </is>
      </c>
      <c r="D1122" s="8" t="inlineStr">
        <is>
          <t>CUST-04656</t>
        </is>
      </c>
      <c r="E1122" s="8" t="inlineStr">
        <is>
          <t>PRD-0301</t>
        </is>
      </c>
      <c r="F1122" s="8" t="n">
        <v>1</v>
      </c>
      <c r="G1122" s="9">
        <f>IFERROR(XLOOKUP(E1122, '04_Products'!$A:$A, '04_Products'!$G:$G), 528.29)</f>
        <v/>
      </c>
      <c r="H1122" s="9">
        <f>IFERROR(XLOOKUP(E1122, '04_Products'!$A:$A, '04_Products'!$F:$F), 0)</f>
        <v/>
      </c>
      <c r="I1122" s="9">
        <f>F1122*G1122</f>
        <v/>
      </c>
      <c r="J1122" s="11" t="n">
        <v>0</v>
      </c>
      <c r="K1122" s="9">
        <f>I1122*J1122</f>
        <v/>
      </c>
      <c r="L1122" s="9">
        <f>I1122-K1122</f>
        <v/>
      </c>
      <c r="M1122" s="9">
        <f>F1122*H1122</f>
        <v/>
      </c>
      <c r="N1122" s="9">
        <f>L1122-M1122</f>
        <v/>
      </c>
      <c r="O1122" s="11">
        <f>IFERROR(N1122/L1122, 0)</f>
        <v/>
      </c>
      <c r="P1122" s="8">
        <f>YEAR(C1122)</f>
        <v/>
      </c>
      <c r="Q1122" s="8">
        <f>TEXT(C1122, "yyyy-mm")</f>
        <v/>
      </c>
      <c r="R1122" s="8" t="inlineStr">
        <is>
          <t>Direct Web</t>
        </is>
      </c>
      <c r="S1122" s="8" t="inlineStr">
        <is>
          <t>REG-EU</t>
        </is>
      </c>
    </row>
    <row r="1123">
      <c r="A1123" s="8" t="inlineStr">
        <is>
          <t>DTL-0001132</t>
        </is>
      </c>
      <c r="B1123" s="8" t="inlineStr">
        <is>
          <t>ORD-000570</t>
        </is>
      </c>
      <c r="C1123" s="10" t="inlineStr">
        <is>
          <t>2025-08-12</t>
        </is>
      </c>
      <c r="D1123" s="8" t="inlineStr">
        <is>
          <t>CUST-05199</t>
        </is>
      </c>
      <c r="E1123" s="8" t="inlineStr">
        <is>
          <t>PRD-0065</t>
        </is>
      </c>
      <c r="F1123" s="8" t="n">
        <v>2</v>
      </c>
      <c r="G1123" s="9">
        <f>IFERROR(XLOOKUP(E1123, '04_Products'!$A:$A, '04_Products'!$G:$G), 184.25)</f>
        <v/>
      </c>
      <c r="H1123" s="9">
        <f>IFERROR(XLOOKUP(E1123, '04_Products'!$A:$A, '04_Products'!$F:$F), 0)</f>
        <v/>
      </c>
      <c r="I1123" s="9">
        <f>F1123*G1123</f>
        <v/>
      </c>
      <c r="J1123" s="11" t="n">
        <v>0</v>
      </c>
      <c r="K1123" s="9">
        <f>I1123*J1123</f>
        <v/>
      </c>
      <c r="L1123" s="9">
        <f>I1123-K1123</f>
        <v/>
      </c>
      <c r="M1123" s="9">
        <f>F1123*H1123</f>
        <v/>
      </c>
      <c r="N1123" s="9">
        <f>L1123-M1123</f>
        <v/>
      </c>
      <c r="O1123" s="11">
        <f>IFERROR(N1123/L1123, 0)</f>
        <v/>
      </c>
      <c r="P1123" s="8">
        <f>YEAR(C1123)</f>
        <v/>
      </c>
      <c r="Q1123" s="8">
        <f>TEXT(C1123, "yyyy-mm")</f>
        <v/>
      </c>
      <c r="R1123" s="8" t="inlineStr">
        <is>
          <t>Direct Web</t>
        </is>
      </c>
      <c r="S1123" s="8" t="inlineStr">
        <is>
          <t>REG-NA</t>
        </is>
      </c>
    </row>
    <row r="1124">
      <c r="A1124" s="8" t="inlineStr">
        <is>
          <t>DTL-0001133</t>
        </is>
      </c>
      <c r="B1124" s="8" t="inlineStr">
        <is>
          <t>ORD-000570</t>
        </is>
      </c>
      <c r="C1124" s="10" t="inlineStr">
        <is>
          <t>2025-08-12</t>
        </is>
      </c>
      <c r="D1124" s="8" t="inlineStr">
        <is>
          <t>CUST-05199</t>
        </is>
      </c>
      <c r="E1124" s="8" t="inlineStr">
        <is>
          <t>PRD-0316</t>
        </is>
      </c>
      <c r="F1124" s="8" t="n">
        <v>1</v>
      </c>
      <c r="G1124" s="9">
        <f>IFERROR(XLOOKUP(E1124, '04_Products'!$A:$A, '04_Products'!$G:$G), 575.96)</f>
        <v/>
      </c>
      <c r="H1124" s="9">
        <f>IFERROR(XLOOKUP(E1124, '04_Products'!$A:$A, '04_Products'!$F:$F), 0)</f>
        <v/>
      </c>
      <c r="I1124" s="9">
        <f>F1124*G1124</f>
        <v/>
      </c>
      <c r="J1124" s="11" t="n">
        <v>0</v>
      </c>
      <c r="K1124" s="9">
        <f>I1124*J1124</f>
        <v/>
      </c>
      <c r="L1124" s="9">
        <f>I1124-K1124</f>
        <v/>
      </c>
      <c r="M1124" s="9">
        <f>F1124*H1124</f>
        <v/>
      </c>
      <c r="N1124" s="9">
        <f>L1124-M1124</f>
        <v/>
      </c>
      <c r="O1124" s="11">
        <f>IFERROR(N1124/L1124, 0)</f>
        <v/>
      </c>
      <c r="P1124" s="8">
        <f>YEAR(C1124)</f>
        <v/>
      </c>
      <c r="Q1124" s="8">
        <f>TEXT(C1124, "yyyy-mm")</f>
        <v/>
      </c>
      <c r="R1124" s="8" t="inlineStr">
        <is>
          <t>Direct Web</t>
        </is>
      </c>
      <c r="S1124" s="8" t="inlineStr">
        <is>
          <t>REG-NA</t>
        </is>
      </c>
    </row>
    <row r="1125">
      <c r="A1125" s="8" t="inlineStr">
        <is>
          <t>DTL-0001134</t>
        </is>
      </c>
      <c r="B1125" s="8" t="inlineStr">
        <is>
          <t>ORD-000570</t>
        </is>
      </c>
      <c r="C1125" s="10" t="inlineStr">
        <is>
          <t>2025-08-12</t>
        </is>
      </c>
      <c r="D1125" s="8" t="inlineStr">
        <is>
          <t>CUST-05199</t>
        </is>
      </c>
      <c r="E1125" s="8" t="inlineStr">
        <is>
          <t>PRD-0070</t>
        </is>
      </c>
      <c r="F1125" s="8" t="n">
        <v>2</v>
      </c>
      <c r="G1125" s="9">
        <f>IFERROR(XLOOKUP(E1125, '04_Products'!$A:$A, '04_Products'!$G:$G), 70.35)</f>
        <v/>
      </c>
      <c r="H1125" s="9">
        <f>IFERROR(XLOOKUP(E1125, '04_Products'!$A:$A, '04_Products'!$F:$F), 0)</f>
        <v/>
      </c>
      <c r="I1125" s="9">
        <f>F1125*G1125</f>
        <v/>
      </c>
      <c r="J1125" s="11" t="n">
        <v>0</v>
      </c>
      <c r="K1125" s="9">
        <f>I1125*J1125</f>
        <v/>
      </c>
      <c r="L1125" s="9">
        <f>I1125-K1125</f>
        <v/>
      </c>
      <c r="M1125" s="9">
        <f>F1125*H1125</f>
        <v/>
      </c>
      <c r="N1125" s="9">
        <f>L1125-M1125</f>
        <v/>
      </c>
      <c r="O1125" s="11">
        <f>IFERROR(N1125/L1125, 0)</f>
        <v/>
      </c>
      <c r="P1125" s="8">
        <f>YEAR(C1125)</f>
        <v/>
      </c>
      <c r="Q1125" s="8">
        <f>TEXT(C1125, "yyyy-mm")</f>
        <v/>
      </c>
      <c r="R1125" s="8" t="inlineStr">
        <is>
          <t>Direct Web</t>
        </is>
      </c>
      <c r="S1125" s="8" t="inlineStr">
        <is>
          <t>REG-NA</t>
        </is>
      </c>
    </row>
    <row r="1126">
      <c r="A1126" s="8" t="inlineStr">
        <is>
          <t>DTL-0001135</t>
        </is>
      </c>
      <c r="B1126" s="8" t="inlineStr">
        <is>
          <t>ORD-000571</t>
        </is>
      </c>
      <c r="C1126" s="10" t="inlineStr">
        <is>
          <t>2023-11-26</t>
        </is>
      </c>
      <c r="D1126" s="8" t="inlineStr">
        <is>
          <t>CUST-07309</t>
        </is>
      </c>
      <c r="E1126" s="8" t="inlineStr">
        <is>
          <t>PRD-0406</t>
        </is>
      </c>
      <c r="F1126" s="8" t="n">
        <v>2</v>
      </c>
      <c r="G1126" s="9">
        <f>IFERROR(XLOOKUP(E1126, '04_Products'!$A:$A, '04_Products'!$G:$G), 666.52)</f>
        <v/>
      </c>
      <c r="H1126" s="9">
        <f>IFERROR(XLOOKUP(E1126, '04_Products'!$A:$A, '04_Products'!$F:$F), 0)</f>
        <v/>
      </c>
      <c r="I1126" s="9">
        <f>F1126*G1126</f>
        <v/>
      </c>
      <c r="J1126" s="11" t="n">
        <v>0.1</v>
      </c>
      <c r="K1126" s="9">
        <f>I1126*J1126</f>
        <v/>
      </c>
      <c r="L1126" s="9">
        <f>I1126-K1126</f>
        <v/>
      </c>
      <c r="M1126" s="9">
        <f>F1126*H1126</f>
        <v/>
      </c>
      <c r="N1126" s="9">
        <f>L1126-M1126</f>
        <v/>
      </c>
      <c r="O1126" s="11">
        <f>IFERROR(N1126/L1126, 0)</f>
        <v/>
      </c>
      <c r="P1126" s="8">
        <f>YEAR(C1126)</f>
        <v/>
      </c>
      <c r="Q1126" s="8">
        <f>TEXT(C1126, "yyyy-mm")</f>
        <v/>
      </c>
      <c r="R1126" s="8" t="inlineStr">
        <is>
          <t>Mobile App</t>
        </is>
      </c>
      <c r="S1126" s="8" t="inlineStr">
        <is>
          <t>REG-EU</t>
        </is>
      </c>
    </row>
    <row r="1127">
      <c r="A1127" s="8" t="inlineStr">
        <is>
          <t>DTL-0001136</t>
        </is>
      </c>
      <c r="B1127" s="8" t="inlineStr">
        <is>
          <t>ORD-000571</t>
        </is>
      </c>
      <c r="C1127" s="10" t="inlineStr">
        <is>
          <t>2023-11-26</t>
        </is>
      </c>
      <c r="D1127" s="8" t="inlineStr">
        <is>
          <t>CUST-07309</t>
        </is>
      </c>
      <c r="E1127" s="8" t="inlineStr">
        <is>
          <t>PRD-0351</t>
        </is>
      </c>
      <c r="F1127" s="8" t="n">
        <v>2</v>
      </c>
      <c r="G1127" s="9">
        <f>IFERROR(XLOOKUP(E1127, '04_Products'!$A:$A, '04_Products'!$G:$G), 65.14)</f>
        <v/>
      </c>
      <c r="H1127" s="9">
        <f>IFERROR(XLOOKUP(E1127, '04_Products'!$A:$A, '04_Products'!$F:$F), 0)</f>
        <v/>
      </c>
      <c r="I1127" s="9">
        <f>F1127*G1127</f>
        <v/>
      </c>
      <c r="J1127" s="11" t="n">
        <v>0.05</v>
      </c>
      <c r="K1127" s="9">
        <f>I1127*J1127</f>
        <v/>
      </c>
      <c r="L1127" s="9">
        <f>I1127-K1127</f>
        <v/>
      </c>
      <c r="M1127" s="9">
        <f>F1127*H1127</f>
        <v/>
      </c>
      <c r="N1127" s="9">
        <f>L1127-M1127</f>
        <v/>
      </c>
      <c r="O1127" s="11">
        <f>IFERROR(N1127/L1127, 0)</f>
        <v/>
      </c>
      <c r="P1127" s="8">
        <f>YEAR(C1127)</f>
        <v/>
      </c>
      <c r="Q1127" s="8">
        <f>TEXT(C1127, "yyyy-mm")</f>
        <v/>
      </c>
      <c r="R1127" s="8" t="inlineStr">
        <is>
          <t>Mobile App</t>
        </is>
      </c>
      <c r="S1127" s="8" t="inlineStr">
        <is>
          <t>REG-EU</t>
        </is>
      </c>
    </row>
    <row r="1128">
      <c r="A1128" s="8" t="inlineStr">
        <is>
          <t>DTL-0001137</t>
        </is>
      </c>
      <c r="B1128" s="8" t="inlineStr">
        <is>
          <t>ORD-000571</t>
        </is>
      </c>
      <c r="C1128" s="10" t="inlineStr">
        <is>
          <t>2023-11-26</t>
        </is>
      </c>
      <c r="D1128" s="8" t="inlineStr">
        <is>
          <t>CUST-07309</t>
        </is>
      </c>
      <c r="E1128" s="8" t="inlineStr">
        <is>
          <t>PRD-0006</t>
        </is>
      </c>
      <c r="F1128" s="8" t="n">
        <v>1</v>
      </c>
      <c r="G1128" s="9">
        <f>IFERROR(XLOOKUP(E1128, '04_Products'!$A:$A, '04_Products'!$G:$G), 64.34)</f>
        <v/>
      </c>
      <c r="H1128" s="9">
        <f>IFERROR(XLOOKUP(E1128, '04_Products'!$A:$A, '04_Products'!$F:$F), 0)</f>
        <v/>
      </c>
      <c r="I1128" s="9">
        <f>F1128*G1128</f>
        <v/>
      </c>
      <c r="J1128" s="11" t="n">
        <v>0.1</v>
      </c>
      <c r="K1128" s="9">
        <f>I1128*J1128</f>
        <v/>
      </c>
      <c r="L1128" s="9">
        <f>I1128-K1128</f>
        <v/>
      </c>
      <c r="M1128" s="9">
        <f>F1128*H1128</f>
        <v/>
      </c>
      <c r="N1128" s="9">
        <f>L1128-M1128</f>
        <v/>
      </c>
      <c r="O1128" s="11">
        <f>IFERROR(N1128/L1128, 0)</f>
        <v/>
      </c>
      <c r="P1128" s="8">
        <f>YEAR(C1128)</f>
        <v/>
      </c>
      <c r="Q1128" s="8">
        <f>TEXT(C1128, "yyyy-mm")</f>
        <v/>
      </c>
      <c r="R1128" s="8" t="inlineStr">
        <is>
          <t>Mobile App</t>
        </is>
      </c>
      <c r="S1128" s="8" t="inlineStr">
        <is>
          <t>REG-EU</t>
        </is>
      </c>
    </row>
    <row r="1129">
      <c r="A1129" s="8" t="inlineStr">
        <is>
          <t>DTL-0001138</t>
        </is>
      </c>
      <c r="B1129" s="8" t="inlineStr">
        <is>
          <t>ORD-000572</t>
        </is>
      </c>
      <c r="C1129" s="10" t="inlineStr">
        <is>
          <t>2025-12-29</t>
        </is>
      </c>
      <c r="D1129" s="8" t="inlineStr">
        <is>
          <t>CUST-06086</t>
        </is>
      </c>
      <c r="E1129" s="8" t="inlineStr">
        <is>
          <t>PRD-0322</t>
        </is>
      </c>
      <c r="F1129" s="8" t="n">
        <v>1</v>
      </c>
      <c r="G1129" s="9">
        <f>IFERROR(XLOOKUP(E1129, '04_Products'!$A:$A, '04_Products'!$G:$G), 1239.40)</f>
        <v/>
      </c>
      <c r="H1129" s="9">
        <f>IFERROR(XLOOKUP(E1129, '04_Products'!$A:$A, '04_Products'!$F:$F), 0)</f>
        <v/>
      </c>
      <c r="I1129" s="9">
        <f>F1129*G1129</f>
        <v/>
      </c>
      <c r="J1129" s="11" t="n">
        <v>0.2</v>
      </c>
      <c r="K1129" s="9">
        <f>I1129*J1129</f>
        <v/>
      </c>
      <c r="L1129" s="9">
        <f>I1129-K1129</f>
        <v/>
      </c>
      <c r="M1129" s="9">
        <f>F1129*H1129</f>
        <v/>
      </c>
      <c r="N1129" s="9">
        <f>L1129-M1129</f>
        <v/>
      </c>
      <c r="O1129" s="11">
        <f>IFERROR(N1129/L1129, 0)</f>
        <v/>
      </c>
      <c r="P1129" s="8">
        <f>YEAR(C1129)</f>
        <v/>
      </c>
      <c r="Q1129" s="8">
        <f>TEXT(C1129, "yyyy-mm")</f>
        <v/>
      </c>
      <c r="R1129" s="8" t="inlineStr">
        <is>
          <t>B2B Portal</t>
        </is>
      </c>
      <c r="S1129" s="8" t="inlineStr">
        <is>
          <t>REG-LATAM</t>
        </is>
      </c>
    </row>
    <row r="1130">
      <c r="A1130" s="8" t="inlineStr">
        <is>
          <t>DTL-0001139</t>
        </is>
      </c>
      <c r="B1130" s="8" t="inlineStr">
        <is>
          <t>ORD-000573</t>
        </is>
      </c>
      <c r="C1130" s="10" t="inlineStr">
        <is>
          <t>2024-10-02</t>
        </is>
      </c>
      <c r="D1130" s="8" t="inlineStr">
        <is>
          <t>CUST-05931</t>
        </is>
      </c>
      <c r="E1130" s="8" t="inlineStr">
        <is>
          <t>PRD-0302</t>
        </is>
      </c>
      <c r="F1130" s="8" t="n">
        <v>2</v>
      </c>
      <c r="G1130" s="9">
        <f>IFERROR(XLOOKUP(E1130, '04_Products'!$A:$A, '04_Products'!$G:$G), 51.82)</f>
        <v/>
      </c>
      <c r="H1130" s="9">
        <f>IFERROR(XLOOKUP(E1130, '04_Products'!$A:$A, '04_Products'!$F:$F), 0)</f>
        <v/>
      </c>
      <c r="I1130" s="9">
        <f>F1130*G1130</f>
        <v/>
      </c>
      <c r="J1130" s="11" t="n">
        <v>0.05</v>
      </c>
      <c r="K1130" s="9">
        <f>I1130*J1130</f>
        <v/>
      </c>
      <c r="L1130" s="9">
        <f>I1130-K1130</f>
        <v/>
      </c>
      <c r="M1130" s="9">
        <f>F1130*H1130</f>
        <v/>
      </c>
      <c r="N1130" s="9">
        <f>L1130-M1130</f>
        <v/>
      </c>
      <c r="O1130" s="11">
        <f>IFERROR(N1130/L1130, 0)</f>
        <v/>
      </c>
      <c r="P1130" s="8">
        <f>YEAR(C1130)</f>
        <v/>
      </c>
      <c r="Q1130" s="8">
        <f>TEXT(C1130, "yyyy-mm")</f>
        <v/>
      </c>
      <c r="R1130" s="8" t="inlineStr">
        <is>
          <t>B2B Portal</t>
        </is>
      </c>
      <c r="S1130" s="8" t="inlineStr">
        <is>
          <t>REG-EU</t>
        </is>
      </c>
    </row>
    <row r="1131">
      <c r="A1131" s="8" t="inlineStr">
        <is>
          <t>DTL-0001140</t>
        </is>
      </c>
      <c r="B1131" s="8" t="inlineStr">
        <is>
          <t>ORD-000574</t>
        </is>
      </c>
      <c r="C1131" s="10" t="inlineStr">
        <is>
          <t>2025-05-24</t>
        </is>
      </c>
      <c r="D1131" s="8" t="inlineStr">
        <is>
          <t>CUST-06855</t>
        </is>
      </c>
      <c r="E1131" s="8" t="inlineStr">
        <is>
          <t>PRD-0040</t>
        </is>
      </c>
      <c r="F1131" s="8" t="n">
        <v>1</v>
      </c>
      <c r="G1131" s="9">
        <f>IFERROR(XLOOKUP(E1131, '04_Products'!$A:$A, '04_Products'!$G:$G), 28.56)</f>
        <v/>
      </c>
      <c r="H1131" s="9">
        <f>IFERROR(XLOOKUP(E1131, '04_Products'!$A:$A, '04_Products'!$F:$F), 0)</f>
        <v/>
      </c>
      <c r="I1131" s="9">
        <f>F1131*G1131</f>
        <v/>
      </c>
      <c r="J1131" s="11" t="n">
        <v>0.1</v>
      </c>
      <c r="K1131" s="9">
        <f>I1131*J1131</f>
        <v/>
      </c>
      <c r="L1131" s="9">
        <f>I1131-K1131</f>
        <v/>
      </c>
      <c r="M1131" s="9">
        <f>F1131*H1131</f>
        <v/>
      </c>
      <c r="N1131" s="9">
        <f>L1131-M1131</f>
        <v/>
      </c>
      <c r="O1131" s="11">
        <f>IFERROR(N1131/L1131, 0)</f>
        <v/>
      </c>
      <c r="P1131" s="8">
        <f>YEAR(C1131)</f>
        <v/>
      </c>
      <c r="Q1131" s="8">
        <f>TEXT(C1131, "yyyy-mm")</f>
        <v/>
      </c>
      <c r="R1131" s="8" t="inlineStr">
        <is>
          <t>Direct Web</t>
        </is>
      </c>
      <c r="S1131" s="8" t="inlineStr">
        <is>
          <t>REG-APAC</t>
        </is>
      </c>
    </row>
    <row r="1132">
      <c r="A1132" s="8" t="inlineStr">
        <is>
          <t>DTL-0001141</t>
        </is>
      </c>
      <c r="B1132" s="8" t="inlineStr">
        <is>
          <t>ORD-000574</t>
        </is>
      </c>
      <c r="C1132" s="10" t="inlineStr">
        <is>
          <t>2025-05-24</t>
        </is>
      </c>
      <c r="D1132" s="8" t="inlineStr">
        <is>
          <t>CUST-06855</t>
        </is>
      </c>
      <c r="E1132" s="8" t="inlineStr">
        <is>
          <t>PRD-0185</t>
        </is>
      </c>
      <c r="F1132" s="8" t="n">
        <v>1</v>
      </c>
      <c r="G1132" s="9">
        <f>IFERROR(XLOOKUP(E1132, '04_Products'!$A:$A, '04_Products'!$G:$G), 1296.57)</f>
        <v/>
      </c>
      <c r="H1132" s="9">
        <f>IFERROR(XLOOKUP(E1132, '04_Products'!$A:$A, '04_Products'!$F:$F), 0)</f>
        <v/>
      </c>
      <c r="I1132" s="9">
        <f>F1132*G1132</f>
        <v/>
      </c>
      <c r="J1132" s="11" t="n">
        <v>0.05</v>
      </c>
      <c r="K1132" s="9">
        <f>I1132*J1132</f>
        <v/>
      </c>
      <c r="L1132" s="9">
        <f>I1132-K1132</f>
        <v/>
      </c>
      <c r="M1132" s="9">
        <f>F1132*H1132</f>
        <v/>
      </c>
      <c r="N1132" s="9">
        <f>L1132-M1132</f>
        <v/>
      </c>
      <c r="O1132" s="11">
        <f>IFERROR(N1132/L1132, 0)</f>
        <v/>
      </c>
      <c r="P1132" s="8">
        <f>YEAR(C1132)</f>
        <v/>
      </c>
      <c r="Q1132" s="8">
        <f>TEXT(C1132, "yyyy-mm")</f>
        <v/>
      </c>
      <c r="R1132" s="8" t="inlineStr">
        <is>
          <t>Direct Web</t>
        </is>
      </c>
      <c r="S1132" s="8" t="inlineStr">
        <is>
          <t>REG-APAC</t>
        </is>
      </c>
    </row>
    <row r="1133">
      <c r="A1133" s="8" t="inlineStr">
        <is>
          <t>DTL-0001142</t>
        </is>
      </c>
      <c r="B1133" s="8" t="inlineStr">
        <is>
          <t>ORD-000575</t>
        </is>
      </c>
      <c r="C1133" s="10" t="inlineStr">
        <is>
          <t>2023-10-16</t>
        </is>
      </c>
      <c r="D1133" s="8" t="inlineStr">
        <is>
          <t>CUST-07051</t>
        </is>
      </c>
      <c r="E1133" s="8" t="inlineStr">
        <is>
          <t>PRD-0363</t>
        </is>
      </c>
      <c r="F1133" s="8" t="n">
        <v>4</v>
      </c>
      <c r="G1133" s="9">
        <f>IFERROR(XLOOKUP(E1133, '04_Products'!$A:$A, '04_Products'!$G:$G), 40.42)</f>
        <v/>
      </c>
      <c r="H1133" s="9">
        <f>IFERROR(XLOOKUP(E1133, '04_Products'!$A:$A, '04_Products'!$F:$F), 0)</f>
        <v/>
      </c>
      <c r="I1133" s="9">
        <f>F1133*G1133</f>
        <v/>
      </c>
      <c r="J1133" s="11" t="n">
        <v>0.25</v>
      </c>
      <c r="K1133" s="9">
        <f>I1133*J1133</f>
        <v/>
      </c>
      <c r="L1133" s="9">
        <f>I1133-K1133</f>
        <v/>
      </c>
      <c r="M1133" s="9">
        <f>F1133*H1133</f>
        <v/>
      </c>
      <c r="N1133" s="9">
        <f>L1133-M1133</f>
        <v/>
      </c>
      <c r="O1133" s="11">
        <f>IFERROR(N1133/L1133, 0)</f>
        <v/>
      </c>
      <c r="P1133" s="8">
        <f>YEAR(C1133)</f>
        <v/>
      </c>
      <c r="Q1133" s="8">
        <f>TEXT(C1133, "yyyy-mm")</f>
        <v/>
      </c>
      <c r="R1133" s="8" t="inlineStr">
        <is>
          <t>Direct Web</t>
        </is>
      </c>
      <c r="S1133" s="8" t="inlineStr">
        <is>
          <t>REG-NA</t>
        </is>
      </c>
    </row>
    <row r="1134">
      <c r="A1134" s="8" t="inlineStr">
        <is>
          <t>DTL-0001143</t>
        </is>
      </c>
      <c r="B1134" s="8" t="inlineStr">
        <is>
          <t>ORD-000575</t>
        </is>
      </c>
      <c r="C1134" s="10" t="inlineStr">
        <is>
          <t>2023-10-16</t>
        </is>
      </c>
      <c r="D1134" s="8" t="inlineStr">
        <is>
          <t>CUST-07051</t>
        </is>
      </c>
      <c r="E1134" s="8" t="inlineStr">
        <is>
          <t>PRD-0308</t>
        </is>
      </c>
      <c r="F1134" s="8" t="n">
        <v>5</v>
      </c>
      <c r="G1134" s="9">
        <f>IFERROR(XLOOKUP(E1134, '04_Products'!$A:$A, '04_Products'!$G:$G), 61.03)</f>
        <v/>
      </c>
      <c r="H1134" s="9">
        <f>IFERROR(XLOOKUP(E1134, '04_Products'!$A:$A, '04_Products'!$F:$F), 0)</f>
        <v/>
      </c>
      <c r="I1134" s="9">
        <f>F1134*G1134</f>
        <v/>
      </c>
      <c r="J1134" s="11" t="n">
        <v>0.05</v>
      </c>
      <c r="K1134" s="9">
        <f>I1134*J1134</f>
        <v/>
      </c>
      <c r="L1134" s="9">
        <f>I1134-K1134</f>
        <v/>
      </c>
      <c r="M1134" s="9">
        <f>F1134*H1134</f>
        <v/>
      </c>
      <c r="N1134" s="9">
        <f>L1134-M1134</f>
        <v/>
      </c>
      <c r="O1134" s="11">
        <f>IFERROR(N1134/L1134, 0)</f>
        <v/>
      </c>
      <c r="P1134" s="8">
        <f>YEAR(C1134)</f>
        <v/>
      </c>
      <c r="Q1134" s="8">
        <f>TEXT(C1134, "yyyy-mm")</f>
        <v/>
      </c>
      <c r="R1134" s="8" t="inlineStr">
        <is>
          <t>Direct Web</t>
        </is>
      </c>
      <c r="S1134" s="8" t="inlineStr">
        <is>
          <t>REG-NA</t>
        </is>
      </c>
    </row>
    <row r="1135">
      <c r="A1135" s="8" t="inlineStr">
        <is>
          <t>DTL-0001144</t>
        </is>
      </c>
      <c r="B1135" s="8" t="inlineStr">
        <is>
          <t>ORD-000575</t>
        </is>
      </c>
      <c r="C1135" s="10" t="inlineStr">
        <is>
          <t>2023-10-16</t>
        </is>
      </c>
      <c r="D1135" s="8" t="inlineStr">
        <is>
          <t>CUST-07051</t>
        </is>
      </c>
      <c r="E1135" s="8" t="inlineStr">
        <is>
          <t>PRD-0102</t>
        </is>
      </c>
      <c r="F1135" s="8" t="n">
        <v>1</v>
      </c>
      <c r="G1135" s="9">
        <f>IFERROR(XLOOKUP(E1135, '04_Products'!$A:$A, '04_Products'!$G:$G), 933.64)</f>
        <v/>
      </c>
      <c r="H1135" s="9">
        <f>IFERROR(XLOOKUP(E1135, '04_Products'!$A:$A, '04_Products'!$F:$F), 0)</f>
        <v/>
      </c>
      <c r="I1135" s="9">
        <f>F1135*G1135</f>
        <v/>
      </c>
      <c r="J1135" s="11" t="n">
        <v>0</v>
      </c>
      <c r="K1135" s="9">
        <f>I1135*J1135</f>
        <v/>
      </c>
      <c r="L1135" s="9">
        <f>I1135-K1135</f>
        <v/>
      </c>
      <c r="M1135" s="9">
        <f>F1135*H1135</f>
        <v/>
      </c>
      <c r="N1135" s="9">
        <f>L1135-M1135</f>
        <v/>
      </c>
      <c r="O1135" s="11">
        <f>IFERROR(N1135/L1135, 0)</f>
        <v/>
      </c>
      <c r="P1135" s="8">
        <f>YEAR(C1135)</f>
        <v/>
      </c>
      <c r="Q1135" s="8">
        <f>TEXT(C1135, "yyyy-mm")</f>
        <v/>
      </c>
      <c r="R1135" s="8" t="inlineStr">
        <is>
          <t>Direct Web</t>
        </is>
      </c>
      <c r="S1135" s="8" t="inlineStr">
        <is>
          <t>REG-NA</t>
        </is>
      </c>
    </row>
    <row r="1136">
      <c r="A1136" s="8" t="inlineStr">
        <is>
          <t>DTL-0001145</t>
        </is>
      </c>
      <c r="B1136" s="8" t="inlineStr">
        <is>
          <t>ORD-000575</t>
        </is>
      </c>
      <c r="C1136" s="10" t="inlineStr">
        <is>
          <t>2023-10-16</t>
        </is>
      </c>
      <c r="D1136" s="8" t="inlineStr">
        <is>
          <t>CUST-07051</t>
        </is>
      </c>
      <c r="E1136" s="8" t="inlineStr">
        <is>
          <t>PRD-0362</t>
        </is>
      </c>
      <c r="F1136" s="8" t="n">
        <v>1</v>
      </c>
      <c r="G1136" s="9">
        <f>IFERROR(XLOOKUP(E1136, '04_Products'!$A:$A, '04_Products'!$G:$G), 110.63)</f>
        <v/>
      </c>
      <c r="H1136" s="9">
        <f>IFERROR(XLOOKUP(E1136, '04_Products'!$A:$A, '04_Products'!$F:$F), 0)</f>
        <v/>
      </c>
      <c r="I1136" s="9">
        <f>F1136*G1136</f>
        <v/>
      </c>
      <c r="J1136" s="11" t="n">
        <v>0.25</v>
      </c>
      <c r="K1136" s="9">
        <f>I1136*J1136</f>
        <v/>
      </c>
      <c r="L1136" s="9">
        <f>I1136-K1136</f>
        <v/>
      </c>
      <c r="M1136" s="9">
        <f>F1136*H1136</f>
        <v/>
      </c>
      <c r="N1136" s="9">
        <f>L1136-M1136</f>
        <v/>
      </c>
      <c r="O1136" s="11">
        <f>IFERROR(N1136/L1136, 0)</f>
        <v/>
      </c>
      <c r="P1136" s="8">
        <f>YEAR(C1136)</f>
        <v/>
      </c>
      <c r="Q1136" s="8">
        <f>TEXT(C1136, "yyyy-mm")</f>
        <v/>
      </c>
      <c r="R1136" s="8" t="inlineStr">
        <is>
          <t>Direct Web</t>
        </is>
      </c>
      <c r="S1136" s="8" t="inlineStr">
        <is>
          <t>REG-NA</t>
        </is>
      </c>
    </row>
    <row r="1137">
      <c r="A1137" s="8" t="inlineStr">
        <is>
          <t>DTL-0001146</t>
        </is>
      </c>
      <c r="B1137" s="8" t="inlineStr">
        <is>
          <t>ORD-000576</t>
        </is>
      </c>
      <c r="C1137" s="10" t="inlineStr">
        <is>
          <t>2025-06-09</t>
        </is>
      </c>
      <c r="D1137" s="8" t="inlineStr">
        <is>
          <t>CUST-07516</t>
        </is>
      </c>
      <c r="E1137" s="8" t="inlineStr">
        <is>
          <t>PRD-0179</t>
        </is>
      </c>
      <c r="F1137" s="8" t="n">
        <v>1</v>
      </c>
      <c r="G1137" s="9">
        <f>IFERROR(XLOOKUP(E1137, '04_Products'!$A:$A, '04_Products'!$G:$G), 409.29)</f>
        <v/>
      </c>
      <c r="H1137" s="9">
        <f>IFERROR(XLOOKUP(E1137, '04_Products'!$A:$A, '04_Products'!$F:$F), 0)</f>
        <v/>
      </c>
      <c r="I1137" s="9">
        <f>F1137*G1137</f>
        <v/>
      </c>
      <c r="J1137" s="11" t="n">
        <v>0</v>
      </c>
      <c r="K1137" s="9">
        <f>I1137*J1137</f>
        <v/>
      </c>
      <c r="L1137" s="9">
        <f>I1137-K1137</f>
        <v/>
      </c>
      <c r="M1137" s="9">
        <f>F1137*H1137</f>
        <v/>
      </c>
      <c r="N1137" s="9">
        <f>L1137-M1137</f>
        <v/>
      </c>
      <c r="O1137" s="11">
        <f>IFERROR(N1137/L1137, 0)</f>
        <v/>
      </c>
      <c r="P1137" s="8">
        <f>YEAR(C1137)</f>
        <v/>
      </c>
      <c r="Q1137" s="8">
        <f>TEXT(C1137, "yyyy-mm")</f>
        <v/>
      </c>
      <c r="R1137" s="8" t="inlineStr">
        <is>
          <t>Direct Web</t>
        </is>
      </c>
      <c r="S1137" s="8" t="inlineStr">
        <is>
          <t>REG-APAC</t>
        </is>
      </c>
    </row>
    <row r="1138">
      <c r="A1138" s="8" t="inlineStr">
        <is>
          <t>DTL-0001147</t>
        </is>
      </c>
      <c r="B1138" s="8" t="inlineStr">
        <is>
          <t>ORD-000577</t>
        </is>
      </c>
      <c r="C1138" s="10" t="inlineStr">
        <is>
          <t>2025-05-11</t>
        </is>
      </c>
      <c r="D1138" s="8" t="inlineStr">
        <is>
          <t>CUST-07908</t>
        </is>
      </c>
      <c r="E1138" s="8" t="inlineStr">
        <is>
          <t>PRD-0277</t>
        </is>
      </c>
      <c r="F1138" s="8" t="n">
        <v>1</v>
      </c>
      <c r="G1138" s="9">
        <f>IFERROR(XLOOKUP(E1138, '04_Products'!$A:$A, '04_Products'!$G:$G), 990.61)</f>
        <v/>
      </c>
      <c r="H1138" s="9">
        <f>IFERROR(XLOOKUP(E1138, '04_Products'!$A:$A, '04_Products'!$F:$F), 0)</f>
        <v/>
      </c>
      <c r="I1138" s="9">
        <f>F1138*G1138</f>
        <v/>
      </c>
      <c r="J1138" s="11" t="n">
        <v>0.05</v>
      </c>
      <c r="K1138" s="9">
        <f>I1138*J1138</f>
        <v/>
      </c>
      <c r="L1138" s="9">
        <f>I1138-K1138</f>
        <v/>
      </c>
      <c r="M1138" s="9">
        <f>F1138*H1138</f>
        <v/>
      </c>
      <c r="N1138" s="9">
        <f>L1138-M1138</f>
        <v/>
      </c>
      <c r="O1138" s="11">
        <f>IFERROR(N1138/L1138, 0)</f>
        <v/>
      </c>
      <c r="P1138" s="8">
        <f>YEAR(C1138)</f>
        <v/>
      </c>
      <c r="Q1138" s="8">
        <f>TEXT(C1138, "yyyy-mm")</f>
        <v/>
      </c>
      <c r="R1138" s="8" t="inlineStr">
        <is>
          <t>Direct Web</t>
        </is>
      </c>
      <c r="S1138" s="8" t="inlineStr">
        <is>
          <t>REG-APAC</t>
        </is>
      </c>
    </row>
    <row r="1139">
      <c r="A1139" s="8" t="inlineStr">
        <is>
          <t>DTL-0001148</t>
        </is>
      </c>
      <c r="B1139" s="8" t="inlineStr">
        <is>
          <t>ORD-000577</t>
        </is>
      </c>
      <c r="C1139" s="10" t="inlineStr">
        <is>
          <t>2025-05-11</t>
        </is>
      </c>
      <c r="D1139" s="8" t="inlineStr">
        <is>
          <t>CUST-07908</t>
        </is>
      </c>
      <c r="E1139" s="8" t="inlineStr">
        <is>
          <t>PRD-0039</t>
        </is>
      </c>
      <c r="F1139" s="8" t="n">
        <v>1</v>
      </c>
      <c r="G1139" s="9">
        <f>IFERROR(XLOOKUP(E1139, '04_Products'!$A:$A, '04_Products'!$G:$G), 1365.37)</f>
        <v/>
      </c>
      <c r="H1139" s="9">
        <f>IFERROR(XLOOKUP(E1139, '04_Products'!$A:$A, '04_Products'!$F:$F), 0)</f>
        <v/>
      </c>
      <c r="I1139" s="9">
        <f>F1139*G1139</f>
        <v/>
      </c>
      <c r="J1139" s="11" t="n">
        <v>0.1</v>
      </c>
      <c r="K1139" s="9">
        <f>I1139*J1139</f>
        <v/>
      </c>
      <c r="L1139" s="9">
        <f>I1139-K1139</f>
        <v/>
      </c>
      <c r="M1139" s="9">
        <f>F1139*H1139</f>
        <v/>
      </c>
      <c r="N1139" s="9">
        <f>L1139-M1139</f>
        <v/>
      </c>
      <c r="O1139" s="11">
        <f>IFERROR(N1139/L1139, 0)</f>
        <v/>
      </c>
      <c r="P1139" s="8">
        <f>YEAR(C1139)</f>
        <v/>
      </c>
      <c r="Q1139" s="8">
        <f>TEXT(C1139, "yyyy-mm")</f>
        <v/>
      </c>
      <c r="R1139" s="8" t="inlineStr">
        <is>
          <t>Direct Web</t>
        </is>
      </c>
      <c r="S1139" s="8" t="inlineStr">
        <is>
          <t>REG-APAC</t>
        </is>
      </c>
    </row>
    <row r="1140">
      <c r="A1140" s="8" t="inlineStr">
        <is>
          <t>DTL-0001149</t>
        </is>
      </c>
      <c r="B1140" s="8" t="inlineStr">
        <is>
          <t>ORD-000577</t>
        </is>
      </c>
      <c r="C1140" s="10" t="inlineStr">
        <is>
          <t>2025-05-11</t>
        </is>
      </c>
      <c r="D1140" s="8" t="inlineStr">
        <is>
          <t>CUST-07908</t>
        </is>
      </c>
      <c r="E1140" s="8" t="inlineStr">
        <is>
          <t>PRD-0279</t>
        </is>
      </c>
      <c r="F1140" s="8" t="n">
        <v>1</v>
      </c>
      <c r="G1140" s="9">
        <f>IFERROR(XLOOKUP(E1140, '04_Products'!$A:$A, '04_Products'!$G:$G), 783.46)</f>
        <v/>
      </c>
      <c r="H1140" s="9">
        <f>IFERROR(XLOOKUP(E1140, '04_Products'!$A:$A, '04_Products'!$F:$F), 0)</f>
        <v/>
      </c>
      <c r="I1140" s="9">
        <f>F1140*G1140</f>
        <v/>
      </c>
      <c r="J1140" s="11" t="n">
        <v>0</v>
      </c>
      <c r="K1140" s="9">
        <f>I1140*J1140</f>
        <v/>
      </c>
      <c r="L1140" s="9">
        <f>I1140-K1140</f>
        <v/>
      </c>
      <c r="M1140" s="9">
        <f>F1140*H1140</f>
        <v/>
      </c>
      <c r="N1140" s="9">
        <f>L1140-M1140</f>
        <v/>
      </c>
      <c r="O1140" s="11">
        <f>IFERROR(N1140/L1140, 0)</f>
        <v/>
      </c>
      <c r="P1140" s="8">
        <f>YEAR(C1140)</f>
        <v/>
      </c>
      <c r="Q1140" s="8">
        <f>TEXT(C1140, "yyyy-mm")</f>
        <v/>
      </c>
      <c r="R1140" s="8" t="inlineStr">
        <is>
          <t>Direct Web</t>
        </is>
      </c>
      <c r="S1140" s="8" t="inlineStr">
        <is>
          <t>REG-APAC</t>
        </is>
      </c>
    </row>
    <row r="1141">
      <c r="A1141" s="8" t="inlineStr">
        <is>
          <t>DTL-0001150</t>
        </is>
      </c>
      <c r="B1141" s="8" t="inlineStr">
        <is>
          <t>ORD-000577</t>
        </is>
      </c>
      <c r="C1141" s="10" t="inlineStr">
        <is>
          <t>2025-05-11</t>
        </is>
      </c>
      <c r="D1141" s="8" t="inlineStr">
        <is>
          <t>CUST-07908</t>
        </is>
      </c>
      <c r="E1141" s="8" t="inlineStr">
        <is>
          <t>PRD-0353</t>
        </is>
      </c>
      <c r="F1141" s="8" t="n">
        <v>1</v>
      </c>
      <c r="G1141" s="9">
        <f>IFERROR(XLOOKUP(E1141, '04_Products'!$A:$A, '04_Products'!$G:$G), 438.24)</f>
        <v/>
      </c>
      <c r="H1141" s="9">
        <f>IFERROR(XLOOKUP(E1141, '04_Products'!$A:$A, '04_Products'!$F:$F), 0)</f>
        <v/>
      </c>
      <c r="I1141" s="9">
        <f>F1141*G1141</f>
        <v/>
      </c>
      <c r="J1141" s="11" t="n">
        <v>0</v>
      </c>
      <c r="K1141" s="9">
        <f>I1141*J1141</f>
        <v/>
      </c>
      <c r="L1141" s="9">
        <f>I1141-K1141</f>
        <v/>
      </c>
      <c r="M1141" s="9">
        <f>F1141*H1141</f>
        <v/>
      </c>
      <c r="N1141" s="9">
        <f>L1141-M1141</f>
        <v/>
      </c>
      <c r="O1141" s="11">
        <f>IFERROR(N1141/L1141, 0)</f>
        <v/>
      </c>
      <c r="P1141" s="8">
        <f>YEAR(C1141)</f>
        <v/>
      </c>
      <c r="Q1141" s="8">
        <f>TEXT(C1141, "yyyy-mm")</f>
        <v/>
      </c>
      <c r="R1141" s="8" t="inlineStr">
        <is>
          <t>Direct Web</t>
        </is>
      </c>
      <c r="S1141" s="8" t="inlineStr">
        <is>
          <t>REG-APAC</t>
        </is>
      </c>
    </row>
    <row r="1142">
      <c r="A1142" s="8" t="inlineStr">
        <is>
          <t>DTL-0001151</t>
        </is>
      </c>
      <c r="B1142" s="8" t="inlineStr">
        <is>
          <t>ORD-000577</t>
        </is>
      </c>
      <c r="C1142" s="10" t="inlineStr">
        <is>
          <t>2025-05-11</t>
        </is>
      </c>
      <c r="D1142" s="8" t="inlineStr">
        <is>
          <t>CUST-07908</t>
        </is>
      </c>
      <c r="E1142" s="8" t="inlineStr">
        <is>
          <t>PRD-0379</t>
        </is>
      </c>
      <c r="F1142" s="8" t="n">
        <v>2</v>
      </c>
      <c r="G1142" s="9">
        <f>IFERROR(XLOOKUP(E1142, '04_Products'!$A:$A, '04_Products'!$G:$G), 626.40)</f>
        <v/>
      </c>
      <c r="H1142" s="9">
        <f>IFERROR(XLOOKUP(E1142, '04_Products'!$A:$A, '04_Products'!$F:$F), 0)</f>
        <v/>
      </c>
      <c r="I1142" s="9">
        <f>F1142*G1142</f>
        <v/>
      </c>
      <c r="J1142" s="11" t="n">
        <v>0.1</v>
      </c>
      <c r="K1142" s="9">
        <f>I1142*J1142</f>
        <v/>
      </c>
      <c r="L1142" s="9">
        <f>I1142-K1142</f>
        <v/>
      </c>
      <c r="M1142" s="9">
        <f>F1142*H1142</f>
        <v/>
      </c>
      <c r="N1142" s="9">
        <f>L1142-M1142</f>
        <v/>
      </c>
      <c r="O1142" s="11">
        <f>IFERROR(N1142/L1142, 0)</f>
        <v/>
      </c>
      <c r="P1142" s="8">
        <f>YEAR(C1142)</f>
        <v/>
      </c>
      <c r="Q1142" s="8">
        <f>TEXT(C1142, "yyyy-mm")</f>
        <v/>
      </c>
      <c r="R1142" s="8" t="inlineStr">
        <is>
          <t>Direct Web</t>
        </is>
      </c>
      <c r="S1142" s="8" t="inlineStr">
        <is>
          <t>REG-APAC</t>
        </is>
      </c>
    </row>
    <row r="1143">
      <c r="A1143" s="8" t="inlineStr">
        <is>
          <t>DTL-0001152</t>
        </is>
      </c>
      <c r="B1143" s="8" t="inlineStr">
        <is>
          <t>ORD-000578</t>
        </is>
      </c>
      <c r="C1143" s="10" t="inlineStr">
        <is>
          <t>2024-08-16</t>
        </is>
      </c>
      <c r="D1143" s="8" t="inlineStr">
        <is>
          <t>CUST-05952</t>
        </is>
      </c>
      <c r="E1143" s="8" t="inlineStr">
        <is>
          <t>PRD-0120</t>
        </is>
      </c>
      <c r="F1143" s="8" t="n">
        <v>2</v>
      </c>
      <c r="G1143" s="9">
        <f>IFERROR(XLOOKUP(E1143, '04_Products'!$A:$A, '04_Products'!$G:$G), 1001.04)</f>
        <v/>
      </c>
      <c r="H1143" s="9">
        <f>IFERROR(XLOOKUP(E1143, '04_Products'!$A:$A, '04_Products'!$F:$F), 0)</f>
        <v/>
      </c>
      <c r="I1143" s="9">
        <f>F1143*G1143</f>
        <v/>
      </c>
      <c r="J1143" s="11" t="n">
        <v>0</v>
      </c>
      <c r="K1143" s="9">
        <f>I1143*J1143</f>
        <v/>
      </c>
      <c r="L1143" s="9">
        <f>I1143-K1143</f>
        <v/>
      </c>
      <c r="M1143" s="9">
        <f>F1143*H1143</f>
        <v/>
      </c>
      <c r="N1143" s="9">
        <f>L1143-M1143</f>
        <v/>
      </c>
      <c r="O1143" s="11">
        <f>IFERROR(N1143/L1143, 0)</f>
        <v/>
      </c>
      <c r="P1143" s="8">
        <f>YEAR(C1143)</f>
        <v/>
      </c>
      <c r="Q1143" s="8">
        <f>TEXT(C1143, "yyyy-mm")</f>
        <v/>
      </c>
      <c r="R1143" s="8" t="inlineStr">
        <is>
          <t>Mobile App</t>
        </is>
      </c>
      <c r="S1143" s="8" t="inlineStr">
        <is>
          <t>REG-NA</t>
        </is>
      </c>
    </row>
    <row r="1144">
      <c r="A1144" s="8" t="inlineStr">
        <is>
          <t>DTL-0001153</t>
        </is>
      </c>
      <c r="B1144" s="8" t="inlineStr">
        <is>
          <t>ORD-000579</t>
        </is>
      </c>
      <c r="C1144" s="10" t="inlineStr">
        <is>
          <t>2024-12-10</t>
        </is>
      </c>
      <c r="D1144" s="8" t="inlineStr">
        <is>
          <t>CUST-05815</t>
        </is>
      </c>
      <c r="E1144" s="8" t="inlineStr">
        <is>
          <t>PRD-0332</t>
        </is>
      </c>
      <c r="F1144" s="8" t="n">
        <v>3</v>
      </c>
      <c r="G1144" s="9">
        <f>IFERROR(XLOOKUP(E1144, '04_Products'!$A:$A, '04_Products'!$G:$G), 82.03)</f>
        <v/>
      </c>
      <c r="H1144" s="9">
        <f>IFERROR(XLOOKUP(E1144, '04_Products'!$A:$A, '04_Products'!$F:$F), 0)</f>
        <v/>
      </c>
      <c r="I1144" s="9">
        <f>F1144*G1144</f>
        <v/>
      </c>
      <c r="J1144" s="11" t="n">
        <v>0.25</v>
      </c>
      <c r="K1144" s="9">
        <f>I1144*J1144</f>
        <v/>
      </c>
      <c r="L1144" s="9">
        <f>I1144-K1144</f>
        <v/>
      </c>
      <c r="M1144" s="9">
        <f>F1144*H1144</f>
        <v/>
      </c>
      <c r="N1144" s="9">
        <f>L1144-M1144</f>
        <v/>
      </c>
      <c r="O1144" s="11">
        <f>IFERROR(N1144/L1144, 0)</f>
        <v/>
      </c>
      <c r="P1144" s="8">
        <f>YEAR(C1144)</f>
        <v/>
      </c>
      <c r="Q1144" s="8">
        <f>TEXT(C1144, "yyyy-mm")</f>
        <v/>
      </c>
      <c r="R1144" s="8" t="inlineStr">
        <is>
          <t>Direct Web</t>
        </is>
      </c>
      <c r="S1144" s="8" t="inlineStr">
        <is>
          <t>REG-APAC</t>
        </is>
      </c>
    </row>
    <row r="1145">
      <c r="A1145" s="8" t="inlineStr">
        <is>
          <t>DTL-0001154</t>
        </is>
      </c>
      <c r="B1145" s="8" t="inlineStr">
        <is>
          <t>ORD-000580</t>
        </is>
      </c>
      <c r="C1145" s="10" t="inlineStr">
        <is>
          <t>2023-09-19</t>
        </is>
      </c>
      <c r="D1145" s="8" t="inlineStr">
        <is>
          <t>CUST-07907</t>
        </is>
      </c>
      <c r="E1145" s="8" t="inlineStr">
        <is>
          <t>PRD-0304</t>
        </is>
      </c>
      <c r="F1145" s="8" t="n">
        <v>1</v>
      </c>
      <c r="G1145" s="9">
        <f>IFERROR(XLOOKUP(E1145, '04_Products'!$A:$A, '04_Products'!$G:$G), 489.86)</f>
        <v/>
      </c>
      <c r="H1145" s="9">
        <f>IFERROR(XLOOKUP(E1145, '04_Products'!$A:$A, '04_Products'!$F:$F), 0)</f>
        <v/>
      </c>
      <c r="I1145" s="9">
        <f>F1145*G1145</f>
        <v/>
      </c>
      <c r="J1145" s="11" t="n">
        <v>0</v>
      </c>
      <c r="K1145" s="9">
        <f>I1145*J1145</f>
        <v/>
      </c>
      <c r="L1145" s="9">
        <f>I1145-K1145</f>
        <v/>
      </c>
      <c r="M1145" s="9">
        <f>F1145*H1145</f>
        <v/>
      </c>
      <c r="N1145" s="9">
        <f>L1145-M1145</f>
        <v/>
      </c>
      <c r="O1145" s="11">
        <f>IFERROR(N1145/L1145, 0)</f>
        <v/>
      </c>
      <c r="P1145" s="8">
        <f>YEAR(C1145)</f>
        <v/>
      </c>
      <c r="Q1145" s="8">
        <f>TEXT(C1145, "yyyy-mm")</f>
        <v/>
      </c>
      <c r="R1145" s="8" t="inlineStr">
        <is>
          <t>Affiliate Partner</t>
        </is>
      </c>
      <c r="S1145" s="8" t="inlineStr">
        <is>
          <t>REG-EU</t>
        </is>
      </c>
    </row>
    <row r="1146">
      <c r="A1146" s="8" t="inlineStr">
        <is>
          <t>DTL-0001155</t>
        </is>
      </c>
      <c r="B1146" s="8" t="inlineStr">
        <is>
          <t>ORD-000580</t>
        </is>
      </c>
      <c r="C1146" s="10" t="inlineStr">
        <is>
          <t>2023-09-19</t>
        </is>
      </c>
      <c r="D1146" s="8" t="inlineStr">
        <is>
          <t>CUST-07907</t>
        </is>
      </c>
      <c r="E1146" s="8" t="inlineStr">
        <is>
          <t>PRD-0209</t>
        </is>
      </c>
      <c r="F1146" s="8" t="n">
        <v>1</v>
      </c>
      <c r="G1146" s="9">
        <f>IFERROR(XLOOKUP(E1146, '04_Products'!$A:$A, '04_Products'!$G:$G), 306.02)</f>
        <v/>
      </c>
      <c r="H1146" s="9">
        <f>IFERROR(XLOOKUP(E1146, '04_Products'!$A:$A, '04_Products'!$F:$F), 0)</f>
        <v/>
      </c>
      <c r="I1146" s="9">
        <f>F1146*G1146</f>
        <v/>
      </c>
      <c r="J1146" s="11" t="n">
        <v>0.05</v>
      </c>
      <c r="K1146" s="9">
        <f>I1146*J1146</f>
        <v/>
      </c>
      <c r="L1146" s="9">
        <f>I1146-K1146</f>
        <v/>
      </c>
      <c r="M1146" s="9">
        <f>F1146*H1146</f>
        <v/>
      </c>
      <c r="N1146" s="9">
        <f>L1146-M1146</f>
        <v/>
      </c>
      <c r="O1146" s="11">
        <f>IFERROR(N1146/L1146, 0)</f>
        <v/>
      </c>
      <c r="P1146" s="8">
        <f>YEAR(C1146)</f>
        <v/>
      </c>
      <c r="Q1146" s="8">
        <f>TEXT(C1146, "yyyy-mm")</f>
        <v/>
      </c>
      <c r="R1146" s="8" t="inlineStr">
        <is>
          <t>Affiliate Partner</t>
        </is>
      </c>
      <c r="S1146" s="8" t="inlineStr">
        <is>
          <t>REG-EU</t>
        </is>
      </c>
    </row>
    <row r="1147">
      <c r="A1147" s="8" t="inlineStr">
        <is>
          <t>DTL-0001156</t>
        </is>
      </c>
      <c r="B1147" s="8" t="inlineStr">
        <is>
          <t>ORD-000581</t>
        </is>
      </c>
      <c r="C1147" s="10" t="inlineStr">
        <is>
          <t>2025-11-25</t>
        </is>
      </c>
      <c r="D1147" s="8" t="inlineStr">
        <is>
          <t>CUST-00163</t>
        </is>
      </c>
      <c r="E1147" s="8" t="inlineStr">
        <is>
          <t>PRD-0132</t>
        </is>
      </c>
      <c r="F1147" s="8" t="n">
        <v>5</v>
      </c>
      <c r="G1147" s="9">
        <f>IFERROR(XLOOKUP(E1147, '04_Products'!$A:$A, '04_Products'!$G:$G), 792.09)</f>
        <v/>
      </c>
      <c r="H1147" s="9">
        <f>IFERROR(XLOOKUP(E1147, '04_Products'!$A:$A, '04_Products'!$F:$F), 0)</f>
        <v/>
      </c>
      <c r="I1147" s="9">
        <f>F1147*G1147</f>
        <v/>
      </c>
      <c r="J1147" s="11" t="n">
        <v>0.1</v>
      </c>
      <c r="K1147" s="9">
        <f>I1147*J1147</f>
        <v/>
      </c>
      <c r="L1147" s="9">
        <f>I1147-K1147</f>
        <v/>
      </c>
      <c r="M1147" s="9">
        <f>F1147*H1147</f>
        <v/>
      </c>
      <c r="N1147" s="9">
        <f>L1147-M1147</f>
        <v/>
      </c>
      <c r="O1147" s="11">
        <f>IFERROR(N1147/L1147, 0)</f>
        <v/>
      </c>
      <c r="P1147" s="8">
        <f>YEAR(C1147)</f>
        <v/>
      </c>
      <c r="Q1147" s="8">
        <f>TEXT(C1147, "yyyy-mm")</f>
        <v/>
      </c>
      <c r="R1147" s="8" t="inlineStr">
        <is>
          <t>Direct Web</t>
        </is>
      </c>
      <c r="S1147" s="8" t="inlineStr">
        <is>
          <t>REG-APAC</t>
        </is>
      </c>
    </row>
    <row r="1148">
      <c r="A1148" s="8" t="inlineStr">
        <is>
          <t>DTL-0001157</t>
        </is>
      </c>
      <c r="B1148" s="8" t="inlineStr">
        <is>
          <t>ORD-000581</t>
        </is>
      </c>
      <c r="C1148" s="10" t="inlineStr">
        <is>
          <t>2025-11-25</t>
        </is>
      </c>
      <c r="D1148" s="8" t="inlineStr">
        <is>
          <t>CUST-00163</t>
        </is>
      </c>
      <c r="E1148" s="8" t="inlineStr">
        <is>
          <t>PRD-0219</t>
        </is>
      </c>
      <c r="F1148" s="8" t="n">
        <v>1</v>
      </c>
      <c r="G1148" s="9">
        <f>IFERROR(XLOOKUP(E1148, '04_Products'!$A:$A, '04_Products'!$G:$G), 20.51)</f>
        <v/>
      </c>
      <c r="H1148" s="9">
        <f>IFERROR(XLOOKUP(E1148, '04_Products'!$A:$A, '04_Products'!$F:$F), 0)</f>
        <v/>
      </c>
      <c r="I1148" s="9">
        <f>F1148*G1148</f>
        <v/>
      </c>
      <c r="J1148" s="11" t="n">
        <v>0.05</v>
      </c>
      <c r="K1148" s="9">
        <f>I1148*J1148</f>
        <v/>
      </c>
      <c r="L1148" s="9">
        <f>I1148-K1148</f>
        <v/>
      </c>
      <c r="M1148" s="9">
        <f>F1148*H1148</f>
        <v/>
      </c>
      <c r="N1148" s="9">
        <f>L1148-M1148</f>
        <v/>
      </c>
      <c r="O1148" s="11">
        <f>IFERROR(N1148/L1148, 0)</f>
        <v/>
      </c>
      <c r="P1148" s="8">
        <f>YEAR(C1148)</f>
        <v/>
      </c>
      <c r="Q1148" s="8">
        <f>TEXT(C1148, "yyyy-mm")</f>
        <v/>
      </c>
      <c r="R1148" s="8" t="inlineStr">
        <is>
          <t>Direct Web</t>
        </is>
      </c>
      <c r="S1148" s="8" t="inlineStr">
        <is>
          <t>REG-APAC</t>
        </is>
      </c>
    </row>
    <row r="1149">
      <c r="A1149" s="8" t="inlineStr">
        <is>
          <t>DTL-0001158</t>
        </is>
      </c>
      <c r="B1149" s="8" t="inlineStr">
        <is>
          <t>ORD-000581</t>
        </is>
      </c>
      <c r="C1149" s="10" t="inlineStr">
        <is>
          <t>2025-11-25</t>
        </is>
      </c>
      <c r="D1149" s="8" t="inlineStr">
        <is>
          <t>CUST-00163</t>
        </is>
      </c>
      <c r="E1149" s="8" t="inlineStr">
        <is>
          <t>PRD-0380</t>
        </is>
      </c>
      <c r="F1149" s="8" t="n">
        <v>1</v>
      </c>
      <c r="G1149" s="9">
        <f>IFERROR(XLOOKUP(E1149, '04_Products'!$A:$A, '04_Products'!$G:$G), 141.11)</f>
        <v/>
      </c>
      <c r="H1149" s="9">
        <f>IFERROR(XLOOKUP(E1149, '04_Products'!$A:$A, '04_Products'!$F:$F), 0)</f>
        <v/>
      </c>
      <c r="I1149" s="9">
        <f>F1149*G1149</f>
        <v/>
      </c>
      <c r="J1149" s="11" t="n">
        <v>0.15</v>
      </c>
      <c r="K1149" s="9">
        <f>I1149*J1149</f>
        <v/>
      </c>
      <c r="L1149" s="9">
        <f>I1149-K1149</f>
        <v/>
      </c>
      <c r="M1149" s="9">
        <f>F1149*H1149</f>
        <v/>
      </c>
      <c r="N1149" s="9">
        <f>L1149-M1149</f>
        <v/>
      </c>
      <c r="O1149" s="11">
        <f>IFERROR(N1149/L1149, 0)</f>
        <v/>
      </c>
      <c r="P1149" s="8">
        <f>YEAR(C1149)</f>
        <v/>
      </c>
      <c r="Q1149" s="8">
        <f>TEXT(C1149, "yyyy-mm")</f>
        <v/>
      </c>
      <c r="R1149" s="8" t="inlineStr">
        <is>
          <t>Direct Web</t>
        </is>
      </c>
      <c r="S1149" s="8" t="inlineStr">
        <is>
          <t>REG-APAC</t>
        </is>
      </c>
    </row>
    <row r="1150">
      <c r="A1150" s="8" t="inlineStr">
        <is>
          <t>DTL-0001159</t>
        </is>
      </c>
      <c r="B1150" s="8" t="inlineStr">
        <is>
          <t>ORD-000581</t>
        </is>
      </c>
      <c r="C1150" s="10" t="inlineStr">
        <is>
          <t>2025-11-25</t>
        </is>
      </c>
      <c r="D1150" s="8" t="inlineStr">
        <is>
          <t>CUST-00163</t>
        </is>
      </c>
      <c r="E1150" s="8" t="inlineStr">
        <is>
          <t>PRD-0408</t>
        </is>
      </c>
      <c r="F1150" s="8" t="n">
        <v>2</v>
      </c>
      <c r="G1150" s="9">
        <f>IFERROR(XLOOKUP(E1150, '04_Products'!$A:$A, '04_Products'!$G:$G), 117.01)</f>
        <v/>
      </c>
      <c r="H1150" s="9">
        <f>IFERROR(XLOOKUP(E1150, '04_Products'!$A:$A, '04_Products'!$F:$F), 0)</f>
        <v/>
      </c>
      <c r="I1150" s="9">
        <f>F1150*G1150</f>
        <v/>
      </c>
      <c r="J1150" s="11" t="n">
        <v>0.1</v>
      </c>
      <c r="K1150" s="9">
        <f>I1150*J1150</f>
        <v/>
      </c>
      <c r="L1150" s="9">
        <f>I1150-K1150</f>
        <v/>
      </c>
      <c r="M1150" s="9">
        <f>F1150*H1150</f>
        <v/>
      </c>
      <c r="N1150" s="9">
        <f>L1150-M1150</f>
        <v/>
      </c>
      <c r="O1150" s="11">
        <f>IFERROR(N1150/L1150, 0)</f>
        <v/>
      </c>
      <c r="P1150" s="8">
        <f>YEAR(C1150)</f>
        <v/>
      </c>
      <c r="Q1150" s="8">
        <f>TEXT(C1150, "yyyy-mm")</f>
        <v/>
      </c>
      <c r="R1150" s="8" t="inlineStr">
        <is>
          <t>Direct Web</t>
        </is>
      </c>
      <c r="S1150" s="8" t="inlineStr">
        <is>
          <t>REG-APAC</t>
        </is>
      </c>
    </row>
    <row r="1151">
      <c r="A1151" s="8" t="inlineStr">
        <is>
          <t>DTL-0001160</t>
        </is>
      </c>
      <c r="B1151" s="8" t="inlineStr">
        <is>
          <t>ORD-000582</t>
        </is>
      </c>
      <c r="C1151" s="10" t="inlineStr">
        <is>
          <t>2025-01-01</t>
        </is>
      </c>
      <c r="D1151" s="8" t="inlineStr">
        <is>
          <t>CUST-00528</t>
        </is>
      </c>
      <c r="E1151" s="8" t="inlineStr">
        <is>
          <t>PRD-0296</t>
        </is>
      </c>
      <c r="F1151" s="8" t="n">
        <v>1</v>
      </c>
      <c r="G1151" s="9">
        <f>IFERROR(XLOOKUP(E1151, '04_Products'!$A:$A, '04_Products'!$G:$G), 52.93)</f>
        <v/>
      </c>
      <c r="H1151" s="9">
        <f>IFERROR(XLOOKUP(E1151, '04_Products'!$A:$A, '04_Products'!$F:$F), 0)</f>
        <v/>
      </c>
      <c r="I1151" s="9">
        <f>F1151*G1151</f>
        <v/>
      </c>
      <c r="J1151" s="11" t="n">
        <v>0</v>
      </c>
      <c r="K1151" s="9">
        <f>I1151*J1151</f>
        <v/>
      </c>
      <c r="L1151" s="9">
        <f>I1151-K1151</f>
        <v/>
      </c>
      <c r="M1151" s="9">
        <f>F1151*H1151</f>
        <v/>
      </c>
      <c r="N1151" s="9">
        <f>L1151-M1151</f>
        <v/>
      </c>
      <c r="O1151" s="11">
        <f>IFERROR(N1151/L1151, 0)</f>
        <v/>
      </c>
      <c r="P1151" s="8">
        <f>YEAR(C1151)</f>
        <v/>
      </c>
      <c r="Q1151" s="8">
        <f>TEXT(C1151, "yyyy-mm")</f>
        <v/>
      </c>
      <c r="R1151" s="8" t="inlineStr">
        <is>
          <t>Direct Web</t>
        </is>
      </c>
      <c r="S1151" s="8" t="inlineStr">
        <is>
          <t>REG-LATAM</t>
        </is>
      </c>
    </row>
    <row r="1152">
      <c r="A1152" s="8" t="inlineStr">
        <is>
          <t>DTL-0001161</t>
        </is>
      </c>
      <c r="B1152" s="8" t="inlineStr">
        <is>
          <t>ORD-000582</t>
        </is>
      </c>
      <c r="C1152" s="10" t="inlineStr">
        <is>
          <t>2025-01-01</t>
        </is>
      </c>
      <c r="D1152" s="8" t="inlineStr">
        <is>
          <t>CUST-00528</t>
        </is>
      </c>
      <c r="E1152" s="8" t="inlineStr">
        <is>
          <t>PRD-0459</t>
        </is>
      </c>
      <c r="F1152" s="8" t="n">
        <v>1</v>
      </c>
      <c r="G1152" s="9">
        <f>IFERROR(XLOOKUP(E1152, '04_Products'!$A:$A, '04_Products'!$G:$G), 55.95)</f>
        <v/>
      </c>
      <c r="H1152" s="9">
        <f>IFERROR(XLOOKUP(E1152, '04_Products'!$A:$A, '04_Products'!$F:$F), 0)</f>
        <v/>
      </c>
      <c r="I1152" s="9">
        <f>F1152*G1152</f>
        <v/>
      </c>
      <c r="J1152" s="11" t="n">
        <v>0.1</v>
      </c>
      <c r="K1152" s="9">
        <f>I1152*J1152</f>
        <v/>
      </c>
      <c r="L1152" s="9">
        <f>I1152-K1152</f>
        <v/>
      </c>
      <c r="M1152" s="9">
        <f>F1152*H1152</f>
        <v/>
      </c>
      <c r="N1152" s="9">
        <f>L1152-M1152</f>
        <v/>
      </c>
      <c r="O1152" s="11">
        <f>IFERROR(N1152/L1152, 0)</f>
        <v/>
      </c>
      <c r="P1152" s="8">
        <f>YEAR(C1152)</f>
        <v/>
      </c>
      <c r="Q1152" s="8">
        <f>TEXT(C1152, "yyyy-mm")</f>
        <v/>
      </c>
      <c r="R1152" s="8" t="inlineStr">
        <is>
          <t>Direct Web</t>
        </is>
      </c>
      <c r="S1152" s="8" t="inlineStr">
        <is>
          <t>REG-LATAM</t>
        </is>
      </c>
    </row>
    <row r="1153">
      <c r="A1153" s="8" t="inlineStr">
        <is>
          <t>DTL-0001162</t>
        </is>
      </c>
      <c r="B1153" s="8" t="inlineStr">
        <is>
          <t>ORD-000582</t>
        </is>
      </c>
      <c r="C1153" s="10" t="inlineStr">
        <is>
          <t>2025-01-01</t>
        </is>
      </c>
      <c r="D1153" s="8" t="inlineStr">
        <is>
          <t>CUST-00528</t>
        </is>
      </c>
      <c r="E1153" s="8" t="inlineStr">
        <is>
          <t>PRD-0463</t>
        </is>
      </c>
      <c r="F1153" s="8" t="n">
        <v>2</v>
      </c>
      <c r="G1153" s="9">
        <f>IFERROR(XLOOKUP(E1153, '04_Products'!$A:$A, '04_Products'!$G:$G), 123.72)</f>
        <v/>
      </c>
      <c r="H1153" s="9">
        <f>IFERROR(XLOOKUP(E1153, '04_Products'!$A:$A, '04_Products'!$F:$F), 0)</f>
        <v/>
      </c>
      <c r="I1153" s="9">
        <f>F1153*G1153</f>
        <v/>
      </c>
      <c r="J1153" s="11" t="n">
        <v>0.1</v>
      </c>
      <c r="K1153" s="9">
        <f>I1153*J1153</f>
        <v/>
      </c>
      <c r="L1153" s="9">
        <f>I1153-K1153</f>
        <v/>
      </c>
      <c r="M1153" s="9">
        <f>F1153*H1153</f>
        <v/>
      </c>
      <c r="N1153" s="9">
        <f>L1153-M1153</f>
        <v/>
      </c>
      <c r="O1153" s="11">
        <f>IFERROR(N1153/L1153, 0)</f>
        <v/>
      </c>
      <c r="P1153" s="8">
        <f>YEAR(C1153)</f>
        <v/>
      </c>
      <c r="Q1153" s="8">
        <f>TEXT(C1153, "yyyy-mm")</f>
        <v/>
      </c>
      <c r="R1153" s="8" t="inlineStr">
        <is>
          <t>Direct Web</t>
        </is>
      </c>
      <c r="S1153" s="8" t="inlineStr">
        <is>
          <t>REG-LATAM</t>
        </is>
      </c>
    </row>
    <row r="1154">
      <c r="A1154" s="8" t="inlineStr">
        <is>
          <t>DTL-0001163</t>
        </is>
      </c>
      <c r="B1154" s="8" t="inlineStr">
        <is>
          <t>ORD-000582</t>
        </is>
      </c>
      <c r="C1154" s="10" t="inlineStr">
        <is>
          <t>2025-01-01</t>
        </is>
      </c>
      <c r="D1154" s="8" t="inlineStr">
        <is>
          <t>CUST-00528</t>
        </is>
      </c>
      <c r="E1154" s="8" t="inlineStr">
        <is>
          <t>PRD-0139</t>
        </is>
      </c>
      <c r="F1154" s="8" t="n">
        <v>2</v>
      </c>
      <c r="G1154" s="9">
        <f>IFERROR(XLOOKUP(E1154, '04_Products'!$A:$A, '04_Products'!$G:$G), 402.87)</f>
        <v/>
      </c>
      <c r="H1154" s="9">
        <f>IFERROR(XLOOKUP(E1154, '04_Products'!$A:$A, '04_Products'!$F:$F), 0)</f>
        <v/>
      </c>
      <c r="I1154" s="9">
        <f>F1154*G1154</f>
        <v/>
      </c>
      <c r="J1154" s="11" t="n">
        <v>0</v>
      </c>
      <c r="K1154" s="9">
        <f>I1154*J1154</f>
        <v/>
      </c>
      <c r="L1154" s="9">
        <f>I1154-K1154</f>
        <v/>
      </c>
      <c r="M1154" s="9">
        <f>F1154*H1154</f>
        <v/>
      </c>
      <c r="N1154" s="9">
        <f>L1154-M1154</f>
        <v/>
      </c>
      <c r="O1154" s="11">
        <f>IFERROR(N1154/L1154, 0)</f>
        <v/>
      </c>
      <c r="P1154" s="8">
        <f>YEAR(C1154)</f>
        <v/>
      </c>
      <c r="Q1154" s="8">
        <f>TEXT(C1154, "yyyy-mm")</f>
        <v/>
      </c>
      <c r="R1154" s="8" t="inlineStr">
        <is>
          <t>Direct Web</t>
        </is>
      </c>
      <c r="S1154" s="8" t="inlineStr">
        <is>
          <t>REG-LATAM</t>
        </is>
      </c>
    </row>
    <row r="1155">
      <c r="A1155" s="8" t="inlineStr">
        <is>
          <t>DTL-0001164</t>
        </is>
      </c>
      <c r="B1155" s="8" t="inlineStr">
        <is>
          <t>ORD-000582</t>
        </is>
      </c>
      <c r="C1155" s="10" t="inlineStr">
        <is>
          <t>2025-01-01</t>
        </is>
      </c>
      <c r="D1155" s="8" t="inlineStr">
        <is>
          <t>CUST-00528</t>
        </is>
      </c>
      <c r="E1155" s="8" t="inlineStr">
        <is>
          <t>PRD-0082</t>
        </is>
      </c>
      <c r="F1155" s="8" t="n">
        <v>1</v>
      </c>
      <c r="G1155" s="9">
        <f>IFERROR(XLOOKUP(E1155, '04_Products'!$A:$A, '04_Products'!$G:$G), 629.04)</f>
        <v/>
      </c>
      <c r="H1155" s="9">
        <f>IFERROR(XLOOKUP(E1155, '04_Products'!$A:$A, '04_Products'!$F:$F), 0)</f>
        <v/>
      </c>
      <c r="I1155" s="9">
        <f>F1155*G1155</f>
        <v/>
      </c>
      <c r="J1155" s="11" t="n">
        <v>0</v>
      </c>
      <c r="K1155" s="9">
        <f>I1155*J1155</f>
        <v/>
      </c>
      <c r="L1155" s="9">
        <f>I1155-K1155</f>
        <v/>
      </c>
      <c r="M1155" s="9">
        <f>F1155*H1155</f>
        <v/>
      </c>
      <c r="N1155" s="9">
        <f>L1155-M1155</f>
        <v/>
      </c>
      <c r="O1155" s="11">
        <f>IFERROR(N1155/L1155, 0)</f>
        <v/>
      </c>
      <c r="P1155" s="8">
        <f>YEAR(C1155)</f>
        <v/>
      </c>
      <c r="Q1155" s="8">
        <f>TEXT(C1155, "yyyy-mm")</f>
        <v/>
      </c>
      <c r="R1155" s="8" t="inlineStr">
        <is>
          <t>Direct Web</t>
        </is>
      </c>
      <c r="S1155" s="8" t="inlineStr">
        <is>
          <t>REG-LATAM</t>
        </is>
      </c>
    </row>
    <row r="1156">
      <c r="A1156" s="8" t="inlineStr">
        <is>
          <t>DTL-0001165</t>
        </is>
      </c>
      <c r="B1156" s="8" t="inlineStr">
        <is>
          <t>ORD-000583</t>
        </is>
      </c>
      <c r="C1156" s="10" t="inlineStr">
        <is>
          <t>2025-09-01</t>
        </is>
      </c>
      <c r="D1156" s="8" t="inlineStr">
        <is>
          <t>CUST-01796</t>
        </is>
      </c>
      <c r="E1156" s="8" t="inlineStr">
        <is>
          <t>PRD-0085</t>
        </is>
      </c>
      <c r="F1156" s="8" t="n">
        <v>2</v>
      </c>
      <c r="G1156" s="9">
        <f>IFERROR(XLOOKUP(E1156, '04_Products'!$A:$A, '04_Products'!$G:$G), 202.10)</f>
        <v/>
      </c>
      <c r="H1156" s="9">
        <f>IFERROR(XLOOKUP(E1156, '04_Products'!$A:$A, '04_Products'!$F:$F), 0)</f>
        <v/>
      </c>
      <c r="I1156" s="9">
        <f>F1156*G1156</f>
        <v/>
      </c>
      <c r="J1156" s="11" t="n">
        <v>0.05</v>
      </c>
      <c r="K1156" s="9">
        <f>I1156*J1156</f>
        <v/>
      </c>
      <c r="L1156" s="9">
        <f>I1156-K1156</f>
        <v/>
      </c>
      <c r="M1156" s="9">
        <f>F1156*H1156</f>
        <v/>
      </c>
      <c r="N1156" s="9">
        <f>L1156-M1156</f>
        <v/>
      </c>
      <c r="O1156" s="11">
        <f>IFERROR(N1156/L1156, 0)</f>
        <v/>
      </c>
      <c r="P1156" s="8">
        <f>YEAR(C1156)</f>
        <v/>
      </c>
      <c r="Q1156" s="8">
        <f>TEXT(C1156, "yyyy-mm")</f>
        <v/>
      </c>
      <c r="R1156" s="8" t="inlineStr">
        <is>
          <t>Affiliate Partner</t>
        </is>
      </c>
      <c r="S1156" s="8" t="inlineStr">
        <is>
          <t>REG-APAC</t>
        </is>
      </c>
    </row>
    <row r="1157">
      <c r="A1157" s="8" t="inlineStr">
        <is>
          <t>DTL-0001166</t>
        </is>
      </c>
      <c r="B1157" s="8" t="inlineStr">
        <is>
          <t>ORD-000584</t>
        </is>
      </c>
      <c r="C1157" s="10" t="inlineStr">
        <is>
          <t>2023-07-04</t>
        </is>
      </c>
      <c r="D1157" s="8" t="inlineStr">
        <is>
          <t>CUST-00029</t>
        </is>
      </c>
      <c r="E1157" s="8" t="inlineStr">
        <is>
          <t>PRD-0110</t>
        </is>
      </c>
      <c r="F1157" s="8" t="n">
        <v>2</v>
      </c>
      <c r="G1157" s="9">
        <f>IFERROR(XLOOKUP(E1157, '04_Products'!$A:$A, '04_Products'!$G:$G), 84.14)</f>
        <v/>
      </c>
      <c r="H1157" s="9">
        <f>IFERROR(XLOOKUP(E1157, '04_Products'!$A:$A, '04_Products'!$F:$F), 0)</f>
        <v/>
      </c>
      <c r="I1157" s="9">
        <f>F1157*G1157</f>
        <v/>
      </c>
      <c r="J1157" s="11" t="n">
        <v>0.1</v>
      </c>
      <c r="K1157" s="9">
        <f>I1157*J1157</f>
        <v/>
      </c>
      <c r="L1157" s="9">
        <f>I1157-K1157</f>
        <v/>
      </c>
      <c r="M1157" s="9">
        <f>F1157*H1157</f>
        <v/>
      </c>
      <c r="N1157" s="9">
        <f>L1157-M1157</f>
        <v/>
      </c>
      <c r="O1157" s="11">
        <f>IFERROR(N1157/L1157, 0)</f>
        <v/>
      </c>
      <c r="P1157" s="8">
        <f>YEAR(C1157)</f>
        <v/>
      </c>
      <c r="Q1157" s="8">
        <f>TEXT(C1157, "yyyy-mm")</f>
        <v/>
      </c>
      <c r="R1157" s="8" t="inlineStr">
        <is>
          <t>Direct Web</t>
        </is>
      </c>
      <c r="S1157" s="8" t="inlineStr">
        <is>
          <t>REG-EU</t>
        </is>
      </c>
    </row>
    <row r="1158">
      <c r="A1158" s="8" t="inlineStr">
        <is>
          <t>DTL-0001167</t>
        </is>
      </c>
      <c r="B1158" s="8" t="inlineStr">
        <is>
          <t>ORD-000585</t>
        </is>
      </c>
      <c r="C1158" s="10" t="inlineStr">
        <is>
          <t>2025-07-21</t>
        </is>
      </c>
      <c r="D1158" s="8" t="inlineStr">
        <is>
          <t>CUST-03313</t>
        </is>
      </c>
      <c r="E1158" s="8" t="inlineStr">
        <is>
          <t>PRD-0120</t>
        </is>
      </c>
      <c r="F1158" s="8" t="n">
        <v>2</v>
      </c>
      <c r="G1158" s="9">
        <f>IFERROR(XLOOKUP(E1158, '04_Products'!$A:$A, '04_Products'!$G:$G), 1001.04)</f>
        <v/>
      </c>
      <c r="H1158" s="9">
        <f>IFERROR(XLOOKUP(E1158, '04_Products'!$A:$A, '04_Products'!$F:$F), 0)</f>
        <v/>
      </c>
      <c r="I1158" s="9">
        <f>F1158*G1158</f>
        <v/>
      </c>
      <c r="J1158" s="11" t="n">
        <v>0</v>
      </c>
      <c r="K1158" s="9">
        <f>I1158*J1158</f>
        <v/>
      </c>
      <c r="L1158" s="9">
        <f>I1158-K1158</f>
        <v/>
      </c>
      <c r="M1158" s="9">
        <f>F1158*H1158</f>
        <v/>
      </c>
      <c r="N1158" s="9">
        <f>L1158-M1158</f>
        <v/>
      </c>
      <c r="O1158" s="11">
        <f>IFERROR(N1158/L1158, 0)</f>
        <v/>
      </c>
      <c r="P1158" s="8">
        <f>YEAR(C1158)</f>
        <v/>
      </c>
      <c r="Q1158" s="8">
        <f>TEXT(C1158, "yyyy-mm")</f>
        <v/>
      </c>
      <c r="R1158" s="8" t="inlineStr">
        <is>
          <t>Mobile App</t>
        </is>
      </c>
      <c r="S1158" s="8" t="inlineStr">
        <is>
          <t>REG-APAC</t>
        </is>
      </c>
    </row>
    <row r="1159">
      <c r="A1159" s="8" t="inlineStr">
        <is>
          <t>DTL-0001168</t>
        </is>
      </c>
      <c r="B1159" s="8" t="inlineStr">
        <is>
          <t>ORD-000586</t>
        </is>
      </c>
      <c r="C1159" s="10" t="inlineStr">
        <is>
          <t>2025-08-13</t>
        </is>
      </c>
      <c r="D1159" s="8" t="inlineStr">
        <is>
          <t>CUST-05870</t>
        </is>
      </c>
      <c r="E1159" s="8" t="inlineStr">
        <is>
          <t>PRD-0147</t>
        </is>
      </c>
      <c r="F1159" s="8" t="n">
        <v>3</v>
      </c>
      <c r="G1159" s="9">
        <f>IFERROR(XLOOKUP(E1159, '04_Products'!$A:$A, '04_Products'!$G:$G), 544.07)</f>
        <v/>
      </c>
      <c r="H1159" s="9">
        <f>IFERROR(XLOOKUP(E1159, '04_Products'!$A:$A, '04_Products'!$F:$F), 0)</f>
        <v/>
      </c>
      <c r="I1159" s="9">
        <f>F1159*G1159</f>
        <v/>
      </c>
      <c r="J1159" s="11" t="n">
        <v>0.15</v>
      </c>
      <c r="K1159" s="9">
        <f>I1159*J1159</f>
        <v/>
      </c>
      <c r="L1159" s="9">
        <f>I1159-K1159</f>
        <v/>
      </c>
      <c r="M1159" s="9">
        <f>F1159*H1159</f>
        <v/>
      </c>
      <c r="N1159" s="9">
        <f>L1159-M1159</f>
        <v/>
      </c>
      <c r="O1159" s="11">
        <f>IFERROR(N1159/L1159, 0)</f>
        <v/>
      </c>
      <c r="P1159" s="8">
        <f>YEAR(C1159)</f>
        <v/>
      </c>
      <c r="Q1159" s="8">
        <f>TEXT(C1159, "yyyy-mm")</f>
        <v/>
      </c>
      <c r="R1159" s="8" t="inlineStr">
        <is>
          <t>B2B Portal</t>
        </is>
      </c>
      <c r="S1159" s="8" t="inlineStr">
        <is>
          <t>REG-NA</t>
        </is>
      </c>
    </row>
    <row r="1160">
      <c r="A1160" s="8" t="inlineStr">
        <is>
          <t>DTL-0001169</t>
        </is>
      </c>
      <c r="B1160" s="8" t="inlineStr">
        <is>
          <t>ORD-000587</t>
        </is>
      </c>
      <c r="C1160" s="10" t="inlineStr">
        <is>
          <t>2023-02-27</t>
        </is>
      </c>
      <c r="D1160" s="8" t="inlineStr">
        <is>
          <t>CUST-07034</t>
        </is>
      </c>
      <c r="E1160" s="8" t="inlineStr">
        <is>
          <t>PRD-0071</t>
        </is>
      </c>
      <c r="F1160" s="8" t="n">
        <v>2</v>
      </c>
      <c r="G1160" s="9">
        <f>IFERROR(XLOOKUP(E1160, '04_Products'!$A:$A, '04_Products'!$G:$G), 993.21)</f>
        <v/>
      </c>
      <c r="H1160" s="9">
        <f>IFERROR(XLOOKUP(E1160, '04_Products'!$A:$A, '04_Products'!$F:$F), 0)</f>
        <v/>
      </c>
      <c r="I1160" s="9">
        <f>F1160*G1160</f>
        <v/>
      </c>
      <c r="J1160" s="11" t="n">
        <v>0.05</v>
      </c>
      <c r="K1160" s="9">
        <f>I1160*J1160</f>
        <v/>
      </c>
      <c r="L1160" s="9">
        <f>I1160-K1160</f>
        <v/>
      </c>
      <c r="M1160" s="9">
        <f>F1160*H1160</f>
        <v/>
      </c>
      <c r="N1160" s="9">
        <f>L1160-M1160</f>
        <v/>
      </c>
      <c r="O1160" s="11">
        <f>IFERROR(N1160/L1160, 0)</f>
        <v/>
      </c>
      <c r="P1160" s="8">
        <f>YEAR(C1160)</f>
        <v/>
      </c>
      <c r="Q1160" s="8">
        <f>TEXT(C1160, "yyyy-mm")</f>
        <v/>
      </c>
      <c r="R1160" s="8" t="inlineStr">
        <is>
          <t>Direct Web</t>
        </is>
      </c>
      <c r="S1160" s="8" t="inlineStr">
        <is>
          <t>REG-NA</t>
        </is>
      </c>
    </row>
    <row r="1161">
      <c r="A1161" s="8" t="inlineStr">
        <is>
          <t>DTL-0001170</t>
        </is>
      </c>
      <c r="B1161" s="8" t="inlineStr">
        <is>
          <t>ORD-000587</t>
        </is>
      </c>
      <c r="C1161" s="10" t="inlineStr">
        <is>
          <t>2023-02-27</t>
        </is>
      </c>
      <c r="D1161" s="8" t="inlineStr">
        <is>
          <t>CUST-07034</t>
        </is>
      </c>
      <c r="E1161" s="8" t="inlineStr">
        <is>
          <t>PRD-0052</t>
        </is>
      </c>
      <c r="F1161" s="8" t="n">
        <v>1</v>
      </c>
      <c r="G1161" s="9">
        <f>IFERROR(XLOOKUP(E1161, '04_Products'!$A:$A, '04_Products'!$G:$G), 354.02)</f>
        <v/>
      </c>
      <c r="H1161" s="9">
        <f>IFERROR(XLOOKUP(E1161, '04_Products'!$A:$A, '04_Products'!$F:$F), 0)</f>
        <v/>
      </c>
      <c r="I1161" s="9">
        <f>F1161*G1161</f>
        <v/>
      </c>
      <c r="J1161" s="11" t="n">
        <v>0</v>
      </c>
      <c r="K1161" s="9">
        <f>I1161*J1161</f>
        <v/>
      </c>
      <c r="L1161" s="9">
        <f>I1161-K1161</f>
        <v/>
      </c>
      <c r="M1161" s="9">
        <f>F1161*H1161</f>
        <v/>
      </c>
      <c r="N1161" s="9">
        <f>L1161-M1161</f>
        <v/>
      </c>
      <c r="O1161" s="11">
        <f>IFERROR(N1161/L1161, 0)</f>
        <v/>
      </c>
      <c r="P1161" s="8">
        <f>YEAR(C1161)</f>
        <v/>
      </c>
      <c r="Q1161" s="8">
        <f>TEXT(C1161, "yyyy-mm")</f>
        <v/>
      </c>
      <c r="R1161" s="8" t="inlineStr">
        <is>
          <t>Direct Web</t>
        </is>
      </c>
      <c r="S1161" s="8" t="inlineStr">
        <is>
          <t>REG-NA</t>
        </is>
      </c>
    </row>
    <row r="1162">
      <c r="A1162" s="8" t="inlineStr">
        <is>
          <t>DTL-0001171</t>
        </is>
      </c>
      <c r="B1162" s="8" t="inlineStr">
        <is>
          <t>ORD-000587</t>
        </is>
      </c>
      <c r="C1162" s="10" t="inlineStr">
        <is>
          <t>2023-02-27</t>
        </is>
      </c>
      <c r="D1162" s="8" t="inlineStr">
        <is>
          <t>CUST-07034</t>
        </is>
      </c>
      <c r="E1162" s="8" t="inlineStr">
        <is>
          <t>PRD-0107</t>
        </is>
      </c>
      <c r="F1162" s="8" t="n">
        <v>1</v>
      </c>
      <c r="G1162" s="9">
        <f>IFERROR(XLOOKUP(E1162, '04_Products'!$A:$A, '04_Products'!$G:$G), 754.95)</f>
        <v/>
      </c>
      <c r="H1162" s="9">
        <f>IFERROR(XLOOKUP(E1162, '04_Products'!$A:$A, '04_Products'!$F:$F), 0)</f>
        <v/>
      </c>
      <c r="I1162" s="9">
        <f>F1162*G1162</f>
        <v/>
      </c>
      <c r="J1162" s="11" t="n">
        <v>0.1</v>
      </c>
      <c r="K1162" s="9">
        <f>I1162*J1162</f>
        <v/>
      </c>
      <c r="L1162" s="9">
        <f>I1162-K1162</f>
        <v/>
      </c>
      <c r="M1162" s="9">
        <f>F1162*H1162</f>
        <v/>
      </c>
      <c r="N1162" s="9">
        <f>L1162-M1162</f>
        <v/>
      </c>
      <c r="O1162" s="11">
        <f>IFERROR(N1162/L1162, 0)</f>
        <v/>
      </c>
      <c r="P1162" s="8">
        <f>YEAR(C1162)</f>
        <v/>
      </c>
      <c r="Q1162" s="8">
        <f>TEXT(C1162, "yyyy-mm")</f>
        <v/>
      </c>
      <c r="R1162" s="8" t="inlineStr">
        <is>
          <t>Direct Web</t>
        </is>
      </c>
      <c r="S1162" s="8" t="inlineStr">
        <is>
          <t>REG-NA</t>
        </is>
      </c>
    </row>
    <row r="1163">
      <c r="A1163" s="8" t="inlineStr">
        <is>
          <t>DTL-0001172</t>
        </is>
      </c>
      <c r="B1163" s="8" t="inlineStr">
        <is>
          <t>ORD-000587</t>
        </is>
      </c>
      <c r="C1163" s="10" t="inlineStr">
        <is>
          <t>2023-02-27</t>
        </is>
      </c>
      <c r="D1163" s="8" t="inlineStr">
        <is>
          <t>CUST-07034</t>
        </is>
      </c>
      <c r="E1163" s="8" t="inlineStr">
        <is>
          <t>PRD-0216</t>
        </is>
      </c>
      <c r="F1163" s="8" t="n">
        <v>2</v>
      </c>
      <c r="G1163" s="9">
        <f>IFERROR(XLOOKUP(E1163, '04_Products'!$A:$A, '04_Products'!$G:$G), 177.38)</f>
        <v/>
      </c>
      <c r="H1163" s="9">
        <f>IFERROR(XLOOKUP(E1163, '04_Products'!$A:$A, '04_Products'!$F:$F), 0)</f>
        <v/>
      </c>
      <c r="I1163" s="9">
        <f>F1163*G1163</f>
        <v/>
      </c>
      <c r="J1163" s="11" t="n">
        <v>0.05</v>
      </c>
      <c r="K1163" s="9">
        <f>I1163*J1163</f>
        <v/>
      </c>
      <c r="L1163" s="9">
        <f>I1163-K1163</f>
        <v/>
      </c>
      <c r="M1163" s="9">
        <f>F1163*H1163</f>
        <v/>
      </c>
      <c r="N1163" s="9">
        <f>L1163-M1163</f>
        <v/>
      </c>
      <c r="O1163" s="11">
        <f>IFERROR(N1163/L1163, 0)</f>
        <v/>
      </c>
      <c r="P1163" s="8">
        <f>YEAR(C1163)</f>
        <v/>
      </c>
      <c r="Q1163" s="8">
        <f>TEXT(C1163, "yyyy-mm")</f>
        <v/>
      </c>
      <c r="R1163" s="8" t="inlineStr">
        <is>
          <t>Direct Web</t>
        </is>
      </c>
      <c r="S1163" s="8" t="inlineStr">
        <is>
          <t>REG-NA</t>
        </is>
      </c>
    </row>
    <row r="1164">
      <c r="A1164" s="8" t="inlineStr">
        <is>
          <t>DTL-0001173</t>
        </is>
      </c>
      <c r="B1164" s="8" t="inlineStr">
        <is>
          <t>ORD-000587</t>
        </is>
      </c>
      <c r="C1164" s="10" t="inlineStr">
        <is>
          <t>2023-02-27</t>
        </is>
      </c>
      <c r="D1164" s="8" t="inlineStr">
        <is>
          <t>CUST-07034</t>
        </is>
      </c>
      <c r="E1164" s="8" t="inlineStr">
        <is>
          <t>PRD-0179</t>
        </is>
      </c>
      <c r="F1164" s="8" t="n">
        <v>1</v>
      </c>
      <c r="G1164" s="9">
        <f>IFERROR(XLOOKUP(E1164, '04_Products'!$A:$A, '04_Products'!$G:$G), 409.29)</f>
        <v/>
      </c>
      <c r="H1164" s="9">
        <f>IFERROR(XLOOKUP(E1164, '04_Products'!$A:$A, '04_Products'!$F:$F), 0)</f>
        <v/>
      </c>
      <c r="I1164" s="9">
        <f>F1164*G1164</f>
        <v/>
      </c>
      <c r="J1164" s="11" t="n">
        <v>0</v>
      </c>
      <c r="K1164" s="9">
        <f>I1164*J1164</f>
        <v/>
      </c>
      <c r="L1164" s="9">
        <f>I1164-K1164</f>
        <v/>
      </c>
      <c r="M1164" s="9">
        <f>F1164*H1164</f>
        <v/>
      </c>
      <c r="N1164" s="9">
        <f>L1164-M1164</f>
        <v/>
      </c>
      <c r="O1164" s="11">
        <f>IFERROR(N1164/L1164, 0)</f>
        <v/>
      </c>
      <c r="P1164" s="8">
        <f>YEAR(C1164)</f>
        <v/>
      </c>
      <c r="Q1164" s="8">
        <f>TEXT(C1164, "yyyy-mm")</f>
        <v/>
      </c>
      <c r="R1164" s="8" t="inlineStr">
        <is>
          <t>Direct Web</t>
        </is>
      </c>
      <c r="S1164" s="8" t="inlineStr">
        <is>
          <t>REG-NA</t>
        </is>
      </c>
    </row>
    <row r="1165">
      <c r="A1165" s="8" t="inlineStr">
        <is>
          <t>DTL-0001174</t>
        </is>
      </c>
      <c r="B1165" s="8" t="inlineStr">
        <is>
          <t>ORD-000588</t>
        </is>
      </c>
      <c r="C1165" s="10" t="inlineStr">
        <is>
          <t>2025-12-08</t>
        </is>
      </c>
      <c r="D1165" s="8" t="inlineStr">
        <is>
          <t>CUST-02574</t>
        </is>
      </c>
      <c r="E1165" s="8" t="inlineStr">
        <is>
          <t>PRD-0282</t>
        </is>
      </c>
      <c r="F1165" s="8" t="n">
        <v>2</v>
      </c>
      <c r="G1165" s="9">
        <f>IFERROR(XLOOKUP(E1165, '04_Products'!$A:$A, '04_Products'!$G:$G), 48.43)</f>
        <v/>
      </c>
      <c r="H1165" s="9">
        <f>IFERROR(XLOOKUP(E1165, '04_Products'!$A:$A, '04_Products'!$F:$F), 0)</f>
        <v/>
      </c>
      <c r="I1165" s="9">
        <f>F1165*G1165</f>
        <v/>
      </c>
      <c r="J1165" s="11" t="n">
        <v>0.1</v>
      </c>
      <c r="K1165" s="9">
        <f>I1165*J1165</f>
        <v/>
      </c>
      <c r="L1165" s="9">
        <f>I1165-K1165</f>
        <v/>
      </c>
      <c r="M1165" s="9">
        <f>F1165*H1165</f>
        <v/>
      </c>
      <c r="N1165" s="9">
        <f>L1165-M1165</f>
        <v/>
      </c>
      <c r="O1165" s="11">
        <f>IFERROR(N1165/L1165, 0)</f>
        <v/>
      </c>
      <c r="P1165" s="8">
        <f>YEAR(C1165)</f>
        <v/>
      </c>
      <c r="Q1165" s="8">
        <f>TEXT(C1165, "yyyy-mm")</f>
        <v/>
      </c>
      <c r="R1165" s="8" t="inlineStr">
        <is>
          <t>Direct Web</t>
        </is>
      </c>
      <c r="S1165" s="8" t="inlineStr">
        <is>
          <t>REG-EU</t>
        </is>
      </c>
    </row>
    <row r="1166">
      <c r="A1166" s="8" t="inlineStr">
        <is>
          <t>DTL-0001175</t>
        </is>
      </c>
      <c r="B1166" s="8" t="inlineStr">
        <is>
          <t>ORD-000588</t>
        </is>
      </c>
      <c r="C1166" s="10" t="inlineStr">
        <is>
          <t>2025-12-08</t>
        </is>
      </c>
      <c r="D1166" s="8" t="inlineStr">
        <is>
          <t>CUST-02574</t>
        </is>
      </c>
      <c r="E1166" s="8" t="inlineStr">
        <is>
          <t>PRD-0432</t>
        </is>
      </c>
      <c r="F1166" s="8" t="n">
        <v>1</v>
      </c>
      <c r="G1166" s="9">
        <f>IFERROR(XLOOKUP(E1166, '04_Products'!$A:$A, '04_Products'!$G:$G), 25.28)</f>
        <v/>
      </c>
      <c r="H1166" s="9">
        <f>IFERROR(XLOOKUP(E1166, '04_Products'!$A:$A, '04_Products'!$F:$F), 0)</f>
        <v/>
      </c>
      <c r="I1166" s="9">
        <f>F1166*G1166</f>
        <v/>
      </c>
      <c r="J1166" s="11" t="n">
        <v>0.3</v>
      </c>
      <c r="K1166" s="9">
        <f>I1166*J1166</f>
        <v/>
      </c>
      <c r="L1166" s="9">
        <f>I1166-K1166</f>
        <v/>
      </c>
      <c r="M1166" s="9">
        <f>F1166*H1166</f>
        <v/>
      </c>
      <c r="N1166" s="9">
        <f>L1166-M1166</f>
        <v/>
      </c>
      <c r="O1166" s="11">
        <f>IFERROR(N1166/L1166, 0)</f>
        <v/>
      </c>
      <c r="P1166" s="8">
        <f>YEAR(C1166)</f>
        <v/>
      </c>
      <c r="Q1166" s="8">
        <f>TEXT(C1166, "yyyy-mm")</f>
        <v/>
      </c>
      <c r="R1166" s="8" t="inlineStr">
        <is>
          <t>Direct Web</t>
        </is>
      </c>
      <c r="S1166" s="8" t="inlineStr">
        <is>
          <t>REG-EU</t>
        </is>
      </c>
    </row>
    <row r="1167">
      <c r="A1167" s="8" t="inlineStr">
        <is>
          <t>DTL-0001176</t>
        </is>
      </c>
      <c r="B1167" s="8" t="inlineStr">
        <is>
          <t>ORD-000589</t>
        </is>
      </c>
      <c r="C1167" s="10" t="inlineStr">
        <is>
          <t>2023-03-08</t>
        </is>
      </c>
      <c r="D1167" s="8" t="inlineStr">
        <is>
          <t>CUST-05071</t>
        </is>
      </c>
      <c r="E1167" s="8" t="inlineStr">
        <is>
          <t>PRD-0448</t>
        </is>
      </c>
      <c r="F1167" s="8" t="n">
        <v>1</v>
      </c>
      <c r="G1167" s="9">
        <f>IFERROR(XLOOKUP(E1167, '04_Products'!$A:$A, '04_Products'!$G:$G), 338.65)</f>
        <v/>
      </c>
      <c r="H1167" s="9">
        <f>IFERROR(XLOOKUP(E1167, '04_Products'!$A:$A, '04_Products'!$F:$F), 0)</f>
        <v/>
      </c>
      <c r="I1167" s="9">
        <f>F1167*G1167</f>
        <v/>
      </c>
      <c r="J1167" s="11" t="n">
        <v>0.2</v>
      </c>
      <c r="K1167" s="9">
        <f>I1167*J1167</f>
        <v/>
      </c>
      <c r="L1167" s="9">
        <f>I1167-K1167</f>
        <v/>
      </c>
      <c r="M1167" s="9">
        <f>F1167*H1167</f>
        <v/>
      </c>
      <c r="N1167" s="9">
        <f>L1167-M1167</f>
        <v/>
      </c>
      <c r="O1167" s="11">
        <f>IFERROR(N1167/L1167, 0)</f>
        <v/>
      </c>
      <c r="P1167" s="8">
        <f>YEAR(C1167)</f>
        <v/>
      </c>
      <c r="Q1167" s="8">
        <f>TEXT(C1167, "yyyy-mm")</f>
        <v/>
      </c>
      <c r="R1167" s="8" t="inlineStr">
        <is>
          <t>Mobile App</t>
        </is>
      </c>
      <c r="S1167" s="8" t="inlineStr">
        <is>
          <t>REG-NA</t>
        </is>
      </c>
    </row>
    <row r="1168">
      <c r="A1168" s="8" t="inlineStr">
        <is>
          <t>DTL-0001177</t>
        </is>
      </c>
      <c r="B1168" s="8" t="inlineStr">
        <is>
          <t>ORD-000590</t>
        </is>
      </c>
      <c r="C1168" s="10" t="inlineStr">
        <is>
          <t>2025-09-09</t>
        </is>
      </c>
      <c r="D1168" s="8" t="inlineStr">
        <is>
          <t>CUST-06979</t>
        </is>
      </c>
      <c r="E1168" s="8" t="inlineStr">
        <is>
          <t>PRD-0248</t>
        </is>
      </c>
      <c r="F1168" s="8" t="n">
        <v>1</v>
      </c>
      <c r="G1168" s="9">
        <f>IFERROR(XLOOKUP(E1168, '04_Products'!$A:$A, '04_Products'!$G:$G), 603.58)</f>
        <v/>
      </c>
      <c r="H1168" s="9">
        <f>IFERROR(XLOOKUP(E1168, '04_Products'!$A:$A, '04_Products'!$F:$F), 0)</f>
        <v/>
      </c>
      <c r="I1168" s="9">
        <f>F1168*G1168</f>
        <v/>
      </c>
      <c r="J1168" s="11" t="n">
        <v>0.1</v>
      </c>
      <c r="K1168" s="9">
        <f>I1168*J1168</f>
        <v/>
      </c>
      <c r="L1168" s="9">
        <f>I1168-K1168</f>
        <v/>
      </c>
      <c r="M1168" s="9">
        <f>F1168*H1168</f>
        <v/>
      </c>
      <c r="N1168" s="9">
        <f>L1168-M1168</f>
        <v/>
      </c>
      <c r="O1168" s="11">
        <f>IFERROR(N1168/L1168, 0)</f>
        <v/>
      </c>
      <c r="P1168" s="8">
        <f>YEAR(C1168)</f>
        <v/>
      </c>
      <c r="Q1168" s="8">
        <f>TEXT(C1168, "yyyy-mm")</f>
        <v/>
      </c>
      <c r="R1168" s="8" t="inlineStr">
        <is>
          <t>Direct Web</t>
        </is>
      </c>
      <c r="S1168" s="8" t="inlineStr">
        <is>
          <t>REG-LATAM</t>
        </is>
      </c>
    </row>
    <row r="1169">
      <c r="A1169" s="8" t="inlineStr">
        <is>
          <t>DTL-0001178</t>
        </is>
      </c>
      <c r="B1169" s="8" t="inlineStr">
        <is>
          <t>ORD-000590</t>
        </is>
      </c>
      <c r="C1169" s="10" t="inlineStr">
        <is>
          <t>2025-09-09</t>
        </is>
      </c>
      <c r="D1169" s="8" t="inlineStr">
        <is>
          <t>CUST-06979</t>
        </is>
      </c>
      <c r="E1169" s="8" t="inlineStr">
        <is>
          <t>PRD-0352</t>
        </is>
      </c>
      <c r="F1169" s="8" t="n">
        <v>4</v>
      </c>
      <c r="G1169" s="9">
        <f>IFERROR(XLOOKUP(E1169, '04_Products'!$A:$A, '04_Products'!$G:$G), 840.70)</f>
        <v/>
      </c>
      <c r="H1169" s="9">
        <f>IFERROR(XLOOKUP(E1169, '04_Products'!$A:$A, '04_Products'!$F:$F), 0)</f>
        <v/>
      </c>
      <c r="I1169" s="9">
        <f>F1169*G1169</f>
        <v/>
      </c>
      <c r="J1169" s="11" t="n">
        <v>0.05</v>
      </c>
      <c r="K1169" s="9">
        <f>I1169*J1169</f>
        <v/>
      </c>
      <c r="L1169" s="9">
        <f>I1169-K1169</f>
        <v/>
      </c>
      <c r="M1169" s="9">
        <f>F1169*H1169</f>
        <v/>
      </c>
      <c r="N1169" s="9">
        <f>L1169-M1169</f>
        <v/>
      </c>
      <c r="O1169" s="11">
        <f>IFERROR(N1169/L1169, 0)</f>
        <v/>
      </c>
      <c r="P1169" s="8">
        <f>YEAR(C1169)</f>
        <v/>
      </c>
      <c r="Q1169" s="8">
        <f>TEXT(C1169, "yyyy-mm")</f>
        <v/>
      </c>
      <c r="R1169" s="8" t="inlineStr">
        <is>
          <t>Direct Web</t>
        </is>
      </c>
      <c r="S1169" s="8" t="inlineStr">
        <is>
          <t>REG-LATAM</t>
        </is>
      </c>
    </row>
    <row r="1170">
      <c r="A1170" s="8" t="inlineStr">
        <is>
          <t>DTL-0001179</t>
        </is>
      </c>
      <c r="B1170" s="8" t="inlineStr">
        <is>
          <t>ORD-000590</t>
        </is>
      </c>
      <c r="C1170" s="10" t="inlineStr">
        <is>
          <t>2025-09-09</t>
        </is>
      </c>
      <c r="D1170" s="8" t="inlineStr">
        <is>
          <t>CUST-06979</t>
        </is>
      </c>
      <c r="E1170" s="8" t="inlineStr">
        <is>
          <t>PRD-0008</t>
        </is>
      </c>
      <c r="F1170" s="8" t="n">
        <v>2</v>
      </c>
      <c r="G1170" s="9">
        <f>IFERROR(XLOOKUP(E1170, '04_Products'!$A:$A, '04_Products'!$G:$G), 323.49)</f>
        <v/>
      </c>
      <c r="H1170" s="9">
        <f>IFERROR(XLOOKUP(E1170, '04_Products'!$A:$A, '04_Products'!$F:$F), 0)</f>
        <v/>
      </c>
      <c r="I1170" s="9">
        <f>F1170*G1170</f>
        <v/>
      </c>
      <c r="J1170" s="11" t="n">
        <v>0.2</v>
      </c>
      <c r="K1170" s="9">
        <f>I1170*J1170</f>
        <v/>
      </c>
      <c r="L1170" s="9">
        <f>I1170-K1170</f>
        <v/>
      </c>
      <c r="M1170" s="9">
        <f>F1170*H1170</f>
        <v/>
      </c>
      <c r="N1170" s="9">
        <f>L1170-M1170</f>
        <v/>
      </c>
      <c r="O1170" s="11">
        <f>IFERROR(N1170/L1170, 0)</f>
        <v/>
      </c>
      <c r="P1170" s="8">
        <f>YEAR(C1170)</f>
        <v/>
      </c>
      <c r="Q1170" s="8">
        <f>TEXT(C1170, "yyyy-mm")</f>
        <v/>
      </c>
      <c r="R1170" s="8" t="inlineStr">
        <is>
          <t>Direct Web</t>
        </is>
      </c>
      <c r="S1170" s="8" t="inlineStr">
        <is>
          <t>REG-LATAM</t>
        </is>
      </c>
    </row>
    <row r="1171">
      <c r="A1171" s="8" t="inlineStr">
        <is>
          <t>DTL-0001180</t>
        </is>
      </c>
      <c r="B1171" s="8" t="inlineStr">
        <is>
          <t>ORD-000591</t>
        </is>
      </c>
      <c r="C1171" s="10" t="inlineStr">
        <is>
          <t>2024-03-04</t>
        </is>
      </c>
      <c r="D1171" s="8" t="inlineStr">
        <is>
          <t>CUST-00749</t>
        </is>
      </c>
      <c r="E1171" s="8" t="inlineStr">
        <is>
          <t>PRD-0203</t>
        </is>
      </c>
      <c r="F1171" s="8" t="n">
        <v>1</v>
      </c>
      <c r="G1171" s="9">
        <f>IFERROR(XLOOKUP(E1171, '04_Products'!$A:$A, '04_Products'!$G:$G), 991.36)</f>
        <v/>
      </c>
      <c r="H1171" s="9">
        <f>IFERROR(XLOOKUP(E1171, '04_Products'!$A:$A, '04_Products'!$F:$F), 0)</f>
        <v/>
      </c>
      <c r="I1171" s="9">
        <f>F1171*G1171</f>
        <v/>
      </c>
      <c r="J1171" s="11" t="n">
        <v>0.1</v>
      </c>
      <c r="K1171" s="9">
        <f>I1171*J1171</f>
        <v/>
      </c>
      <c r="L1171" s="9">
        <f>I1171-K1171</f>
        <v/>
      </c>
      <c r="M1171" s="9">
        <f>F1171*H1171</f>
        <v/>
      </c>
      <c r="N1171" s="9">
        <f>L1171-M1171</f>
        <v/>
      </c>
      <c r="O1171" s="11">
        <f>IFERROR(N1171/L1171, 0)</f>
        <v/>
      </c>
      <c r="P1171" s="8">
        <f>YEAR(C1171)</f>
        <v/>
      </c>
      <c r="Q1171" s="8">
        <f>TEXT(C1171, "yyyy-mm")</f>
        <v/>
      </c>
      <c r="R1171" s="8" t="inlineStr">
        <is>
          <t>Direct Web</t>
        </is>
      </c>
      <c r="S1171" s="8" t="inlineStr">
        <is>
          <t>REG-NA</t>
        </is>
      </c>
    </row>
    <row r="1172">
      <c r="A1172" s="8" t="inlineStr">
        <is>
          <t>DTL-0001181</t>
        </is>
      </c>
      <c r="B1172" s="8" t="inlineStr">
        <is>
          <t>ORD-000592</t>
        </is>
      </c>
      <c r="C1172" s="10" t="inlineStr">
        <is>
          <t>2023-04-26</t>
        </is>
      </c>
      <c r="D1172" s="8" t="inlineStr">
        <is>
          <t>CUST-04192</t>
        </is>
      </c>
      <c r="E1172" s="8" t="inlineStr">
        <is>
          <t>PRD-0339</t>
        </is>
      </c>
      <c r="F1172" s="8" t="n">
        <v>1</v>
      </c>
      <c r="G1172" s="9">
        <f>IFERROR(XLOOKUP(E1172, '04_Products'!$A:$A, '04_Products'!$G:$G), 30.04)</f>
        <v/>
      </c>
      <c r="H1172" s="9">
        <f>IFERROR(XLOOKUP(E1172, '04_Products'!$A:$A, '04_Products'!$F:$F), 0)</f>
        <v/>
      </c>
      <c r="I1172" s="9">
        <f>F1172*G1172</f>
        <v/>
      </c>
      <c r="J1172" s="11" t="n">
        <v>0</v>
      </c>
      <c r="K1172" s="9">
        <f>I1172*J1172</f>
        <v/>
      </c>
      <c r="L1172" s="9">
        <f>I1172-K1172</f>
        <v/>
      </c>
      <c r="M1172" s="9">
        <f>F1172*H1172</f>
        <v/>
      </c>
      <c r="N1172" s="9">
        <f>L1172-M1172</f>
        <v/>
      </c>
      <c r="O1172" s="11">
        <f>IFERROR(N1172/L1172, 0)</f>
        <v/>
      </c>
      <c r="P1172" s="8">
        <f>YEAR(C1172)</f>
        <v/>
      </c>
      <c r="Q1172" s="8">
        <f>TEXT(C1172, "yyyy-mm")</f>
        <v/>
      </c>
      <c r="R1172" s="8" t="inlineStr">
        <is>
          <t>B2B Portal</t>
        </is>
      </c>
      <c r="S1172" s="8" t="inlineStr">
        <is>
          <t>REG-APAC</t>
        </is>
      </c>
    </row>
    <row r="1173">
      <c r="A1173" s="8" t="inlineStr">
        <is>
          <t>DTL-0001182</t>
        </is>
      </c>
      <c r="B1173" s="8" t="inlineStr">
        <is>
          <t>ORD-000593</t>
        </is>
      </c>
      <c r="C1173" s="10" t="inlineStr">
        <is>
          <t>2023-07-22</t>
        </is>
      </c>
      <c r="D1173" s="8" t="inlineStr">
        <is>
          <t>CUST-02626</t>
        </is>
      </c>
      <c r="E1173" s="8" t="inlineStr">
        <is>
          <t>PRD-0370</t>
        </is>
      </c>
      <c r="F1173" s="8" t="n">
        <v>1</v>
      </c>
      <c r="G1173" s="9">
        <f>IFERROR(XLOOKUP(E1173, '04_Products'!$A:$A, '04_Products'!$G:$G), 1113.54)</f>
        <v/>
      </c>
      <c r="H1173" s="9">
        <f>IFERROR(XLOOKUP(E1173, '04_Products'!$A:$A, '04_Products'!$F:$F), 0)</f>
        <v/>
      </c>
      <c r="I1173" s="9">
        <f>F1173*G1173</f>
        <v/>
      </c>
      <c r="J1173" s="11" t="n">
        <v>0.05</v>
      </c>
      <c r="K1173" s="9">
        <f>I1173*J1173</f>
        <v/>
      </c>
      <c r="L1173" s="9">
        <f>I1173-K1173</f>
        <v/>
      </c>
      <c r="M1173" s="9">
        <f>F1173*H1173</f>
        <v/>
      </c>
      <c r="N1173" s="9">
        <f>L1173-M1173</f>
        <v/>
      </c>
      <c r="O1173" s="11">
        <f>IFERROR(N1173/L1173, 0)</f>
        <v/>
      </c>
      <c r="P1173" s="8">
        <f>YEAR(C1173)</f>
        <v/>
      </c>
      <c r="Q1173" s="8">
        <f>TEXT(C1173, "yyyy-mm")</f>
        <v/>
      </c>
      <c r="R1173" s="8" t="inlineStr">
        <is>
          <t>B2B Portal</t>
        </is>
      </c>
      <c r="S1173" s="8" t="inlineStr">
        <is>
          <t>REG-EU</t>
        </is>
      </c>
    </row>
    <row r="1174">
      <c r="A1174" s="8" t="inlineStr">
        <is>
          <t>DTL-0001183</t>
        </is>
      </c>
      <c r="B1174" s="8" t="inlineStr">
        <is>
          <t>ORD-000593</t>
        </is>
      </c>
      <c r="C1174" s="10" t="inlineStr">
        <is>
          <t>2023-07-22</t>
        </is>
      </c>
      <c r="D1174" s="8" t="inlineStr">
        <is>
          <t>CUST-02626</t>
        </is>
      </c>
      <c r="E1174" s="8" t="inlineStr">
        <is>
          <t>PRD-0019</t>
        </is>
      </c>
      <c r="F1174" s="8" t="n">
        <v>2</v>
      </c>
      <c r="G1174" s="9">
        <f>IFERROR(XLOOKUP(E1174, '04_Products'!$A:$A, '04_Products'!$G:$G), 444.46)</f>
        <v/>
      </c>
      <c r="H1174" s="9">
        <f>IFERROR(XLOOKUP(E1174, '04_Products'!$A:$A, '04_Products'!$F:$F), 0)</f>
        <v/>
      </c>
      <c r="I1174" s="9">
        <f>F1174*G1174</f>
        <v/>
      </c>
      <c r="J1174" s="11" t="n">
        <v>0</v>
      </c>
      <c r="K1174" s="9">
        <f>I1174*J1174</f>
        <v/>
      </c>
      <c r="L1174" s="9">
        <f>I1174-K1174</f>
        <v/>
      </c>
      <c r="M1174" s="9">
        <f>F1174*H1174</f>
        <v/>
      </c>
      <c r="N1174" s="9">
        <f>L1174-M1174</f>
        <v/>
      </c>
      <c r="O1174" s="11">
        <f>IFERROR(N1174/L1174, 0)</f>
        <v/>
      </c>
      <c r="P1174" s="8">
        <f>YEAR(C1174)</f>
        <v/>
      </c>
      <c r="Q1174" s="8">
        <f>TEXT(C1174, "yyyy-mm")</f>
        <v/>
      </c>
      <c r="R1174" s="8" t="inlineStr">
        <is>
          <t>B2B Portal</t>
        </is>
      </c>
      <c r="S1174" s="8" t="inlineStr">
        <is>
          <t>REG-EU</t>
        </is>
      </c>
    </row>
    <row r="1175">
      <c r="A1175" s="8" t="inlineStr">
        <is>
          <t>DTL-0001184</t>
        </is>
      </c>
      <c r="B1175" s="8" t="inlineStr">
        <is>
          <t>ORD-000594</t>
        </is>
      </c>
      <c r="C1175" s="10" t="inlineStr">
        <is>
          <t>2025-06-03</t>
        </is>
      </c>
      <c r="D1175" s="8" t="inlineStr">
        <is>
          <t>CUST-05556</t>
        </is>
      </c>
      <c r="E1175" s="8" t="inlineStr">
        <is>
          <t>PRD-0315</t>
        </is>
      </c>
      <c r="F1175" s="8" t="n">
        <v>1</v>
      </c>
      <c r="G1175" s="9">
        <f>IFERROR(XLOOKUP(E1175, '04_Products'!$A:$A, '04_Products'!$G:$G), 916.00)</f>
        <v/>
      </c>
      <c r="H1175" s="9">
        <f>IFERROR(XLOOKUP(E1175, '04_Products'!$A:$A, '04_Products'!$F:$F), 0)</f>
        <v/>
      </c>
      <c r="I1175" s="9">
        <f>F1175*G1175</f>
        <v/>
      </c>
      <c r="J1175" s="11" t="n">
        <v>0.2</v>
      </c>
      <c r="K1175" s="9">
        <f>I1175*J1175</f>
        <v/>
      </c>
      <c r="L1175" s="9">
        <f>I1175-K1175</f>
        <v/>
      </c>
      <c r="M1175" s="9">
        <f>F1175*H1175</f>
        <v/>
      </c>
      <c r="N1175" s="9">
        <f>L1175-M1175</f>
        <v/>
      </c>
      <c r="O1175" s="11">
        <f>IFERROR(N1175/L1175, 0)</f>
        <v/>
      </c>
      <c r="P1175" s="8">
        <f>YEAR(C1175)</f>
        <v/>
      </c>
      <c r="Q1175" s="8">
        <f>TEXT(C1175, "yyyy-mm")</f>
        <v/>
      </c>
      <c r="R1175" s="8" t="inlineStr">
        <is>
          <t>Direct Web</t>
        </is>
      </c>
      <c r="S1175" s="8" t="inlineStr">
        <is>
          <t>REG-EU</t>
        </is>
      </c>
    </row>
    <row r="1176">
      <c r="A1176" s="8" t="inlineStr">
        <is>
          <t>DTL-0001185</t>
        </is>
      </c>
      <c r="B1176" s="8" t="inlineStr">
        <is>
          <t>ORD-000594</t>
        </is>
      </c>
      <c r="C1176" s="10" t="inlineStr">
        <is>
          <t>2025-06-03</t>
        </is>
      </c>
      <c r="D1176" s="8" t="inlineStr">
        <is>
          <t>CUST-05556</t>
        </is>
      </c>
      <c r="E1176" s="8" t="inlineStr">
        <is>
          <t>PRD-0230</t>
        </is>
      </c>
      <c r="F1176" s="8" t="n">
        <v>3</v>
      </c>
      <c r="G1176" s="9">
        <f>IFERROR(XLOOKUP(E1176, '04_Products'!$A:$A, '04_Products'!$G:$G), 54.32)</f>
        <v/>
      </c>
      <c r="H1176" s="9">
        <f>IFERROR(XLOOKUP(E1176, '04_Products'!$A:$A, '04_Products'!$F:$F), 0)</f>
        <v/>
      </c>
      <c r="I1176" s="9">
        <f>F1176*G1176</f>
        <v/>
      </c>
      <c r="J1176" s="11" t="n">
        <v>0.05</v>
      </c>
      <c r="K1176" s="9">
        <f>I1176*J1176</f>
        <v/>
      </c>
      <c r="L1176" s="9">
        <f>I1176-K1176</f>
        <v/>
      </c>
      <c r="M1176" s="9">
        <f>F1176*H1176</f>
        <v/>
      </c>
      <c r="N1176" s="9">
        <f>L1176-M1176</f>
        <v/>
      </c>
      <c r="O1176" s="11">
        <f>IFERROR(N1176/L1176, 0)</f>
        <v/>
      </c>
      <c r="P1176" s="8">
        <f>YEAR(C1176)</f>
        <v/>
      </c>
      <c r="Q1176" s="8">
        <f>TEXT(C1176, "yyyy-mm")</f>
        <v/>
      </c>
      <c r="R1176" s="8" t="inlineStr">
        <is>
          <t>Direct Web</t>
        </is>
      </c>
      <c r="S1176" s="8" t="inlineStr">
        <is>
          <t>REG-EU</t>
        </is>
      </c>
    </row>
    <row r="1177">
      <c r="A1177" s="8" t="inlineStr">
        <is>
          <t>DTL-0001186</t>
        </is>
      </c>
      <c r="B1177" s="8" t="inlineStr">
        <is>
          <t>ORD-000594</t>
        </is>
      </c>
      <c r="C1177" s="10" t="inlineStr">
        <is>
          <t>2025-06-03</t>
        </is>
      </c>
      <c r="D1177" s="8" t="inlineStr">
        <is>
          <t>CUST-05556</t>
        </is>
      </c>
      <c r="E1177" s="8" t="inlineStr">
        <is>
          <t>PRD-0426</t>
        </is>
      </c>
      <c r="F1177" s="8" t="n">
        <v>1</v>
      </c>
      <c r="G1177" s="9">
        <f>IFERROR(XLOOKUP(E1177, '04_Products'!$A:$A, '04_Products'!$G:$G), 51.71)</f>
        <v/>
      </c>
      <c r="H1177" s="9">
        <f>IFERROR(XLOOKUP(E1177, '04_Products'!$A:$A, '04_Products'!$F:$F), 0)</f>
        <v/>
      </c>
      <c r="I1177" s="9">
        <f>F1177*G1177</f>
        <v/>
      </c>
      <c r="J1177" s="11" t="n">
        <v>0.1</v>
      </c>
      <c r="K1177" s="9">
        <f>I1177*J1177</f>
        <v/>
      </c>
      <c r="L1177" s="9">
        <f>I1177-K1177</f>
        <v/>
      </c>
      <c r="M1177" s="9">
        <f>F1177*H1177</f>
        <v/>
      </c>
      <c r="N1177" s="9">
        <f>L1177-M1177</f>
        <v/>
      </c>
      <c r="O1177" s="11">
        <f>IFERROR(N1177/L1177, 0)</f>
        <v/>
      </c>
      <c r="P1177" s="8">
        <f>YEAR(C1177)</f>
        <v/>
      </c>
      <c r="Q1177" s="8">
        <f>TEXT(C1177, "yyyy-mm")</f>
        <v/>
      </c>
      <c r="R1177" s="8" t="inlineStr">
        <is>
          <t>Direct Web</t>
        </is>
      </c>
      <c r="S1177" s="8" t="inlineStr">
        <is>
          <t>REG-EU</t>
        </is>
      </c>
    </row>
    <row r="1178">
      <c r="A1178" s="8" t="inlineStr">
        <is>
          <t>DTL-0001187</t>
        </is>
      </c>
      <c r="B1178" s="8" t="inlineStr">
        <is>
          <t>ORD-000594</t>
        </is>
      </c>
      <c r="C1178" s="10" t="inlineStr">
        <is>
          <t>2025-06-03</t>
        </is>
      </c>
      <c r="D1178" s="8" t="inlineStr">
        <is>
          <t>CUST-05556</t>
        </is>
      </c>
      <c r="E1178" s="8" t="inlineStr">
        <is>
          <t>PRD-0364</t>
        </is>
      </c>
      <c r="F1178" s="8" t="n">
        <v>1</v>
      </c>
      <c r="G1178" s="9">
        <f>IFERROR(XLOOKUP(E1178, '04_Products'!$A:$A, '04_Products'!$G:$G), 1083.88)</f>
        <v/>
      </c>
      <c r="H1178" s="9">
        <f>IFERROR(XLOOKUP(E1178, '04_Products'!$A:$A, '04_Products'!$F:$F), 0)</f>
        <v/>
      </c>
      <c r="I1178" s="9">
        <f>F1178*G1178</f>
        <v/>
      </c>
      <c r="J1178" s="11" t="n">
        <v>0</v>
      </c>
      <c r="K1178" s="9">
        <f>I1178*J1178</f>
        <v/>
      </c>
      <c r="L1178" s="9">
        <f>I1178-K1178</f>
        <v/>
      </c>
      <c r="M1178" s="9">
        <f>F1178*H1178</f>
        <v/>
      </c>
      <c r="N1178" s="9">
        <f>L1178-M1178</f>
        <v/>
      </c>
      <c r="O1178" s="11">
        <f>IFERROR(N1178/L1178, 0)</f>
        <v/>
      </c>
      <c r="P1178" s="8">
        <f>YEAR(C1178)</f>
        <v/>
      </c>
      <c r="Q1178" s="8">
        <f>TEXT(C1178, "yyyy-mm")</f>
        <v/>
      </c>
      <c r="R1178" s="8" t="inlineStr">
        <is>
          <t>Direct Web</t>
        </is>
      </c>
      <c r="S1178" s="8" t="inlineStr">
        <is>
          <t>REG-EU</t>
        </is>
      </c>
    </row>
    <row r="1179">
      <c r="A1179" s="8" t="inlineStr">
        <is>
          <t>DTL-0001188</t>
        </is>
      </c>
      <c r="B1179" s="8" t="inlineStr">
        <is>
          <t>ORD-000595</t>
        </is>
      </c>
      <c r="C1179" s="10" t="inlineStr">
        <is>
          <t>2025-08-22</t>
        </is>
      </c>
      <c r="D1179" s="8" t="inlineStr">
        <is>
          <t>CUST-03870</t>
        </is>
      </c>
      <c r="E1179" s="8" t="inlineStr">
        <is>
          <t>PRD-0319</t>
        </is>
      </c>
      <c r="F1179" s="8" t="n">
        <v>1</v>
      </c>
      <c r="G1179" s="9">
        <f>IFERROR(XLOOKUP(E1179, '04_Products'!$A:$A, '04_Products'!$G:$G), 941.33)</f>
        <v/>
      </c>
      <c r="H1179" s="9">
        <f>IFERROR(XLOOKUP(E1179, '04_Products'!$A:$A, '04_Products'!$F:$F), 0)</f>
        <v/>
      </c>
      <c r="I1179" s="9">
        <f>F1179*G1179</f>
        <v/>
      </c>
      <c r="J1179" s="11" t="n">
        <v>0.05</v>
      </c>
      <c r="K1179" s="9">
        <f>I1179*J1179</f>
        <v/>
      </c>
      <c r="L1179" s="9">
        <f>I1179-K1179</f>
        <v/>
      </c>
      <c r="M1179" s="9">
        <f>F1179*H1179</f>
        <v/>
      </c>
      <c r="N1179" s="9">
        <f>L1179-M1179</f>
        <v/>
      </c>
      <c r="O1179" s="11">
        <f>IFERROR(N1179/L1179, 0)</f>
        <v/>
      </c>
      <c r="P1179" s="8">
        <f>YEAR(C1179)</f>
        <v/>
      </c>
      <c r="Q1179" s="8">
        <f>TEXT(C1179, "yyyy-mm")</f>
        <v/>
      </c>
      <c r="R1179" s="8" t="inlineStr">
        <is>
          <t>Mobile App</t>
        </is>
      </c>
      <c r="S1179" s="8" t="inlineStr">
        <is>
          <t>REG-EU</t>
        </is>
      </c>
    </row>
    <row r="1180">
      <c r="A1180" s="8" t="inlineStr">
        <is>
          <t>DTL-0001189</t>
        </is>
      </c>
      <c r="B1180" s="8" t="inlineStr">
        <is>
          <t>ORD-000595</t>
        </is>
      </c>
      <c r="C1180" s="10" t="inlineStr">
        <is>
          <t>2025-08-22</t>
        </is>
      </c>
      <c r="D1180" s="8" t="inlineStr">
        <is>
          <t>CUST-03870</t>
        </is>
      </c>
      <c r="E1180" s="8" t="inlineStr">
        <is>
          <t>PRD-0354</t>
        </is>
      </c>
      <c r="F1180" s="8" t="n">
        <v>1</v>
      </c>
      <c r="G1180" s="9">
        <f>IFERROR(XLOOKUP(E1180, '04_Products'!$A:$A, '04_Products'!$G:$G), 70.99)</f>
        <v/>
      </c>
      <c r="H1180" s="9">
        <f>IFERROR(XLOOKUP(E1180, '04_Products'!$A:$A, '04_Products'!$F:$F), 0)</f>
        <v/>
      </c>
      <c r="I1180" s="9">
        <f>F1180*G1180</f>
        <v/>
      </c>
      <c r="J1180" s="11" t="n">
        <v>0</v>
      </c>
      <c r="K1180" s="9">
        <f>I1180*J1180</f>
        <v/>
      </c>
      <c r="L1180" s="9">
        <f>I1180-K1180</f>
        <v/>
      </c>
      <c r="M1180" s="9">
        <f>F1180*H1180</f>
        <v/>
      </c>
      <c r="N1180" s="9">
        <f>L1180-M1180</f>
        <v/>
      </c>
      <c r="O1180" s="11">
        <f>IFERROR(N1180/L1180, 0)</f>
        <v/>
      </c>
      <c r="P1180" s="8">
        <f>YEAR(C1180)</f>
        <v/>
      </c>
      <c r="Q1180" s="8">
        <f>TEXT(C1180, "yyyy-mm")</f>
        <v/>
      </c>
      <c r="R1180" s="8" t="inlineStr">
        <is>
          <t>Mobile App</t>
        </is>
      </c>
      <c r="S1180" s="8" t="inlineStr">
        <is>
          <t>REG-EU</t>
        </is>
      </c>
    </row>
    <row r="1181">
      <c r="A1181" s="8" t="inlineStr">
        <is>
          <t>DTL-0001190</t>
        </is>
      </c>
      <c r="B1181" s="8" t="inlineStr">
        <is>
          <t>ORD-000596</t>
        </is>
      </c>
      <c r="C1181" s="10" t="inlineStr">
        <is>
          <t>2024-05-11</t>
        </is>
      </c>
      <c r="D1181" s="8" t="inlineStr">
        <is>
          <t>CUST-03447</t>
        </is>
      </c>
      <c r="E1181" s="8" t="inlineStr">
        <is>
          <t>PRD-0262</t>
        </is>
      </c>
      <c r="F1181" s="8" t="n">
        <v>2</v>
      </c>
      <c r="G1181" s="9">
        <f>IFERROR(XLOOKUP(E1181, '04_Products'!$A:$A, '04_Products'!$G:$G), 621.74)</f>
        <v/>
      </c>
      <c r="H1181" s="9">
        <f>IFERROR(XLOOKUP(E1181, '04_Products'!$A:$A, '04_Products'!$F:$F), 0)</f>
        <v/>
      </c>
      <c r="I1181" s="9">
        <f>F1181*G1181</f>
        <v/>
      </c>
      <c r="J1181" s="11" t="n">
        <v>0</v>
      </c>
      <c r="K1181" s="9">
        <f>I1181*J1181</f>
        <v/>
      </c>
      <c r="L1181" s="9">
        <f>I1181-K1181</f>
        <v/>
      </c>
      <c r="M1181" s="9">
        <f>F1181*H1181</f>
        <v/>
      </c>
      <c r="N1181" s="9">
        <f>L1181-M1181</f>
        <v/>
      </c>
      <c r="O1181" s="11">
        <f>IFERROR(N1181/L1181, 0)</f>
        <v/>
      </c>
      <c r="P1181" s="8">
        <f>YEAR(C1181)</f>
        <v/>
      </c>
      <c r="Q1181" s="8">
        <f>TEXT(C1181, "yyyy-mm")</f>
        <v/>
      </c>
      <c r="R1181" s="8" t="inlineStr">
        <is>
          <t>Direct Web</t>
        </is>
      </c>
      <c r="S1181" s="8" t="inlineStr">
        <is>
          <t>REG-APAC</t>
        </is>
      </c>
    </row>
    <row r="1182">
      <c r="A1182" s="8" t="inlineStr">
        <is>
          <t>DTL-0001191</t>
        </is>
      </c>
      <c r="B1182" s="8" t="inlineStr">
        <is>
          <t>ORD-000597</t>
        </is>
      </c>
      <c r="C1182" s="10" t="inlineStr">
        <is>
          <t>2025-11-26</t>
        </is>
      </c>
      <c r="D1182" s="8" t="inlineStr">
        <is>
          <t>CUST-01371</t>
        </is>
      </c>
      <c r="E1182" s="8" t="inlineStr">
        <is>
          <t>PRD-0471</t>
        </is>
      </c>
      <c r="F1182" s="8" t="n">
        <v>2</v>
      </c>
      <c r="G1182" s="9">
        <f>IFERROR(XLOOKUP(E1182, '04_Products'!$A:$A, '04_Products'!$G:$G), 642.74)</f>
        <v/>
      </c>
      <c r="H1182" s="9">
        <f>IFERROR(XLOOKUP(E1182, '04_Products'!$A:$A, '04_Products'!$F:$F), 0)</f>
        <v/>
      </c>
      <c r="I1182" s="9">
        <f>F1182*G1182</f>
        <v/>
      </c>
      <c r="J1182" s="11" t="n">
        <v>0</v>
      </c>
      <c r="K1182" s="9">
        <f>I1182*J1182</f>
        <v/>
      </c>
      <c r="L1182" s="9">
        <f>I1182-K1182</f>
        <v/>
      </c>
      <c r="M1182" s="9">
        <f>F1182*H1182</f>
        <v/>
      </c>
      <c r="N1182" s="9">
        <f>L1182-M1182</f>
        <v/>
      </c>
      <c r="O1182" s="11">
        <f>IFERROR(N1182/L1182, 0)</f>
        <v/>
      </c>
      <c r="P1182" s="8">
        <f>YEAR(C1182)</f>
        <v/>
      </c>
      <c r="Q1182" s="8">
        <f>TEXT(C1182, "yyyy-mm")</f>
        <v/>
      </c>
      <c r="R1182" s="8" t="inlineStr">
        <is>
          <t>B2B Portal</t>
        </is>
      </c>
      <c r="S1182" s="8" t="inlineStr">
        <is>
          <t>REG-APAC</t>
        </is>
      </c>
    </row>
    <row r="1183">
      <c r="A1183" s="8" t="inlineStr">
        <is>
          <t>DTL-0001192</t>
        </is>
      </c>
      <c r="B1183" s="8" t="inlineStr">
        <is>
          <t>ORD-000598</t>
        </is>
      </c>
      <c r="C1183" s="10" t="inlineStr">
        <is>
          <t>2024-09-15</t>
        </is>
      </c>
      <c r="D1183" s="8" t="inlineStr">
        <is>
          <t>CUST-06846</t>
        </is>
      </c>
      <c r="E1183" s="8" t="inlineStr">
        <is>
          <t>PRD-0357</t>
        </is>
      </c>
      <c r="F1183" s="8" t="n">
        <v>2</v>
      </c>
      <c r="G1183" s="9">
        <f>IFERROR(XLOOKUP(E1183, '04_Products'!$A:$A, '04_Products'!$G:$G), 305.71)</f>
        <v/>
      </c>
      <c r="H1183" s="9">
        <f>IFERROR(XLOOKUP(E1183, '04_Products'!$A:$A, '04_Products'!$F:$F), 0)</f>
        <v/>
      </c>
      <c r="I1183" s="9">
        <f>F1183*G1183</f>
        <v/>
      </c>
      <c r="J1183" s="11" t="n">
        <v>0.05</v>
      </c>
      <c r="K1183" s="9">
        <f>I1183*J1183</f>
        <v/>
      </c>
      <c r="L1183" s="9">
        <f>I1183-K1183</f>
        <v/>
      </c>
      <c r="M1183" s="9">
        <f>F1183*H1183</f>
        <v/>
      </c>
      <c r="N1183" s="9">
        <f>L1183-M1183</f>
        <v/>
      </c>
      <c r="O1183" s="11">
        <f>IFERROR(N1183/L1183, 0)</f>
        <v/>
      </c>
      <c r="P1183" s="8">
        <f>YEAR(C1183)</f>
        <v/>
      </c>
      <c r="Q1183" s="8">
        <f>TEXT(C1183, "yyyy-mm")</f>
        <v/>
      </c>
      <c r="R1183" s="8" t="inlineStr">
        <is>
          <t>Direct Web</t>
        </is>
      </c>
      <c r="S1183" s="8" t="inlineStr">
        <is>
          <t>REG-APAC</t>
        </is>
      </c>
    </row>
    <row r="1184">
      <c r="A1184" s="8" t="inlineStr">
        <is>
          <t>DTL-0001193</t>
        </is>
      </c>
      <c r="B1184" s="8" t="inlineStr">
        <is>
          <t>ORD-000598</t>
        </is>
      </c>
      <c r="C1184" s="10" t="inlineStr">
        <is>
          <t>2024-09-15</t>
        </is>
      </c>
      <c r="D1184" s="8" t="inlineStr">
        <is>
          <t>CUST-06846</t>
        </is>
      </c>
      <c r="E1184" s="8" t="inlineStr">
        <is>
          <t>PRD-0164</t>
        </is>
      </c>
      <c r="F1184" s="8" t="n">
        <v>1</v>
      </c>
      <c r="G1184" s="9">
        <f>IFERROR(XLOOKUP(E1184, '04_Products'!$A:$A, '04_Products'!$G:$G), 729.88)</f>
        <v/>
      </c>
      <c r="H1184" s="9">
        <f>IFERROR(XLOOKUP(E1184, '04_Products'!$A:$A, '04_Products'!$F:$F), 0)</f>
        <v/>
      </c>
      <c r="I1184" s="9">
        <f>F1184*G1184</f>
        <v/>
      </c>
      <c r="J1184" s="11" t="n">
        <v>0.05</v>
      </c>
      <c r="K1184" s="9">
        <f>I1184*J1184</f>
        <v/>
      </c>
      <c r="L1184" s="9">
        <f>I1184-K1184</f>
        <v/>
      </c>
      <c r="M1184" s="9">
        <f>F1184*H1184</f>
        <v/>
      </c>
      <c r="N1184" s="9">
        <f>L1184-M1184</f>
        <v/>
      </c>
      <c r="O1184" s="11">
        <f>IFERROR(N1184/L1184, 0)</f>
        <v/>
      </c>
      <c r="P1184" s="8">
        <f>YEAR(C1184)</f>
        <v/>
      </c>
      <c r="Q1184" s="8">
        <f>TEXT(C1184, "yyyy-mm")</f>
        <v/>
      </c>
      <c r="R1184" s="8" t="inlineStr">
        <is>
          <t>Direct Web</t>
        </is>
      </c>
      <c r="S1184" s="8" t="inlineStr">
        <is>
          <t>REG-APAC</t>
        </is>
      </c>
    </row>
    <row r="1185">
      <c r="A1185" s="8" t="inlineStr">
        <is>
          <t>DTL-0001194</t>
        </is>
      </c>
      <c r="B1185" s="8" t="inlineStr">
        <is>
          <t>ORD-000598</t>
        </is>
      </c>
      <c r="C1185" s="10" t="inlineStr">
        <is>
          <t>2024-09-15</t>
        </is>
      </c>
      <c r="D1185" s="8" t="inlineStr">
        <is>
          <t>CUST-06846</t>
        </is>
      </c>
      <c r="E1185" s="8" t="inlineStr">
        <is>
          <t>PRD-0480</t>
        </is>
      </c>
      <c r="F1185" s="8" t="n">
        <v>2</v>
      </c>
      <c r="G1185" s="9">
        <f>IFERROR(XLOOKUP(E1185, '04_Products'!$A:$A, '04_Products'!$G:$G), 122.63)</f>
        <v/>
      </c>
      <c r="H1185" s="9">
        <f>IFERROR(XLOOKUP(E1185, '04_Products'!$A:$A, '04_Products'!$F:$F), 0)</f>
        <v/>
      </c>
      <c r="I1185" s="9">
        <f>F1185*G1185</f>
        <v/>
      </c>
      <c r="J1185" s="11" t="n">
        <v>0.05</v>
      </c>
      <c r="K1185" s="9">
        <f>I1185*J1185</f>
        <v/>
      </c>
      <c r="L1185" s="9">
        <f>I1185-K1185</f>
        <v/>
      </c>
      <c r="M1185" s="9">
        <f>F1185*H1185</f>
        <v/>
      </c>
      <c r="N1185" s="9">
        <f>L1185-M1185</f>
        <v/>
      </c>
      <c r="O1185" s="11">
        <f>IFERROR(N1185/L1185, 0)</f>
        <v/>
      </c>
      <c r="P1185" s="8">
        <f>YEAR(C1185)</f>
        <v/>
      </c>
      <c r="Q1185" s="8">
        <f>TEXT(C1185, "yyyy-mm")</f>
        <v/>
      </c>
      <c r="R1185" s="8" t="inlineStr">
        <is>
          <t>Direct Web</t>
        </is>
      </c>
      <c r="S1185" s="8" t="inlineStr">
        <is>
          <t>REG-APAC</t>
        </is>
      </c>
    </row>
    <row r="1186">
      <c r="A1186" s="8" t="inlineStr">
        <is>
          <t>DTL-0001195</t>
        </is>
      </c>
      <c r="B1186" s="8" t="inlineStr">
        <is>
          <t>ORD-000599</t>
        </is>
      </c>
      <c r="C1186" s="10" t="inlineStr">
        <is>
          <t>2024-07-19</t>
        </is>
      </c>
      <c r="D1186" s="8" t="inlineStr">
        <is>
          <t>CUST-00355</t>
        </is>
      </c>
      <c r="E1186" s="8" t="inlineStr">
        <is>
          <t>PRD-0316</t>
        </is>
      </c>
      <c r="F1186" s="8" t="n">
        <v>1</v>
      </c>
      <c r="G1186" s="9">
        <f>IFERROR(XLOOKUP(E1186, '04_Products'!$A:$A, '04_Products'!$G:$G), 575.96)</f>
        <v/>
      </c>
      <c r="H1186" s="9">
        <f>IFERROR(XLOOKUP(E1186, '04_Products'!$A:$A, '04_Products'!$F:$F), 0)</f>
        <v/>
      </c>
      <c r="I1186" s="9">
        <f>F1186*G1186</f>
        <v/>
      </c>
      <c r="J1186" s="11" t="n">
        <v>0.2</v>
      </c>
      <c r="K1186" s="9">
        <f>I1186*J1186</f>
        <v/>
      </c>
      <c r="L1186" s="9">
        <f>I1186-K1186</f>
        <v/>
      </c>
      <c r="M1186" s="9">
        <f>F1186*H1186</f>
        <v/>
      </c>
      <c r="N1186" s="9">
        <f>L1186-M1186</f>
        <v/>
      </c>
      <c r="O1186" s="11">
        <f>IFERROR(N1186/L1186, 0)</f>
        <v/>
      </c>
      <c r="P1186" s="8">
        <f>YEAR(C1186)</f>
        <v/>
      </c>
      <c r="Q1186" s="8">
        <f>TEXT(C1186, "yyyy-mm")</f>
        <v/>
      </c>
      <c r="R1186" s="8" t="inlineStr">
        <is>
          <t>Direct Web</t>
        </is>
      </c>
      <c r="S1186" s="8" t="inlineStr">
        <is>
          <t>REG-NA</t>
        </is>
      </c>
    </row>
    <row r="1187">
      <c r="A1187" s="8" t="inlineStr">
        <is>
          <t>DTL-0001196</t>
        </is>
      </c>
      <c r="B1187" s="8" t="inlineStr">
        <is>
          <t>ORD-000599</t>
        </is>
      </c>
      <c r="C1187" s="10" t="inlineStr">
        <is>
          <t>2024-07-19</t>
        </is>
      </c>
      <c r="D1187" s="8" t="inlineStr">
        <is>
          <t>CUST-00355</t>
        </is>
      </c>
      <c r="E1187" s="8" t="inlineStr">
        <is>
          <t>PRD-0238</t>
        </is>
      </c>
      <c r="F1187" s="8" t="n">
        <v>1</v>
      </c>
      <c r="G1187" s="9">
        <f>IFERROR(XLOOKUP(E1187, '04_Products'!$A:$A, '04_Products'!$G:$G), 88.50)</f>
        <v/>
      </c>
      <c r="H1187" s="9">
        <f>IFERROR(XLOOKUP(E1187, '04_Products'!$A:$A, '04_Products'!$F:$F), 0)</f>
        <v/>
      </c>
      <c r="I1187" s="9">
        <f>F1187*G1187</f>
        <v/>
      </c>
      <c r="J1187" s="11" t="n">
        <v>0.15</v>
      </c>
      <c r="K1187" s="9">
        <f>I1187*J1187</f>
        <v/>
      </c>
      <c r="L1187" s="9">
        <f>I1187-K1187</f>
        <v/>
      </c>
      <c r="M1187" s="9">
        <f>F1187*H1187</f>
        <v/>
      </c>
      <c r="N1187" s="9">
        <f>L1187-M1187</f>
        <v/>
      </c>
      <c r="O1187" s="11">
        <f>IFERROR(N1187/L1187, 0)</f>
        <v/>
      </c>
      <c r="P1187" s="8">
        <f>YEAR(C1187)</f>
        <v/>
      </c>
      <c r="Q1187" s="8">
        <f>TEXT(C1187, "yyyy-mm")</f>
        <v/>
      </c>
      <c r="R1187" s="8" t="inlineStr">
        <is>
          <t>Direct Web</t>
        </is>
      </c>
      <c r="S1187" s="8" t="inlineStr">
        <is>
          <t>REG-NA</t>
        </is>
      </c>
    </row>
    <row r="1188">
      <c r="A1188" s="8" t="inlineStr">
        <is>
          <t>DTL-0001197</t>
        </is>
      </c>
      <c r="B1188" s="8" t="inlineStr">
        <is>
          <t>ORD-000599</t>
        </is>
      </c>
      <c r="C1188" s="10" t="inlineStr">
        <is>
          <t>2024-07-19</t>
        </is>
      </c>
      <c r="D1188" s="8" t="inlineStr">
        <is>
          <t>CUST-00355</t>
        </is>
      </c>
      <c r="E1188" s="8" t="inlineStr">
        <is>
          <t>PRD-0458</t>
        </is>
      </c>
      <c r="F1188" s="8" t="n">
        <v>3</v>
      </c>
      <c r="G1188" s="9">
        <f>IFERROR(XLOOKUP(E1188, '04_Products'!$A:$A, '04_Products'!$G:$G), 75.83)</f>
        <v/>
      </c>
      <c r="H1188" s="9">
        <f>IFERROR(XLOOKUP(E1188, '04_Products'!$A:$A, '04_Products'!$F:$F), 0)</f>
        <v/>
      </c>
      <c r="I1188" s="9">
        <f>F1188*G1188</f>
        <v/>
      </c>
      <c r="J1188" s="11" t="n">
        <v>0.2</v>
      </c>
      <c r="K1188" s="9">
        <f>I1188*J1188</f>
        <v/>
      </c>
      <c r="L1188" s="9">
        <f>I1188-K1188</f>
        <v/>
      </c>
      <c r="M1188" s="9">
        <f>F1188*H1188</f>
        <v/>
      </c>
      <c r="N1188" s="9">
        <f>L1188-M1188</f>
        <v/>
      </c>
      <c r="O1188" s="11">
        <f>IFERROR(N1188/L1188, 0)</f>
        <v/>
      </c>
      <c r="P1188" s="8">
        <f>YEAR(C1188)</f>
        <v/>
      </c>
      <c r="Q1188" s="8">
        <f>TEXT(C1188, "yyyy-mm")</f>
        <v/>
      </c>
      <c r="R1188" s="8" t="inlineStr">
        <is>
          <t>Direct Web</t>
        </is>
      </c>
      <c r="S1188" s="8" t="inlineStr">
        <is>
          <t>REG-NA</t>
        </is>
      </c>
    </row>
    <row r="1189">
      <c r="A1189" s="8" t="inlineStr">
        <is>
          <t>DTL-0001198</t>
        </is>
      </c>
      <c r="B1189" s="8" t="inlineStr">
        <is>
          <t>ORD-000599</t>
        </is>
      </c>
      <c r="C1189" s="10" t="inlineStr">
        <is>
          <t>2024-07-19</t>
        </is>
      </c>
      <c r="D1189" s="8" t="inlineStr">
        <is>
          <t>CUST-00355</t>
        </is>
      </c>
      <c r="E1189" s="8" t="inlineStr">
        <is>
          <t>PRD-0479</t>
        </is>
      </c>
      <c r="F1189" s="8" t="n">
        <v>1</v>
      </c>
      <c r="G1189" s="9">
        <f>IFERROR(XLOOKUP(E1189, '04_Products'!$A:$A, '04_Products'!$G:$G), 816.11)</f>
        <v/>
      </c>
      <c r="H1189" s="9">
        <f>IFERROR(XLOOKUP(E1189, '04_Products'!$A:$A, '04_Products'!$F:$F), 0)</f>
        <v/>
      </c>
      <c r="I1189" s="9">
        <f>F1189*G1189</f>
        <v/>
      </c>
      <c r="J1189" s="11" t="n">
        <v>0.15</v>
      </c>
      <c r="K1189" s="9">
        <f>I1189*J1189</f>
        <v/>
      </c>
      <c r="L1189" s="9">
        <f>I1189-K1189</f>
        <v/>
      </c>
      <c r="M1189" s="9">
        <f>F1189*H1189</f>
        <v/>
      </c>
      <c r="N1189" s="9">
        <f>L1189-M1189</f>
        <v/>
      </c>
      <c r="O1189" s="11">
        <f>IFERROR(N1189/L1189, 0)</f>
        <v/>
      </c>
      <c r="P1189" s="8">
        <f>YEAR(C1189)</f>
        <v/>
      </c>
      <c r="Q1189" s="8">
        <f>TEXT(C1189, "yyyy-mm")</f>
        <v/>
      </c>
      <c r="R1189" s="8" t="inlineStr">
        <is>
          <t>Direct Web</t>
        </is>
      </c>
      <c r="S1189" s="8" t="inlineStr">
        <is>
          <t>REG-NA</t>
        </is>
      </c>
    </row>
    <row r="1190">
      <c r="A1190" s="8" t="inlineStr">
        <is>
          <t>DTL-0001200</t>
        </is>
      </c>
      <c r="B1190" s="8" t="inlineStr">
        <is>
          <t>ORD-000601</t>
        </is>
      </c>
      <c r="C1190" s="10" t="inlineStr">
        <is>
          <t>2023-10-08</t>
        </is>
      </c>
      <c r="D1190" s="8" t="inlineStr">
        <is>
          <t>CUST-03864</t>
        </is>
      </c>
      <c r="E1190" s="8" t="inlineStr">
        <is>
          <t>PRD-0193</t>
        </is>
      </c>
      <c r="F1190" s="8" t="n">
        <v>5</v>
      </c>
      <c r="G1190" s="9">
        <f>IFERROR(XLOOKUP(E1190, '04_Products'!$A:$A, '04_Products'!$G:$G), 791.50)</f>
        <v/>
      </c>
      <c r="H1190" s="9">
        <f>IFERROR(XLOOKUP(E1190, '04_Products'!$A:$A, '04_Products'!$F:$F), 0)</f>
        <v/>
      </c>
      <c r="I1190" s="9">
        <f>F1190*G1190</f>
        <v/>
      </c>
      <c r="J1190" s="11" t="n">
        <v>0</v>
      </c>
      <c r="K1190" s="9">
        <f>I1190*J1190</f>
        <v/>
      </c>
      <c r="L1190" s="9">
        <f>I1190-K1190</f>
        <v/>
      </c>
      <c r="M1190" s="9">
        <f>F1190*H1190</f>
        <v/>
      </c>
      <c r="N1190" s="9">
        <f>L1190-M1190</f>
        <v/>
      </c>
      <c r="O1190" s="11">
        <f>IFERROR(N1190/L1190, 0)</f>
        <v/>
      </c>
      <c r="P1190" s="8">
        <f>YEAR(C1190)</f>
        <v/>
      </c>
      <c r="Q1190" s="8">
        <f>TEXT(C1190, "yyyy-mm")</f>
        <v/>
      </c>
      <c r="R1190" s="8" t="inlineStr">
        <is>
          <t>Direct Web</t>
        </is>
      </c>
      <c r="S1190" s="8" t="inlineStr">
        <is>
          <t>REG-EU</t>
        </is>
      </c>
    </row>
    <row r="1191">
      <c r="A1191" s="8" t="inlineStr">
        <is>
          <t>DTL-0001201</t>
        </is>
      </c>
      <c r="B1191" s="8" t="inlineStr">
        <is>
          <t>ORD-000601</t>
        </is>
      </c>
      <c r="C1191" s="10" t="inlineStr">
        <is>
          <t>2023-10-08</t>
        </is>
      </c>
      <c r="D1191" s="8" t="inlineStr">
        <is>
          <t>CUST-03864</t>
        </is>
      </c>
      <c r="E1191" s="8" t="inlineStr">
        <is>
          <t>PRD-0079</t>
        </is>
      </c>
      <c r="F1191" s="8" t="n">
        <v>1</v>
      </c>
      <c r="G1191" s="9">
        <f>IFERROR(XLOOKUP(E1191, '04_Products'!$A:$A, '04_Products'!$G:$G), 1234.41)</f>
        <v/>
      </c>
      <c r="H1191" s="9">
        <f>IFERROR(XLOOKUP(E1191, '04_Products'!$A:$A, '04_Products'!$F:$F), 0)</f>
        <v/>
      </c>
      <c r="I1191" s="9">
        <f>F1191*G1191</f>
        <v/>
      </c>
      <c r="J1191" s="11" t="n">
        <v>0.1</v>
      </c>
      <c r="K1191" s="9">
        <f>I1191*J1191</f>
        <v/>
      </c>
      <c r="L1191" s="9">
        <f>I1191-K1191</f>
        <v/>
      </c>
      <c r="M1191" s="9">
        <f>F1191*H1191</f>
        <v/>
      </c>
      <c r="N1191" s="9">
        <f>L1191-M1191</f>
        <v/>
      </c>
      <c r="O1191" s="11">
        <f>IFERROR(N1191/L1191, 0)</f>
        <v/>
      </c>
      <c r="P1191" s="8">
        <f>YEAR(C1191)</f>
        <v/>
      </c>
      <c r="Q1191" s="8">
        <f>TEXT(C1191, "yyyy-mm")</f>
        <v/>
      </c>
      <c r="R1191" s="8" t="inlineStr">
        <is>
          <t>Direct Web</t>
        </is>
      </c>
      <c r="S1191" s="8" t="inlineStr">
        <is>
          <t>REG-EU</t>
        </is>
      </c>
    </row>
    <row r="1192">
      <c r="A1192" s="8" t="inlineStr">
        <is>
          <t>DTL-0001202</t>
        </is>
      </c>
      <c r="B1192" s="8" t="inlineStr">
        <is>
          <t>ORD-000602</t>
        </is>
      </c>
      <c r="C1192" s="10" t="inlineStr">
        <is>
          <t>2025-07-17</t>
        </is>
      </c>
      <c r="D1192" s="8" t="inlineStr">
        <is>
          <t>CUST-07038</t>
        </is>
      </c>
      <c r="E1192" s="8" t="inlineStr">
        <is>
          <t>PRD-0066</t>
        </is>
      </c>
      <c r="F1192" s="8" t="n">
        <v>1</v>
      </c>
      <c r="G1192" s="9">
        <f>IFERROR(XLOOKUP(E1192, '04_Products'!$A:$A, '04_Products'!$G:$G), 976.53)</f>
        <v/>
      </c>
      <c r="H1192" s="9">
        <f>IFERROR(XLOOKUP(E1192, '04_Products'!$A:$A, '04_Products'!$F:$F), 0)</f>
        <v/>
      </c>
      <c r="I1192" s="9">
        <f>F1192*G1192</f>
        <v/>
      </c>
      <c r="J1192" s="11" t="n">
        <v>0.1</v>
      </c>
      <c r="K1192" s="9">
        <f>I1192*J1192</f>
        <v/>
      </c>
      <c r="L1192" s="9">
        <f>I1192-K1192</f>
        <v/>
      </c>
      <c r="M1192" s="9">
        <f>F1192*H1192</f>
        <v/>
      </c>
      <c r="N1192" s="9">
        <f>L1192-M1192</f>
        <v/>
      </c>
      <c r="O1192" s="11">
        <f>IFERROR(N1192/L1192, 0)</f>
        <v/>
      </c>
      <c r="P1192" s="8">
        <f>YEAR(C1192)</f>
        <v/>
      </c>
      <c r="Q1192" s="8">
        <f>TEXT(C1192, "yyyy-mm")</f>
        <v/>
      </c>
      <c r="R1192" s="8" t="inlineStr">
        <is>
          <t>Direct Web</t>
        </is>
      </c>
      <c r="S1192" s="8" t="inlineStr">
        <is>
          <t>REG-LATAM</t>
        </is>
      </c>
    </row>
    <row r="1193">
      <c r="A1193" s="8" t="inlineStr">
        <is>
          <t>DTL-0001203</t>
        </is>
      </c>
      <c r="B1193" s="8" t="inlineStr">
        <is>
          <t>ORD-000602</t>
        </is>
      </c>
      <c r="C1193" s="10" t="inlineStr">
        <is>
          <t>2025-07-17</t>
        </is>
      </c>
      <c r="D1193" s="8" t="inlineStr">
        <is>
          <t>CUST-07038</t>
        </is>
      </c>
      <c r="E1193" s="8" t="inlineStr">
        <is>
          <t>PRD-0149</t>
        </is>
      </c>
      <c r="F1193" s="8" t="n">
        <v>1</v>
      </c>
      <c r="G1193" s="9">
        <f>IFERROR(XLOOKUP(E1193, '04_Products'!$A:$A, '04_Products'!$G:$G), 184.54)</f>
        <v/>
      </c>
      <c r="H1193" s="9">
        <f>IFERROR(XLOOKUP(E1193, '04_Products'!$A:$A, '04_Products'!$F:$F), 0)</f>
        <v/>
      </c>
      <c r="I1193" s="9">
        <f>F1193*G1193</f>
        <v/>
      </c>
      <c r="J1193" s="11" t="n">
        <v>0</v>
      </c>
      <c r="K1193" s="9">
        <f>I1193*J1193</f>
        <v/>
      </c>
      <c r="L1193" s="9">
        <f>I1193-K1193</f>
        <v/>
      </c>
      <c r="M1193" s="9">
        <f>F1193*H1193</f>
        <v/>
      </c>
      <c r="N1193" s="9">
        <f>L1193-M1193</f>
        <v/>
      </c>
      <c r="O1193" s="11">
        <f>IFERROR(N1193/L1193, 0)</f>
        <v/>
      </c>
      <c r="P1193" s="8">
        <f>YEAR(C1193)</f>
        <v/>
      </c>
      <c r="Q1193" s="8">
        <f>TEXT(C1193, "yyyy-mm")</f>
        <v/>
      </c>
      <c r="R1193" s="8" t="inlineStr">
        <is>
          <t>Direct Web</t>
        </is>
      </c>
      <c r="S1193" s="8" t="inlineStr">
        <is>
          <t>REG-LATAM</t>
        </is>
      </c>
    </row>
    <row r="1194">
      <c r="A1194" s="8" t="inlineStr">
        <is>
          <t>DTL-0001204</t>
        </is>
      </c>
      <c r="B1194" s="8" t="inlineStr">
        <is>
          <t>ORD-000602</t>
        </is>
      </c>
      <c r="C1194" s="10" t="inlineStr">
        <is>
          <t>2025-07-17</t>
        </is>
      </c>
      <c r="D1194" s="8" t="inlineStr">
        <is>
          <t>CUST-07038</t>
        </is>
      </c>
      <c r="E1194" s="8" t="inlineStr">
        <is>
          <t>PRD-0436</t>
        </is>
      </c>
      <c r="F1194" s="8" t="n">
        <v>1</v>
      </c>
      <c r="G1194" s="9">
        <f>IFERROR(XLOOKUP(E1194, '04_Products'!$A:$A, '04_Products'!$G:$G), 325.02)</f>
        <v/>
      </c>
      <c r="H1194" s="9">
        <f>IFERROR(XLOOKUP(E1194, '04_Products'!$A:$A, '04_Products'!$F:$F), 0)</f>
        <v/>
      </c>
      <c r="I1194" s="9">
        <f>F1194*G1194</f>
        <v/>
      </c>
      <c r="J1194" s="11" t="n">
        <v>0.1</v>
      </c>
      <c r="K1194" s="9">
        <f>I1194*J1194</f>
        <v/>
      </c>
      <c r="L1194" s="9">
        <f>I1194-K1194</f>
        <v/>
      </c>
      <c r="M1194" s="9">
        <f>F1194*H1194</f>
        <v/>
      </c>
      <c r="N1194" s="9">
        <f>L1194-M1194</f>
        <v/>
      </c>
      <c r="O1194" s="11">
        <f>IFERROR(N1194/L1194, 0)</f>
        <v/>
      </c>
      <c r="P1194" s="8">
        <f>YEAR(C1194)</f>
        <v/>
      </c>
      <c r="Q1194" s="8">
        <f>TEXT(C1194, "yyyy-mm")</f>
        <v/>
      </c>
      <c r="R1194" s="8" t="inlineStr">
        <is>
          <t>Direct Web</t>
        </is>
      </c>
      <c r="S1194" s="8" t="inlineStr">
        <is>
          <t>REG-LATAM</t>
        </is>
      </c>
    </row>
    <row r="1195">
      <c r="A1195" s="8" t="inlineStr">
        <is>
          <t>DTL-0001205</t>
        </is>
      </c>
      <c r="B1195" s="8" t="inlineStr">
        <is>
          <t>ORD-000602</t>
        </is>
      </c>
      <c r="C1195" s="10" t="inlineStr">
        <is>
          <t>2025-07-17</t>
        </is>
      </c>
      <c r="D1195" s="8" t="inlineStr">
        <is>
          <t>CUST-07038</t>
        </is>
      </c>
      <c r="E1195" s="8" t="inlineStr">
        <is>
          <t>PRD-0078</t>
        </is>
      </c>
      <c r="F1195" s="8" t="n">
        <v>1</v>
      </c>
      <c r="G1195" s="9">
        <f>IFERROR(XLOOKUP(E1195, '04_Products'!$A:$A, '04_Products'!$G:$G), 417.17)</f>
        <v/>
      </c>
      <c r="H1195" s="9">
        <f>IFERROR(XLOOKUP(E1195, '04_Products'!$A:$A, '04_Products'!$F:$F), 0)</f>
        <v/>
      </c>
      <c r="I1195" s="9">
        <f>F1195*G1195</f>
        <v/>
      </c>
      <c r="J1195" s="11" t="n">
        <v>0.2</v>
      </c>
      <c r="K1195" s="9">
        <f>I1195*J1195</f>
        <v/>
      </c>
      <c r="L1195" s="9">
        <f>I1195-K1195</f>
        <v/>
      </c>
      <c r="M1195" s="9">
        <f>F1195*H1195</f>
        <v/>
      </c>
      <c r="N1195" s="9">
        <f>L1195-M1195</f>
        <v/>
      </c>
      <c r="O1195" s="11">
        <f>IFERROR(N1195/L1195, 0)</f>
        <v/>
      </c>
      <c r="P1195" s="8">
        <f>YEAR(C1195)</f>
        <v/>
      </c>
      <c r="Q1195" s="8">
        <f>TEXT(C1195, "yyyy-mm")</f>
        <v/>
      </c>
      <c r="R1195" s="8" t="inlineStr">
        <is>
          <t>Direct Web</t>
        </is>
      </c>
      <c r="S1195" s="8" t="inlineStr">
        <is>
          <t>REG-LATAM</t>
        </is>
      </c>
    </row>
    <row r="1196">
      <c r="A1196" s="8" t="inlineStr">
        <is>
          <t>DTL-0001206</t>
        </is>
      </c>
      <c r="B1196" s="8" t="inlineStr">
        <is>
          <t>ORD-000603</t>
        </is>
      </c>
      <c r="C1196" s="10" t="inlineStr">
        <is>
          <t>2025-09-11</t>
        </is>
      </c>
      <c r="D1196" s="8" t="inlineStr">
        <is>
          <t>CUST-01703</t>
        </is>
      </c>
      <c r="E1196" s="8" t="inlineStr">
        <is>
          <t>PRD-0221</t>
        </is>
      </c>
      <c r="F1196" s="8" t="n">
        <v>1</v>
      </c>
      <c r="G1196" s="9">
        <f>IFERROR(XLOOKUP(E1196, '04_Products'!$A:$A, '04_Products'!$G:$G), 7.79)</f>
        <v/>
      </c>
      <c r="H1196" s="9">
        <f>IFERROR(XLOOKUP(E1196, '04_Products'!$A:$A, '04_Products'!$F:$F), 0)</f>
        <v/>
      </c>
      <c r="I1196" s="9">
        <f>F1196*G1196</f>
        <v/>
      </c>
      <c r="J1196" s="11" t="n">
        <v>0.05</v>
      </c>
      <c r="K1196" s="9">
        <f>I1196*J1196</f>
        <v/>
      </c>
      <c r="L1196" s="9">
        <f>I1196-K1196</f>
        <v/>
      </c>
      <c r="M1196" s="9">
        <f>F1196*H1196</f>
        <v/>
      </c>
      <c r="N1196" s="9">
        <f>L1196-M1196</f>
        <v/>
      </c>
      <c r="O1196" s="11">
        <f>IFERROR(N1196/L1196, 0)</f>
        <v/>
      </c>
      <c r="P1196" s="8">
        <f>YEAR(C1196)</f>
        <v/>
      </c>
      <c r="Q1196" s="8">
        <f>TEXT(C1196, "yyyy-mm")</f>
        <v/>
      </c>
      <c r="R1196" s="8" t="inlineStr">
        <is>
          <t>Direct Web</t>
        </is>
      </c>
      <c r="S1196" s="8" t="inlineStr">
        <is>
          <t>REG-NA</t>
        </is>
      </c>
    </row>
    <row r="1197">
      <c r="A1197" s="8" t="inlineStr">
        <is>
          <t>DTL-0001207</t>
        </is>
      </c>
      <c r="B1197" s="8" t="inlineStr">
        <is>
          <t>ORD-000603</t>
        </is>
      </c>
      <c r="C1197" s="10" t="inlineStr">
        <is>
          <t>2025-09-11</t>
        </is>
      </c>
      <c r="D1197" s="8" t="inlineStr">
        <is>
          <t>CUST-01703</t>
        </is>
      </c>
      <c r="E1197" s="8" t="inlineStr">
        <is>
          <t>PRD-0238</t>
        </is>
      </c>
      <c r="F1197" s="8" t="n">
        <v>4</v>
      </c>
      <c r="G1197" s="9">
        <f>IFERROR(XLOOKUP(E1197, '04_Products'!$A:$A, '04_Products'!$G:$G), 88.50)</f>
        <v/>
      </c>
      <c r="H1197" s="9">
        <f>IFERROR(XLOOKUP(E1197, '04_Products'!$A:$A, '04_Products'!$F:$F), 0)</f>
        <v/>
      </c>
      <c r="I1197" s="9">
        <f>F1197*G1197</f>
        <v/>
      </c>
      <c r="J1197" s="11" t="n">
        <v>0</v>
      </c>
      <c r="K1197" s="9">
        <f>I1197*J1197</f>
        <v/>
      </c>
      <c r="L1197" s="9">
        <f>I1197-K1197</f>
        <v/>
      </c>
      <c r="M1197" s="9">
        <f>F1197*H1197</f>
        <v/>
      </c>
      <c r="N1197" s="9">
        <f>L1197-M1197</f>
        <v/>
      </c>
      <c r="O1197" s="11">
        <f>IFERROR(N1197/L1197, 0)</f>
        <v/>
      </c>
      <c r="P1197" s="8">
        <f>YEAR(C1197)</f>
        <v/>
      </c>
      <c r="Q1197" s="8">
        <f>TEXT(C1197, "yyyy-mm")</f>
        <v/>
      </c>
      <c r="R1197" s="8" t="inlineStr">
        <is>
          <t>Direct Web</t>
        </is>
      </c>
      <c r="S1197" s="8" t="inlineStr">
        <is>
          <t>REG-NA</t>
        </is>
      </c>
    </row>
    <row r="1198">
      <c r="A1198" s="8" t="inlineStr">
        <is>
          <t>DTL-0001208</t>
        </is>
      </c>
      <c r="B1198" s="8" t="inlineStr">
        <is>
          <t>ORD-000603</t>
        </is>
      </c>
      <c r="C1198" s="10" t="inlineStr">
        <is>
          <t>2025-09-11</t>
        </is>
      </c>
      <c r="D1198" s="8" t="inlineStr">
        <is>
          <t>CUST-01703</t>
        </is>
      </c>
      <c r="E1198" s="8" t="inlineStr">
        <is>
          <t>PRD-0334</t>
        </is>
      </c>
      <c r="F1198" s="8" t="n">
        <v>1</v>
      </c>
      <c r="G1198" s="9">
        <f>IFERROR(XLOOKUP(E1198, '04_Products'!$A:$A, '04_Products'!$G:$G), 874.67)</f>
        <v/>
      </c>
      <c r="H1198" s="9">
        <f>IFERROR(XLOOKUP(E1198, '04_Products'!$A:$A, '04_Products'!$F:$F), 0)</f>
        <v/>
      </c>
      <c r="I1198" s="9">
        <f>F1198*G1198</f>
        <v/>
      </c>
      <c r="J1198" s="11" t="n">
        <v>0</v>
      </c>
      <c r="K1198" s="9">
        <f>I1198*J1198</f>
        <v/>
      </c>
      <c r="L1198" s="9">
        <f>I1198-K1198</f>
        <v/>
      </c>
      <c r="M1198" s="9">
        <f>F1198*H1198</f>
        <v/>
      </c>
      <c r="N1198" s="9">
        <f>L1198-M1198</f>
        <v/>
      </c>
      <c r="O1198" s="11">
        <f>IFERROR(N1198/L1198, 0)</f>
        <v/>
      </c>
      <c r="P1198" s="8">
        <f>YEAR(C1198)</f>
        <v/>
      </c>
      <c r="Q1198" s="8">
        <f>TEXT(C1198, "yyyy-mm")</f>
        <v/>
      </c>
      <c r="R1198" s="8" t="inlineStr">
        <is>
          <t>Direct Web</t>
        </is>
      </c>
      <c r="S1198" s="8" t="inlineStr">
        <is>
          <t>REG-NA</t>
        </is>
      </c>
    </row>
    <row r="1199">
      <c r="A1199" s="8" t="inlineStr">
        <is>
          <t>DTL-0001209</t>
        </is>
      </c>
      <c r="B1199" s="8" t="inlineStr">
        <is>
          <t>ORD-000603</t>
        </is>
      </c>
      <c r="C1199" s="10" t="inlineStr">
        <is>
          <t>2025-09-11</t>
        </is>
      </c>
      <c r="D1199" s="8" t="inlineStr">
        <is>
          <t>CUST-01703</t>
        </is>
      </c>
      <c r="E1199" s="8" t="inlineStr">
        <is>
          <t>PRD-0046</t>
        </is>
      </c>
      <c r="F1199" s="8" t="n">
        <v>1</v>
      </c>
      <c r="G1199" s="9">
        <f>IFERROR(XLOOKUP(E1199, '04_Products'!$A:$A, '04_Products'!$G:$G), 692.90)</f>
        <v/>
      </c>
      <c r="H1199" s="9">
        <f>IFERROR(XLOOKUP(E1199, '04_Products'!$A:$A, '04_Products'!$F:$F), 0)</f>
        <v/>
      </c>
      <c r="I1199" s="9">
        <f>F1199*G1199</f>
        <v/>
      </c>
      <c r="J1199" s="11" t="n">
        <v>0.2</v>
      </c>
      <c r="K1199" s="9">
        <f>I1199*J1199</f>
        <v/>
      </c>
      <c r="L1199" s="9">
        <f>I1199-K1199</f>
        <v/>
      </c>
      <c r="M1199" s="9">
        <f>F1199*H1199</f>
        <v/>
      </c>
      <c r="N1199" s="9">
        <f>L1199-M1199</f>
        <v/>
      </c>
      <c r="O1199" s="11">
        <f>IFERROR(N1199/L1199, 0)</f>
        <v/>
      </c>
      <c r="P1199" s="8">
        <f>YEAR(C1199)</f>
        <v/>
      </c>
      <c r="Q1199" s="8">
        <f>TEXT(C1199, "yyyy-mm")</f>
        <v/>
      </c>
      <c r="R1199" s="8" t="inlineStr">
        <is>
          <t>Direct Web</t>
        </is>
      </c>
      <c r="S1199" s="8" t="inlineStr">
        <is>
          <t>REG-NA</t>
        </is>
      </c>
    </row>
    <row r="1200">
      <c r="A1200" s="8" t="inlineStr">
        <is>
          <t>DTL-0001210</t>
        </is>
      </c>
      <c r="B1200" s="8" t="inlineStr">
        <is>
          <t>ORD-000604</t>
        </is>
      </c>
      <c r="C1200" s="10" t="inlineStr">
        <is>
          <t>2023-02-18</t>
        </is>
      </c>
      <c r="D1200" s="8" t="inlineStr">
        <is>
          <t>CUST-01715</t>
        </is>
      </c>
      <c r="E1200" s="8" t="inlineStr">
        <is>
          <t>PRD-0180</t>
        </is>
      </c>
      <c r="F1200" s="8" t="n">
        <v>2</v>
      </c>
      <c r="G1200" s="9">
        <f>IFERROR(XLOOKUP(E1200, '04_Products'!$A:$A, '04_Products'!$G:$G), 1016.03)</f>
        <v/>
      </c>
      <c r="H1200" s="9">
        <f>IFERROR(XLOOKUP(E1200, '04_Products'!$A:$A, '04_Products'!$F:$F), 0)</f>
        <v/>
      </c>
      <c r="I1200" s="9">
        <f>F1200*G1200</f>
        <v/>
      </c>
      <c r="J1200" s="11" t="n">
        <v>0.05</v>
      </c>
      <c r="K1200" s="9">
        <f>I1200*J1200</f>
        <v/>
      </c>
      <c r="L1200" s="9">
        <f>I1200-K1200</f>
        <v/>
      </c>
      <c r="M1200" s="9">
        <f>F1200*H1200</f>
        <v/>
      </c>
      <c r="N1200" s="9">
        <f>L1200-M1200</f>
        <v/>
      </c>
      <c r="O1200" s="11">
        <f>IFERROR(N1200/L1200, 0)</f>
        <v/>
      </c>
      <c r="P1200" s="8">
        <f>YEAR(C1200)</f>
        <v/>
      </c>
      <c r="Q1200" s="8">
        <f>TEXT(C1200, "yyyy-mm")</f>
        <v/>
      </c>
      <c r="R1200" s="8" t="inlineStr">
        <is>
          <t>Direct Web</t>
        </is>
      </c>
      <c r="S1200" s="8" t="inlineStr">
        <is>
          <t>REG-NA</t>
        </is>
      </c>
    </row>
    <row r="1201">
      <c r="A1201" s="8" t="inlineStr">
        <is>
          <t>DTL-0001211</t>
        </is>
      </c>
      <c r="B1201" s="8" t="inlineStr">
        <is>
          <t>ORD-000605</t>
        </is>
      </c>
      <c r="C1201" s="10" t="inlineStr">
        <is>
          <t>2025-09-07</t>
        </is>
      </c>
      <c r="D1201" s="8" t="inlineStr">
        <is>
          <t>CUST-05047</t>
        </is>
      </c>
      <c r="E1201" s="8" t="inlineStr">
        <is>
          <t>PRD-0132</t>
        </is>
      </c>
      <c r="F1201" s="8" t="n">
        <v>1</v>
      </c>
      <c r="G1201" s="9">
        <f>IFERROR(XLOOKUP(E1201, '04_Products'!$A:$A, '04_Products'!$G:$G), 792.09)</f>
        <v/>
      </c>
      <c r="H1201" s="9">
        <f>IFERROR(XLOOKUP(E1201, '04_Products'!$A:$A, '04_Products'!$F:$F), 0)</f>
        <v/>
      </c>
      <c r="I1201" s="9">
        <f>F1201*G1201</f>
        <v/>
      </c>
      <c r="J1201" s="11" t="n">
        <v>0.05</v>
      </c>
      <c r="K1201" s="9">
        <f>I1201*J1201</f>
        <v/>
      </c>
      <c r="L1201" s="9">
        <f>I1201-K1201</f>
        <v/>
      </c>
      <c r="M1201" s="9">
        <f>F1201*H1201</f>
        <v/>
      </c>
      <c r="N1201" s="9">
        <f>L1201-M1201</f>
        <v/>
      </c>
      <c r="O1201" s="11">
        <f>IFERROR(N1201/L1201, 0)</f>
        <v/>
      </c>
      <c r="P1201" s="8">
        <f>YEAR(C1201)</f>
        <v/>
      </c>
      <c r="Q1201" s="8">
        <f>TEXT(C1201, "yyyy-mm")</f>
        <v/>
      </c>
      <c r="R1201" s="8" t="inlineStr">
        <is>
          <t>Affiliate Partner</t>
        </is>
      </c>
      <c r="S1201" s="8" t="inlineStr">
        <is>
          <t>REG-NA</t>
        </is>
      </c>
    </row>
    <row r="1202">
      <c r="A1202" s="8" t="inlineStr">
        <is>
          <t>DTL-0001212</t>
        </is>
      </c>
      <c r="B1202" s="8" t="inlineStr">
        <is>
          <t>ORD-000606</t>
        </is>
      </c>
      <c r="C1202" s="10" t="inlineStr">
        <is>
          <t>2025-08-18</t>
        </is>
      </c>
      <c r="D1202" s="8" t="inlineStr">
        <is>
          <t>CUST-04739</t>
        </is>
      </c>
      <c r="E1202" s="8" t="inlineStr">
        <is>
          <t>PRD-0463</t>
        </is>
      </c>
      <c r="F1202" s="8" t="n">
        <v>1</v>
      </c>
      <c r="G1202" s="9">
        <f>IFERROR(XLOOKUP(E1202, '04_Products'!$A:$A, '04_Products'!$G:$G), 123.72)</f>
        <v/>
      </c>
      <c r="H1202" s="9">
        <f>IFERROR(XLOOKUP(E1202, '04_Products'!$A:$A, '04_Products'!$F:$F), 0)</f>
        <v/>
      </c>
      <c r="I1202" s="9">
        <f>F1202*G1202</f>
        <v/>
      </c>
      <c r="J1202" s="11" t="n">
        <v>0</v>
      </c>
      <c r="K1202" s="9">
        <f>I1202*J1202</f>
        <v/>
      </c>
      <c r="L1202" s="9">
        <f>I1202-K1202</f>
        <v/>
      </c>
      <c r="M1202" s="9">
        <f>F1202*H1202</f>
        <v/>
      </c>
      <c r="N1202" s="9">
        <f>L1202-M1202</f>
        <v/>
      </c>
      <c r="O1202" s="11">
        <f>IFERROR(N1202/L1202, 0)</f>
        <v/>
      </c>
      <c r="P1202" s="8">
        <f>YEAR(C1202)</f>
        <v/>
      </c>
      <c r="Q1202" s="8">
        <f>TEXT(C1202, "yyyy-mm")</f>
        <v/>
      </c>
      <c r="R1202" s="8" t="inlineStr">
        <is>
          <t>Direct Web</t>
        </is>
      </c>
      <c r="S1202" s="8" t="inlineStr">
        <is>
          <t>REG-APAC</t>
        </is>
      </c>
    </row>
    <row r="1203">
      <c r="A1203" s="8" t="inlineStr">
        <is>
          <t>DTL-0001213</t>
        </is>
      </c>
      <c r="B1203" s="8" t="inlineStr">
        <is>
          <t>ORD-000606</t>
        </is>
      </c>
      <c r="C1203" s="10" t="inlineStr">
        <is>
          <t>2025-08-18</t>
        </is>
      </c>
      <c r="D1203" s="8" t="inlineStr">
        <is>
          <t>CUST-04739</t>
        </is>
      </c>
      <c r="E1203" s="8" t="inlineStr">
        <is>
          <t>PRD-0229</t>
        </is>
      </c>
      <c r="F1203" s="8" t="n">
        <v>1</v>
      </c>
      <c r="G1203" s="9">
        <f>IFERROR(XLOOKUP(E1203, '04_Products'!$A:$A, '04_Products'!$G:$G), 31.96)</f>
        <v/>
      </c>
      <c r="H1203" s="9">
        <f>IFERROR(XLOOKUP(E1203, '04_Products'!$A:$A, '04_Products'!$F:$F), 0)</f>
        <v/>
      </c>
      <c r="I1203" s="9">
        <f>F1203*G1203</f>
        <v/>
      </c>
      <c r="J1203" s="11" t="n">
        <v>0.1</v>
      </c>
      <c r="K1203" s="9">
        <f>I1203*J1203</f>
        <v/>
      </c>
      <c r="L1203" s="9">
        <f>I1203-K1203</f>
        <v/>
      </c>
      <c r="M1203" s="9">
        <f>F1203*H1203</f>
        <v/>
      </c>
      <c r="N1203" s="9">
        <f>L1203-M1203</f>
        <v/>
      </c>
      <c r="O1203" s="11">
        <f>IFERROR(N1203/L1203, 0)</f>
        <v/>
      </c>
      <c r="P1203" s="8">
        <f>YEAR(C1203)</f>
        <v/>
      </c>
      <c r="Q1203" s="8">
        <f>TEXT(C1203, "yyyy-mm")</f>
        <v/>
      </c>
      <c r="R1203" s="8" t="inlineStr">
        <is>
          <t>Direct Web</t>
        </is>
      </c>
      <c r="S1203" s="8" t="inlineStr">
        <is>
          <t>REG-APAC</t>
        </is>
      </c>
    </row>
    <row r="1204">
      <c r="A1204" s="8" t="inlineStr">
        <is>
          <t>DTL-0001214</t>
        </is>
      </c>
      <c r="B1204" s="8" t="inlineStr">
        <is>
          <t>ORD-000607</t>
        </is>
      </c>
      <c r="C1204" s="10" t="inlineStr">
        <is>
          <t>2025-04-23</t>
        </is>
      </c>
      <c r="D1204" s="8" t="inlineStr">
        <is>
          <t>CUST-05081</t>
        </is>
      </c>
      <c r="E1204" s="8" t="inlineStr">
        <is>
          <t>PRD-0221</t>
        </is>
      </c>
      <c r="F1204" s="8" t="n">
        <v>1</v>
      </c>
      <c r="G1204" s="9">
        <f>IFERROR(XLOOKUP(E1204, '04_Products'!$A:$A, '04_Products'!$G:$G), 7.79)</f>
        <v/>
      </c>
      <c r="H1204" s="9">
        <f>IFERROR(XLOOKUP(E1204, '04_Products'!$A:$A, '04_Products'!$F:$F), 0)</f>
        <v/>
      </c>
      <c r="I1204" s="9">
        <f>F1204*G1204</f>
        <v/>
      </c>
      <c r="J1204" s="11" t="n">
        <v>0.1</v>
      </c>
      <c r="K1204" s="9">
        <f>I1204*J1204</f>
        <v/>
      </c>
      <c r="L1204" s="9">
        <f>I1204-K1204</f>
        <v/>
      </c>
      <c r="M1204" s="9">
        <f>F1204*H1204</f>
        <v/>
      </c>
      <c r="N1204" s="9">
        <f>L1204-M1204</f>
        <v/>
      </c>
      <c r="O1204" s="11">
        <f>IFERROR(N1204/L1204, 0)</f>
        <v/>
      </c>
      <c r="P1204" s="8">
        <f>YEAR(C1204)</f>
        <v/>
      </c>
      <c r="Q1204" s="8">
        <f>TEXT(C1204, "yyyy-mm")</f>
        <v/>
      </c>
      <c r="R1204" s="8" t="inlineStr">
        <is>
          <t>Direct Web</t>
        </is>
      </c>
      <c r="S1204" s="8" t="inlineStr">
        <is>
          <t>REG-APAC</t>
        </is>
      </c>
    </row>
    <row r="1205">
      <c r="A1205" s="8" t="inlineStr">
        <is>
          <t>DTL-0001215</t>
        </is>
      </c>
      <c r="B1205" s="8" t="inlineStr">
        <is>
          <t>ORD-000607</t>
        </is>
      </c>
      <c r="C1205" s="10" t="inlineStr">
        <is>
          <t>2025-04-23</t>
        </is>
      </c>
      <c r="D1205" s="8" t="inlineStr">
        <is>
          <t>CUST-05081</t>
        </is>
      </c>
      <c r="E1205" s="8" t="inlineStr">
        <is>
          <t>PRD-0413</t>
        </is>
      </c>
      <c r="F1205" s="8" t="n">
        <v>5</v>
      </c>
      <c r="G1205" s="9">
        <f>IFERROR(XLOOKUP(E1205, '04_Products'!$A:$A, '04_Products'!$G:$G), 764.48)</f>
        <v/>
      </c>
      <c r="H1205" s="9">
        <f>IFERROR(XLOOKUP(E1205, '04_Products'!$A:$A, '04_Products'!$F:$F), 0)</f>
        <v/>
      </c>
      <c r="I1205" s="9">
        <f>F1205*G1205</f>
        <v/>
      </c>
      <c r="J1205" s="11" t="n">
        <v>0.05</v>
      </c>
      <c r="K1205" s="9">
        <f>I1205*J1205</f>
        <v/>
      </c>
      <c r="L1205" s="9">
        <f>I1205-K1205</f>
        <v/>
      </c>
      <c r="M1205" s="9">
        <f>F1205*H1205</f>
        <v/>
      </c>
      <c r="N1205" s="9">
        <f>L1205-M1205</f>
        <v/>
      </c>
      <c r="O1205" s="11">
        <f>IFERROR(N1205/L1205, 0)</f>
        <v/>
      </c>
      <c r="P1205" s="8">
        <f>YEAR(C1205)</f>
        <v/>
      </c>
      <c r="Q1205" s="8">
        <f>TEXT(C1205, "yyyy-mm")</f>
        <v/>
      </c>
      <c r="R1205" s="8" t="inlineStr">
        <is>
          <t>Direct Web</t>
        </is>
      </c>
      <c r="S1205" s="8" t="inlineStr">
        <is>
          <t>REG-APAC</t>
        </is>
      </c>
    </row>
    <row r="1206">
      <c r="A1206" s="8" t="inlineStr">
        <is>
          <t>DTL-0001216</t>
        </is>
      </c>
      <c r="B1206" s="8" t="inlineStr">
        <is>
          <t>ORD-000607</t>
        </is>
      </c>
      <c r="C1206" s="10" t="inlineStr">
        <is>
          <t>2025-04-23</t>
        </is>
      </c>
      <c r="D1206" s="8" t="inlineStr">
        <is>
          <t>CUST-05081</t>
        </is>
      </c>
      <c r="E1206" s="8" t="inlineStr">
        <is>
          <t>PRD-0410</t>
        </is>
      </c>
      <c r="F1206" s="8" t="n">
        <v>1</v>
      </c>
      <c r="G1206" s="9">
        <f>IFERROR(XLOOKUP(E1206, '04_Products'!$A:$A, '04_Products'!$G:$G), 13.14)</f>
        <v/>
      </c>
      <c r="H1206" s="9">
        <f>IFERROR(XLOOKUP(E1206, '04_Products'!$A:$A, '04_Products'!$F:$F), 0)</f>
        <v/>
      </c>
      <c r="I1206" s="9">
        <f>F1206*G1206</f>
        <v/>
      </c>
      <c r="J1206" s="11" t="n">
        <v>0</v>
      </c>
      <c r="K1206" s="9">
        <f>I1206*J1206</f>
        <v/>
      </c>
      <c r="L1206" s="9">
        <f>I1206-K1206</f>
        <v/>
      </c>
      <c r="M1206" s="9">
        <f>F1206*H1206</f>
        <v/>
      </c>
      <c r="N1206" s="9">
        <f>L1206-M1206</f>
        <v/>
      </c>
      <c r="O1206" s="11">
        <f>IFERROR(N1206/L1206, 0)</f>
        <v/>
      </c>
      <c r="P1206" s="8">
        <f>YEAR(C1206)</f>
        <v/>
      </c>
      <c r="Q1206" s="8">
        <f>TEXT(C1206, "yyyy-mm")</f>
        <v/>
      </c>
      <c r="R1206" s="8" t="inlineStr">
        <is>
          <t>Direct Web</t>
        </is>
      </c>
      <c r="S1206" s="8" t="inlineStr">
        <is>
          <t>REG-APAC</t>
        </is>
      </c>
    </row>
    <row r="1207">
      <c r="A1207" s="8" t="inlineStr">
        <is>
          <t>DTL-0001217</t>
        </is>
      </c>
      <c r="B1207" s="8" t="inlineStr">
        <is>
          <t>ORD-000608</t>
        </is>
      </c>
      <c r="C1207" s="10" t="inlineStr">
        <is>
          <t>2023-10-02</t>
        </is>
      </c>
      <c r="D1207" s="8" t="inlineStr">
        <is>
          <t>CUST-03076</t>
        </is>
      </c>
      <c r="E1207" s="8" t="inlineStr">
        <is>
          <t>PRD-0059</t>
        </is>
      </c>
      <c r="F1207" s="8" t="n">
        <v>1</v>
      </c>
      <c r="G1207" s="9">
        <f>IFERROR(XLOOKUP(E1207, '04_Products'!$A:$A, '04_Products'!$G:$G), 532.12)</f>
        <v/>
      </c>
      <c r="H1207" s="9">
        <f>IFERROR(XLOOKUP(E1207, '04_Products'!$A:$A, '04_Products'!$F:$F), 0)</f>
        <v/>
      </c>
      <c r="I1207" s="9">
        <f>F1207*G1207</f>
        <v/>
      </c>
      <c r="J1207" s="11" t="n">
        <v>0</v>
      </c>
      <c r="K1207" s="9">
        <f>I1207*J1207</f>
        <v/>
      </c>
      <c r="L1207" s="9">
        <f>I1207-K1207</f>
        <v/>
      </c>
      <c r="M1207" s="9">
        <f>F1207*H1207</f>
        <v/>
      </c>
      <c r="N1207" s="9">
        <f>L1207-M1207</f>
        <v/>
      </c>
      <c r="O1207" s="11">
        <f>IFERROR(N1207/L1207, 0)</f>
        <v/>
      </c>
      <c r="P1207" s="8">
        <f>YEAR(C1207)</f>
        <v/>
      </c>
      <c r="Q1207" s="8">
        <f>TEXT(C1207, "yyyy-mm")</f>
        <v/>
      </c>
      <c r="R1207" s="8" t="inlineStr">
        <is>
          <t>Direct Web</t>
        </is>
      </c>
      <c r="S1207" s="8" t="inlineStr">
        <is>
          <t>REG-EU</t>
        </is>
      </c>
    </row>
    <row r="1208">
      <c r="A1208" s="8" t="inlineStr">
        <is>
          <t>DTL-0001218</t>
        </is>
      </c>
      <c r="B1208" s="8" t="inlineStr">
        <is>
          <t>ORD-000608</t>
        </is>
      </c>
      <c r="C1208" s="10" t="inlineStr">
        <is>
          <t>2023-10-02</t>
        </is>
      </c>
      <c r="D1208" s="8" t="inlineStr">
        <is>
          <t>CUST-03076</t>
        </is>
      </c>
      <c r="E1208" s="8" t="inlineStr">
        <is>
          <t>PRD-0040</t>
        </is>
      </c>
      <c r="F1208" s="8" t="n">
        <v>1</v>
      </c>
      <c r="G1208" s="9">
        <f>IFERROR(XLOOKUP(E1208, '04_Products'!$A:$A, '04_Products'!$G:$G), 28.56)</f>
        <v/>
      </c>
      <c r="H1208" s="9">
        <f>IFERROR(XLOOKUP(E1208, '04_Products'!$A:$A, '04_Products'!$F:$F), 0)</f>
        <v/>
      </c>
      <c r="I1208" s="9">
        <f>F1208*G1208</f>
        <v/>
      </c>
      <c r="J1208" s="11" t="n">
        <v>0.1</v>
      </c>
      <c r="K1208" s="9">
        <f>I1208*J1208</f>
        <v/>
      </c>
      <c r="L1208" s="9">
        <f>I1208-K1208</f>
        <v/>
      </c>
      <c r="M1208" s="9">
        <f>F1208*H1208</f>
        <v/>
      </c>
      <c r="N1208" s="9">
        <f>L1208-M1208</f>
        <v/>
      </c>
      <c r="O1208" s="11">
        <f>IFERROR(N1208/L1208, 0)</f>
        <v/>
      </c>
      <c r="P1208" s="8">
        <f>YEAR(C1208)</f>
        <v/>
      </c>
      <c r="Q1208" s="8">
        <f>TEXT(C1208, "yyyy-mm")</f>
        <v/>
      </c>
      <c r="R1208" s="8" t="inlineStr">
        <is>
          <t>Direct Web</t>
        </is>
      </c>
      <c r="S1208" s="8" t="inlineStr">
        <is>
          <t>REG-EU</t>
        </is>
      </c>
    </row>
    <row r="1209">
      <c r="A1209" s="8" t="inlineStr">
        <is>
          <t>DTL-0001219</t>
        </is>
      </c>
      <c r="B1209" s="8" t="inlineStr">
        <is>
          <t>ORD-000609</t>
        </is>
      </c>
      <c r="C1209" s="10" t="inlineStr">
        <is>
          <t>2023-05-11</t>
        </is>
      </c>
      <c r="D1209" s="8" t="inlineStr">
        <is>
          <t>CUST-06439</t>
        </is>
      </c>
      <c r="E1209" s="8" t="inlineStr">
        <is>
          <t>PRD-0026</t>
        </is>
      </c>
      <c r="F1209" s="8" t="n">
        <v>2</v>
      </c>
      <c r="G1209" s="9">
        <f>IFERROR(XLOOKUP(E1209, '04_Products'!$A:$A, '04_Products'!$G:$G), 469.49)</f>
        <v/>
      </c>
      <c r="H1209" s="9">
        <f>IFERROR(XLOOKUP(E1209, '04_Products'!$A:$A, '04_Products'!$F:$F), 0)</f>
        <v/>
      </c>
      <c r="I1209" s="9">
        <f>F1209*G1209</f>
        <v/>
      </c>
      <c r="J1209" s="11" t="n">
        <v>0</v>
      </c>
      <c r="K1209" s="9">
        <f>I1209*J1209</f>
        <v/>
      </c>
      <c r="L1209" s="9">
        <f>I1209-K1209</f>
        <v/>
      </c>
      <c r="M1209" s="9">
        <f>F1209*H1209</f>
        <v/>
      </c>
      <c r="N1209" s="9">
        <f>L1209-M1209</f>
        <v/>
      </c>
      <c r="O1209" s="11">
        <f>IFERROR(N1209/L1209, 0)</f>
        <v/>
      </c>
      <c r="P1209" s="8">
        <f>YEAR(C1209)</f>
        <v/>
      </c>
      <c r="Q1209" s="8">
        <f>TEXT(C1209, "yyyy-mm")</f>
        <v/>
      </c>
      <c r="R1209" s="8" t="inlineStr">
        <is>
          <t>Direct Web</t>
        </is>
      </c>
      <c r="S1209" s="8" t="inlineStr">
        <is>
          <t>REG-LATAM</t>
        </is>
      </c>
    </row>
    <row r="1210">
      <c r="A1210" s="8" t="inlineStr">
        <is>
          <t>DTL-0001223</t>
        </is>
      </c>
      <c r="B1210" s="8" t="inlineStr">
        <is>
          <t>ORD-000611</t>
        </is>
      </c>
      <c r="C1210" s="10" t="inlineStr">
        <is>
          <t>2023-11-18</t>
        </is>
      </c>
      <c r="D1210" s="8" t="inlineStr">
        <is>
          <t>CUST-07301</t>
        </is>
      </c>
      <c r="E1210" s="8" t="inlineStr">
        <is>
          <t>PRD-0389</t>
        </is>
      </c>
      <c r="F1210" s="8" t="n">
        <v>1</v>
      </c>
      <c r="G1210" s="9">
        <f>IFERROR(XLOOKUP(E1210, '04_Products'!$A:$A, '04_Products'!$G:$G), 355.70)</f>
        <v/>
      </c>
      <c r="H1210" s="9">
        <f>IFERROR(XLOOKUP(E1210, '04_Products'!$A:$A, '04_Products'!$F:$F), 0)</f>
        <v/>
      </c>
      <c r="I1210" s="9">
        <f>F1210*G1210</f>
        <v/>
      </c>
      <c r="J1210" s="11" t="n">
        <v>0.2</v>
      </c>
      <c r="K1210" s="9">
        <f>I1210*J1210</f>
        <v/>
      </c>
      <c r="L1210" s="9">
        <f>I1210-K1210</f>
        <v/>
      </c>
      <c r="M1210" s="9">
        <f>F1210*H1210</f>
        <v/>
      </c>
      <c r="N1210" s="9">
        <f>L1210-M1210</f>
        <v/>
      </c>
      <c r="O1210" s="11">
        <f>IFERROR(N1210/L1210, 0)</f>
        <v/>
      </c>
      <c r="P1210" s="8">
        <f>YEAR(C1210)</f>
        <v/>
      </c>
      <c r="Q1210" s="8">
        <f>TEXT(C1210, "yyyy-mm")</f>
        <v/>
      </c>
      <c r="R1210" s="8" t="inlineStr">
        <is>
          <t>Direct Web</t>
        </is>
      </c>
      <c r="S1210" s="8" t="inlineStr">
        <is>
          <t>REG-EU</t>
        </is>
      </c>
    </row>
    <row r="1211">
      <c r="A1211" s="8" t="inlineStr">
        <is>
          <t>DTL-0001224</t>
        </is>
      </c>
      <c r="B1211" s="8" t="inlineStr">
        <is>
          <t>ORD-000611</t>
        </is>
      </c>
      <c r="C1211" s="10" t="inlineStr">
        <is>
          <t>2023-11-18</t>
        </is>
      </c>
      <c r="D1211" s="8" t="inlineStr">
        <is>
          <t>CUST-07301</t>
        </is>
      </c>
      <c r="E1211" s="8" t="inlineStr">
        <is>
          <t>PRD-0111</t>
        </is>
      </c>
      <c r="F1211" s="8" t="n">
        <v>1</v>
      </c>
      <c r="G1211" s="9">
        <f>IFERROR(XLOOKUP(E1211, '04_Products'!$A:$A, '04_Products'!$G:$G), 63.37)</f>
        <v/>
      </c>
      <c r="H1211" s="9">
        <f>IFERROR(XLOOKUP(E1211, '04_Products'!$A:$A, '04_Products'!$F:$F), 0)</f>
        <v/>
      </c>
      <c r="I1211" s="9">
        <f>F1211*G1211</f>
        <v/>
      </c>
      <c r="J1211" s="11" t="n">
        <v>0.1</v>
      </c>
      <c r="K1211" s="9">
        <f>I1211*J1211</f>
        <v/>
      </c>
      <c r="L1211" s="9">
        <f>I1211-K1211</f>
        <v/>
      </c>
      <c r="M1211" s="9">
        <f>F1211*H1211</f>
        <v/>
      </c>
      <c r="N1211" s="9">
        <f>L1211-M1211</f>
        <v/>
      </c>
      <c r="O1211" s="11">
        <f>IFERROR(N1211/L1211, 0)</f>
        <v/>
      </c>
      <c r="P1211" s="8">
        <f>YEAR(C1211)</f>
        <v/>
      </c>
      <c r="Q1211" s="8">
        <f>TEXT(C1211, "yyyy-mm")</f>
        <v/>
      </c>
      <c r="R1211" s="8" t="inlineStr">
        <is>
          <t>Direct Web</t>
        </is>
      </c>
      <c r="S1211" s="8" t="inlineStr">
        <is>
          <t>REG-EU</t>
        </is>
      </c>
    </row>
    <row r="1212">
      <c r="A1212" s="8" t="inlineStr">
        <is>
          <t>DTL-0001225</t>
        </is>
      </c>
      <c r="B1212" s="8" t="inlineStr">
        <is>
          <t>ORD-000611</t>
        </is>
      </c>
      <c r="C1212" s="10" t="inlineStr">
        <is>
          <t>2023-11-18</t>
        </is>
      </c>
      <c r="D1212" s="8" t="inlineStr">
        <is>
          <t>CUST-07301</t>
        </is>
      </c>
      <c r="E1212" s="8" t="inlineStr">
        <is>
          <t>PRD-0235</t>
        </is>
      </c>
      <c r="F1212" s="8" t="n">
        <v>2</v>
      </c>
      <c r="G1212" s="9">
        <f>IFERROR(XLOOKUP(E1212, '04_Products'!$A:$A, '04_Products'!$G:$G), 640.49)</f>
        <v/>
      </c>
      <c r="H1212" s="9">
        <f>IFERROR(XLOOKUP(E1212, '04_Products'!$A:$A, '04_Products'!$F:$F), 0)</f>
        <v/>
      </c>
      <c r="I1212" s="9">
        <f>F1212*G1212</f>
        <v/>
      </c>
      <c r="J1212" s="11" t="n">
        <v>0.1</v>
      </c>
      <c r="K1212" s="9">
        <f>I1212*J1212</f>
        <v/>
      </c>
      <c r="L1212" s="9">
        <f>I1212-K1212</f>
        <v/>
      </c>
      <c r="M1212" s="9">
        <f>F1212*H1212</f>
        <v/>
      </c>
      <c r="N1212" s="9">
        <f>L1212-M1212</f>
        <v/>
      </c>
      <c r="O1212" s="11">
        <f>IFERROR(N1212/L1212, 0)</f>
        <v/>
      </c>
      <c r="P1212" s="8">
        <f>YEAR(C1212)</f>
        <v/>
      </c>
      <c r="Q1212" s="8">
        <f>TEXT(C1212, "yyyy-mm")</f>
        <v/>
      </c>
      <c r="R1212" s="8" t="inlineStr">
        <is>
          <t>Direct Web</t>
        </is>
      </c>
      <c r="S1212" s="8" t="inlineStr">
        <is>
          <t>REG-EU</t>
        </is>
      </c>
    </row>
    <row r="1213">
      <c r="A1213" s="8" t="inlineStr">
        <is>
          <t>DTL-0001226</t>
        </is>
      </c>
      <c r="B1213" s="8" t="inlineStr">
        <is>
          <t>ORD-000612</t>
        </is>
      </c>
      <c r="C1213" s="10" t="inlineStr">
        <is>
          <t>2024-04-06</t>
        </is>
      </c>
      <c r="D1213" s="8" t="inlineStr">
        <is>
          <t>CUST-05737</t>
        </is>
      </c>
      <c r="E1213" s="8" t="inlineStr">
        <is>
          <t>PRD-0033</t>
        </is>
      </c>
      <c r="F1213" s="8" t="n">
        <v>1</v>
      </c>
      <c r="G1213" s="9">
        <f>IFERROR(XLOOKUP(E1213, '04_Products'!$A:$A, '04_Products'!$G:$G), 87.68)</f>
        <v/>
      </c>
      <c r="H1213" s="9">
        <f>IFERROR(XLOOKUP(E1213, '04_Products'!$A:$A, '04_Products'!$F:$F), 0)</f>
        <v/>
      </c>
      <c r="I1213" s="9">
        <f>F1213*G1213</f>
        <v/>
      </c>
      <c r="J1213" s="11" t="n">
        <v>0.1</v>
      </c>
      <c r="K1213" s="9">
        <f>I1213*J1213</f>
        <v/>
      </c>
      <c r="L1213" s="9">
        <f>I1213-K1213</f>
        <v/>
      </c>
      <c r="M1213" s="9">
        <f>F1213*H1213</f>
        <v/>
      </c>
      <c r="N1213" s="9">
        <f>L1213-M1213</f>
        <v/>
      </c>
      <c r="O1213" s="11">
        <f>IFERROR(N1213/L1213, 0)</f>
        <v/>
      </c>
      <c r="P1213" s="8">
        <f>YEAR(C1213)</f>
        <v/>
      </c>
      <c r="Q1213" s="8">
        <f>TEXT(C1213, "yyyy-mm")</f>
        <v/>
      </c>
      <c r="R1213" s="8" t="inlineStr">
        <is>
          <t>Mobile App</t>
        </is>
      </c>
      <c r="S1213" s="8" t="inlineStr">
        <is>
          <t>REG-APAC</t>
        </is>
      </c>
    </row>
    <row r="1214">
      <c r="A1214" s="8" t="inlineStr">
        <is>
          <t>DTL-0001227</t>
        </is>
      </c>
      <c r="B1214" s="8" t="inlineStr">
        <is>
          <t>ORD-000613</t>
        </is>
      </c>
      <c r="C1214" s="10" t="inlineStr">
        <is>
          <t>2025-03-13</t>
        </is>
      </c>
      <c r="D1214" s="8" t="inlineStr">
        <is>
          <t>CUST-02864</t>
        </is>
      </c>
      <c r="E1214" s="8" t="inlineStr">
        <is>
          <t>PRD-0212</t>
        </is>
      </c>
      <c r="F1214" s="8" t="n">
        <v>2</v>
      </c>
      <c r="G1214" s="9">
        <f>IFERROR(XLOOKUP(E1214, '04_Products'!$A:$A, '04_Products'!$G:$G), 15.71)</f>
        <v/>
      </c>
      <c r="H1214" s="9">
        <f>IFERROR(XLOOKUP(E1214, '04_Products'!$A:$A, '04_Products'!$F:$F), 0)</f>
        <v/>
      </c>
      <c r="I1214" s="9">
        <f>F1214*G1214</f>
        <v/>
      </c>
      <c r="J1214" s="11" t="n">
        <v>0</v>
      </c>
      <c r="K1214" s="9">
        <f>I1214*J1214</f>
        <v/>
      </c>
      <c r="L1214" s="9">
        <f>I1214-K1214</f>
        <v/>
      </c>
      <c r="M1214" s="9">
        <f>F1214*H1214</f>
        <v/>
      </c>
      <c r="N1214" s="9">
        <f>L1214-M1214</f>
        <v/>
      </c>
      <c r="O1214" s="11">
        <f>IFERROR(N1214/L1214, 0)</f>
        <v/>
      </c>
      <c r="P1214" s="8">
        <f>YEAR(C1214)</f>
        <v/>
      </c>
      <c r="Q1214" s="8">
        <f>TEXT(C1214, "yyyy-mm")</f>
        <v/>
      </c>
      <c r="R1214" s="8" t="inlineStr">
        <is>
          <t>Mobile App</t>
        </is>
      </c>
      <c r="S1214" s="8" t="inlineStr">
        <is>
          <t>REG-NA</t>
        </is>
      </c>
    </row>
    <row r="1215">
      <c r="A1215" s="8" t="inlineStr">
        <is>
          <t>DTL-0001228</t>
        </is>
      </c>
      <c r="B1215" s="8" t="inlineStr">
        <is>
          <t>ORD-000613</t>
        </is>
      </c>
      <c r="C1215" s="10" t="inlineStr">
        <is>
          <t>2025-03-13</t>
        </is>
      </c>
      <c r="D1215" s="8" t="inlineStr">
        <is>
          <t>CUST-02864</t>
        </is>
      </c>
      <c r="E1215" s="8" t="inlineStr">
        <is>
          <t>PRD-0385</t>
        </is>
      </c>
      <c r="F1215" s="8" t="n">
        <v>1</v>
      </c>
      <c r="G1215" s="9">
        <f>IFERROR(XLOOKUP(E1215, '04_Products'!$A:$A, '04_Products'!$G:$G), 209.78)</f>
        <v/>
      </c>
      <c r="H1215" s="9">
        <f>IFERROR(XLOOKUP(E1215, '04_Products'!$A:$A, '04_Products'!$F:$F), 0)</f>
        <v/>
      </c>
      <c r="I1215" s="9">
        <f>F1215*G1215</f>
        <v/>
      </c>
      <c r="J1215" s="11" t="n">
        <v>0</v>
      </c>
      <c r="K1215" s="9">
        <f>I1215*J1215</f>
        <v/>
      </c>
      <c r="L1215" s="9">
        <f>I1215-K1215</f>
        <v/>
      </c>
      <c r="M1215" s="9">
        <f>F1215*H1215</f>
        <v/>
      </c>
      <c r="N1215" s="9">
        <f>L1215-M1215</f>
        <v/>
      </c>
      <c r="O1215" s="11">
        <f>IFERROR(N1215/L1215, 0)</f>
        <v/>
      </c>
      <c r="P1215" s="8">
        <f>YEAR(C1215)</f>
        <v/>
      </c>
      <c r="Q1215" s="8">
        <f>TEXT(C1215, "yyyy-mm")</f>
        <v/>
      </c>
      <c r="R1215" s="8" t="inlineStr">
        <is>
          <t>Mobile App</t>
        </is>
      </c>
      <c r="S1215" s="8" t="inlineStr">
        <is>
          <t>REG-NA</t>
        </is>
      </c>
    </row>
    <row r="1216">
      <c r="A1216" s="8" t="inlineStr">
        <is>
          <t>DTL-0001229</t>
        </is>
      </c>
      <c r="B1216" s="8" t="inlineStr">
        <is>
          <t>ORD-000614</t>
        </is>
      </c>
      <c r="C1216" s="10" t="inlineStr">
        <is>
          <t>2024-10-15</t>
        </is>
      </c>
      <c r="D1216" s="8" t="inlineStr">
        <is>
          <t>CUST-01581</t>
        </is>
      </c>
      <c r="E1216" s="8" t="inlineStr">
        <is>
          <t>PRD-0356</t>
        </is>
      </c>
      <c r="F1216" s="8" t="n">
        <v>1</v>
      </c>
      <c r="G1216" s="9">
        <f>IFERROR(XLOOKUP(E1216, '04_Products'!$A:$A, '04_Products'!$G:$G), 180.92)</f>
        <v/>
      </c>
      <c r="H1216" s="9">
        <f>IFERROR(XLOOKUP(E1216, '04_Products'!$A:$A, '04_Products'!$F:$F), 0)</f>
        <v/>
      </c>
      <c r="I1216" s="9">
        <f>F1216*G1216</f>
        <v/>
      </c>
      <c r="J1216" s="11" t="n">
        <v>0.25</v>
      </c>
      <c r="K1216" s="9">
        <f>I1216*J1216</f>
        <v/>
      </c>
      <c r="L1216" s="9">
        <f>I1216-K1216</f>
        <v/>
      </c>
      <c r="M1216" s="9">
        <f>F1216*H1216</f>
        <v/>
      </c>
      <c r="N1216" s="9">
        <f>L1216-M1216</f>
        <v/>
      </c>
      <c r="O1216" s="11">
        <f>IFERROR(N1216/L1216, 0)</f>
        <v/>
      </c>
      <c r="P1216" s="8">
        <f>YEAR(C1216)</f>
        <v/>
      </c>
      <c r="Q1216" s="8">
        <f>TEXT(C1216, "yyyy-mm")</f>
        <v/>
      </c>
      <c r="R1216" s="8" t="inlineStr">
        <is>
          <t>Affiliate Partner</t>
        </is>
      </c>
      <c r="S1216" s="8" t="inlineStr">
        <is>
          <t>REG-EU</t>
        </is>
      </c>
    </row>
    <row r="1217">
      <c r="A1217" s="8" t="inlineStr">
        <is>
          <t>DTL-0001230</t>
        </is>
      </c>
      <c r="B1217" s="8" t="inlineStr">
        <is>
          <t>ORD-000615</t>
        </is>
      </c>
      <c r="C1217" s="10" t="inlineStr">
        <is>
          <t>2025-11-06</t>
        </is>
      </c>
      <c r="D1217" s="8" t="inlineStr">
        <is>
          <t>CUST-03212</t>
        </is>
      </c>
      <c r="E1217" s="8" t="inlineStr">
        <is>
          <t>PRD-0385</t>
        </is>
      </c>
      <c r="F1217" s="8" t="n">
        <v>1</v>
      </c>
      <c r="G1217" s="9">
        <f>IFERROR(XLOOKUP(E1217, '04_Products'!$A:$A, '04_Products'!$G:$G), 209.78)</f>
        <v/>
      </c>
      <c r="H1217" s="9">
        <f>IFERROR(XLOOKUP(E1217, '04_Products'!$A:$A, '04_Products'!$F:$F), 0)</f>
        <v/>
      </c>
      <c r="I1217" s="9">
        <f>F1217*G1217</f>
        <v/>
      </c>
      <c r="J1217" s="11" t="n">
        <v>0.15</v>
      </c>
      <c r="K1217" s="9">
        <f>I1217*J1217</f>
        <v/>
      </c>
      <c r="L1217" s="9">
        <f>I1217-K1217</f>
        <v/>
      </c>
      <c r="M1217" s="9">
        <f>F1217*H1217</f>
        <v/>
      </c>
      <c r="N1217" s="9">
        <f>L1217-M1217</f>
        <v/>
      </c>
      <c r="O1217" s="11">
        <f>IFERROR(N1217/L1217, 0)</f>
        <v/>
      </c>
      <c r="P1217" s="8">
        <f>YEAR(C1217)</f>
        <v/>
      </c>
      <c r="Q1217" s="8">
        <f>TEXT(C1217, "yyyy-mm")</f>
        <v/>
      </c>
      <c r="R1217" s="8" t="inlineStr">
        <is>
          <t>Direct Web</t>
        </is>
      </c>
      <c r="S1217" s="8" t="inlineStr">
        <is>
          <t>REG-NA</t>
        </is>
      </c>
    </row>
    <row r="1218">
      <c r="A1218" s="8" t="inlineStr">
        <is>
          <t>DTL-0001231</t>
        </is>
      </c>
      <c r="B1218" s="8" t="inlineStr">
        <is>
          <t>ORD-000615</t>
        </is>
      </c>
      <c r="C1218" s="10" t="inlineStr">
        <is>
          <t>2025-11-06</t>
        </is>
      </c>
      <c r="D1218" s="8" t="inlineStr">
        <is>
          <t>CUST-03212</t>
        </is>
      </c>
      <c r="E1218" s="8" t="inlineStr">
        <is>
          <t>PRD-0030</t>
        </is>
      </c>
      <c r="F1218" s="8" t="n">
        <v>2</v>
      </c>
      <c r="G1218" s="9">
        <f>IFERROR(XLOOKUP(E1218, '04_Products'!$A:$A, '04_Products'!$G:$G), 298.29)</f>
        <v/>
      </c>
      <c r="H1218" s="9">
        <f>IFERROR(XLOOKUP(E1218, '04_Products'!$A:$A, '04_Products'!$F:$F), 0)</f>
        <v/>
      </c>
      <c r="I1218" s="9">
        <f>F1218*G1218</f>
        <v/>
      </c>
      <c r="J1218" s="11" t="n">
        <v>0.1</v>
      </c>
      <c r="K1218" s="9">
        <f>I1218*J1218</f>
        <v/>
      </c>
      <c r="L1218" s="9">
        <f>I1218-K1218</f>
        <v/>
      </c>
      <c r="M1218" s="9">
        <f>F1218*H1218</f>
        <v/>
      </c>
      <c r="N1218" s="9">
        <f>L1218-M1218</f>
        <v/>
      </c>
      <c r="O1218" s="11">
        <f>IFERROR(N1218/L1218, 0)</f>
        <v/>
      </c>
      <c r="P1218" s="8">
        <f>YEAR(C1218)</f>
        <v/>
      </c>
      <c r="Q1218" s="8">
        <f>TEXT(C1218, "yyyy-mm")</f>
        <v/>
      </c>
      <c r="R1218" s="8" t="inlineStr">
        <is>
          <t>Direct Web</t>
        </is>
      </c>
      <c r="S1218" s="8" t="inlineStr">
        <is>
          <t>REG-NA</t>
        </is>
      </c>
    </row>
    <row r="1219">
      <c r="A1219" s="8" t="inlineStr">
        <is>
          <t>DTL-0001232</t>
        </is>
      </c>
      <c r="B1219" s="8" t="inlineStr">
        <is>
          <t>ORD-000616</t>
        </is>
      </c>
      <c r="C1219" s="10" t="inlineStr">
        <is>
          <t>2024-10-07</t>
        </is>
      </c>
      <c r="D1219" s="8" t="inlineStr">
        <is>
          <t>CUST-01193</t>
        </is>
      </c>
      <c r="E1219" s="8" t="inlineStr">
        <is>
          <t>PRD-0440</t>
        </is>
      </c>
      <c r="F1219" s="8" t="n">
        <v>1</v>
      </c>
      <c r="G1219" s="9">
        <f>IFERROR(XLOOKUP(E1219, '04_Products'!$A:$A, '04_Products'!$G:$G), 791.74)</f>
        <v/>
      </c>
      <c r="H1219" s="9">
        <f>IFERROR(XLOOKUP(E1219, '04_Products'!$A:$A, '04_Products'!$F:$F), 0)</f>
        <v/>
      </c>
      <c r="I1219" s="9">
        <f>F1219*G1219</f>
        <v/>
      </c>
      <c r="J1219" s="11" t="n">
        <v>0</v>
      </c>
      <c r="K1219" s="9">
        <f>I1219*J1219</f>
        <v/>
      </c>
      <c r="L1219" s="9">
        <f>I1219-K1219</f>
        <v/>
      </c>
      <c r="M1219" s="9">
        <f>F1219*H1219</f>
        <v/>
      </c>
      <c r="N1219" s="9">
        <f>L1219-M1219</f>
        <v/>
      </c>
      <c r="O1219" s="11">
        <f>IFERROR(N1219/L1219, 0)</f>
        <v/>
      </c>
      <c r="P1219" s="8">
        <f>YEAR(C1219)</f>
        <v/>
      </c>
      <c r="Q1219" s="8">
        <f>TEXT(C1219, "yyyy-mm")</f>
        <v/>
      </c>
      <c r="R1219" s="8" t="inlineStr">
        <is>
          <t>Affiliate Partner</t>
        </is>
      </c>
      <c r="S1219" s="8" t="inlineStr">
        <is>
          <t>REG-APAC</t>
        </is>
      </c>
    </row>
    <row r="1220">
      <c r="A1220" s="8" t="inlineStr">
        <is>
          <t>DTL-0001233</t>
        </is>
      </c>
      <c r="B1220" s="8" t="inlineStr">
        <is>
          <t>ORD-000616</t>
        </is>
      </c>
      <c r="C1220" s="10" t="inlineStr">
        <is>
          <t>2024-10-07</t>
        </is>
      </c>
      <c r="D1220" s="8" t="inlineStr">
        <is>
          <t>CUST-01193</t>
        </is>
      </c>
      <c r="E1220" s="8" t="inlineStr">
        <is>
          <t>PRD-0439</t>
        </is>
      </c>
      <c r="F1220" s="8" t="n">
        <v>2</v>
      </c>
      <c r="G1220" s="9">
        <f>IFERROR(XLOOKUP(E1220, '04_Products'!$A:$A, '04_Products'!$G:$G), 807.98)</f>
        <v/>
      </c>
      <c r="H1220" s="9">
        <f>IFERROR(XLOOKUP(E1220, '04_Products'!$A:$A, '04_Products'!$F:$F), 0)</f>
        <v/>
      </c>
      <c r="I1220" s="9">
        <f>F1220*G1220</f>
        <v/>
      </c>
      <c r="J1220" s="11" t="n">
        <v>0.05</v>
      </c>
      <c r="K1220" s="9">
        <f>I1220*J1220</f>
        <v/>
      </c>
      <c r="L1220" s="9">
        <f>I1220-K1220</f>
        <v/>
      </c>
      <c r="M1220" s="9">
        <f>F1220*H1220</f>
        <v/>
      </c>
      <c r="N1220" s="9">
        <f>L1220-M1220</f>
        <v/>
      </c>
      <c r="O1220" s="11">
        <f>IFERROR(N1220/L1220, 0)</f>
        <v/>
      </c>
      <c r="P1220" s="8">
        <f>YEAR(C1220)</f>
        <v/>
      </c>
      <c r="Q1220" s="8">
        <f>TEXT(C1220, "yyyy-mm")</f>
        <v/>
      </c>
      <c r="R1220" s="8" t="inlineStr">
        <is>
          <t>Affiliate Partner</t>
        </is>
      </c>
      <c r="S1220" s="8" t="inlineStr">
        <is>
          <t>REG-APAC</t>
        </is>
      </c>
    </row>
    <row r="1221">
      <c r="A1221" s="8" t="inlineStr">
        <is>
          <t>DTL-0001234</t>
        </is>
      </c>
      <c r="B1221" s="8" t="inlineStr">
        <is>
          <t>ORD-000616</t>
        </is>
      </c>
      <c r="C1221" s="10" t="inlineStr">
        <is>
          <t>2024-10-07</t>
        </is>
      </c>
      <c r="D1221" s="8" t="inlineStr">
        <is>
          <t>CUST-01193</t>
        </is>
      </c>
      <c r="E1221" s="8" t="inlineStr">
        <is>
          <t>PRD-0185</t>
        </is>
      </c>
      <c r="F1221" s="8" t="n">
        <v>1</v>
      </c>
      <c r="G1221" s="9">
        <f>IFERROR(XLOOKUP(E1221, '04_Products'!$A:$A, '04_Products'!$G:$G), 1296.57)</f>
        <v/>
      </c>
      <c r="H1221" s="9">
        <f>IFERROR(XLOOKUP(E1221, '04_Products'!$A:$A, '04_Products'!$F:$F), 0)</f>
        <v/>
      </c>
      <c r="I1221" s="9">
        <f>F1221*G1221</f>
        <v/>
      </c>
      <c r="J1221" s="11" t="n">
        <v>0.05</v>
      </c>
      <c r="K1221" s="9">
        <f>I1221*J1221</f>
        <v/>
      </c>
      <c r="L1221" s="9">
        <f>I1221-K1221</f>
        <v/>
      </c>
      <c r="M1221" s="9">
        <f>F1221*H1221</f>
        <v/>
      </c>
      <c r="N1221" s="9">
        <f>L1221-M1221</f>
        <v/>
      </c>
      <c r="O1221" s="11">
        <f>IFERROR(N1221/L1221, 0)</f>
        <v/>
      </c>
      <c r="P1221" s="8">
        <f>YEAR(C1221)</f>
        <v/>
      </c>
      <c r="Q1221" s="8">
        <f>TEXT(C1221, "yyyy-mm")</f>
        <v/>
      </c>
      <c r="R1221" s="8" t="inlineStr">
        <is>
          <t>Affiliate Partner</t>
        </is>
      </c>
      <c r="S1221" s="8" t="inlineStr">
        <is>
          <t>REG-APAC</t>
        </is>
      </c>
    </row>
    <row r="1222">
      <c r="A1222" s="8" t="inlineStr">
        <is>
          <t>DTL-0001235</t>
        </is>
      </c>
      <c r="B1222" s="8" t="inlineStr">
        <is>
          <t>ORD-000616</t>
        </is>
      </c>
      <c r="C1222" s="10" t="inlineStr">
        <is>
          <t>2024-10-07</t>
        </is>
      </c>
      <c r="D1222" s="8" t="inlineStr">
        <is>
          <t>CUST-01193</t>
        </is>
      </c>
      <c r="E1222" s="8" t="inlineStr">
        <is>
          <t>PRD-0275</t>
        </is>
      </c>
      <c r="F1222" s="8" t="n">
        <v>2</v>
      </c>
      <c r="G1222" s="9">
        <f>IFERROR(XLOOKUP(E1222, '04_Products'!$A:$A, '04_Products'!$G:$G), 786.53)</f>
        <v/>
      </c>
      <c r="H1222" s="9">
        <f>IFERROR(XLOOKUP(E1222, '04_Products'!$A:$A, '04_Products'!$F:$F), 0)</f>
        <v/>
      </c>
      <c r="I1222" s="9">
        <f>F1222*G1222</f>
        <v/>
      </c>
      <c r="J1222" s="11" t="n">
        <v>0.05</v>
      </c>
      <c r="K1222" s="9">
        <f>I1222*J1222</f>
        <v/>
      </c>
      <c r="L1222" s="9">
        <f>I1222-K1222</f>
        <v/>
      </c>
      <c r="M1222" s="9">
        <f>F1222*H1222</f>
        <v/>
      </c>
      <c r="N1222" s="9">
        <f>L1222-M1222</f>
        <v/>
      </c>
      <c r="O1222" s="11">
        <f>IFERROR(N1222/L1222, 0)</f>
        <v/>
      </c>
      <c r="P1222" s="8">
        <f>YEAR(C1222)</f>
        <v/>
      </c>
      <c r="Q1222" s="8">
        <f>TEXT(C1222, "yyyy-mm")</f>
        <v/>
      </c>
      <c r="R1222" s="8" t="inlineStr">
        <is>
          <t>Affiliate Partner</t>
        </is>
      </c>
      <c r="S1222" s="8" t="inlineStr">
        <is>
          <t>REG-APAC</t>
        </is>
      </c>
    </row>
    <row r="1223">
      <c r="A1223" s="8" t="inlineStr">
        <is>
          <t>DTL-0001236</t>
        </is>
      </c>
      <c r="B1223" s="8" t="inlineStr">
        <is>
          <t>ORD-000617</t>
        </is>
      </c>
      <c r="C1223" s="10" t="inlineStr">
        <is>
          <t>2025-07-19</t>
        </is>
      </c>
      <c r="D1223" s="8" t="inlineStr">
        <is>
          <t>CUST-03257</t>
        </is>
      </c>
      <c r="E1223" s="8" t="inlineStr">
        <is>
          <t>PRD-0448</t>
        </is>
      </c>
      <c r="F1223" s="8" t="n">
        <v>1</v>
      </c>
      <c r="G1223" s="9">
        <f>IFERROR(XLOOKUP(E1223, '04_Products'!$A:$A, '04_Products'!$G:$G), 338.65)</f>
        <v/>
      </c>
      <c r="H1223" s="9">
        <f>IFERROR(XLOOKUP(E1223, '04_Products'!$A:$A, '04_Products'!$F:$F), 0)</f>
        <v/>
      </c>
      <c r="I1223" s="9">
        <f>F1223*G1223</f>
        <v/>
      </c>
      <c r="J1223" s="11" t="n">
        <v>0.1</v>
      </c>
      <c r="K1223" s="9">
        <f>I1223*J1223</f>
        <v/>
      </c>
      <c r="L1223" s="9">
        <f>I1223-K1223</f>
        <v/>
      </c>
      <c r="M1223" s="9">
        <f>F1223*H1223</f>
        <v/>
      </c>
      <c r="N1223" s="9">
        <f>L1223-M1223</f>
        <v/>
      </c>
      <c r="O1223" s="11">
        <f>IFERROR(N1223/L1223, 0)</f>
        <v/>
      </c>
      <c r="P1223" s="8">
        <f>YEAR(C1223)</f>
        <v/>
      </c>
      <c r="Q1223" s="8">
        <f>TEXT(C1223, "yyyy-mm")</f>
        <v/>
      </c>
      <c r="R1223" s="8" t="inlineStr">
        <is>
          <t>Affiliate Partner</t>
        </is>
      </c>
      <c r="S1223" s="8" t="inlineStr">
        <is>
          <t>REG-NA</t>
        </is>
      </c>
    </row>
    <row r="1224">
      <c r="A1224" s="8" t="inlineStr">
        <is>
          <t>DTL-0001237</t>
        </is>
      </c>
      <c r="B1224" s="8" t="inlineStr">
        <is>
          <t>ORD-000617</t>
        </is>
      </c>
      <c r="C1224" s="10" t="inlineStr">
        <is>
          <t>2025-07-19</t>
        </is>
      </c>
      <c r="D1224" s="8" t="inlineStr">
        <is>
          <t>CUST-03257</t>
        </is>
      </c>
      <c r="E1224" s="8" t="inlineStr">
        <is>
          <t>PRD-0279</t>
        </is>
      </c>
      <c r="F1224" s="8" t="n">
        <v>2</v>
      </c>
      <c r="G1224" s="9">
        <f>IFERROR(XLOOKUP(E1224, '04_Products'!$A:$A, '04_Products'!$G:$G), 783.46)</f>
        <v/>
      </c>
      <c r="H1224" s="9">
        <f>IFERROR(XLOOKUP(E1224, '04_Products'!$A:$A, '04_Products'!$F:$F), 0)</f>
        <v/>
      </c>
      <c r="I1224" s="9">
        <f>F1224*G1224</f>
        <v/>
      </c>
      <c r="J1224" s="11" t="n">
        <v>0.3</v>
      </c>
      <c r="K1224" s="9">
        <f>I1224*J1224</f>
        <v/>
      </c>
      <c r="L1224" s="9">
        <f>I1224-K1224</f>
        <v/>
      </c>
      <c r="M1224" s="9">
        <f>F1224*H1224</f>
        <v/>
      </c>
      <c r="N1224" s="9">
        <f>L1224-M1224</f>
        <v/>
      </c>
      <c r="O1224" s="11">
        <f>IFERROR(N1224/L1224, 0)</f>
        <v/>
      </c>
      <c r="P1224" s="8">
        <f>YEAR(C1224)</f>
        <v/>
      </c>
      <c r="Q1224" s="8">
        <f>TEXT(C1224, "yyyy-mm")</f>
        <v/>
      </c>
      <c r="R1224" s="8" t="inlineStr">
        <is>
          <t>Affiliate Partner</t>
        </is>
      </c>
      <c r="S1224" s="8" t="inlineStr">
        <is>
          <t>REG-NA</t>
        </is>
      </c>
    </row>
    <row r="1225">
      <c r="A1225" s="8" t="inlineStr">
        <is>
          <t>DTL-0001238</t>
        </is>
      </c>
      <c r="B1225" s="8" t="inlineStr">
        <is>
          <t>ORD-000617</t>
        </is>
      </c>
      <c r="C1225" s="10" t="inlineStr">
        <is>
          <t>2025-07-19</t>
        </is>
      </c>
      <c r="D1225" s="8" t="inlineStr">
        <is>
          <t>CUST-03257</t>
        </is>
      </c>
      <c r="E1225" s="8" t="inlineStr">
        <is>
          <t>PRD-0113</t>
        </is>
      </c>
      <c r="F1225" s="8" t="n">
        <v>3</v>
      </c>
      <c r="G1225" s="9">
        <f>IFERROR(XLOOKUP(E1225, '04_Products'!$A:$A, '04_Products'!$G:$G), 70.09)</f>
        <v/>
      </c>
      <c r="H1225" s="9">
        <f>IFERROR(XLOOKUP(E1225, '04_Products'!$A:$A, '04_Products'!$F:$F), 0)</f>
        <v/>
      </c>
      <c r="I1225" s="9">
        <f>F1225*G1225</f>
        <v/>
      </c>
      <c r="J1225" s="11" t="n">
        <v>0.2</v>
      </c>
      <c r="K1225" s="9">
        <f>I1225*J1225</f>
        <v/>
      </c>
      <c r="L1225" s="9">
        <f>I1225-K1225</f>
        <v/>
      </c>
      <c r="M1225" s="9">
        <f>F1225*H1225</f>
        <v/>
      </c>
      <c r="N1225" s="9">
        <f>L1225-M1225</f>
        <v/>
      </c>
      <c r="O1225" s="11">
        <f>IFERROR(N1225/L1225, 0)</f>
        <v/>
      </c>
      <c r="P1225" s="8">
        <f>YEAR(C1225)</f>
        <v/>
      </c>
      <c r="Q1225" s="8">
        <f>TEXT(C1225, "yyyy-mm")</f>
        <v/>
      </c>
      <c r="R1225" s="8" t="inlineStr">
        <is>
          <t>Affiliate Partner</t>
        </is>
      </c>
      <c r="S1225" s="8" t="inlineStr">
        <is>
          <t>REG-NA</t>
        </is>
      </c>
    </row>
    <row r="1226">
      <c r="A1226" s="8" t="inlineStr">
        <is>
          <t>DTL-0001239</t>
        </is>
      </c>
      <c r="B1226" s="8" t="inlineStr">
        <is>
          <t>ORD-000617</t>
        </is>
      </c>
      <c r="C1226" s="10" t="inlineStr">
        <is>
          <t>2025-07-19</t>
        </is>
      </c>
      <c r="D1226" s="8" t="inlineStr">
        <is>
          <t>CUST-03257</t>
        </is>
      </c>
      <c r="E1226" s="8" t="inlineStr">
        <is>
          <t>PRD-0295</t>
        </is>
      </c>
      <c r="F1226" s="8" t="n">
        <v>10</v>
      </c>
      <c r="G1226" s="9">
        <f>IFERROR(XLOOKUP(E1226, '04_Products'!$A:$A, '04_Products'!$G:$G), 929.31)</f>
        <v/>
      </c>
      <c r="H1226" s="9">
        <f>IFERROR(XLOOKUP(E1226, '04_Products'!$A:$A, '04_Products'!$F:$F), 0)</f>
        <v/>
      </c>
      <c r="I1226" s="9">
        <f>F1226*G1226</f>
        <v/>
      </c>
      <c r="J1226" s="11" t="n">
        <v>0.05</v>
      </c>
      <c r="K1226" s="9">
        <f>I1226*J1226</f>
        <v/>
      </c>
      <c r="L1226" s="9">
        <f>I1226-K1226</f>
        <v/>
      </c>
      <c r="M1226" s="9">
        <f>F1226*H1226</f>
        <v/>
      </c>
      <c r="N1226" s="9">
        <f>L1226-M1226</f>
        <v/>
      </c>
      <c r="O1226" s="11">
        <f>IFERROR(N1226/L1226, 0)</f>
        <v/>
      </c>
      <c r="P1226" s="8">
        <f>YEAR(C1226)</f>
        <v/>
      </c>
      <c r="Q1226" s="8">
        <f>TEXT(C1226, "yyyy-mm")</f>
        <v/>
      </c>
      <c r="R1226" s="8" t="inlineStr">
        <is>
          <t>Affiliate Partner</t>
        </is>
      </c>
      <c r="S1226" s="8" t="inlineStr">
        <is>
          <t>REG-NA</t>
        </is>
      </c>
    </row>
    <row r="1227">
      <c r="A1227" s="8" t="inlineStr">
        <is>
          <t>DTL-0001240</t>
        </is>
      </c>
      <c r="B1227" s="8" t="inlineStr">
        <is>
          <t>ORD-000617</t>
        </is>
      </c>
      <c r="C1227" s="10" t="inlineStr">
        <is>
          <t>2025-07-19</t>
        </is>
      </c>
      <c r="D1227" s="8" t="inlineStr">
        <is>
          <t>CUST-03257</t>
        </is>
      </c>
      <c r="E1227" s="8" t="inlineStr">
        <is>
          <t>PRD-0076</t>
        </is>
      </c>
      <c r="F1227" s="8" t="n">
        <v>8</v>
      </c>
      <c r="G1227" s="9">
        <f>IFERROR(XLOOKUP(E1227, '04_Products'!$A:$A, '04_Products'!$G:$G), 83.40)</f>
        <v/>
      </c>
      <c r="H1227" s="9">
        <f>IFERROR(XLOOKUP(E1227, '04_Products'!$A:$A, '04_Products'!$F:$F), 0)</f>
        <v/>
      </c>
      <c r="I1227" s="9">
        <f>F1227*G1227</f>
        <v/>
      </c>
      <c r="J1227" s="11" t="n">
        <v>0.25</v>
      </c>
      <c r="K1227" s="9">
        <f>I1227*J1227</f>
        <v/>
      </c>
      <c r="L1227" s="9">
        <f>I1227-K1227</f>
        <v/>
      </c>
      <c r="M1227" s="9">
        <f>F1227*H1227</f>
        <v/>
      </c>
      <c r="N1227" s="9">
        <f>L1227-M1227</f>
        <v/>
      </c>
      <c r="O1227" s="11">
        <f>IFERROR(N1227/L1227, 0)</f>
        <v/>
      </c>
      <c r="P1227" s="8">
        <f>YEAR(C1227)</f>
        <v/>
      </c>
      <c r="Q1227" s="8">
        <f>TEXT(C1227, "yyyy-mm")</f>
        <v/>
      </c>
      <c r="R1227" s="8" t="inlineStr">
        <is>
          <t>Affiliate Partner</t>
        </is>
      </c>
      <c r="S1227" s="8" t="inlineStr">
        <is>
          <t>REG-NA</t>
        </is>
      </c>
    </row>
    <row r="1228">
      <c r="A1228" s="8" t="inlineStr">
        <is>
          <t>DTL-0001241</t>
        </is>
      </c>
      <c r="B1228" s="8" t="inlineStr">
        <is>
          <t>ORD-000618</t>
        </is>
      </c>
      <c r="C1228" s="10" t="inlineStr">
        <is>
          <t>2024-10-03</t>
        </is>
      </c>
      <c r="D1228" s="8" t="inlineStr">
        <is>
          <t>CUST-01000</t>
        </is>
      </c>
      <c r="E1228" s="8" t="inlineStr">
        <is>
          <t>PRD-0027</t>
        </is>
      </c>
      <c r="F1228" s="8" t="n">
        <v>2</v>
      </c>
      <c r="G1228" s="9">
        <f>IFERROR(XLOOKUP(E1228, '04_Products'!$A:$A, '04_Products'!$G:$G), 11.10)</f>
        <v/>
      </c>
      <c r="H1228" s="9">
        <f>IFERROR(XLOOKUP(E1228, '04_Products'!$A:$A, '04_Products'!$F:$F), 0)</f>
        <v/>
      </c>
      <c r="I1228" s="9">
        <f>F1228*G1228</f>
        <v/>
      </c>
      <c r="J1228" s="11" t="n">
        <v>0.1</v>
      </c>
      <c r="K1228" s="9">
        <f>I1228*J1228</f>
        <v/>
      </c>
      <c r="L1228" s="9">
        <f>I1228-K1228</f>
        <v/>
      </c>
      <c r="M1228" s="9">
        <f>F1228*H1228</f>
        <v/>
      </c>
      <c r="N1228" s="9">
        <f>L1228-M1228</f>
        <v/>
      </c>
      <c r="O1228" s="11">
        <f>IFERROR(N1228/L1228, 0)</f>
        <v/>
      </c>
      <c r="P1228" s="8">
        <f>YEAR(C1228)</f>
        <v/>
      </c>
      <c r="Q1228" s="8">
        <f>TEXT(C1228, "yyyy-mm")</f>
        <v/>
      </c>
      <c r="R1228" s="8" t="inlineStr">
        <is>
          <t>Affiliate Partner</t>
        </is>
      </c>
      <c r="S1228" s="8" t="inlineStr">
        <is>
          <t>REG-EU</t>
        </is>
      </c>
    </row>
    <row r="1229">
      <c r="A1229" s="8" t="inlineStr">
        <is>
          <t>DTL-0001242</t>
        </is>
      </c>
      <c r="B1229" s="8" t="inlineStr">
        <is>
          <t>ORD-000618</t>
        </is>
      </c>
      <c r="C1229" s="10" t="inlineStr">
        <is>
          <t>2024-10-03</t>
        </is>
      </c>
      <c r="D1229" s="8" t="inlineStr">
        <is>
          <t>CUST-01000</t>
        </is>
      </c>
      <c r="E1229" s="8" t="inlineStr">
        <is>
          <t>PRD-0254</t>
        </is>
      </c>
      <c r="F1229" s="8" t="n">
        <v>1</v>
      </c>
      <c r="G1229" s="9">
        <f>IFERROR(XLOOKUP(E1229, '04_Products'!$A:$A, '04_Products'!$G:$G), 219.63)</f>
        <v/>
      </c>
      <c r="H1229" s="9">
        <f>IFERROR(XLOOKUP(E1229, '04_Products'!$A:$A, '04_Products'!$F:$F), 0)</f>
        <v/>
      </c>
      <c r="I1229" s="9">
        <f>F1229*G1229</f>
        <v/>
      </c>
      <c r="J1229" s="11" t="n">
        <v>0</v>
      </c>
      <c r="K1229" s="9">
        <f>I1229*J1229</f>
        <v/>
      </c>
      <c r="L1229" s="9">
        <f>I1229-K1229</f>
        <v/>
      </c>
      <c r="M1229" s="9">
        <f>F1229*H1229</f>
        <v/>
      </c>
      <c r="N1229" s="9">
        <f>L1229-M1229</f>
        <v/>
      </c>
      <c r="O1229" s="11">
        <f>IFERROR(N1229/L1229, 0)</f>
        <v/>
      </c>
      <c r="P1229" s="8">
        <f>YEAR(C1229)</f>
        <v/>
      </c>
      <c r="Q1229" s="8">
        <f>TEXT(C1229, "yyyy-mm")</f>
        <v/>
      </c>
      <c r="R1229" s="8" t="inlineStr">
        <is>
          <t>Affiliate Partner</t>
        </is>
      </c>
      <c r="S1229" s="8" t="inlineStr">
        <is>
          <t>REG-EU</t>
        </is>
      </c>
    </row>
    <row r="1230">
      <c r="A1230" s="8" t="inlineStr">
        <is>
          <t>DTL-0001243</t>
        </is>
      </c>
      <c r="B1230" s="8" t="inlineStr">
        <is>
          <t>ORD-000619</t>
        </is>
      </c>
      <c r="C1230" s="10" t="inlineStr">
        <is>
          <t>2025-10-31</t>
        </is>
      </c>
      <c r="D1230" s="8" t="inlineStr">
        <is>
          <t>CUST-04567</t>
        </is>
      </c>
      <c r="E1230" s="8" t="inlineStr">
        <is>
          <t>PRD-0052</t>
        </is>
      </c>
      <c r="F1230" s="8" t="n">
        <v>1</v>
      </c>
      <c r="G1230" s="9">
        <f>IFERROR(XLOOKUP(E1230, '04_Products'!$A:$A, '04_Products'!$G:$G), 354.02)</f>
        <v/>
      </c>
      <c r="H1230" s="9">
        <f>IFERROR(XLOOKUP(E1230, '04_Products'!$A:$A, '04_Products'!$F:$F), 0)</f>
        <v/>
      </c>
      <c r="I1230" s="9">
        <f>F1230*G1230</f>
        <v/>
      </c>
      <c r="J1230" s="11" t="n">
        <v>0</v>
      </c>
      <c r="K1230" s="9">
        <f>I1230*J1230</f>
        <v/>
      </c>
      <c r="L1230" s="9">
        <f>I1230-K1230</f>
        <v/>
      </c>
      <c r="M1230" s="9">
        <f>F1230*H1230</f>
        <v/>
      </c>
      <c r="N1230" s="9">
        <f>L1230-M1230</f>
        <v/>
      </c>
      <c r="O1230" s="11">
        <f>IFERROR(N1230/L1230, 0)</f>
        <v/>
      </c>
      <c r="P1230" s="8">
        <f>YEAR(C1230)</f>
        <v/>
      </c>
      <c r="Q1230" s="8">
        <f>TEXT(C1230, "yyyy-mm")</f>
        <v/>
      </c>
      <c r="R1230" s="8" t="inlineStr">
        <is>
          <t>Direct Web</t>
        </is>
      </c>
      <c r="S1230" s="8" t="inlineStr">
        <is>
          <t>REG-NA</t>
        </is>
      </c>
    </row>
    <row r="1231">
      <c r="A1231" s="8" t="inlineStr">
        <is>
          <t>DTL-0001244</t>
        </is>
      </c>
      <c r="B1231" s="8" t="inlineStr">
        <is>
          <t>ORD-000619</t>
        </is>
      </c>
      <c r="C1231" s="10" t="inlineStr">
        <is>
          <t>2025-10-31</t>
        </is>
      </c>
      <c r="D1231" s="8" t="inlineStr">
        <is>
          <t>CUST-04567</t>
        </is>
      </c>
      <c r="E1231" s="8" t="inlineStr">
        <is>
          <t>PRD-0093</t>
        </is>
      </c>
      <c r="F1231" s="8" t="n">
        <v>2</v>
      </c>
      <c r="G1231" s="9">
        <f>IFERROR(XLOOKUP(E1231, '04_Products'!$A:$A, '04_Products'!$G:$G), 1324.37)</f>
        <v/>
      </c>
      <c r="H1231" s="9">
        <f>IFERROR(XLOOKUP(E1231, '04_Products'!$A:$A, '04_Products'!$F:$F), 0)</f>
        <v/>
      </c>
      <c r="I1231" s="9">
        <f>F1231*G1231</f>
        <v/>
      </c>
      <c r="J1231" s="11" t="n">
        <v>0.05</v>
      </c>
      <c r="K1231" s="9">
        <f>I1231*J1231</f>
        <v/>
      </c>
      <c r="L1231" s="9">
        <f>I1231-K1231</f>
        <v/>
      </c>
      <c r="M1231" s="9">
        <f>F1231*H1231</f>
        <v/>
      </c>
      <c r="N1231" s="9">
        <f>L1231-M1231</f>
        <v/>
      </c>
      <c r="O1231" s="11">
        <f>IFERROR(N1231/L1231, 0)</f>
        <v/>
      </c>
      <c r="P1231" s="8">
        <f>YEAR(C1231)</f>
        <v/>
      </c>
      <c r="Q1231" s="8">
        <f>TEXT(C1231, "yyyy-mm")</f>
        <v/>
      </c>
      <c r="R1231" s="8" t="inlineStr">
        <is>
          <t>Direct Web</t>
        </is>
      </c>
      <c r="S1231" s="8" t="inlineStr">
        <is>
          <t>REG-NA</t>
        </is>
      </c>
    </row>
    <row r="1232">
      <c r="A1232" s="8" t="inlineStr">
        <is>
          <t>DTL-0001245</t>
        </is>
      </c>
      <c r="B1232" s="8" t="inlineStr">
        <is>
          <t>ORD-000620</t>
        </is>
      </c>
      <c r="C1232" s="10" t="inlineStr">
        <is>
          <t>2025-12-28</t>
        </is>
      </c>
      <c r="D1232" s="8" t="inlineStr">
        <is>
          <t>CUST-04155</t>
        </is>
      </c>
      <c r="E1232" s="8" t="inlineStr">
        <is>
          <t>PRD-0041</t>
        </is>
      </c>
      <c r="F1232" s="8" t="n">
        <v>1</v>
      </c>
      <c r="G1232" s="9">
        <f>IFERROR(XLOOKUP(E1232, '04_Products'!$A:$A, '04_Products'!$G:$G), 71.67)</f>
        <v/>
      </c>
      <c r="H1232" s="9">
        <f>IFERROR(XLOOKUP(E1232, '04_Products'!$A:$A, '04_Products'!$F:$F), 0)</f>
        <v/>
      </c>
      <c r="I1232" s="9">
        <f>F1232*G1232</f>
        <v/>
      </c>
      <c r="J1232" s="11" t="n">
        <v>0.15</v>
      </c>
      <c r="K1232" s="9">
        <f>I1232*J1232</f>
        <v/>
      </c>
      <c r="L1232" s="9">
        <f>I1232-K1232</f>
        <v/>
      </c>
      <c r="M1232" s="9">
        <f>F1232*H1232</f>
        <v/>
      </c>
      <c r="N1232" s="9">
        <f>L1232-M1232</f>
        <v/>
      </c>
      <c r="O1232" s="11">
        <f>IFERROR(N1232/L1232, 0)</f>
        <v/>
      </c>
      <c r="P1232" s="8">
        <f>YEAR(C1232)</f>
        <v/>
      </c>
      <c r="Q1232" s="8">
        <f>TEXT(C1232, "yyyy-mm")</f>
        <v/>
      </c>
      <c r="R1232" s="8" t="inlineStr">
        <is>
          <t>Direct Web</t>
        </is>
      </c>
      <c r="S1232" s="8" t="inlineStr">
        <is>
          <t>REG-NA</t>
        </is>
      </c>
    </row>
    <row r="1233">
      <c r="A1233" s="8" t="inlineStr">
        <is>
          <t>DTL-0001246</t>
        </is>
      </c>
      <c r="B1233" s="8" t="inlineStr">
        <is>
          <t>ORD-000620</t>
        </is>
      </c>
      <c r="C1233" s="10" t="inlineStr">
        <is>
          <t>2025-12-28</t>
        </is>
      </c>
      <c r="D1233" s="8" t="inlineStr">
        <is>
          <t>CUST-04155</t>
        </is>
      </c>
      <c r="E1233" s="8" t="inlineStr">
        <is>
          <t>PRD-0434</t>
        </is>
      </c>
      <c r="F1233" s="8" t="n">
        <v>1</v>
      </c>
      <c r="G1233" s="9">
        <f>IFERROR(XLOOKUP(E1233, '04_Products'!$A:$A, '04_Products'!$G:$G), 899.59)</f>
        <v/>
      </c>
      <c r="H1233" s="9">
        <f>IFERROR(XLOOKUP(E1233, '04_Products'!$A:$A, '04_Products'!$F:$F), 0)</f>
        <v/>
      </c>
      <c r="I1233" s="9">
        <f>F1233*G1233</f>
        <v/>
      </c>
      <c r="J1233" s="11" t="n">
        <v>0</v>
      </c>
      <c r="K1233" s="9">
        <f>I1233*J1233</f>
        <v/>
      </c>
      <c r="L1233" s="9">
        <f>I1233-K1233</f>
        <v/>
      </c>
      <c r="M1233" s="9">
        <f>F1233*H1233</f>
        <v/>
      </c>
      <c r="N1233" s="9">
        <f>L1233-M1233</f>
        <v/>
      </c>
      <c r="O1233" s="11">
        <f>IFERROR(N1233/L1233, 0)</f>
        <v/>
      </c>
      <c r="P1233" s="8">
        <f>YEAR(C1233)</f>
        <v/>
      </c>
      <c r="Q1233" s="8">
        <f>TEXT(C1233, "yyyy-mm")</f>
        <v/>
      </c>
      <c r="R1233" s="8" t="inlineStr">
        <is>
          <t>Direct Web</t>
        </is>
      </c>
      <c r="S1233" s="8" t="inlineStr">
        <is>
          <t>REG-NA</t>
        </is>
      </c>
    </row>
    <row r="1234">
      <c r="A1234" s="8" t="inlineStr">
        <is>
          <t>DTL-0001247</t>
        </is>
      </c>
      <c r="B1234" s="8" t="inlineStr">
        <is>
          <t>ORD-000620</t>
        </is>
      </c>
      <c r="C1234" s="10" t="inlineStr">
        <is>
          <t>2025-12-28</t>
        </is>
      </c>
      <c r="D1234" s="8" t="inlineStr">
        <is>
          <t>CUST-04155</t>
        </is>
      </c>
      <c r="E1234" s="8" t="inlineStr">
        <is>
          <t>PRD-0480</t>
        </is>
      </c>
      <c r="F1234" s="8" t="n">
        <v>1</v>
      </c>
      <c r="G1234" s="9">
        <f>IFERROR(XLOOKUP(E1234, '04_Products'!$A:$A, '04_Products'!$G:$G), 122.63)</f>
        <v/>
      </c>
      <c r="H1234" s="9">
        <f>IFERROR(XLOOKUP(E1234, '04_Products'!$A:$A, '04_Products'!$F:$F), 0)</f>
        <v/>
      </c>
      <c r="I1234" s="9">
        <f>F1234*G1234</f>
        <v/>
      </c>
      <c r="J1234" s="11" t="n">
        <v>0.25</v>
      </c>
      <c r="K1234" s="9">
        <f>I1234*J1234</f>
        <v/>
      </c>
      <c r="L1234" s="9">
        <f>I1234-K1234</f>
        <v/>
      </c>
      <c r="M1234" s="9">
        <f>F1234*H1234</f>
        <v/>
      </c>
      <c r="N1234" s="9">
        <f>L1234-M1234</f>
        <v/>
      </c>
      <c r="O1234" s="11">
        <f>IFERROR(N1234/L1234, 0)</f>
        <v/>
      </c>
      <c r="P1234" s="8">
        <f>YEAR(C1234)</f>
        <v/>
      </c>
      <c r="Q1234" s="8">
        <f>TEXT(C1234, "yyyy-mm")</f>
        <v/>
      </c>
      <c r="R1234" s="8" t="inlineStr">
        <is>
          <t>Direct Web</t>
        </is>
      </c>
      <c r="S1234" s="8" t="inlineStr">
        <is>
          <t>REG-NA</t>
        </is>
      </c>
    </row>
    <row r="1235">
      <c r="A1235" s="8" t="inlineStr">
        <is>
          <t>DTL-0001248</t>
        </is>
      </c>
      <c r="B1235" s="8" t="inlineStr">
        <is>
          <t>ORD-000620</t>
        </is>
      </c>
      <c r="C1235" s="10" t="inlineStr">
        <is>
          <t>2025-12-28</t>
        </is>
      </c>
      <c r="D1235" s="8" t="inlineStr">
        <is>
          <t>CUST-04155</t>
        </is>
      </c>
      <c r="E1235" s="8" t="inlineStr">
        <is>
          <t>PRD-0126</t>
        </is>
      </c>
      <c r="F1235" s="8" t="n">
        <v>1</v>
      </c>
      <c r="G1235" s="9">
        <f>IFERROR(XLOOKUP(E1235, '04_Products'!$A:$A, '04_Products'!$G:$G), 195.24)</f>
        <v/>
      </c>
      <c r="H1235" s="9">
        <f>IFERROR(XLOOKUP(E1235, '04_Products'!$A:$A, '04_Products'!$F:$F), 0)</f>
        <v/>
      </c>
      <c r="I1235" s="9">
        <f>F1235*G1235</f>
        <v/>
      </c>
      <c r="J1235" s="11" t="n">
        <v>0</v>
      </c>
      <c r="K1235" s="9">
        <f>I1235*J1235</f>
        <v/>
      </c>
      <c r="L1235" s="9">
        <f>I1235-K1235</f>
        <v/>
      </c>
      <c r="M1235" s="9">
        <f>F1235*H1235</f>
        <v/>
      </c>
      <c r="N1235" s="9">
        <f>L1235-M1235</f>
        <v/>
      </c>
      <c r="O1235" s="11">
        <f>IFERROR(N1235/L1235, 0)</f>
        <v/>
      </c>
      <c r="P1235" s="8">
        <f>YEAR(C1235)</f>
        <v/>
      </c>
      <c r="Q1235" s="8">
        <f>TEXT(C1235, "yyyy-mm")</f>
        <v/>
      </c>
      <c r="R1235" s="8" t="inlineStr">
        <is>
          <t>Direct Web</t>
        </is>
      </c>
      <c r="S1235" s="8" t="inlineStr">
        <is>
          <t>REG-NA</t>
        </is>
      </c>
    </row>
    <row r="1236">
      <c r="A1236" s="8" t="inlineStr">
        <is>
          <t>DTL-0001249</t>
        </is>
      </c>
      <c r="B1236" s="8" t="inlineStr">
        <is>
          <t>ORD-000620</t>
        </is>
      </c>
      <c r="C1236" s="10" t="inlineStr">
        <is>
          <t>2025-12-28</t>
        </is>
      </c>
      <c r="D1236" s="8" t="inlineStr">
        <is>
          <t>CUST-04155</t>
        </is>
      </c>
      <c r="E1236" s="8" t="inlineStr">
        <is>
          <t>PRD-0295</t>
        </is>
      </c>
      <c r="F1236" s="8" t="n">
        <v>1</v>
      </c>
      <c r="G1236" s="9">
        <f>IFERROR(XLOOKUP(E1236, '04_Products'!$A:$A, '04_Products'!$G:$G), 929.31)</f>
        <v/>
      </c>
      <c r="H1236" s="9">
        <f>IFERROR(XLOOKUP(E1236, '04_Products'!$A:$A, '04_Products'!$F:$F), 0)</f>
        <v/>
      </c>
      <c r="I1236" s="9">
        <f>F1236*G1236</f>
        <v/>
      </c>
      <c r="J1236" s="11" t="n">
        <v>0.05</v>
      </c>
      <c r="K1236" s="9">
        <f>I1236*J1236</f>
        <v/>
      </c>
      <c r="L1236" s="9">
        <f>I1236-K1236</f>
        <v/>
      </c>
      <c r="M1236" s="9">
        <f>F1236*H1236</f>
        <v/>
      </c>
      <c r="N1236" s="9">
        <f>L1236-M1236</f>
        <v/>
      </c>
      <c r="O1236" s="11">
        <f>IFERROR(N1236/L1236, 0)</f>
        <v/>
      </c>
      <c r="P1236" s="8">
        <f>YEAR(C1236)</f>
        <v/>
      </c>
      <c r="Q1236" s="8">
        <f>TEXT(C1236, "yyyy-mm")</f>
        <v/>
      </c>
      <c r="R1236" s="8" t="inlineStr">
        <is>
          <t>Direct Web</t>
        </is>
      </c>
      <c r="S1236" s="8" t="inlineStr">
        <is>
          <t>REG-NA</t>
        </is>
      </c>
    </row>
    <row r="1237">
      <c r="A1237" s="8" t="inlineStr">
        <is>
          <t>DTL-0001250</t>
        </is>
      </c>
      <c r="B1237" s="8" t="inlineStr">
        <is>
          <t>ORD-000621</t>
        </is>
      </c>
      <c r="C1237" s="10" t="inlineStr">
        <is>
          <t>2024-09-25</t>
        </is>
      </c>
      <c r="D1237" s="8" t="inlineStr">
        <is>
          <t>CUST-03626</t>
        </is>
      </c>
      <c r="E1237" s="8" t="inlineStr">
        <is>
          <t>PRD-0422</t>
        </is>
      </c>
      <c r="F1237" s="8" t="n">
        <v>1</v>
      </c>
      <c r="G1237" s="9">
        <f>IFERROR(XLOOKUP(E1237, '04_Products'!$A:$A, '04_Products'!$G:$G), 1026.96)</f>
        <v/>
      </c>
      <c r="H1237" s="9">
        <f>IFERROR(XLOOKUP(E1237, '04_Products'!$A:$A, '04_Products'!$F:$F), 0)</f>
        <v/>
      </c>
      <c r="I1237" s="9">
        <f>F1237*G1237</f>
        <v/>
      </c>
      <c r="J1237" s="11" t="n">
        <v>0</v>
      </c>
      <c r="K1237" s="9">
        <f>I1237*J1237</f>
        <v/>
      </c>
      <c r="L1237" s="9">
        <f>I1237-K1237</f>
        <v/>
      </c>
      <c r="M1237" s="9">
        <f>F1237*H1237</f>
        <v/>
      </c>
      <c r="N1237" s="9">
        <f>L1237-M1237</f>
        <v/>
      </c>
      <c r="O1237" s="11">
        <f>IFERROR(N1237/L1237, 0)</f>
        <v/>
      </c>
      <c r="P1237" s="8">
        <f>YEAR(C1237)</f>
        <v/>
      </c>
      <c r="Q1237" s="8">
        <f>TEXT(C1237, "yyyy-mm")</f>
        <v/>
      </c>
      <c r="R1237" s="8" t="inlineStr">
        <is>
          <t>Mobile App</t>
        </is>
      </c>
      <c r="S1237" s="8" t="inlineStr">
        <is>
          <t>REG-APAC</t>
        </is>
      </c>
    </row>
    <row r="1238">
      <c r="A1238" s="8" t="inlineStr">
        <is>
          <t>DTL-0001251</t>
        </is>
      </c>
      <c r="B1238" s="8" t="inlineStr">
        <is>
          <t>ORD-000621</t>
        </is>
      </c>
      <c r="C1238" s="10" t="inlineStr">
        <is>
          <t>2024-09-25</t>
        </is>
      </c>
      <c r="D1238" s="8" t="inlineStr">
        <is>
          <t>CUST-03626</t>
        </is>
      </c>
      <c r="E1238" s="8" t="inlineStr">
        <is>
          <t>PRD-0254</t>
        </is>
      </c>
      <c r="F1238" s="8" t="n">
        <v>1</v>
      </c>
      <c r="G1238" s="9">
        <f>IFERROR(XLOOKUP(E1238, '04_Products'!$A:$A, '04_Products'!$G:$G), 219.63)</f>
        <v/>
      </c>
      <c r="H1238" s="9">
        <f>IFERROR(XLOOKUP(E1238, '04_Products'!$A:$A, '04_Products'!$F:$F), 0)</f>
        <v/>
      </c>
      <c r="I1238" s="9">
        <f>F1238*G1238</f>
        <v/>
      </c>
      <c r="J1238" s="11" t="n">
        <v>0</v>
      </c>
      <c r="K1238" s="9">
        <f>I1238*J1238</f>
        <v/>
      </c>
      <c r="L1238" s="9">
        <f>I1238-K1238</f>
        <v/>
      </c>
      <c r="M1238" s="9">
        <f>F1238*H1238</f>
        <v/>
      </c>
      <c r="N1238" s="9">
        <f>L1238-M1238</f>
        <v/>
      </c>
      <c r="O1238" s="11">
        <f>IFERROR(N1238/L1238, 0)</f>
        <v/>
      </c>
      <c r="P1238" s="8">
        <f>YEAR(C1238)</f>
        <v/>
      </c>
      <c r="Q1238" s="8">
        <f>TEXT(C1238, "yyyy-mm")</f>
        <v/>
      </c>
      <c r="R1238" s="8" t="inlineStr">
        <is>
          <t>Mobile App</t>
        </is>
      </c>
      <c r="S1238" s="8" t="inlineStr">
        <is>
          <t>REG-APAC</t>
        </is>
      </c>
    </row>
    <row r="1239">
      <c r="A1239" s="8" t="inlineStr">
        <is>
          <t>DTL-0001252</t>
        </is>
      </c>
      <c r="B1239" s="8" t="inlineStr">
        <is>
          <t>ORD-000621</t>
        </is>
      </c>
      <c r="C1239" s="10" t="inlineStr">
        <is>
          <t>2024-09-25</t>
        </is>
      </c>
      <c r="D1239" s="8" t="inlineStr">
        <is>
          <t>CUST-03626</t>
        </is>
      </c>
      <c r="E1239" s="8" t="inlineStr">
        <is>
          <t>PRD-0391</t>
        </is>
      </c>
      <c r="F1239" s="8" t="n">
        <v>3</v>
      </c>
      <c r="G1239" s="9">
        <f>IFERROR(XLOOKUP(E1239, '04_Products'!$A:$A, '04_Products'!$G:$G), 468.85)</f>
        <v/>
      </c>
      <c r="H1239" s="9">
        <f>IFERROR(XLOOKUP(E1239, '04_Products'!$A:$A, '04_Products'!$F:$F), 0)</f>
        <v/>
      </c>
      <c r="I1239" s="9">
        <f>F1239*G1239</f>
        <v/>
      </c>
      <c r="J1239" s="11" t="n">
        <v>0.1</v>
      </c>
      <c r="K1239" s="9">
        <f>I1239*J1239</f>
        <v/>
      </c>
      <c r="L1239" s="9">
        <f>I1239-K1239</f>
        <v/>
      </c>
      <c r="M1239" s="9">
        <f>F1239*H1239</f>
        <v/>
      </c>
      <c r="N1239" s="9">
        <f>L1239-M1239</f>
        <v/>
      </c>
      <c r="O1239" s="11">
        <f>IFERROR(N1239/L1239, 0)</f>
        <v/>
      </c>
      <c r="P1239" s="8">
        <f>YEAR(C1239)</f>
        <v/>
      </c>
      <c r="Q1239" s="8">
        <f>TEXT(C1239, "yyyy-mm")</f>
        <v/>
      </c>
      <c r="R1239" s="8" t="inlineStr">
        <is>
          <t>Mobile App</t>
        </is>
      </c>
      <c r="S1239" s="8" t="inlineStr">
        <is>
          <t>REG-APAC</t>
        </is>
      </c>
    </row>
    <row r="1240">
      <c r="A1240" s="8" t="inlineStr">
        <is>
          <t>DTL-0001253</t>
        </is>
      </c>
      <c r="B1240" s="8" t="inlineStr">
        <is>
          <t>ORD-000622</t>
        </is>
      </c>
      <c r="C1240" s="10" t="inlineStr">
        <is>
          <t>2025-01-05</t>
        </is>
      </c>
      <c r="D1240" s="8" t="inlineStr">
        <is>
          <t>CUST-04124</t>
        </is>
      </c>
      <c r="E1240" s="8" t="inlineStr">
        <is>
          <t>PRD-0277</t>
        </is>
      </c>
      <c r="F1240" s="8" t="n">
        <v>3</v>
      </c>
      <c r="G1240" s="9">
        <f>IFERROR(XLOOKUP(E1240, '04_Products'!$A:$A, '04_Products'!$G:$G), 990.61)</f>
        <v/>
      </c>
      <c r="H1240" s="9">
        <f>IFERROR(XLOOKUP(E1240, '04_Products'!$A:$A, '04_Products'!$F:$F), 0)</f>
        <v/>
      </c>
      <c r="I1240" s="9">
        <f>F1240*G1240</f>
        <v/>
      </c>
      <c r="J1240" s="11" t="n">
        <v>0.1</v>
      </c>
      <c r="K1240" s="9">
        <f>I1240*J1240</f>
        <v/>
      </c>
      <c r="L1240" s="9">
        <f>I1240-K1240</f>
        <v/>
      </c>
      <c r="M1240" s="9">
        <f>F1240*H1240</f>
        <v/>
      </c>
      <c r="N1240" s="9">
        <f>L1240-M1240</f>
        <v/>
      </c>
      <c r="O1240" s="11">
        <f>IFERROR(N1240/L1240, 0)</f>
        <v/>
      </c>
      <c r="P1240" s="8">
        <f>YEAR(C1240)</f>
        <v/>
      </c>
      <c r="Q1240" s="8">
        <f>TEXT(C1240, "yyyy-mm")</f>
        <v/>
      </c>
      <c r="R1240" s="8" t="inlineStr">
        <is>
          <t>Mobile App</t>
        </is>
      </c>
      <c r="S1240" s="8" t="inlineStr">
        <is>
          <t>REG-EU</t>
        </is>
      </c>
    </row>
    <row r="1241">
      <c r="A1241" s="8" t="inlineStr">
        <is>
          <t>DTL-0001254</t>
        </is>
      </c>
      <c r="B1241" s="8" t="inlineStr">
        <is>
          <t>ORD-000622</t>
        </is>
      </c>
      <c r="C1241" s="10" t="inlineStr">
        <is>
          <t>2025-01-05</t>
        </is>
      </c>
      <c r="D1241" s="8" t="inlineStr">
        <is>
          <t>CUST-04124</t>
        </is>
      </c>
      <c r="E1241" s="8" t="inlineStr">
        <is>
          <t>PRD-0052</t>
        </is>
      </c>
      <c r="F1241" s="8" t="n">
        <v>1</v>
      </c>
      <c r="G1241" s="9">
        <f>IFERROR(XLOOKUP(E1241, '04_Products'!$A:$A, '04_Products'!$G:$G), 354.02)</f>
        <v/>
      </c>
      <c r="H1241" s="9">
        <f>IFERROR(XLOOKUP(E1241, '04_Products'!$A:$A, '04_Products'!$F:$F), 0)</f>
        <v/>
      </c>
      <c r="I1241" s="9">
        <f>F1241*G1241</f>
        <v/>
      </c>
      <c r="J1241" s="11" t="n">
        <v>0.05</v>
      </c>
      <c r="K1241" s="9">
        <f>I1241*J1241</f>
        <v/>
      </c>
      <c r="L1241" s="9">
        <f>I1241-K1241</f>
        <v/>
      </c>
      <c r="M1241" s="9">
        <f>F1241*H1241</f>
        <v/>
      </c>
      <c r="N1241" s="9">
        <f>L1241-M1241</f>
        <v/>
      </c>
      <c r="O1241" s="11">
        <f>IFERROR(N1241/L1241, 0)</f>
        <v/>
      </c>
      <c r="P1241" s="8">
        <f>YEAR(C1241)</f>
        <v/>
      </c>
      <c r="Q1241" s="8">
        <f>TEXT(C1241, "yyyy-mm")</f>
        <v/>
      </c>
      <c r="R1241" s="8" t="inlineStr">
        <is>
          <t>Mobile App</t>
        </is>
      </c>
      <c r="S1241" s="8" t="inlineStr">
        <is>
          <t>REG-EU</t>
        </is>
      </c>
    </row>
    <row r="1242">
      <c r="A1242" s="8" t="inlineStr">
        <is>
          <t>DTL-0001255</t>
        </is>
      </c>
      <c r="B1242" s="8" t="inlineStr">
        <is>
          <t>ORD-000622</t>
        </is>
      </c>
      <c r="C1242" s="10" t="inlineStr">
        <is>
          <t>2025-01-05</t>
        </is>
      </c>
      <c r="D1242" s="8" t="inlineStr">
        <is>
          <t>CUST-04124</t>
        </is>
      </c>
      <c r="E1242" s="8" t="inlineStr">
        <is>
          <t>PRD-0094</t>
        </is>
      </c>
      <c r="F1242" s="8" t="n">
        <v>1</v>
      </c>
      <c r="G1242" s="9">
        <f>IFERROR(XLOOKUP(E1242, '04_Products'!$A:$A, '04_Products'!$G:$G), 282.30)</f>
        <v/>
      </c>
      <c r="H1242" s="9">
        <f>IFERROR(XLOOKUP(E1242, '04_Products'!$A:$A, '04_Products'!$F:$F), 0)</f>
        <v/>
      </c>
      <c r="I1242" s="9">
        <f>F1242*G1242</f>
        <v/>
      </c>
      <c r="J1242" s="11" t="n">
        <v>0</v>
      </c>
      <c r="K1242" s="9">
        <f>I1242*J1242</f>
        <v/>
      </c>
      <c r="L1242" s="9">
        <f>I1242-K1242</f>
        <v/>
      </c>
      <c r="M1242" s="9">
        <f>F1242*H1242</f>
        <v/>
      </c>
      <c r="N1242" s="9">
        <f>L1242-M1242</f>
        <v/>
      </c>
      <c r="O1242" s="11">
        <f>IFERROR(N1242/L1242, 0)</f>
        <v/>
      </c>
      <c r="P1242" s="8">
        <f>YEAR(C1242)</f>
        <v/>
      </c>
      <c r="Q1242" s="8">
        <f>TEXT(C1242, "yyyy-mm")</f>
        <v/>
      </c>
      <c r="R1242" s="8" t="inlineStr">
        <is>
          <t>Mobile App</t>
        </is>
      </c>
      <c r="S1242" s="8" t="inlineStr">
        <is>
          <t>REG-EU</t>
        </is>
      </c>
    </row>
    <row r="1243">
      <c r="A1243" s="8" t="inlineStr">
        <is>
          <t>DTL-0001256</t>
        </is>
      </c>
      <c r="B1243" s="8" t="inlineStr">
        <is>
          <t>ORD-000622</t>
        </is>
      </c>
      <c r="C1243" s="10" t="inlineStr">
        <is>
          <t>2025-01-05</t>
        </is>
      </c>
      <c r="D1243" s="8" t="inlineStr">
        <is>
          <t>CUST-04124</t>
        </is>
      </c>
      <c r="E1243" s="8" t="inlineStr">
        <is>
          <t>PRD-0131</t>
        </is>
      </c>
      <c r="F1243" s="8" t="n">
        <v>1</v>
      </c>
      <c r="G1243" s="9">
        <f>IFERROR(XLOOKUP(E1243, '04_Products'!$A:$A, '04_Products'!$G:$G), 66.07)</f>
        <v/>
      </c>
      <c r="H1243" s="9">
        <f>IFERROR(XLOOKUP(E1243, '04_Products'!$A:$A, '04_Products'!$F:$F), 0)</f>
        <v/>
      </c>
      <c r="I1243" s="9">
        <f>F1243*G1243</f>
        <v/>
      </c>
      <c r="J1243" s="11" t="n">
        <v>0.15</v>
      </c>
      <c r="K1243" s="9">
        <f>I1243*J1243</f>
        <v/>
      </c>
      <c r="L1243" s="9">
        <f>I1243-K1243</f>
        <v/>
      </c>
      <c r="M1243" s="9">
        <f>F1243*H1243</f>
        <v/>
      </c>
      <c r="N1243" s="9">
        <f>L1243-M1243</f>
        <v/>
      </c>
      <c r="O1243" s="11">
        <f>IFERROR(N1243/L1243, 0)</f>
        <v/>
      </c>
      <c r="P1243" s="8">
        <f>YEAR(C1243)</f>
        <v/>
      </c>
      <c r="Q1243" s="8">
        <f>TEXT(C1243, "yyyy-mm")</f>
        <v/>
      </c>
      <c r="R1243" s="8" t="inlineStr">
        <is>
          <t>Mobile App</t>
        </is>
      </c>
      <c r="S1243" s="8" t="inlineStr">
        <is>
          <t>REG-EU</t>
        </is>
      </c>
    </row>
    <row r="1244">
      <c r="A1244" s="8" t="inlineStr">
        <is>
          <t>DTL-0001257</t>
        </is>
      </c>
      <c r="B1244" s="8" t="inlineStr">
        <is>
          <t>ORD-000623</t>
        </is>
      </c>
      <c r="C1244" s="10" t="inlineStr">
        <is>
          <t>2024-03-05</t>
        </is>
      </c>
      <c r="D1244" s="8" t="inlineStr">
        <is>
          <t>CUST-05902</t>
        </is>
      </c>
      <c r="E1244" s="8" t="inlineStr">
        <is>
          <t>PRD-0290</t>
        </is>
      </c>
      <c r="F1244" s="8" t="n">
        <v>1</v>
      </c>
      <c r="G1244" s="9">
        <f>IFERROR(XLOOKUP(E1244, '04_Products'!$A:$A, '04_Products'!$G:$G), 404.49)</f>
        <v/>
      </c>
      <c r="H1244" s="9">
        <f>IFERROR(XLOOKUP(E1244, '04_Products'!$A:$A, '04_Products'!$F:$F), 0)</f>
        <v/>
      </c>
      <c r="I1244" s="9">
        <f>F1244*G1244</f>
        <v/>
      </c>
      <c r="J1244" s="11" t="n">
        <v>0.05</v>
      </c>
      <c r="K1244" s="9">
        <f>I1244*J1244</f>
        <v/>
      </c>
      <c r="L1244" s="9">
        <f>I1244-K1244</f>
        <v/>
      </c>
      <c r="M1244" s="9">
        <f>F1244*H1244</f>
        <v/>
      </c>
      <c r="N1244" s="9">
        <f>L1244-M1244</f>
        <v/>
      </c>
      <c r="O1244" s="11">
        <f>IFERROR(N1244/L1244, 0)</f>
        <v/>
      </c>
      <c r="P1244" s="8">
        <f>YEAR(C1244)</f>
        <v/>
      </c>
      <c r="Q1244" s="8">
        <f>TEXT(C1244, "yyyy-mm")</f>
        <v/>
      </c>
      <c r="R1244" s="8" t="inlineStr">
        <is>
          <t>Direct Web</t>
        </is>
      </c>
      <c r="S1244" s="8" t="inlineStr">
        <is>
          <t>REG-APAC</t>
        </is>
      </c>
    </row>
    <row r="1245">
      <c r="A1245" s="8" t="inlineStr">
        <is>
          <t>DTL-0001258</t>
        </is>
      </c>
      <c r="B1245" s="8" t="inlineStr">
        <is>
          <t>ORD-000623</t>
        </is>
      </c>
      <c r="C1245" s="10" t="inlineStr">
        <is>
          <t>2024-03-05</t>
        </is>
      </c>
      <c r="D1245" s="8" t="inlineStr">
        <is>
          <t>CUST-05902</t>
        </is>
      </c>
      <c r="E1245" s="8" t="inlineStr">
        <is>
          <t>PRD-0034</t>
        </is>
      </c>
      <c r="F1245" s="8" t="n">
        <v>1</v>
      </c>
      <c r="G1245" s="9">
        <f>IFERROR(XLOOKUP(E1245, '04_Products'!$A:$A, '04_Products'!$G:$G), 52.58)</f>
        <v/>
      </c>
      <c r="H1245" s="9">
        <f>IFERROR(XLOOKUP(E1245, '04_Products'!$A:$A, '04_Products'!$F:$F), 0)</f>
        <v/>
      </c>
      <c r="I1245" s="9">
        <f>F1245*G1245</f>
        <v/>
      </c>
      <c r="J1245" s="11" t="n">
        <v>0.05</v>
      </c>
      <c r="K1245" s="9">
        <f>I1245*J1245</f>
        <v/>
      </c>
      <c r="L1245" s="9">
        <f>I1245-K1245</f>
        <v/>
      </c>
      <c r="M1245" s="9">
        <f>F1245*H1245</f>
        <v/>
      </c>
      <c r="N1245" s="9">
        <f>L1245-M1245</f>
        <v/>
      </c>
      <c r="O1245" s="11">
        <f>IFERROR(N1245/L1245, 0)</f>
        <v/>
      </c>
      <c r="P1245" s="8">
        <f>YEAR(C1245)</f>
        <v/>
      </c>
      <c r="Q1245" s="8">
        <f>TEXT(C1245, "yyyy-mm")</f>
        <v/>
      </c>
      <c r="R1245" s="8" t="inlineStr">
        <is>
          <t>Direct Web</t>
        </is>
      </c>
      <c r="S1245" s="8" t="inlineStr">
        <is>
          <t>REG-APAC</t>
        </is>
      </c>
    </row>
    <row r="1246">
      <c r="A1246" s="8" t="inlineStr">
        <is>
          <t>DTL-0001259</t>
        </is>
      </c>
      <c r="B1246" s="8" t="inlineStr">
        <is>
          <t>ORD-000623</t>
        </is>
      </c>
      <c r="C1246" s="10" t="inlineStr">
        <is>
          <t>2024-03-05</t>
        </is>
      </c>
      <c r="D1246" s="8" t="inlineStr">
        <is>
          <t>CUST-05902</t>
        </is>
      </c>
      <c r="E1246" s="8" t="inlineStr">
        <is>
          <t>PRD-0373</t>
        </is>
      </c>
      <c r="F1246" s="8" t="n">
        <v>1</v>
      </c>
      <c r="G1246" s="9">
        <f>IFERROR(XLOOKUP(E1246, '04_Products'!$A:$A, '04_Products'!$G:$G), 308.95)</f>
        <v/>
      </c>
      <c r="H1246" s="9">
        <f>IFERROR(XLOOKUP(E1246, '04_Products'!$A:$A, '04_Products'!$F:$F), 0)</f>
        <v/>
      </c>
      <c r="I1246" s="9">
        <f>F1246*G1246</f>
        <v/>
      </c>
      <c r="J1246" s="11" t="n">
        <v>0</v>
      </c>
      <c r="K1246" s="9">
        <f>I1246*J1246</f>
        <v/>
      </c>
      <c r="L1246" s="9">
        <f>I1246-K1246</f>
        <v/>
      </c>
      <c r="M1246" s="9">
        <f>F1246*H1246</f>
        <v/>
      </c>
      <c r="N1246" s="9">
        <f>L1246-M1246</f>
        <v/>
      </c>
      <c r="O1246" s="11">
        <f>IFERROR(N1246/L1246, 0)</f>
        <v/>
      </c>
      <c r="P1246" s="8">
        <f>YEAR(C1246)</f>
        <v/>
      </c>
      <c r="Q1246" s="8">
        <f>TEXT(C1246, "yyyy-mm")</f>
        <v/>
      </c>
      <c r="R1246" s="8" t="inlineStr">
        <is>
          <t>Direct Web</t>
        </is>
      </c>
      <c r="S1246" s="8" t="inlineStr">
        <is>
          <t>REG-APAC</t>
        </is>
      </c>
    </row>
    <row r="1247">
      <c r="A1247" s="8" t="inlineStr">
        <is>
          <t>DTL-0001260</t>
        </is>
      </c>
      <c r="B1247" s="8" t="inlineStr">
        <is>
          <t>ORD-000623</t>
        </is>
      </c>
      <c r="C1247" s="10" t="inlineStr">
        <is>
          <t>2024-03-05</t>
        </is>
      </c>
      <c r="D1247" s="8" t="inlineStr">
        <is>
          <t>CUST-05902</t>
        </is>
      </c>
      <c r="E1247" s="8" t="inlineStr">
        <is>
          <t>PRD-0378</t>
        </is>
      </c>
      <c r="F1247" s="8" t="n">
        <v>1</v>
      </c>
      <c r="G1247" s="9">
        <f>IFERROR(XLOOKUP(E1247, '04_Products'!$A:$A, '04_Products'!$G:$G), 850.11)</f>
        <v/>
      </c>
      <c r="H1247" s="9">
        <f>IFERROR(XLOOKUP(E1247, '04_Products'!$A:$A, '04_Products'!$F:$F), 0)</f>
        <v/>
      </c>
      <c r="I1247" s="9">
        <f>F1247*G1247</f>
        <v/>
      </c>
      <c r="J1247" s="11" t="n">
        <v>0.1</v>
      </c>
      <c r="K1247" s="9">
        <f>I1247*J1247</f>
        <v/>
      </c>
      <c r="L1247" s="9">
        <f>I1247-K1247</f>
        <v/>
      </c>
      <c r="M1247" s="9">
        <f>F1247*H1247</f>
        <v/>
      </c>
      <c r="N1247" s="9">
        <f>L1247-M1247</f>
        <v/>
      </c>
      <c r="O1247" s="11">
        <f>IFERROR(N1247/L1247, 0)</f>
        <v/>
      </c>
      <c r="P1247" s="8">
        <f>YEAR(C1247)</f>
        <v/>
      </c>
      <c r="Q1247" s="8">
        <f>TEXT(C1247, "yyyy-mm")</f>
        <v/>
      </c>
      <c r="R1247" s="8" t="inlineStr">
        <is>
          <t>Direct Web</t>
        </is>
      </c>
      <c r="S1247" s="8" t="inlineStr">
        <is>
          <t>REG-APAC</t>
        </is>
      </c>
    </row>
    <row r="1248">
      <c r="A1248" s="8" t="inlineStr">
        <is>
          <t>DTL-0001261</t>
        </is>
      </c>
      <c r="B1248" s="8" t="inlineStr">
        <is>
          <t>ORD-000624</t>
        </is>
      </c>
      <c r="C1248" s="10" t="inlineStr">
        <is>
          <t>2024-10-23</t>
        </is>
      </c>
      <c r="D1248" s="8" t="inlineStr">
        <is>
          <t>CUST-00075</t>
        </is>
      </c>
      <c r="E1248" s="8" t="inlineStr">
        <is>
          <t>PRD-0290</t>
        </is>
      </c>
      <c r="F1248" s="8" t="n">
        <v>1</v>
      </c>
      <c r="G1248" s="9">
        <f>IFERROR(XLOOKUP(E1248, '04_Products'!$A:$A, '04_Products'!$G:$G), 404.49)</f>
        <v/>
      </c>
      <c r="H1248" s="9">
        <f>IFERROR(XLOOKUP(E1248, '04_Products'!$A:$A, '04_Products'!$F:$F), 0)</f>
        <v/>
      </c>
      <c r="I1248" s="9">
        <f>F1248*G1248</f>
        <v/>
      </c>
      <c r="J1248" s="11" t="n">
        <v>0</v>
      </c>
      <c r="K1248" s="9">
        <f>I1248*J1248</f>
        <v/>
      </c>
      <c r="L1248" s="9">
        <f>I1248-K1248</f>
        <v/>
      </c>
      <c r="M1248" s="9">
        <f>F1248*H1248</f>
        <v/>
      </c>
      <c r="N1248" s="9">
        <f>L1248-M1248</f>
        <v/>
      </c>
      <c r="O1248" s="11">
        <f>IFERROR(N1248/L1248, 0)</f>
        <v/>
      </c>
      <c r="P1248" s="8">
        <f>YEAR(C1248)</f>
        <v/>
      </c>
      <c r="Q1248" s="8">
        <f>TEXT(C1248, "yyyy-mm")</f>
        <v/>
      </c>
      <c r="R1248" s="8" t="inlineStr">
        <is>
          <t>Mobile App</t>
        </is>
      </c>
      <c r="S1248" s="8" t="inlineStr">
        <is>
          <t>REG-APAC</t>
        </is>
      </c>
    </row>
    <row r="1249">
      <c r="A1249" s="8" t="inlineStr">
        <is>
          <t>DTL-0001262</t>
        </is>
      </c>
      <c r="B1249" s="8" t="inlineStr">
        <is>
          <t>ORD-000624</t>
        </is>
      </c>
      <c r="C1249" s="10" t="inlineStr">
        <is>
          <t>2024-10-23</t>
        </is>
      </c>
      <c r="D1249" s="8" t="inlineStr">
        <is>
          <t>CUST-00075</t>
        </is>
      </c>
      <c r="E1249" s="8" t="inlineStr">
        <is>
          <t>PRD-0377</t>
        </is>
      </c>
      <c r="F1249" s="8" t="n">
        <v>2</v>
      </c>
      <c r="G1249" s="9">
        <f>IFERROR(XLOOKUP(E1249, '04_Products'!$A:$A, '04_Products'!$G:$G), 961.48)</f>
        <v/>
      </c>
      <c r="H1249" s="9">
        <f>IFERROR(XLOOKUP(E1249, '04_Products'!$A:$A, '04_Products'!$F:$F), 0)</f>
        <v/>
      </c>
      <c r="I1249" s="9">
        <f>F1249*G1249</f>
        <v/>
      </c>
      <c r="J1249" s="11" t="n">
        <v>0.05</v>
      </c>
      <c r="K1249" s="9">
        <f>I1249*J1249</f>
        <v/>
      </c>
      <c r="L1249" s="9">
        <f>I1249-K1249</f>
        <v/>
      </c>
      <c r="M1249" s="9">
        <f>F1249*H1249</f>
        <v/>
      </c>
      <c r="N1249" s="9">
        <f>L1249-M1249</f>
        <v/>
      </c>
      <c r="O1249" s="11">
        <f>IFERROR(N1249/L1249, 0)</f>
        <v/>
      </c>
      <c r="P1249" s="8">
        <f>YEAR(C1249)</f>
        <v/>
      </c>
      <c r="Q1249" s="8">
        <f>TEXT(C1249, "yyyy-mm")</f>
        <v/>
      </c>
      <c r="R1249" s="8" t="inlineStr">
        <is>
          <t>Mobile App</t>
        </is>
      </c>
      <c r="S1249" s="8" t="inlineStr">
        <is>
          <t>REG-APAC</t>
        </is>
      </c>
    </row>
    <row r="1250">
      <c r="A1250" s="8" t="inlineStr">
        <is>
          <t>DTL-0001263</t>
        </is>
      </c>
      <c r="B1250" s="8" t="inlineStr">
        <is>
          <t>ORD-000624</t>
        </is>
      </c>
      <c r="C1250" s="10" t="inlineStr">
        <is>
          <t>2024-10-23</t>
        </is>
      </c>
      <c r="D1250" s="8" t="inlineStr">
        <is>
          <t>CUST-00075</t>
        </is>
      </c>
      <c r="E1250" s="8" t="inlineStr">
        <is>
          <t>PRD-0384</t>
        </is>
      </c>
      <c r="F1250" s="8" t="n">
        <v>2</v>
      </c>
      <c r="G1250" s="9">
        <f>IFERROR(XLOOKUP(E1250, '04_Products'!$A:$A, '04_Products'!$G:$G), 68.18)</f>
        <v/>
      </c>
      <c r="H1250" s="9">
        <f>IFERROR(XLOOKUP(E1250, '04_Products'!$A:$A, '04_Products'!$F:$F), 0)</f>
        <v/>
      </c>
      <c r="I1250" s="9">
        <f>F1250*G1250</f>
        <v/>
      </c>
      <c r="J1250" s="11" t="n">
        <v>0.2</v>
      </c>
      <c r="K1250" s="9">
        <f>I1250*J1250</f>
        <v/>
      </c>
      <c r="L1250" s="9">
        <f>I1250-K1250</f>
        <v/>
      </c>
      <c r="M1250" s="9">
        <f>F1250*H1250</f>
        <v/>
      </c>
      <c r="N1250" s="9">
        <f>L1250-M1250</f>
        <v/>
      </c>
      <c r="O1250" s="11">
        <f>IFERROR(N1250/L1250, 0)</f>
        <v/>
      </c>
      <c r="P1250" s="8">
        <f>YEAR(C1250)</f>
        <v/>
      </c>
      <c r="Q1250" s="8">
        <f>TEXT(C1250, "yyyy-mm")</f>
        <v/>
      </c>
      <c r="R1250" s="8" t="inlineStr">
        <is>
          <t>Mobile App</t>
        </is>
      </c>
      <c r="S1250" s="8" t="inlineStr">
        <is>
          <t>REG-APAC</t>
        </is>
      </c>
    </row>
    <row r="1251">
      <c r="A1251" s="8" t="inlineStr">
        <is>
          <t>DTL-0001264</t>
        </is>
      </c>
      <c r="B1251" s="8" t="inlineStr">
        <is>
          <t>ORD-000624</t>
        </is>
      </c>
      <c r="C1251" s="10" t="inlineStr">
        <is>
          <t>2024-10-23</t>
        </is>
      </c>
      <c r="D1251" s="8" t="inlineStr">
        <is>
          <t>CUST-00075</t>
        </is>
      </c>
      <c r="E1251" s="8" t="inlineStr">
        <is>
          <t>PRD-0463</t>
        </is>
      </c>
      <c r="F1251" s="8" t="n">
        <v>2</v>
      </c>
      <c r="G1251" s="9">
        <f>IFERROR(XLOOKUP(E1251, '04_Products'!$A:$A, '04_Products'!$G:$G), 123.72)</f>
        <v/>
      </c>
      <c r="H1251" s="9">
        <f>IFERROR(XLOOKUP(E1251, '04_Products'!$A:$A, '04_Products'!$F:$F), 0)</f>
        <v/>
      </c>
      <c r="I1251" s="9">
        <f>F1251*G1251</f>
        <v/>
      </c>
      <c r="J1251" s="11" t="n">
        <v>0.2</v>
      </c>
      <c r="K1251" s="9">
        <f>I1251*J1251</f>
        <v/>
      </c>
      <c r="L1251" s="9">
        <f>I1251-K1251</f>
        <v/>
      </c>
      <c r="M1251" s="9">
        <f>F1251*H1251</f>
        <v/>
      </c>
      <c r="N1251" s="9">
        <f>L1251-M1251</f>
        <v/>
      </c>
      <c r="O1251" s="11">
        <f>IFERROR(N1251/L1251, 0)</f>
        <v/>
      </c>
      <c r="P1251" s="8">
        <f>YEAR(C1251)</f>
        <v/>
      </c>
      <c r="Q1251" s="8">
        <f>TEXT(C1251, "yyyy-mm")</f>
        <v/>
      </c>
      <c r="R1251" s="8" t="inlineStr">
        <is>
          <t>Mobile App</t>
        </is>
      </c>
      <c r="S1251" s="8" t="inlineStr">
        <is>
          <t>REG-APAC</t>
        </is>
      </c>
    </row>
    <row r="1252">
      <c r="A1252" s="8" t="inlineStr">
        <is>
          <t>DTL-0001265</t>
        </is>
      </c>
      <c r="B1252" s="8" t="inlineStr">
        <is>
          <t>ORD-000624</t>
        </is>
      </c>
      <c r="C1252" s="10" t="inlineStr">
        <is>
          <t>2024-10-23</t>
        </is>
      </c>
      <c r="D1252" s="8" t="inlineStr">
        <is>
          <t>CUST-00075</t>
        </is>
      </c>
      <c r="E1252" s="8" t="inlineStr">
        <is>
          <t>PRD-0063</t>
        </is>
      </c>
      <c r="F1252" s="8" t="n">
        <v>1</v>
      </c>
      <c r="G1252" s="9">
        <f>IFERROR(XLOOKUP(E1252, '04_Products'!$A:$A, '04_Products'!$G:$G), 62.68)</f>
        <v/>
      </c>
      <c r="H1252" s="9">
        <f>IFERROR(XLOOKUP(E1252, '04_Products'!$A:$A, '04_Products'!$F:$F), 0)</f>
        <v/>
      </c>
      <c r="I1252" s="9">
        <f>F1252*G1252</f>
        <v/>
      </c>
      <c r="J1252" s="11" t="n">
        <v>0.1</v>
      </c>
      <c r="K1252" s="9">
        <f>I1252*J1252</f>
        <v/>
      </c>
      <c r="L1252" s="9">
        <f>I1252-K1252</f>
        <v/>
      </c>
      <c r="M1252" s="9">
        <f>F1252*H1252</f>
        <v/>
      </c>
      <c r="N1252" s="9">
        <f>L1252-M1252</f>
        <v/>
      </c>
      <c r="O1252" s="11">
        <f>IFERROR(N1252/L1252, 0)</f>
        <v/>
      </c>
      <c r="P1252" s="8">
        <f>YEAR(C1252)</f>
        <v/>
      </c>
      <c r="Q1252" s="8">
        <f>TEXT(C1252, "yyyy-mm")</f>
        <v/>
      </c>
      <c r="R1252" s="8" t="inlineStr">
        <is>
          <t>Mobile App</t>
        </is>
      </c>
      <c r="S1252" s="8" t="inlineStr">
        <is>
          <t>REG-APAC</t>
        </is>
      </c>
    </row>
    <row r="1253">
      <c r="A1253" s="8" t="inlineStr">
        <is>
          <t>DTL-0001266</t>
        </is>
      </c>
      <c r="B1253" s="8" t="inlineStr">
        <is>
          <t>ORD-000625</t>
        </is>
      </c>
      <c r="C1253" s="10" t="inlineStr">
        <is>
          <t>2024-02-19</t>
        </is>
      </c>
      <c r="D1253" s="8" t="inlineStr">
        <is>
          <t>CUST-02933</t>
        </is>
      </c>
      <c r="E1253" s="8" t="inlineStr">
        <is>
          <t>PRD-0072</t>
        </is>
      </c>
      <c r="F1253" s="8" t="n">
        <v>2</v>
      </c>
      <c r="G1253" s="9">
        <f>IFERROR(XLOOKUP(E1253, '04_Products'!$A:$A, '04_Products'!$G:$G), 548.35)</f>
        <v/>
      </c>
      <c r="H1253" s="9">
        <f>IFERROR(XLOOKUP(E1253, '04_Products'!$A:$A, '04_Products'!$F:$F), 0)</f>
        <v/>
      </c>
      <c r="I1253" s="9">
        <f>F1253*G1253</f>
        <v/>
      </c>
      <c r="J1253" s="11" t="n">
        <v>0</v>
      </c>
      <c r="K1253" s="9">
        <f>I1253*J1253</f>
        <v/>
      </c>
      <c r="L1253" s="9">
        <f>I1253-K1253</f>
        <v/>
      </c>
      <c r="M1253" s="9">
        <f>F1253*H1253</f>
        <v/>
      </c>
      <c r="N1253" s="9">
        <f>L1253-M1253</f>
        <v/>
      </c>
      <c r="O1253" s="11">
        <f>IFERROR(N1253/L1253, 0)</f>
        <v/>
      </c>
      <c r="P1253" s="8">
        <f>YEAR(C1253)</f>
        <v/>
      </c>
      <c r="Q1253" s="8">
        <f>TEXT(C1253, "yyyy-mm")</f>
        <v/>
      </c>
      <c r="R1253" s="8" t="inlineStr">
        <is>
          <t>Direct Web</t>
        </is>
      </c>
      <c r="S1253" s="8" t="inlineStr">
        <is>
          <t>REG-LATAM</t>
        </is>
      </c>
    </row>
    <row r="1254">
      <c r="A1254" s="8" t="inlineStr">
        <is>
          <t>DTL-0001267</t>
        </is>
      </c>
      <c r="B1254" s="8" t="inlineStr">
        <is>
          <t>ORD-000626</t>
        </is>
      </c>
      <c r="C1254" s="10" t="inlineStr">
        <is>
          <t>2025-08-27</t>
        </is>
      </c>
      <c r="D1254" s="8" t="inlineStr">
        <is>
          <t>CUST-04212</t>
        </is>
      </c>
      <c r="E1254" s="8" t="inlineStr">
        <is>
          <t>PRD-0031</t>
        </is>
      </c>
      <c r="F1254" s="8" t="n">
        <v>1</v>
      </c>
      <c r="G1254" s="9">
        <f>IFERROR(XLOOKUP(E1254, '04_Products'!$A:$A, '04_Products'!$G:$G), 68.91)</f>
        <v/>
      </c>
      <c r="H1254" s="9">
        <f>IFERROR(XLOOKUP(E1254, '04_Products'!$A:$A, '04_Products'!$F:$F), 0)</f>
        <v/>
      </c>
      <c r="I1254" s="9">
        <f>F1254*G1254</f>
        <v/>
      </c>
      <c r="J1254" s="11" t="n">
        <v>0.1</v>
      </c>
      <c r="K1254" s="9">
        <f>I1254*J1254</f>
        <v/>
      </c>
      <c r="L1254" s="9">
        <f>I1254-K1254</f>
        <v/>
      </c>
      <c r="M1254" s="9">
        <f>F1254*H1254</f>
        <v/>
      </c>
      <c r="N1254" s="9">
        <f>L1254-M1254</f>
        <v/>
      </c>
      <c r="O1254" s="11">
        <f>IFERROR(N1254/L1254, 0)</f>
        <v/>
      </c>
      <c r="P1254" s="8">
        <f>YEAR(C1254)</f>
        <v/>
      </c>
      <c r="Q1254" s="8">
        <f>TEXT(C1254, "yyyy-mm")</f>
        <v/>
      </c>
      <c r="R1254" s="8" t="inlineStr">
        <is>
          <t>Affiliate Partner</t>
        </is>
      </c>
      <c r="S1254" s="8" t="inlineStr">
        <is>
          <t>REG-NA</t>
        </is>
      </c>
    </row>
    <row r="1255">
      <c r="A1255" s="8" t="inlineStr">
        <is>
          <t>DTL-0001268</t>
        </is>
      </c>
      <c r="B1255" s="8" t="inlineStr">
        <is>
          <t>ORD-000626</t>
        </is>
      </c>
      <c r="C1255" s="10" t="inlineStr">
        <is>
          <t>2025-08-27</t>
        </is>
      </c>
      <c r="D1255" s="8" t="inlineStr">
        <is>
          <t>CUST-04212</t>
        </is>
      </c>
      <c r="E1255" s="8" t="inlineStr">
        <is>
          <t>PRD-0488</t>
        </is>
      </c>
      <c r="F1255" s="8" t="n">
        <v>8</v>
      </c>
      <c r="G1255" s="9">
        <f>IFERROR(XLOOKUP(E1255, '04_Products'!$A:$A, '04_Products'!$G:$G), 54.77)</f>
        <v/>
      </c>
      <c r="H1255" s="9">
        <f>IFERROR(XLOOKUP(E1255, '04_Products'!$A:$A, '04_Products'!$F:$F), 0)</f>
        <v/>
      </c>
      <c r="I1255" s="9">
        <f>F1255*G1255</f>
        <v/>
      </c>
      <c r="J1255" s="11" t="n">
        <v>0</v>
      </c>
      <c r="K1255" s="9">
        <f>I1255*J1255</f>
        <v/>
      </c>
      <c r="L1255" s="9">
        <f>I1255-K1255</f>
        <v/>
      </c>
      <c r="M1255" s="9">
        <f>F1255*H1255</f>
        <v/>
      </c>
      <c r="N1255" s="9">
        <f>L1255-M1255</f>
        <v/>
      </c>
      <c r="O1255" s="11">
        <f>IFERROR(N1255/L1255, 0)</f>
        <v/>
      </c>
      <c r="P1255" s="8">
        <f>YEAR(C1255)</f>
        <v/>
      </c>
      <c r="Q1255" s="8">
        <f>TEXT(C1255, "yyyy-mm")</f>
        <v/>
      </c>
      <c r="R1255" s="8" t="inlineStr">
        <is>
          <t>Affiliate Partner</t>
        </is>
      </c>
      <c r="S1255" s="8" t="inlineStr">
        <is>
          <t>REG-NA</t>
        </is>
      </c>
    </row>
    <row r="1256">
      <c r="A1256" s="8" t="inlineStr">
        <is>
          <t>DTL-0001269</t>
        </is>
      </c>
      <c r="B1256" s="8" t="inlineStr">
        <is>
          <t>ORD-000627</t>
        </is>
      </c>
      <c r="C1256" s="10" t="inlineStr">
        <is>
          <t>2025-06-12</t>
        </is>
      </c>
      <c r="D1256" s="8" t="inlineStr">
        <is>
          <t>CUST-04086</t>
        </is>
      </c>
      <c r="E1256" s="8" t="inlineStr">
        <is>
          <t>PRD-0488</t>
        </is>
      </c>
      <c r="F1256" s="8" t="n">
        <v>4</v>
      </c>
      <c r="G1256" s="9">
        <f>IFERROR(XLOOKUP(E1256, '04_Products'!$A:$A, '04_Products'!$G:$G), 54.77)</f>
        <v/>
      </c>
      <c r="H1256" s="9">
        <f>IFERROR(XLOOKUP(E1256, '04_Products'!$A:$A, '04_Products'!$F:$F), 0)</f>
        <v/>
      </c>
      <c r="I1256" s="9">
        <f>F1256*G1256</f>
        <v/>
      </c>
      <c r="J1256" s="11" t="n">
        <v>0.1</v>
      </c>
      <c r="K1256" s="9">
        <f>I1256*J1256</f>
        <v/>
      </c>
      <c r="L1256" s="9">
        <f>I1256-K1256</f>
        <v/>
      </c>
      <c r="M1256" s="9">
        <f>F1256*H1256</f>
        <v/>
      </c>
      <c r="N1256" s="9">
        <f>L1256-M1256</f>
        <v/>
      </c>
      <c r="O1256" s="11">
        <f>IFERROR(N1256/L1256, 0)</f>
        <v/>
      </c>
      <c r="P1256" s="8">
        <f>YEAR(C1256)</f>
        <v/>
      </c>
      <c r="Q1256" s="8">
        <f>TEXT(C1256, "yyyy-mm")</f>
        <v/>
      </c>
      <c r="R1256" s="8" t="inlineStr">
        <is>
          <t>Direct Web</t>
        </is>
      </c>
      <c r="S1256" s="8" t="inlineStr">
        <is>
          <t>REG-NA</t>
        </is>
      </c>
    </row>
    <row r="1257">
      <c r="A1257" s="8" t="inlineStr">
        <is>
          <t>DTL-0001270</t>
        </is>
      </c>
      <c r="B1257" s="8" t="inlineStr">
        <is>
          <t>ORD-000627</t>
        </is>
      </c>
      <c r="C1257" s="10" t="inlineStr">
        <is>
          <t>2025-06-12</t>
        </is>
      </c>
      <c r="D1257" s="8" t="inlineStr">
        <is>
          <t>CUST-04086</t>
        </is>
      </c>
      <c r="E1257" s="8" t="inlineStr">
        <is>
          <t>PRD-0299</t>
        </is>
      </c>
      <c r="F1257" s="8" t="n">
        <v>1</v>
      </c>
      <c r="G1257" s="9">
        <f>IFERROR(XLOOKUP(E1257, '04_Products'!$A:$A, '04_Products'!$G:$G), 182.90)</f>
        <v/>
      </c>
      <c r="H1257" s="9">
        <f>IFERROR(XLOOKUP(E1257, '04_Products'!$A:$A, '04_Products'!$F:$F), 0)</f>
        <v/>
      </c>
      <c r="I1257" s="9">
        <f>F1257*G1257</f>
        <v/>
      </c>
      <c r="J1257" s="11" t="n">
        <v>0.3</v>
      </c>
      <c r="K1257" s="9">
        <f>I1257*J1257</f>
        <v/>
      </c>
      <c r="L1257" s="9">
        <f>I1257-K1257</f>
        <v/>
      </c>
      <c r="M1257" s="9">
        <f>F1257*H1257</f>
        <v/>
      </c>
      <c r="N1257" s="9">
        <f>L1257-M1257</f>
        <v/>
      </c>
      <c r="O1257" s="11">
        <f>IFERROR(N1257/L1257, 0)</f>
        <v/>
      </c>
      <c r="P1257" s="8">
        <f>YEAR(C1257)</f>
        <v/>
      </c>
      <c r="Q1257" s="8">
        <f>TEXT(C1257, "yyyy-mm")</f>
        <v/>
      </c>
      <c r="R1257" s="8" t="inlineStr">
        <is>
          <t>Direct Web</t>
        </is>
      </c>
      <c r="S1257" s="8" t="inlineStr">
        <is>
          <t>REG-NA</t>
        </is>
      </c>
    </row>
    <row r="1258">
      <c r="A1258" s="8" t="inlineStr">
        <is>
          <t>DTL-0001271</t>
        </is>
      </c>
      <c r="B1258" s="8" t="inlineStr">
        <is>
          <t>ORD-000628</t>
        </is>
      </c>
      <c r="C1258" s="10" t="inlineStr">
        <is>
          <t>2024-06-12</t>
        </is>
      </c>
      <c r="D1258" s="8" t="inlineStr">
        <is>
          <t>CUST-03762</t>
        </is>
      </c>
      <c r="E1258" s="8" t="inlineStr">
        <is>
          <t>PRD-0277</t>
        </is>
      </c>
      <c r="F1258" s="8" t="n">
        <v>2</v>
      </c>
      <c r="G1258" s="9">
        <f>IFERROR(XLOOKUP(E1258, '04_Products'!$A:$A, '04_Products'!$G:$G), 990.61)</f>
        <v/>
      </c>
      <c r="H1258" s="9">
        <f>IFERROR(XLOOKUP(E1258, '04_Products'!$A:$A, '04_Products'!$F:$F), 0)</f>
        <v/>
      </c>
      <c r="I1258" s="9">
        <f>F1258*G1258</f>
        <v/>
      </c>
      <c r="J1258" s="11" t="n">
        <v>0</v>
      </c>
      <c r="K1258" s="9">
        <f>I1258*J1258</f>
        <v/>
      </c>
      <c r="L1258" s="9">
        <f>I1258-K1258</f>
        <v/>
      </c>
      <c r="M1258" s="9">
        <f>F1258*H1258</f>
        <v/>
      </c>
      <c r="N1258" s="9">
        <f>L1258-M1258</f>
        <v/>
      </c>
      <c r="O1258" s="11">
        <f>IFERROR(N1258/L1258, 0)</f>
        <v/>
      </c>
      <c r="P1258" s="8">
        <f>YEAR(C1258)</f>
        <v/>
      </c>
      <c r="Q1258" s="8">
        <f>TEXT(C1258, "yyyy-mm")</f>
        <v/>
      </c>
      <c r="R1258" s="8" t="inlineStr">
        <is>
          <t>Mobile App</t>
        </is>
      </c>
      <c r="S1258" s="8" t="inlineStr">
        <is>
          <t>REG-NA</t>
        </is>
      </c>
    </row>
    <row r="1259">
      <c r="A1259" s="8" t="inlineStr">
        <is>
          <t>DTL-0001272</t>
        </is>
      </c>
      <c r="B1259" s="8" t="inlineStr">
        <is>
          <t>ORD-000628</t>
        </is>
      </c>
      <c r="C1259" s="10" t="inlineStr">
        <is>
          <t>2024-06-12</t>
        </is>
      </c>
      <c r="D1259" s="8" t="inlineStr">
        <is>
          <t>CUST-03762</t>
        </is>
      </c>
      <c r="E1259" s="8" t="inlineStr">
        <is>
          <t>PRD-0286</t>
        </is>
      </c>
      <c r="F1259" s="8" t="n">
        <v>10</v>
      </c>
      <c r="G1259" s="9">
        <f>IFERROR(XLOOKUP(E1259, '04_Products'!$A:$A, '04_Products'!$G:$G), 232.89)</f>
        <v/>
      </c>
      <c r="H1259" s="9">
        <f>IFERROR(XLOOKUP(E1259, '04_Products'!$A:$A, '04_Products'!$F:$F), 0)</f>
        <v/>
      </c>
      <c r="I1259" s="9">
        <f>F1259*G1259</f>
        <v/>
      </c>
      <c r="J1259" s="11" t="n">
        <v>0.05</v>
      </c>
      <c r="K1259" s="9">
        <f>I1259*J1259</f>
        <v/>
      </c>
      <c r="L1259" s="9">
        <f>I1259-K1259</f>
        <v/>
      </c>
      <c r="M1259" s="9">
        <f>F1259*H1259</f>
        <v/>
      </c>
      <c r="N1259" s="9">
        <f>L1259-M1259</f>
        <v/>
      </c>
      <c r="O1259" s="11">
        <f>IFERROR(N1259/L1259, 0)</f>
        <v/>
      </c>
      <c r="P1259" s="8">
        <f>YEAR(C1259)</f>
        <v/>
      </c>
      <c r="Q1259" s="8">
        <f>TEXT(C1259, "yyyy-mm")</f>
        <v/>
      </c>
      <c r="R1259" s="8" t="inlineStr">
        <is>
          <t>Mobile App</t>
        </is>
      </c>
      <c r="S1259" s="8" t="inlineStr">
        <is>
          <t>REG-NA</t>
        </is>
      </c>
    </row>
    <row r="1260">
      <c r="A1260" s="8" t="inlineStr">
        <is>
          <t>DTL-0001273</t>
        </is>
      </c>
      <c r="B1260" s="8" t="inlineStr">
        <is>
          <t>ORD-000629</t>
        </is>
      </c>
      <c r="C1260" s="10" t="inlineStr">
        <is>
          <t>2023-09-23</t>
        </is>
      </c>
      <c r="D1260" s="8" t="inlineStr">
        <is>
          <t>CUST-00479</t>
        </is>
      </c>
      <c r="E1260" s="8" t="inlineStr">
        <is>
          <t>PRD-0196</t>
        </is>
      </c>
      <c r="F1260" s="8" t="n">
        <v>2</v>
      </c>
      <c r="G1260" s="9">
        <f>IFERROR(XLOOKUP(E1260, '04_Products'!$A:$A, '04_Products'!$G:$G), 112.72)</f>
        <v/>
      </c>
      <c r="H1260" s="9">
        <f>IFERROR(XLOOKUP(E1260, '04_Products'!$A:$A, '04_Products'!$F:$F), 0)</f>
        <v/>
      </c>
      <c r="I1260" s="9">
        <f>F1260*G1260</f>
        <v/>
      </c>
      <c r="J1260" s="11" t="n">
        <v>0.05</v>
      </c>
      <c r="K1260" s="9">
        <f>I1260*J1260</f>
        <v/>
      </c>
      <c r="L1260" s="9">
        <f>I1260-K1260</f>
        <v/>
      </c>
      <c r="M1260" s="9">
        <f>F1260*H1260</f>
        <v/>
      </c>
      <c r="N1260" s="9">
        <f>L1260-M1260</f>
        <v/>
      </c>
      <c r="O1260" s="11">
        <f>IFERROR(N1260/L1260, 0)</f>
        <v/>
      </c>
      <c r="P1260" s="8">
        <f>YEAR(C1260)</f>
        <v/>
      </c>
      <c r="Q1260" s="8">
        <f>TEXT(C1260, "yyyy-mm")</f>
        <v/>
      </c>
      <c r="R1260" s="8" t="inlineStr">
        <is>
          <t>Direct Web</t>
        </is>
      </c>
      <c r="S1260" s="8" t="inlineStr">
        <is>
          <t>REG-EU</t>
        </is>
      </c>
    </row>
    <row r="1261">
      <c r="A1261" s="8" t="inlineStr">
        <is>
          <t>DTL-0001274</t>
        </is>
      </c>
      <c r="B1261" s="8" t="inlineStr">
        <is>
          <t>ORD-000630</t>
        </is>
      </c>
      <c r="C1261" s="10" t="inlineStr">
        <is>
          <t>2024-10-16</t>
        </is>
      </c>
      <c r="D1261" s="8" t="inlineStr">
        <is>
          <t>CUST-05160</t>
        </is>
      </c>
      <c r="E1261" s="8" t="inlineStr">
        <is>
          <t>PRD-0046</t>
        </is>
      </c>
      <c r="F1261" s="8" t="n">
        <v>10</v>
      </c>
      <c r="G1261" s="9">
        <f>IFERROR(XLOOKUP(E1261, '04_Products'!$A:$A, '04_Products'!$G:$G), 692.90)</f>
        <v/>
      </c>
      <c r="H1261" s="9">
        <f>IFERROR(XLOOKUP(E1261, '04_Products'!$A:$A, '04_Products'!$F:$F), 0)</f>
        <v/>
      </c>
      <c r="I1261" s="9">
        <f>F1261*G1261</f>
        <v/>
      </c>
      <c r="J1261" s="11" t="n">
        <v>0.15</v>
      </c>
      <c r="K1261" s="9">
        <f>I1261*J1261</f>
        <v/>
      </c>
      <c r="L1261" s="9">
        <f>I1261-K1261</f>
        <v/>
      </c>
      <c r="M1261" s="9">
        <f>F1261*H1261</f>
        <v/>
      </c>
      <c r="N1261" s="9">
        <f>L1261-M1261</f>
        <v/>
      </c>
      <c r="O1261" s="11">
        <f>IFERROR(N1261/L1261, 0)</f>
        <v/>
      </c>
      <c r="P1261" s="8">
        <f>YEAR(C1261)</f>
        <v/>
      </c>
      <c r="Q1261" s="8">
        <f>TEXT(C1261, "yyyy-mm")</f>
        <v/>
      </c>
      <c r="R1261" s="8" t="inlineStr">
        <is>
          <t>Direct Web</t>
        </is>
      </c>
      <c r="S1261" s="8" t="inlineStr">
        <is>
          <t>REG-NA</t>
        </is>
      </c>
    </row>
    <row r="1262">
      <c r="A1262" s="8" t="inlineStr">
        <is>
          <t>DTL-0001275</t>
        </is>
      </c>
      <c r="B1262" s="8" t="inlineStr">
        <is>
          <t>ORD-000630</t>
        </is>
      </c>
      <c r="C1262" s="10" t="inlineStr">
        <is>
          <t>2024-10-16</t>
        </is>
      </c>
      <c r="D1262" s="8" t="inlineStr">
        <is>
          <t>CUST-05160</t>
        </is>
      </c>
      <c r="E1262" s="8" t="inlineStr">
        <is>
          <t>PRD-0487</t>
        </is>
      </c>
      <c r="F1262" s="8" t="n">
        <v>1</v>
      </c>
      <c r="G1262" s="9">
        <f>IFERROR(XLOOKUP(E1262, '04_Products'!$A:$A, '04_Products'!$G:$G), 183.38)</f>
        <v/>
      </c>
      <c r="H1262" s="9">
        <f>IFERROR(XLOOKUP(E1262, '04_Products'!$A:$A, '04_Products'!$F:$F), 0)</f>
        <v/>
      </c>
      <c r="I1262" s="9">
        <f>F1262*G1262</f>
        <v/>
      </c>
      <c r="J1262" s="11" t="n">
        <v>0.1</v>
      </c>
      <c r="K1262" s="9">
        <f>I1262*J1262</f>
        <v/>
      </c>
      <c r="L1262" s="9">
        <f>I1262-K1262</f>
        <v/>
      </c>
      <c r="M1262" s="9">
        <f>F1262*H1262</f>
        <v/>
      </c>
      <c r="N1262" s="9">
        <f>L1262-M1262</f>
        <v/>
      </c>
      <c r="O1262" s="11">
        <f>IFERROR(N1262/L1262, 0)</f>
        <v/>
      </c>
      <c r="P1262" s="8">
        <f>YEAR(C1262)</f>
        <v/>
      </c>
      <c r="Q1262" s="8">
        <f>TEXT(C1262, "yyyy-mm")</f>
        <v/>
      </c>
      <c r="R1262" s="8" t="inlineStr">
        <is>
          <t>Direct Web</t>
        </is>
      </c>
      <c r="S1262" s="8" t="inlineStr">
        <is>
          <t>REG-NA</t>
        </is>
      </c>
    </row>
    <row r="1263">
      <c r="A1263" s="8" t="inlineStr">
        <is>
          <t>DTL-0001276</t>
        </is>
      </c>
      <c r="B1263" s="8" t="inlineStr">
        <is>
          <t>ORD-000631</t>
        </is>
      </c>
      <c r="C1263" s="10" t="inlineStr">
        <is>
          <t>2023-10-26</t>
        </is>
      </c>
      <c r="D1263" s="8" t="inlineStr">
        <is>
          <t>CUST-01576</t>
        </is>
      </c>
      <c r="E1263" s="8" t="inlineStr">
        <is>
          <t>PRD-0379</t>
        </is>
      </c>
      <c r="F1263" s="8" t="n">
        <v>4</v>
      </c>
      <c r="G1263" s="9">
        <f>IFERROR(XLOOKUP(E1263, '04_Products'!$A:$A, '04_Products'!$G:$G), 626.40)</f>
        <v/>
      </c>
      <c r="H1263" s="9">
        <f>IFERROR(XLOOKUP(E1263, '04_Products'!$A:$A, '04_Products'!$F:$F), 0)</f>
        <v/>
      </c>
      <c r="I1263" s="9">
        <f>F1263*G1263</f>
        <v/>
      </c>
      <c r="J1263" s="11" t="n">
        <v>0.25</v>
      </c>
      <c r="K1263" s="9">
        <f>I1263*J1263</f>
        <v/>
      </c>
      <c r="L1263" s="9">
        <f>I1263-K1263</f>
        <v/>
      </c>
      <c r="M1263" s="9">
        <f>F1263*H1263</f>
        <v/>
      </c>
      <c r="N1263" s="9">
        <f>L1263-M1263</f>
        <v/>
      </c>
      <c r="O1263" s="11">
        <f>IFERROR(N1263/L1263, 0)</f>
        <v/>
      </c>
      <c r="P1263" s="8">
        <f>YEAR(C1263)</f>
        <v/>
      </c>
      <c r="Q1263" s="8">
        <f>TEXT(C1263, "yyyy-mm")</f>
        <v/>
      </c>
      <c r="R1263" s="8" t="inlineStr">
        <is>
          <t>Direct Web</t>
        </is>
      </c>
      <c r="S1263" s="8" t="inlineStr">
        <is>
          <t>REG-NA</t>
        </is>
      </c>
    </row>
    <row r="1264">
      <c r="A1264" s="8" t="inlineStr">
        <is>
          <t>DTL-0001277</t>
        </is>
      </c>
      <c r="B1264" s="8" t="inlineStr">
        <is>
          <t>ORD-000631</t>
        </is>
      </c>
      <c r="C1264" s="10" t="inlineStr">
        <is>
          <t>2023-10-26</t>
        </is>
      </c>
      <c r="D1264" s="8" t="inlineStr">
        <is>
          <t>CUST-01576</t>
        </is>
      </c>
      <c r="E1264" s="8" t="inlineStr">
        <is>
          <t>PRD-0260</t>
        </is>
      </c>
      <c r="F1264" s="8" t="n">
        <v>1</v>
      </c>
      <c r="G1264" s="9">
        <f>IFERROR(XLOOKUP(E1264, '04_Products'!$A:$A, '04_Products'!$G:$G), 13.65)</f>
        <v/>
      </c>
      <c r="H1264" s="9">
        <f>IFERROR(XLOOKUP(E1264, '04_Products'!$A:$A, '04_Products'!$F:$F), 0)</f>
        <v/>
      </c>
      <c r="I1264" s="9">
        <f>F1264*G1264</f>
        <v/>
      </c>
      <c r="J1264" s="11" t="n">
        <v>0.05</v>
      </c>
      <c r="K1264" s="9">
        <f>I1264*J1264</f>
        <v/>
      </c>
      <c r="L1264" s="9">
        <f>I1264-K1264</f>
        <v/>
      </c>
      <c r="M1264" s="9">
        <f>F1264*H1264</f>
        <v/>
      </c>
      <c r="N1264" s="9">
        <f>L1264-M1264</f>
        <v/>
      </c>
      <c r="O1264" s="11">
        <f>IFERROR(N1264/L1264, 0)</f>
        <v/>
      </c>
      <c r="P1264" s="8">
        <f>YEAR(C1264)</f>
        <v/>
      </c>
      <c r="Q1264" s="8">
        <f>TEXT(C1264, "yyyy-mm")</f>
        <v/>
      </c>
      <c r="R1264" s="8" t="inlineStr">
        <is>
          <t>Direct Web</t>
        </is>
      </c>
      <c r="S1264" s="8" t="inlineStr">
        <is>
          <t>REG-NA</t>
        </is>
      </c>
    </row>
    <row r="1265">
      <c r="A1265" s="8" t="inlineStr">
        <is>
          <t>DTL-0001278</t>
        </is>
      </c>
      <c r="B1265" s="8" t="inlineStr">
        <is>
          <t>ORD-000632</t>
        </is>
      </c>
      <c r="C1265" s="10" t="inlineStr">
        <is>
          <t>2024-05-18</t>
        </is>
      </c>
      <c r="D1265" s="8" t="inlineStr">
        <is>
          <t>CUST-00382</t>
        </is>
      </c>
      <c r="E1265" s="8" t="inlineStr">
        <is>
          <t>PRD-0390</t>
        </is>
      </c>
      <c r="F1265" s="8" t="n">
        <v>1</v>
      </c>
      <c r="G1265" s="9">
        <f>IFERROR(XLOOKUP(E1265, '04_Products'!$A:$A, '04_Products'!$G:$G), 260.60)</f>
        <v/>
      </c>
      <c r="H1265" s="9">
        <f>IFERROR(XLOOKUP(E1265, '04_Products'!$A:$A, '04_Products'!$F:$F), 0)</f>
        <v/>
      </c>
      <c r="I1265" s="9">
        <f>F1265*G1265</f>
        <v/>
      </c>
      <c r="J1265" s="11" t="n">
        <v>0</v>
      </c>
      <c r="K1265" s="9">
        <f>I1265*J1265</f>
        <v/>
      </c>
      <c r="L1265" s="9">
        <f>I1265-K1265</f>
        <v/>
      </c>
      <c r="M1265" s="9">
        <f>F1265*H1265</f>
        <v/>
      </c>
      <c r="N1265" s="9">
        <f>L1265-M1265</f>
        <v/>
      </c>
      <c r="O1265" s="11">
        <f>IFERROR(N1265/L1265, 0)</f>
        <v/>
      </c>
      <c r="P1265" s="8">
        <f>YEAR(C1265)</f>
        <v/>
      </c>
      <c r="Q1265" s="8">
        <f>TEXT(C1265, "yyyy-mm")</f>
        <v/>
      </c>
      <c r="R1265" s="8" t="inlineStr">
        <is>
          <t>Direct Web</t>
        </is>
      </c>
      <c r="S1265" s="8" t="inlineStr">
        <is>
          <t>REG-NA</t>
        </is>
      </c>
    </row>
    <row r="1266">
      <c r="A1266" s="8" t="inlineStr">
        <is>
          <t>DTL-0001279</t>
        </is>
      </c>
      <c r="B1266" s="8" t="inlineStr">
        <is>
          <t>ORD-000633</t>
        </is>
      </c>
      <c r="C1266" s="10" t="inlineStr">
        <is>
          <t>2024-09-11</t>
        </is>
      </c>
      <c r="D1266" s="8" t="inlineStr">
        <is>
          <t>CUST-04939</t>
        </is>
      </c>
      <c r="E1266" s="8" t="inlineStr">
        <is>
          <t>PRD-0104</t>
        </is>
      </c>
      <c r="F1266" s="8" t="n">
        <v>1</v>
      </c>
      <c r="G1266" s="9">
        <f>IFERROR(XLOOKUP(E1266, '04_Products'!$A:$A, '04_Products'!$G:$G), 17.28)</f>
        <v/>
      </c>
      <c r="H1266" s="9">
        <f>IFERROR(XLOOKUP(E1266, '04_Products'!$A:$A, '04_Products'!$F:$F), 0)</f>
        <v/>
      </c>
      <c r="I1266" s="9">
        <f>F1266*G1266</f>
        <v/>
      </c>
      <c r="J1266" s="11" t="n">
        <v>0</v>
      </c>
      <c r="K1266" s="9">
        <f>I1266*J1266</f>
        <v/>
      </c>
      <c r="L1266" s="9">
        <f>I1266-K1266</f>
        <v/>
      </c>
      <c r="M1266" s="9">
        <f>F1266*H1266</f>
        <v/>
      </c>
      <c r="N1266" s="9">
        <f>L1266-M1266</f>
        <v/>
      </c>
      <c r="O1266" s="11">
        <f>IFERROR(N1266/L1266, 0)</f>
        <v/>
      </c>
      <c r="P1266" s="8">
        <f>YEAR(C1266)</f>
        <v/>
      </c>
      <c r="Q1266" s="8">
        <f>TEXT(C1266, "yyyy-mm")</f>
        <v/>
      </c>
      <c r="R1266" s="8" t="inlineStr">
        <is>
          <t>B2B Portal</t>
        </is>
      </c>
      <c r="S1266" s="8" t="inlineStr">
        <is>
          <t>REG-EU</t>
        </is>
      </c>
    </row>
    <row r="1267">
      <c r="A1267" s="8" t="inlineStr">
        <is>
          <t>DTL-0001280</t>
        </is>
      </c>
      <c r="B1267" s="8" t="inlineStr">
        <is>
          <t>ORD-000633</t>
        </is>
      </c>
      <c r="C1267" s="10" t="inlineStr">
        <is>
          <t>2024-09-11</t>
        </is>
      </c>
      <c r="D1267" s="8" t="inlineStr">
        <is>
          <t>CUST-04939</t>
        </is>
      </c>
      <c r="E1267" s="8" t="inlineStr">
        <is>
          <t>PRD-0043</t>
        </is>
      </c>
      <c r="F1267" s="8" t="n">
        <v>1</v>
      </c>
      <c r="G1267" s="9">
        <f>IFERROR(XLOOKUP(E1267, '04_Products'!$A:$A, '04_Products'!$G:$G), 174.44)</f>
        <v/>
      </c>
      <c r="H1267" s="9">
        <f>IFERROR(XLOOKUP(E1267, '04_Products'!$A:$A, '04_Products'!$F:$F), 0)</f>
        <v/>
      </c>
      <c r="I1267" s="9">
        <f>F1267*G1267</f>
        <v/>
      </c>
      <c r="J1267" s="11" t="n">
        <v>0.05</v>
      </c>
      <c r="K1267" s="9">
        <f>I1267*J1267</f>
        <v/>
      </c>
      <c r="L1267" s="9">
        <f>I1267-K1267</f>
        <v/>
      </c>
      <c r="M1267" s="9">
        <f>F1267*H1267</f>
        <v/>
      </c>
      <c r="N1267" s="9">
        <f>L1267-M1267</f>
        <v/>
      </c>
      <c r="O1267" s="11">
        <f>IFERROR(N1267/L1267, 0)</f>
        <v/>
      </c>
      <c r="P1267" s="8">
        <f>YEAR(C1267)</f>
        <v/>
      </c>
      <c r="Q1267" s="8">
        <f>TEXT(C1267, "yyyy-mm")</f>
        <v/>
      </c>
      <c r="R1267" s="8" t="inlineStr">
        <is>
          <t>B2B Portal</t>
        </is>
      </c>
      <c r="S1267" s="8" t="inlineStr">
        <is>
          <t>REG-EU</t>
        </is>
      </c>
    </row>
    <row r="1268">
      <c r="A1268" s="8" t="inlineStr">
        <is>
          <t>DTL-0001281</t>
        </is>
      </c>
      <c r="B1268" s="8" t="inlineStr">
        <is>
          <t>ORD-000633</t>
        </is>
      </c>
      <c r="C1268" s="10" t="inlineStr">
        <is>
          <t>2024-09-11</t>
        </is>
      </c>
      <c r="D1268" s="8" t="inlineStr">
        <is>
          <t>CUST-04939</t>
        </is>
      </c>
      <c r="E1268" s="8" t="inlineStr">
        <is>
          <t>PRD-0371</t>
        </is>
      </c>
      <c r="F1268" s="8" t="n">
        <v>1</v>
      </c>
      <c r="G1268" s="9">
        <f>IFERROR(XLOOKUP(E1268, '04_Products'!$A:$A, '04_Products'!$G:$G), 41.78)</f>
        <v/>
      </c>
      <c r="H1268" s="9">
        <f>IFERROR(XLOOKUP(E1268, '04_Products'!$A:$A, '04_Products'!$F:$F), 0)</f>
        <v/>
      </c>
      <c r="I1268" s="9">
        <f>F1268*G1268</f>
        <v/>
      </c>
      <c r="J1268" s="11" t="n">
        <v>0.1</v>
      </c>
      <c r="K1268" s="9">
        <f>I1268*J1268</f>
        <v/>
      </c>
      <c r="L1268" s="9">
        <f>I1268-K1268</f>
        <v/>
      </c>
      <c r="M1268" s="9">
        <f>F1268*H1268</f>
        <v/>
      </c>
      <c r="N1268" s="9">
        <f>L1268-M1268</f>
        <v/>
      </c>
      <c r="O1268" s="11">
        <f>IFERROR(N1268/L1268, 0)</f>
        <v/>
      </c>
      <c r="P1268" s="8">
        <f>YEAR(C1268)</f>
        <v/>
      </c>
      <c r="Q1268" s="8">
        <f>TEXT(C1268, "yyyy-mm")</f>
        <v/>
      </c>
      <c r="R1268" s="8" t="inlineStr">
        <is>
          <t>B2B Portal</t>
        </is>
      </c>
      <c r="S1268" s="8" t="inlineStr">
        <is>
          <t>REG-EU</t>
        </is>
      </c>
    </row>
    <row r="1269">
      <c r="A1269" s="8" t="inlineStr">
        <is>
          <t>DTL-0001282</t>
        </is>
      </c>
      <c r="B1269" s="8" t="inlineStr">
        <is>
          <t>ORD-000633</t>
        </is>
      </c>
      <c r="C1269" s="10" t="inlineStr">
        <is>
          <t>2024-09-11</t>
        </is>
      </c>
      <c r="D1269" s="8" t="inlineStr">
        <is>
          <t>CUST-04939</t>
        </is>
      </c>
      <c r="E1269" s="8" t="inlineStr">
        <is>
          <t>PRD-0238</t>
        </is>
      </c>
      <c r="F1269" s="8" t="n">
        <v>1</v>
      </c>
      <c r="G1269" s="9">
        <f>IFERROR(XLOOKUP(E1269, '04_Products'!$A:$A, '04_Products'!$G:$G), 88.50)</f>
        <v/>
      </c>
      <c r="H1269" s="9">
        <f>IFERROR(XLOOKUP(E1269, '04_Products'!$A:$A, '04_Products'!$F:$F), 0)</f>
        <v/>
      </c>
      <c r="I1269" s="9">
        <f>F1269*G1269</f>
        <v/>
      </c>
      <c r="J1269" s="11" t="n">
        <v>0.2</v>
      </c>
      <c r="K1269" s="9">
        <f>I1269*J1269</f>
        <v/>
      </c>
      <c r="L1269" s="9">
        <f>I1269-K1269</f>
        <v/>
      </c>
      <c r="M1269" s="9">
        <f>F1269*H1269</f>
        <v/>
      </c>
      <c r="N1269" s="9">
        <f>L1269-M1269</f>
        <v/>
      </c>
      <c r="O1269" s="11">
        <f>IFERROR(N1269/L1269, 0)</f>
        <v/>
      </c>
      <c r="P1269" s="8">
        <f>YEAR(C1269)</f>
        <v/>
      </c>
      <c r="Q1269" s="8">
        <f>TEXT(C1269, "yyyy-mm")</f>
        <v/>
      </c>
      <c r="R1269" s="8" t="inlineStr">
        <is>
          <t>B2B Portal</t>
        </is>
      </c>
      <c r="S1269" s="8" t="inlineStr">
        <is>
          <t>REG-EU</t>
        </is>
      </c>
    </row>
    <row r="1270">
      <c r="A1270" s="8" t="inlineStr">
        <is>
          <t>DTL-0001283</t>
        </is>
      </c>
      <c r="B1270" s="8" t="inlineStr">
        <is>
          <t>ORD-000633</t>
        </is>
      </c>
      <c r="C1270" s="10" t="inlineStr">
        <is>
          <t>2024-09-11</t>
        </is>
      </c>
      <c r="D1270" s="8" t="inlineStr">
        <is>
          <t>CUST-04939</t>
        </is>
      </c>
      <c r="E1270" s="8" t="inlineStr">
        <is>
          <t>PRD-0038</t>
        </is>
      </c>
      <c r="F1270" s="8" t="n">
        <v>1</v>
      </c>
      <c r="G1270" s="9">
        <f>IFERROR(XLOOKUP(E1270, '04_Products'!$A:$A, '04_Products'!$G:$G), 220.46)</f>
        <v/>
      </c>
      <c r="H1270" s="9">
        <f>IFERROR(XLOOKUP(E1270, '04_Products'!$A:$A, '04_Products'!$F:$F), 0)</f>
        <v/>
      </c>
      <c r="I1270" s="9">
        <f>F1270*G1270</f>
        <v/>
      </c>
      <c r="J1270" s="11" t="n">
        <v>0.05</v>
      </c>
      <c r="K1270" s="9">
        <f>I1270*J1270</f>
        <v/>
      </c>
      <c r="L1270" s="9">
        <f>I1270-K1270</f>
        <v/>
      </c>
      <c r="M1270" s="9">
        <f>F1270*H1270</f>
        <v/>
      </c>
      <c r="N1270" s="9">
        <f>L1270-M1270</f>
        <v/>
      </c>
      <c r="O1270" s="11">
        <f>IFERROR(N1270/L1270, 0)</f>
        <v/>
      </c>
      <c r="P1270" s="8">
        <f>YEAR(C1270)</f>
        <v/>
      </c>
      <c r="Q1270" s="8">
        <f>TEXT(C1270, "yyyy-mm")</f>
        <v/>
      </c>
      <c r="R1270" s="8" t="inlineStr">
        <is>
          <t>B2B Portal</t>
        </is>
      </c>
      <c r="S1270" s="8" t="inlineStr">
        <is>
          <t>REG-EU</t>
        </is>
      </c>
    </row>
    <row r="1271">
      <c r="A1271" s="8" t="inlineStr">
        <is>
          <t>DTL-0001284</t>
        </is>
      </c>
      <c r="B1271" s="8" t="inlineStr">
        <is>
          <t>ORD-000634</t>
        </is>
      </c>
      <c r="C1271" s="10" t="inlineStr">
        <is>
          <t>2025-05-21</t>
        </is>
      </c>
      <c r="D1271" s="8" t="inlineStr">
        <is>
          <t>CUST-00835</t>
        </is>
      </c>
      <c r="E1271" s="8" t="inlineStr">
        <is>
          <t>PRD-0380</t>
        </is>
      </c>
      <c r="F1271" s="8" t="n">
        <v>8</v>
      </c>
      <c r="G1271" s="9">
        <f>IFERROR(XLOOKUP(E1271, '04_Products'!$A:$A, '04_Products'!$G:$G), 141.11)</f>
        <v/>
      </c>
      <c r="H1271" s="9">
        <f>IFERROR(XLOOKUP(E1271, '04_Products'!$A:$A, '04_Products'!$F:$F), 0)</f>
        <v/>
      </c>
      <c r="I1271" s="9">
        <f>F1271*G1271</f>
        <v/>
      </c>
      <c r="J1271" s="11" t="n">
        <v>0.15</v>
      </c>
      <c r="K1271" s="9">
        <f>I1271*J1271</f>
        <v/>
      </c>
      <c r="L1271" s="9">
        <f>I1271-K1271</f>
        <v/>
      </c>
      <c r="M1271" s="9">
        <f>F1271*H1271</f>
        <v/>
      </c>
      <c r="N1271" s="9">
        <f>L1271-M1271</f>
        <v/>
      </c>
      <c r="O1271" s="11">
        <f>IFERROR(N1271/L1271, 0)</f>
        <v/>
      </c>
      <c r="P1271" s="8">
        <f>YEAR(C1271)</f>
        <v/>
      </c>
      <c r="Q1271" s="8">
        <f>TEXT(C1271, "yyyy-mm")</f>
        <v/>
      </c>
      <c r="R1271" s="8" t="inlineStr">
        <is>
          <t>Mobile App</t>
        </is>
      </c>
      <c r="S1271" s="8" t="inlineStr">
        <is>
          <t>REG-EU</t>
        </is>
      </c>
    </row>
    <row r="1272">
      <c r="A1272" s="8" t="inlineStr">
        <is>
          <t>DTL-0001285</t>
        </is>
      </c>
      <c r="B1272" s="8" t="inlineStr">
        <is>
          <t>ORD-000634</t>
        </is>
      </c>
      <c r="C1272" s="10" t="inlineStr">
        <is>
          <t>2025-05-21</t>
        </is>
      </c>
      <c r="D1272" s="8" t="inlineStr">
        <is>
          <t>CUST-00835</t>
        </is>
      </c>
      <c r="E1272" s="8" t="inlineStr">
        <is>
          <t>PRD-0367</t>
        </is>
      </c>
      <c r="F1272" s="8" t="n">
        <v>1</v>
      </c>
      <c r="G1272" s="9">
        <f>IFERROR(XLOOKUP(E1272, '04_Products'!$A:$A, '04_Products'!$G:$G), 68.37)</f>
        <v/>
      </c>
      <c r="H1272" s="9">
        <f>IFERROR(XLOOKUP(E1272, '04_Products'!$A:$A, '04_Products'!$F:$F), 0)</f>
        <v/>
      </c>
      <c r="I1272" s="9">
        <f>F1272*G1272</f>
        <v/>
      </c>
      <c r="J1272" s="11" t="n">
        <v>0</v>
      </c>
      <c r="K1272" s="9">
        <f>I1272*J1272</f>
        <v/>
      </c>
      <c r="L1272" s="9">
        <f>I1272-K1272</f>
        <v/>
      </c>
      <c r="M1272" s="9">
        <f>F1272*H1272</f>
        <v/>
      </c>
      <c r="N1272" s="9">
        <f>L1272-M1272</f>
        <v/>
      </c>
      <c r="O1272" s="11">
        <f>IFERROR(N1272/L1272, 0)</f>
        <v/>
      </c>
      <c r="P1272" s="8">
        <f>YEAR(C1272)</f>
        <v/>
      </c>
      <c r="Q1272" s="8">
        <f>TEXT(C1272, "yyyy-mm")</f>
        <v/>
      </c>
      <c r="R1272" s="8" t="inlineStr">
        <is>
          <t>Mobile App</t>
        </is>
      </c>
      <c r="S1272" s="8" t="inlineStr">
        <is>
          <t>REG-EU</t>
        </is>
      </c>
    </row>
    <row r="1273">
      <c r="A1273" s="8" t="inlineStr">
        <is>
          <t>DTL-0001286</t>
        </is>
      </c>
      <c r="B1273" s="8" t="inlineStr">
        <is>
          <t>ORD-000635</t>
        </is>
      </c>
      <c r="C1273" s="10" t="inlineStr">
        <is>
          <t>2023-05-05</t>
        </is>
      </c>
      <c r="D1273" s="8" t="inlineStr">
        <is>
          <t>CUST-04293</t>
        </is>
      </c>
      <c r="E1273" s="8" t="inlineStr">
        <is>
          <t>PRD-0309</t>
        </is>
      </c>
      <c r="F1273" s="8" t="n">
        <v>2</v>
      </c>
      <c r="G1273" s="9">
        <f>IFERROR(XLOOKUP(E1273, '04_Products'!$A:$A, '04_Products'!$G:$G), 632.18)</f>
        <v/>
      </c>
      <c r="H1273" s="9">
        <f>IFERROR(XLOOKUP(E1273, '04_Products'!$A:$A, '04_Products'!$F:$F), 0)</f>
        <v/>
      </c>
      <c r="I1273" s="9">
        <f>F1273*G1273</f>
        <v/>
      </c>
      <c r="J1273" s="11" t="n">
        <v>0.3</v>
      </c>
      <c r="K1273" s="9">
        <f>I1273*J1273</f>
        <v/>
      </c>
      <c r="L1273" s="9">
        <f>I1273-K1273</f>
        <v/>
      </c>
      <c r="M1273" s="9">
        <f>F1273*H1273</f>
        <v/>
      </c>
      <c r="N1273" s="9">
        <f>L1273-M1273</f>
        <v/>
      </c>
      <c r="O1273" s="11">
        <f>IFERROR(N1273/L1273, 0)</f>
        <v/>
      </c>
      <c r="P1273" s="8">
        <f>YEAR(C1273)</f>
        <v/>
      </c>
      <c r="Q1273" s="8">
        <f>TEXT(C1273, "yyyy-mm")</f>
        <v/>
      </c>
      <c r="R1273" s="8" t="inlineStr">
        <is>
          <t>Mobile App</t>
        </is>
      </c>
      <c r="S1273" s="8" t="inlineStr">
        <is>
          <t>REG-LATAM</t>
        </is>
      </c>
    </row>
    <row r="1274">
      <c r="A1274" s="8" t="inlineStr">
        <is>
          <t>DTL-0001287</t>
        </is>
      </c>
      <c r="B1274" s="8" t="inlineStr">
        <is>
          <t>ORD-000636</t>
        </is>
      </c>
      <c r="C1274" s="10" t="inlineStr">
        <is>
          <t>2025-12-14</t>
        </is>
      </c>
      <c r="D1274" s="8" t="inlineStr">
        <is>
          <t>CUST-04138</t>
        </is>
      </c>
      <c r="E1274" s="8" t="inlineStr">
        <is>
          <t>PRD-0035</t>
        </is>
      </c>
      <c r="F1274" s="8" t="n">
        <v>1</v>
      </c>
      <c r="G1274" s="9">
        <f>IFERROR(XLOOKUP(E1274, '04_Products'!$A:$A, '04_Products'!$G:$G), 584.68)</f>
        <v/>
      </c>
      <c r="H1274" s="9">
        <f>IFERROR(XLOOKUP(E1274, '04_Products'!$A:$A, '04_Products'!$F:$F), 0)</f>
        <v/>
      </c>
      <c r="I1274" s="9">
        <f>F1274*G1274</f>
        <v/>
      </c>
      <c r="J1274" s="11" t="n">
        <v>0</v>
      </c>
      <c r="K1274" s="9">
        <f>I1274*J1274</f>
        <v/>
      </c>
      <c r="L1274" s="9">
        <f>I1274-K1274</f>
        <v/>
      </c>
      <c r="M1274" s="9">
        <f>F1274*H1274</f>
        <v/>
      </c>
      <c r="N1274" s="9">
        <f>L1274-M1274</f>
        <v/>
      </c>
      <c r="O1274" s="11">
        <f>IFERROR(N1274/L1274, 0)</f>
        <v/>
      </c>
      <c r="P1274" s="8">
        <f>YEAR(C1274)</f>
        <v/>
      </c>
      <c r="Q1274" s="8">
        <f>TEXT(C1274, "yyyy-mm")</f>
        <v/>
      </c>
      <c r="R1274" s="8" t="inlineStr">
        <is>
          <t>Mobile App</t>
        </is>
      </c>
      <c r="S1274" s="8" t="inlineStr">
        <is>
          <t>REG-APAC</t>
        </is>
      </c>
    </row>
    <row r="1275">
      <c r="A1275" s="8" t="inlineStr">
        <is>
          <t>DTL-0001288</t>
        </is>
      </c>
      <c r="B1275" s="8" t="inlineStr">
        <is>
          <t>ORD-000636</t>
        </is>
      </c>
      <c r="C1275" s="10" t="inlineStr">
        <is>
          <t>2025-12-14</t>
        </is>
      </c>
      <c r="D1275" s="8" t="inlineStr">
        <is>
          <t>CUST-04138</t>
        </is>
      </c>
      <c r="E1275" s="8" t="inlineStr">
        <is>
          <t>PRD-0408</t>
        </is>
      </c>
      <c r="F1275" s="8" t="n">
        <v>5</v>
      </c>
      <c r="G1275" s="9">
        <f>IFERROR(XLOOKUP(E1275, '04_Products'!$A:$A, '04_Products'!$G:$G), 117.01)</f>
        <v/>
      </c>
      <c r="H1275" s="9">
        <f>IFERROR(XLOOKUP(E1275, '04_Products'!$A:$A, '04_Products'!$F:$F), 0)</f>
        <v/>
      </c>
      <c r="I1275" s="9">
        <f>F1275*G1275</f>
        <v/>
      </c>
      <c r="J1275" s="11" t="n">
        <v>0</v>
      </c>
      <c r="K1275" s="9">
        <f>I1275*J1275</f>
        <v/>
      </c>
      <c r="L1275" s="9">
        <f>I1275-K1275</f>
        <v/>
      </c>
      <c r="M1275" s="9">
        <f>F1275*H1275</f>
        <v/>
      </c>
      <c r="N1275" s="9">
        <f>L1275-M1275</f>
        <v/>
      </c>
      <c r="O1275" s="11">
        <f>IFERROR(N1275/L1275, 0)</f>
        <v/>
      </c>
      <c r="P1275" s="8">
        <f>YEAR(C1275)</f>
        <v/>
      </c>
      <c r="Q1275" s="8">
        <f>TEXT(C1275, "yyyy-mm")</f>
        <v/>
      </c>
      <c r="R1275" s="8" t="inlineStr">
        <is>
          <t>Mobile App</t>
        </is>
      </c>
      <c r="S1275" s="8" t="inlineStr">
        <is>
          <t>REG-APAC</t>
        </is>
      </c>
    </row>
    <row r="1276">
      <c r="A1276" s="8" t="inlineStr">
        <is>
          <t>DTL-0001289</t>
        </is>
      </c>
      <c r="B1276" s="8" t="inlineStr">
        <is>
          <t>ORD-000637</t>
        </is>
      </c>
      <c r="C1276" s="10" t="inlineStr">
        <is>
          <t>2025-07-13</t>
        </is>
      </c>
      <c r="D1276" s="8" t="inlineStr">
        <is>
          <t>CUST-03907</t>
        </is>
      </c>
      <c r="E1276" s="8" t="inlineStr">
        <is>
          <t>PRD-0275</t>
        </is>
      </c>
      <c r="F1276" s="8" t="n">
        <v>1</v>
      </c>
      <c r="G1276" s="9">
        <f>IFERROR(XLOOKUP(E1276, '04_Products'!$A:$A, '04_Products'!$G:$G), 786.53)</f>
        <v/>
      </c>
      <c r="H1276" s="9">
        <f>IFERROR(XLOOKUP(E1276, '04_Products'!$A:$A, '04_Products'!$F:$F), 0)</f>
        <v/>
      </c>
      <c r="I1276" s="9">
        <f>F1276*G1276</f>
        <v/>
      </c>
      <c r="J1276" s="11" t="n">
        <v>0.25</v>
      </c>
      <c r="K1276" s="9">
        <f>I1276*J1276</f>
        <v/>
      </c>
      <c r="L1276" s="9">
        <f>I1276-K1276</f>
        <v/>
      </c>
      <c r="M1276" s="9">
        <f>F1276*H1276</f>
        <v/>
      </c>
      <c r="N1276" s="9">
        <f>L1276-M1276</f>
        <v/>
      </c>
      <c r="O1276" s="11">
        <f>IFERROR(N1276/L1276, 0)</f>
        <v/>
      </c>
      <c r="P1276" s="8">
        <f>YEAR(C1276)</f>
        <v/>
      </c>
      <c r="Q1276" s="8">
        <f>TEXT(C1276, "yyyy-mm")</f>
        <v/>
      </c>
      <c r="R1276" s="8" t="inlineStr">
        <is>
          <t>Mobile App</t>
        </is>
      </c>
      <c r="S1276" s="8" t="inlineStr">
        <is>
          <t>REG-EU</t>
        </is>
      </c>
    </row>
    <row r="1277">
      <c r="A1277" s="8" t="inlineStr">
        <is>
          <t>DTL-0001290</t>
        </is>
      </c>
      <c r="B1277" s="8" t="inlineStr">
        <is>
          <t>ORD-000638</t>
        </is>
      </c>
      <c r="C1277" s="10" t="inlineStr">
        <is>
          <t>2023-12-14</t>
        </is>
      </c>
      <c r="D1277" s="8" t="inlineStr">
        <is>
          <t>CUST-01191</t>
        </is>
      </c>
      <c r="E1277" s="8" t="inlineStr">
        <is>
          <t>PRD-0451</t>
        </is>
      </c>
      <c r="F1277" s="8" t="n">
        <v>1</v>
      </c>
      <c r="G1277" s="9">
        <f>IFERROR(XLOOKUP(E1277, '04_Products'!$A:$A, '04_Products'!$G:$G), 664.94)</f>
        <v/>
      </c>
      <c r="H1277" s="9">
        <f>IFERROR(XLOOKUP(E1277, '04_Products'!$A:$A, '04_Products'!$F:$F), 0)</f>
        <v/>
      </c>
      <c r="I1277" s="9">
        <f>F1277*G1277</f>
        <v/>
      </c>
      <c r="J1277" s="11" t="n">
        <v>0.2</v>
      </c>
      <c r="K1277" s="9">
        <f>I1277*J1277</f>
        <v/>
      </c>
      <c r="L1277" s="9">
        <f>I1277-K1277</f>
        <v/>
      </c>
      <c r="M1277" s="9">
        <f>F1277*H1277</f>
        <v/>
      </c>
      <c r="N1277" s="9">
        <f>L1277-M1277</f>
        <v/>
      </c>
      <c r="O1277" s="11">
        <f>IFERROR(N1277/L1277, 0)</f>
        <v/>
      </c>
      <c r="P1277" s="8">
        <f>YEAR(C1277)</f>
        <v/>
      </c>
      <c r="Q1277" s="8">
        <f>TEXT(C1277, "yyyy-mm")</f>
        <v/>
      </c>
      <c r="R1277" s="8" t="inlineStr">
        <is>
          <t>Mobile App</t>
        </is>
      </c>
      <c r="S1277" s="8" t="inlineStr">
        <is>
          <t>REG-NA</t>
        </is>
      </c>
    </row>
    <row r="1278">
      <c r="A1278" s="8" t="inlineStr">
        <is>
          <t>DTL-0001291</t>
        </is>
      </c>
      <c r="B1278" s="8" t="inlineStr">
        <is>
          <t>ORD-000638</t>
        </is>
      </c>
      <c r="C1278" s="10" t="inlineStr">
        <is>
          <t>2023-12-14</t>
        </is>
      </c>
      <c r="D1278" s="8" t="inlineStr">
        <is>
          <t>CUST-01191</t>
        </is>
      </c>
      <c r="E1278" s="8" t="inlineStr">
        <is>
          <t>PRD-0102</t>
        </is>
      </c>
      <c r="F1278" s="8" t="n">
        <v>3</v>
      </c>
      <c r="G1278" s="9">
        <f>IFERROR(XLOOKUP(E1278, '04_Products'!$A:$A, '04_Products'!$G:$G), 933.64)</f>
        <v/>
      </c>
      <c r="H1278" s="9">
        <f>IFERROR(XLOOKUP(E1278, '04_Products'!$A:$A, '04_Products'!$F:$F), 0)</f>
        <v/>
      </c>
      <c r="I1278" s="9">
        <f>F1278*G1278</f>
        <v/>
      </c>
      <c r="J1278" s="11" t="n">
        <v>0.05</v>
      </c>
      <c r="K1278" s="9">
        <f>I1278*J1278</f>
        <v/>
      </c>
      <c r="L1278" s="9">
        <f>I1278-K1278</f>
        <v/>
      </c>
      <c r="M1278" s="9">
        <f>F1278*H1278</f>
        <v/>
      </c>
      <c r="N1278" s="9">
        <f>L1278-M1278</f>
        <v/>
      </c>
      <c r="O1278" s="11">
        <f>IFERROR(N1278/L1278, 0)</f>
        <v/>
      </c>
      <c r="P1278" s="8">
        <f>YEAR(C1278)</f>
        <v/>
      </c>
      <c r="Q1278" s="8">
        <f>TEXT(C1278, "yyyy-mm")</f>
        <v/>
      </c>
      <c r="R1278" s="8" t="inlineStr">
        <is>
          <t>Mobile App</t>
        </is>
      </c>
      <c r="S1278" s="8" t="inlineStr">
        <is>
          <t>REG-NA</t>
        </is>
      </c>
    </row>
    <row r="1279">
      <c r="A1279" s="8" t="inlineStr">
        <is>
          <t>DTL-0001295</t>
        </is>
      </c>
      <c r="B1279" s="8" t="inlineStr">
        <is>
          <t>ORD-000640</t>
        </is>
      </c>
      <c r="C1279" s="10" t="inlineStr">
        <is>
          <t>2024-09-11</t>
        </is>
      </c>
      <c r="D1279" s="8" t="inlineStr">
        <is>
          <t>CUST-03870</t>
        </is>
      </c>
      <c r="E1279" s="8" t="inlineStr">
        <is>
          <t>PRD-0055</t>
        </is>
      </c>
      <c r="F1279" s="8" t="n">
        <v>1</v>
      </c>
      <c r="G1279" s="9">
        <f>IFERROR(XLOOKUP(E1279, '04_Products'!$A:$A, '04_Products'!$G:$G), 600.42)</f>
        <v/>
      </c>
      <c r="H1279" s="9">
        <f>IFERROR(XLOOKUP(E1279, '04_Products'!$A:$A, '04_Products'!$F:$F), 0)</f>
        <v/>
      </c>
      <c r="I1279" s="9">
        <f>F1279*G1279</f>
        <v/>
      </c>
      <c r="J1279" s="11" t="n">
        <v>0</v>
      </c>
      <c r="K1279" s="9">
        <f>I1279*J1279</f>
        <v/>
      </c>
      <c r="L1279" s="9">
        <f>I1279-K1279</f>
        <v/>
      </c>
      <c r="M1279" s="9">
        <f>F1279*H1279</f>
        <v/>
      </c>
      <c r="N1279" s="9">
        <f>L1279-M1279</f>
        <v/>
      </c>
      <c r="O1279" s="11">
        <f>IFERROR(N1279/L1279, 0)</f>
        <v/>
      </c>
      <c r="P1279" s="8">
        <f>YEAR(C1279)</f>
        <v/>
      </c>
      <c r="Q1279" s="8">
        <f>TEXT(C1279, "yyyy-mm")</f>
        <v/>
      </c>
      <c r="R1279" s="8" t="inlineStr">
        <is>
          <t>Mobile App</t>
        </is>
      </c>
      <c r="S1279" s="8" t="inlineStr">
        <is>
          <t>REG-EU</t>
        </is>
      </c>
    </row>
    <row r="1280">
      <c r="A1280" s="8" t="inlineStr">
        <is>
          <t>DTL-0001296</t>
        </is>
      </c>
      <c r="B1280" s="8" t="inlineStr">
        <is>
          <t>ORD-000640</t>
        </is>
      </c>
      <c r="C1280" s="10" t="inlineStr">
        <is>
          <t>2024-09-11</t>
        </is>
      </c>
      <c r="D1280" s="8" t="inlineStr">
        <is>
          <t>CUST-03870</t>
        </is>
      </c>
      <c r="E1280" s="8" t="inlineStr">
        <is>
          <t>PRD-0232</t>
        </is>
      </c>
      <c r="F1280" s="8" t="n">
        <v>3</v>
      </c>
      <c r="G1280" s="9">
        <f>IFERROR(XLOOKUP(E1280, '04_Products'!$A:$A, '04_Products'!$G:$G), 192.08)</f>
        <v/>
      </c>
      <c r="H1280" s="9">
        <f>IFERROR(XLOOKUP(E1280, '04_Products'!$A:$A, '04_Products'!$F:$F), 0)</f>
        <v/>
      </c>
      <c r="I1280" s="9">
        <f>F1280*G1280</f>
        <v/>
      </c>
      <c r="J1280" s="11" t="n">
        <v>0.05</v>
      </c>
      <c r="K1280" s="9">
        <f>I1280*J1280</f>
        <v/>
      </c>
      <c r="L1280" s="9">
        <f>I1280-K1280</f>
        <v/>
      </c>
      <c r="M1280" s="9">
        <f>F1280*H1280</f>
        <v/>
      </c>
      <c r="N1280" s="9">
        <f>L1280-M1280</f>
        <v/>
      </c>
      <c r="O1280" s="11">
        <f>IFERROR(N1280/L1280, 0)</f>
        <v/>
      </c>
      <c r="P1280" s="8">
        <f>YEAR(C1280)</f>
        <v/>
      </c>
      <c r="Q1280" s="8">
        <f>TEXT(C1280, "yyyy-mm")</f>
        <v/>
      </c>
      <c r="R1280" s="8" t="inlineStr">
        <is>
          <t>Mobile App</t>
        </is>
      </c>
      <c r="S1280" s="8" t="inlineStr">
        <is>
          <t>REG-EU</t>
        </is>
      </c>
    </row>
    <row r="1281">
      <c r="A1281" s="8" t="inlineStr">
        <is>
          <t>DTL-0001297</t>
        </is>
      </c>
      <c r="B1281" s="8" t="inlineStr">
        <is>
          <t>ORD-000640</t>
        </is>
      </c>
      <c r="C1281" s="10" t="inlineStr">
        <is>
          <t>2024-09-11</t>
        </is>
      </c>
      <c r="D1281" s="8" t="inlineStr">
        <is>
          <t>CUST-03870</t>
        </is>
      </c>
      <c r="E1281" s="8" t="inlineStr">
        <is>
          <t>PRD-0217</t>
        </is>
      </c>
      <c r="F1281" s="8" t="n">
        <v>1</v>
      </c>
      <c r="G1281" s="9">
        <f>IFERROR(XLOOKUP(E1281, '04_Products'!$A:$A, '04_Products'!$G:$G), 457.08)</f>
        <v/>
      </c>
      <c r="H1281" s="9">
        <f>IFERROR(XLOOKUP(E1281, '04_Products'!$A:$A, '04_Products'!$F:$F), 0)</f>
        <v/>
      </c>
      <c r="I1281" s="9">
        <f>F1281*G1281</f>
        <v/>
      </c>
      <c r="J1281" s="11" t="n">
        <v>0</v>
      </c>
      <c r="K1281" s="9">
        <f>I1281*J1281</f>
        <v/>
      </c>
      <c r="L1281" s="9">
        <f>I1281-K1281</f>
        <v/>
      </c>
      <c r="M1281" s="9">
        <f>F1281*H1281</f>
        <v/>
      </c>
      <c r="N1281" s="9">
        <f>L1281-M1281</f>
        <v/>
      </c>
      <c r="O1281" s="11">
        <f>IFERROR(N1281/L1281, 0)</f>
        <v/>
      </c>
      <c r="P1281" s="8">
        <f>YEAR(C1281)</f>
        <v/>
      </c>
      <c r="Q1281" s="8">
        <f>TEXT(C1281, "yyyy-mm")</f>
        <v/>
      </c>
      <c r="R1281" s="8" t="inlineStr">
        <is>
          <t>Mobile App</t>
        </is>
      </c>
      <c r="S1281" s="8" t="inlineStr">
        <is>
          <t>REG-EU</t>
        </is>
      </c>
    </row>
    <row r="1282">
      <c r="A1282" s="8" t="inlineStr">
        <is>
          <t>DTL-0001298</t>
        </is>
      </c>
      <c r="B1282" s="8" t="inlineStr">
        <is>
          <t>ORD-000641</t>
        </is>
      </c>
      <c r="C1282" s="10" t="inlineStr">
        <is>
          <t>2023-10-30</t>
        </is>
      </c>
      <c r="D1282" s="8" t="inlineStr">
        <is>
          <t>CUST-07598</t>
        </is>
      </c>
      <c r="E1282" s="8" t="inlineStr">
        <is>
          <t>PRD-0484</t>
        </is>
      </c>
      <c r="F1282" s="8" t="n">
        <v>2</v>
      </c>
      <c r="G1282" s="9">
        <f>IFERROR(XLOOKUP(E1282, '04_Products'!$A:$A, '04_Products'!$G:$G), 33.81)</f>
        <v/>
      </c>
      <c r="H1282" s="9">
        <f>IFERROR(XLOOKUP(E1282, '04_Products'!$A:$A, '04_Products'!$F:$F), 0)</f>
        <v/>
      </c>
      <c r="I1282" s="9">
        <f>F1282*G1282</f>
        <v/>
      </c>
      <c r="J1282" s="11" t="n">
        <v>0</v>
      </c>
      <c r="K1282" s="9">
        <f>I1282*J1282</f>
        <v/>
      </c>
      <c r="L1282" s="9">
        <f>I1282-K1282</f>
        <v/>
      </c>
      <c r="M1282" s="9">
        <f>F1282*H1282</f>
        <v/>
      </c>
      <c r="N1282" s="9">
        <f>L1282-M1282</f>
        <v/>
      </c>
      <c r="O1282" s="11">
        <f>IFERROR(N1282/L1282, 0)</f>
        <v/>
      </c>
      <c r="P1282" s="8">
        <f>YEAR(C1282)</f>
        <v/>
      </c>
      <c r="Q1282" s="8">
        <f>TEXT(C1282, "yyyy-mm")</f>
        <v/>
      </c>
      <c r="R1282" s="8" t="inlineStr">
        <is>
          <t>Affiliate Partner</t>
        </is>
      </c>
      <c r="S1282" s="8" t="inlineStr">
        <is>
          <t>REG-LATAM</t>
        </is>
      </c>
    </row>
    <row r="1283">
      <c r="A1283" s="8" t="inlineStr">
        <is>
          <t>DTL-0001299</t>
        </is>
      </c>
      <c r="B1283" s="8" t="inlineStr">
        <is>
          <t>ORD-000642</t>
        </is>
      </c>
      <c r="C1283" s="10" t="inlineStr">
        <is>
          <t>2025-12-04</t>
        </is>
      </c>
      <c r="D1283" s="8" t="inlineStr">
        <is>
          <t>CUST-02826</t>
        </is>
      </c>
      <c r="E1283" s="8" t="inlineStr">
        <is>
          <t>PRD-0440</t>
        </is>
      </c>
      <c r="F1283" s="8" t="n">
        <v>1</v>
      </c>
      <c r="G1283" s="9">
        <f>IFERROR(XLOOKUP(E1283, '04_Products'!$A:$A, '04_Products'!$G:$G), 791.74)</f>
        <v/>
      </c>
      <c r="H1283" s="9">
        <f>IFERROR(XLOOKUP(E1283, '04_Products'!$A:$A, '04_Products'!$F:$F), 0)</f>
        <v/>
      </c>
      <c r="I1283" s="9">
        <f>F1283*G1283</f>
        <v/>
      </c>
      <c r="J1283" s="11" t="n">
        <v>0.2</v>
      </c>
      <c r="K1283" s="9">
        <f>I1283*J1283</f>
        <v/>
      </c>
      <c r="L1283" s="9">
        <f>I1283-K1283</f>
        <v/>
      </c>
      <c r="M1283" s="9">
        <f>F1283*H1283</f>
        <v/>
      </c>
      <c r="N1283" s="9">
        <f>L1283-M1283</f>
        <v/>
      </c>
      <c r="O1283" s="11">
        <f>IFERROR(N1283/L1283, 0)</f>
        <v/>
      </c>
      <c r="P1283" s="8">
        <f>YEAR(C1283)</f>
        <v/>
      </c>
      <c r="Q1283" s="8">
        <f>TEXT(C1283, "yyyy-mm")</f>
        <v/>
      </c>
      <c r="R1283" s="8" t="inlineStr">
        <is>
          <t>Direct Web</t>
        </is>
      </c>
      <c r="S1283" s="8" t="inlineStr">
        <is>
          <t>REG-EU</t>
        </is>
      </c>
    </row>
    <row r="1284">
      <c r="A1284" s="8" t="inlineStr">
        <is>
          <t>DTL-0001300</t>
        </is>
      </c>
      <c r="B1284" s="8" t="inlineStr">
        <is>
          <t>ORD-000643</t>
        </is>
      </c>
      <c r="C1284" s="10" t="inlineStr">
        <is>
          <t>2024-08-07</t>
        </is>
      </c>
      <c r="D1284" s="8" t="inlineStr">
        <is>
          <t>CUST-06732</t>
        </is>
      </c>
      <c r="E1284" s="8" t="inlineStr">
        <is>
          <t>PRD-0075</t>
        </is>
      </c>
      <c r="F1284" s="8" t="n">
        <v>4</v>
      </c>
      <c r="G1284" s="9">
        <f>IFERROR(XLOOKUP(E1284, '04_Products'!$A:$A, '04_Products'!$G:$G), 20.47)</f>
        <v/>
      </c>
      <c r="H1284" s="9">
        <f>IFERROR(XLOOKUP(E1284, '04_Products'!$A:$A, '04_Products'!$F:$F), 0)</f>
        <v/>
      </c>
      <c r="I1284" s="9">
        <f>F1284*G1284</f>
        <v/>
      </c>
      <c r="J1284" s="11" t="n">
        <v>0</v>
      </c>
      <c r="K1284" s="9">
        <f>I1284*J1284</f>
        <v/>
      </c>
      <c r="L1284" s="9">
        <f>I1284-K1284</f>
        <v/>
      </c>
      <c r="M1284" s="9">
        <f>F1284*H1284</f>
        <v/>
      </c>
      <c r="N1284" s="9">
        <f>L1284-M1284</f>
        <v/>
      </c>
      <c r="O1284" s="11">
        <f>IFERROR(N1284/L1284, 0)</f>
        <v/>
      </c>
      <c r="P1284" s="8">
        <f>YEAR(C1284)</f>
        <v/>
      </c>
      <c r="Q1284" s="8">
        <f>TEXT(C1284, "yyyy-mm")</f>
        <v/>
      </c>
      <c r="R1284" s="8" t="inlineStr">
        <is>
          <t>Direct Web</t>
        </is>
      </c>
      <c r="S1284" s="8" t="inlineStr">
        <is>
          <t>REG-NA</t>
        </is>
      </c>
    </row>
    <row r="1285">
      <c r="A1285" s="8" t="inlineStr">
        <is>
          <t>DTL-0001301</t>
        </is>
      </c>
      <c r="B1285" s="8" t="inlineStr">
        <is>
          <t>ORD-000643</t>
        </is>
      </c>
      <c r="C1285" s="10" t="inlineStr">
        <is>
          <t>2024-08-07</t>
        </is>
      </c>
      <c r="D1285" s="8" t="inlineStr">
        <is>
          <t>CUST-06732</t>
        </is>
      </c>
      <c r="E1285" s="8" t="inlineStr">
        <is>
          <t>PRD-0428</t>
        </is>
      </c>
      <c r="F1285" s="8" t="n">
        <v>2</v>
      </c>
      <c r="G1285" s="9">
        <f>IFERROR(XLOOKUP(E1285, '04_Products'!$A:$A, '04_Products'!$G:$G), 991.23)</f>
        <v/>
      </c>
      <c r="H1285" s="9">
        <f>IFERROR(XLOOKUP(E1285, '04_Products'!$A:$A, '04_Products'!$F:$F), 0)</f>
        <v/>
      </c>
      <c r="I1285" s="9">
        <f>F1285*G1285</f>
        <v/>
      </c>
      <c r="J1285" s="11" t="n">
        <v>0.1</v>
      </c>
      <c r="K1285" s="9">
        <f>I1285*J1285</f>
        <v/>
      </c>
      <c r="L1285" s="9">
        <f>I1285-K1285</f>
        <v/>
      </c>
      <c r="M1285" s="9">
        <f>F1285*H1285</f>
        <v/>
      </c>
      <c r="N1285" s="9">
        <f>L1285-M1285</f>
        <v/>
      </c>
      <c r="O1285" s="11">
        <f>IFERROR(N1285/L1285, 0)</f>
        <v/>
      </c>
      <c r="P1285" s="8">
        <f>YEAR(C1285)</f>
        <v/>
      </c>
      <c r="Q1285" s="8">
        <f>TEXT(C1285, "yyyy-mm")</f>
        <v/>
      </c>
      <c r="R1285" s="8" t="inlineStr">
        <is>
          <t>Direct Web</t>
        </is>
      </c>
      <c r="S1285" s="8" t="inlineStr">
        <is>
          <t>REG-NA</t>
        </is>
      </c>
    </row>
    <row r="1286">
      <c r="A1286" s="8" t="inlineStr">
        <is>
          <t>DTL-0001302</t>
        </is>
      </c>
      <c r="B1286" s="8" t="inlineStr">
        <is>
          <t>ORD-000643</t>
        </is>
      </c>
      <c r="C1286" s="10" t="inlineStr">
        <is>
          <t>2024-08-07</t>
        </is>
      </c>
      <c r="D1286" s="8" t="inlineStr">
        <is>
          <t>CUST-06732</t>
        </is>
      </c>
      <c r="E1286" s="8" t="inlineStr">
        <is>
          <t>PRD-0418</t>
        </is>
      </c>
      <c r="F1286" s="8" t="n">
        <v>1</v>
      </c>
      <c r="G1286" s="9">
        <f>IFERROR(XLOOKUP(E1286, '04_Products'!$A:$A, '04_Products'!$G:$G), 287.35)</f>
        <v/>
      </c>
      <c r="H1286" s="9">
        <f>IFERROR(XLOOKUP(E1286, '04_Products'!$A:$A, '04_Products'!$F:$F), 0)</f>
        <v/>
      </c>
      <c r="I1286" s="9">
        <f>F1286*G1286</f>
        <v/>
      </c>
      <c r="J1286" s="11" t="n">
        <v>0.2</v>
      </c>
      <c r="K1286" s="9">
        <f>I1286*J1286</f>
        <v/>
      </c>
      <c r="L1286" s="9">
        <f>I1286-K1286</f>
        <v/>
      </c>
      <c r="M1286" s="9">
        <f>F1286*H1286</f>
        <v/>
      </c>
      <c r="N1286" s="9">
        <f>L1286-M1286</f>
        <v/>
      </c>
      <c r="O1286" s="11">
        <f>IFERROR(N1286/L1286, 0)</f>
        <v/>
      </c>
      <c r="P1286" s="8">
        <f>YEAR(C1286)</f>
        <v/>
      </c>
      <c r="Q1286" s="8">
        <f>TEXT(C1286, "yyyy-mm")</f>
        <v/>
      </c>
      <c r="R1286" s="8" t="inlineStr">
        <is>
          <t>Direct Web</t>
        </is>
      </c>
      <c r="S1286" s="8" t="inlineStr">
        <is>
          <t>REG-NA</t>
        </is>
      </c>
    </row>
    <row r="1287">
      <c r="A1287" s="8" t="inlineStr">
        <is>
          <t>DTL-0001303</t>
        </is>
      </c>
      <c r="B1287" s="8" t="inlineStr">
        <is>
          <t>ORD-000643</t>
        </is>
      </c>
      <c r="C1287" s="10" t="inlineStr">
        <is>
          <t>2024-08-07</t>
        </is>
      </c>
      <c r="D1287" s="8" t="inlineStr">
        <is>
          <t>CUST-06732</t>
        </is>
      </c>
      <c r="E1287" s="8" t="inlineStr">
        <is>
          <t>PRD-0130</t>
        </is>
      </c>
      <c r="F1287" s="8" t="n">
        <v>1</v>
      </c>
      <c r="G1287" s="9">
        <f>IFERROR(XLOOKUP(E1287, '04_Products'!$A:$A, '04_Products'!$G:$G), 593.34)</f>
        <v/>
      </c>
      <c r="H1287" s="9">
        <f>IFERROR(XLOOKUP(E1287, '04_Products'!$A:$A, '04_Products'!$F:$F), 0)</f>
        <v/>
      </c>
      <c r="I1287" s="9">
        <f>F1287*G1287</f>
        <v/>
      </c>
      <c r="J1287" s="11" t="n">
        <v>0</v>
      </c>
      <c r="K1287" s="9">
        <f>I1287*J1287</f>
        <v/>
      </c>
      <c r="L1287" s="9">
        <f>I1287-K1287</f>
        <v/>
      </c>
      <c r="M1287" s="9">
        <f>F1287*H1287</f>
        <v/>
      </c>
      <c r="N1287" s="9">
        <f>L1287-M1287</f>
        <v/>
      </c>
      <c r="O1287" s="11">
        <f>IFERROR(N1287/L1287, 0)</f>
        <v/>
      </c>
      <c r="P1287" s="8">
        <f>YEAR(C1287)</f>
        <v/>
      </c>
      <c r="Q1287" s="8">
        <f>TEXT(C1287, "yyyy-mm")</f>
        <v/>
      </c>
      <c r="R1287" s="8" t="inlineStr">
        <is>
          <t>Direct Web</t>
        </is>
      </c>
      <c r="S1287" s="8" t="inlineStr">
        <is>
          <t>REG-NA</t>
        </is>
      </c>
    </row>
    <row r="1288">
      <c r="A1288" s="8" t="inlineStr">
        <is>
          <t>DTL-0001304</t>
        </is>
      </c>
      <c r="B1288" s="8" t="inlineStr">
        <is>
          <t>ORD-000643</t>
        </is>
      </c>
      <c r="C1288" s="10" t="inlineStr">
        <is>
          <t>2024-08-07</t>
        </is>
      </c>
      <c r="D1288" s="8" t="inlineStr">
        <is>
          <t>CUST-06732</t>
        </is>
      </c>
      <c r="E1288" s="8" t="inlineStr">
        <is>
          <t>PRD-0306</t>
        </is>
      </c>
      <c r="F1288" s="8" t="n">
        <v>2</v>
      </c>
      <c r="G1288" s="9">
        <f>IFERROR(XLOOKUP(E1288, '04_Products'!$A:$A, '04_Products'!$G:$G), 735.58)</f>
        <v/>
      </c>
      <c r="H1288" s="9">
        <f>IFERROR(XLOOKUP(E1288, '04_Products'!$A:$A, '04_Products'!$F:$F), 0)</f>
        <v/>
      </c>
      <c r="I1288" s="9">
        <f>F1288*G1288</f>
        <v/>
      </c>
      <c r="J1288" s="11" t="n">
        <v>0.25</v>
      </c>
      <c r="K1288" s="9">
        <f>I1288*J1288</f>
        <v/>
      </c>
      <c r="L1288" s="9">
        <f>I1288-K1288</f>
        <v/>
      </c>
      <c r="M1288" s="9">
        <f>F1288*H1288</f>
        <v/>
      </c>
      <c r="N1288" s="9">
        <f>L1288-M1288</f>
        <v/>
      </c>
      <c r="O1288" s="11">
        <f>IFERROR(N1288/L1288, 0)</f>
        <v/>
      </c>
      <c r="P1288" s="8">
        <f>YEAR(C1288)</f>
        <v/>
      </c>
      <c r="Q1288" s="8">
        <f>TEXT(C1288, "yyyy-mm")</f>
        <v/>
      </c>
      <c r="R1288" s="8" t="inlineStr">
        <is>
          <t>Direct Web</t>
        </is>
      </c>
      <c r="S1288" s="8" t="inlineStr">
        <is>
          <t>REG-NA</t>
        </is>
      </c>
    </row>
    <row r="1289">
      <c r="A1289" s="8" t="inlineStr">
        <is>
          <t>DTL-0001305</t>
        </is>
      </c>
      <c r="B1289" s="8" t="inlineStr">
        <is>
          <t>ORD-000644</t>
        </is>
      </c>
      <c r="C1289" s="10" t="inlineStr">
        <is>
          <t>2024-11-18</t>
        </is>
      </c>
      <c r="D1289" s="8" t="inlineStr">
        <is>
          <t>CUST-03355</t>
        </is>
      </c>
      <c r="E1289" s="8" t="inlineStr">
        <is>
          <t>PRD-0207</t>
        </is>
      </c>
      <c r="F1289" s="8" t="n">
        <v>2</v>
      </c>
      <c r="G1289" s="9">
        <f>IFERROR(XLOOKUP(E1289, '04_Products'!$A:$A, '04_Products'!$G:$G), 1025.22)</f>
        <v/>
      </c>
      <c r="H1289" s="9">
        <f>IFERROR(XLOOKUP(E1289, '04_Products'!$A:$A, '04_Products'!$F:$F), 0)</f>
        <v/>
      </c>
      <c r="I1289" s="9">
        <f>F1289*G1289</f>
        <v/>
      </c>
      <c r="J1289" s="11" t="n">
        <v>0</v>
      </c>
      <c r="K1289" s="9">
        <f>I1289*J1289</f>
        <v/>
      </c>
      <c r="L1289" s="9">
        <f>I1289-K1289</f>
        <v/>
      </c>
      <c r="M1289" s="9">
        <f>F1289*H1289</f>
        <v/>
      </c>
      <c r="N1289" s="9">
        <f>L1289-M1289</f>
        <v/>
      </c>
      <c r="O1289" s="11">
        <f>IFERROR(N1289/L1289, 0)</f>
        <v/>
      </c>
      <c r="P1289" s="8">
        <f>YEAR(C1289)</f>
        <v/>
      </c>
      <c r="Q1289" s="8">
        <f>TEXT(C1289, "yyyy-mm")</f>
        <v/>
      </c>
      <c r="R1289" s="8" t="inlineStr">
        <is>
          <t>B2B Portal</t>
        </is>
      </c>
      <c r="S1289" s="8" t="inlineStr">
        <is>
          <t>REG-NA</t>
        </is>
      </c>
    </row>
    <row r="1290">
      <c r="A1290" s="8" t="inlineStr">
        <is>
          <t>DTL-0001306</t>
        </is>
      </c>
      <c r="B1290" s="8" t="inlineStr">
        <is>
          <t>ORD-000645</t>
        </is>
      </c>
      <c r="C1290" s="10" t="inlineStr">
        <is>
          <t>2025-11-17</t>
        </is>
      </c>
      <c r="D1290" s="8" t="inlineStr">
        <is>
          <t>CUST-05493</t>
        </is>
      </c>
      <c r="E1290" s="8" t="inlineStr">
        <is>
          <t>PRD-0293</t>
        </is>
      </c>
      <c r="F1290" s="8" t="n">
        <v>2</v>
      </c>
      <c r="G1290" s="9">
        <f>IFERROR(XLOOKUP(E1290, '04_Products'!$A:$A, '04_Products'!$G:$G), 231.64)</f>
        <v/>
      </c>
      <c r="H1290" s="9">
        <f>IFERROR(XLOOKUP(E1290, '04_Products'!$A:$A, '04_Products'!$F:$F), 0)</f>
        <v/>
      </c>
      <c r="I1290" s="9">
        <f>F1290*G1290</f>
        <v/>
      </c>
      <c r="J1290" s="11" t="n">
        <v>0</v>
      </c>
      <c r="K1290" s="9">
        <f>I1290*J1290</f>
        <v/>
      </c>
      <c r="L1290" s="9">
        <f>I1290-K1290</f>
        <v/>
      </c>
      <c r="M1290" s="9">
        <f>F1290*H1290</f>
        <v/>
      </c>
      <c r="N1290" s="9">
        <f>L1290-M1290</f>
        <v/>
      </c>
      <c r="O1290" s="11">
        <f>IFERROR(N1290/L1290, 0)</f>
        <v/>
      </c>
      <c r="P1290" s="8">
        <f>YEAR(C1290)</f>
        <v/>
      </c>
      <c r="Q1290" s="8">
        <f>TEXT(C1290, "yyyy-mm")</f>
        <v/>
      </c>
      <c r="R1290" s="8" t="inlineStr">
        <is>
          <t>Direct Web</t>
        </is>
      </c>
      <c r="S1290" s="8" t="inlineStr">
        <is>
          <t>REG-NA</t>
        </is>
      </c>
    </row>
    <row r="1291">
      <c r="A1291" s="8" t="inlineStr">
        <is>
          <t>DTL-0001307</t>
        </is>
      </c>
      <c r="B1291" s="8" t="inlineStr">
        <is>
          <t>ORD-000645</t>
        </is>
      </c>
      <c r="C1291" s="10" t="inlineStr">
        <is>
          <t>2025-11-17</t>
        </is>
      </c>
      <c r="D1291" s="8" t="inlineStr">
        <is>
          <t>CUST-05493</t>
        </is>
      </c>
      <c r="E1291" s="8" t="inlineStr">
        <is>
          <t>PRD-0488</t>
        </is>
      </c>
      <c r="F1291" s="8" t="n">
        <v>1</v>
      </c>
      <c r="G1291" s="9">
        <f>IFERROR(XLOOKUP(E1291, '04_Products'!$A:$A, '04_Products'!$G:$G), 54.77)</f>
        <v/>
      </c>
      <c r="H1291" s="9">
        <f>IFERROR(XLOOKUP(E1291, '04_Products'!$A:$A, '04_Products'!$F:$F), 0)</f>
        <v/>
      </c>
      <c r="I1291" s="9">
        <f>F1291*G1291</f>
        <v/>
      </c>
      <c r="J1291" s="11" t="n">
        <v>0.15</v>
      </c>
      <c r="K1291" s="9">
        <f>I1291*J1291</f>
        <v/>
      </c>
      <c r="L1291" s="9">
        <f>I1291-K1291</f>
        <v/>
      </c>
      <c r="M1291" s="9">
        <f>F1291*H1291</f>
        <v/>
      </c>
      <c r="N1291" s="9">
        <f>L1291-M1291</f>
        <v/>
      </c>
      <c r="O1291" s="11">
        <f>IFERROR(N1291/L1291, 0)</f>
        <v/>
      </c>
      <c r="P1291" s="8">
        <f>YEAR(C1291)</f>
        <v/>
      </c>
      <c r="Q1291" s="8">
        <f>TEXT(C1291, "yyyy-mm")</f>
        <v/>
      </c>
      <c r="R1291" s="8" t="inlineStr">
        <is>
          <t>Direct Web</t>
        </is>
      </c>
      <c r="S1291" s="8" t="inlineStr">
        <is>
          <t>REG-NA</t>
        </is>
      </c>
    </row>
    <row r="1292">
      <c r="A1292" s="8" t="inlineStr">
        <is>
          <t>DTL-0001308</t>
        </is>
      </c>
      <c r="B1292" s="8" t="inlineStr">
        <is>
          <t>ORD-000645</t>
        </is>
      </c>
      <c r="C1292" s="10" t="inlineStr">
        <is>
          <t>2025-11-17</t>
        </is>
      </c>
      <c r="D1292" s="8" t="inlineStr">
        <is>
          <t>CUST-05493</t>
        </is>
      </c>
      <c r="E1292" s="8" t="inlineStr">
        <is>
          <t>PRD-0168</t>
        </is>
      </c>
      <c r="F1292" s="8" t="n">
        <v>2</v>
      </c>
      <c r="G1292" s="9">
        <f>IFERROR(XLOOKUP(E1292, '04_Products'!$A:$A, '04_Products'!$G:$G), 597.34)</f>
        <v/>
      </c>
      <c r="H1292" s="9">
        <f>IFERROR(XLOOKUP(E1292, '04_Products'!$A:$A, '04_Products'!$F:$F), 0)</f>
        <v/>
      </c>
      <c r="I1292" s="9">
        <f>F1292*G1292</f>
        <v/>
      </c>
      <c r="J1292" s="11" t="n">
        <v>0.05</v>
      </c>
      <c r="K1292" s="9">
        <f>I1292*J1292</f>
        <v/>
      </c>
      <c r="L1292" s="9">
        <f>I1292-K1292</f>
        <v/>
      </c>
      <c r="M1292" s="9">
        <f>F1292*H1292</f>
        <v/>
      </c>
      <c r="N1292" s="9">
        <f>L1292-M1292</f>
        <v/>
      </c>
      <c r="O1292" s="11">
        <f>IFERROR(N1292/L1292, 0)</f>
        <v/>
      </c>
      <c r="P1292" s="8">
        <f>YEAR(C1292)</f>
        <v/>
      </c>
      <c r="Q1292" s="8">
        <f>TEXT(C1292, "yyyy-mm")</f>
        <v/>
      </c>
      <c r="R1292" s="8" t="inlineStr">
        <is>
          <t>Direct Web</t>
        </is>
      </c>
      <c r="S1292" s="8" t="inlineStr">
        <is>
          <t>REG-NA</t>
        </is>
      </c>
    </row>
    <row r="1293">
      <c r="A1293" s="8" t="inlineStr">
        <is>
          <t>DTL-0001309</t>
        </is>
      </c>
      <c r="B1293" s="8" t="inlineStr">
        <is>
          <t>ORD-000645</t>
        </is>
      </c>
      <c r="C1293" s="10" t="inlineStr">
        <is>
          <t>2025-11-17</t>
        </is>
      </c>
      <c r="D1293" s="8" t="inlineStr">
        <is>
          <t>CUST-05493</t>
        </is>
      </c>
      <c r="E1293" s="8" t="inlineStr">
        <is>
          <t>PRD-0181</t>
        </is>
      </c>
      <c r="F1293" s="8" t="n">
        <v>2</v>
      </c>
      <c r="G1293" s="9">
        <f>IFERROR(XLOOKUP(E1293, '04_Products'!$A:$A, '04_Products'!$G:$G), 57.06)</f>
        <v/>
      </c>
      <c r="H1293" s="9">
        <f>IFERROR(XLOOKUP(E1293, '04_Products'!$A:$A, '04_Products'!$F:$F), 0)</f>
        <v/>
      </c>
      <c r="I1293" s="9">
        <f>F1293*G1293</f>
        <v/>
      </c>
      <c r="J1293" s="11" t="n">
        <v>0</v>
      </c>
      <c r="K1293" s="9">
        <f>I1293*J1293</f>
        <v/>
      </c>
      <c r="L1293" s="9">
        <f>I1293-K1293</f>
        <v/>
      </c>
      <c r="M1293" s="9">
        <f>F1293*H1293</f>
        <v/>
      </c>
      <c r="N1293" s="9">
        <f>L1293-M1293</f>
        <v/>
      </c>
      <c r="O1293" s="11">
        <f>IFERROR(N1293/L1293, 0)</f>
        <v/>
      </c>
      <c r="P1293" s="8">
        <f>YEAR(C1293)</f>
        <v/>
      </c>
      <c r="Q1293" s="8">
        <f>TEXT(C1293, "yyyy-mm")</f>
        <v/>
      </c>
      <c r="R1293" s="8" t="inlineStr">
        <is>
          <t>Direct Web</t>
        </is>
      </c>
      <c r="S1293" s="8" t="inlineStr">
        <is>
          <t>REG-NA</t>
        </is>
      </c>
    </row>
    <row r="1294">
      <c r="A1294" s="8" t="inlineStr">
        <is>
          <t>DTL-0001310</t>
        </is>
      </c>
      <c r="B1294" s="8" t="inlineStr">
        <is>
          <t>ORD-000646</t>
        </is>
      </c>
      <c r="C1294" s="10" t="inlineStr">
        <is>
          <t>2023-04-08</t>
        </is>
      </c>
      <c r="D1294" s="8" t="inlineStr">
        <is>
          <t>CUST-07908</t>
        </is>
      </c>
      <c r="E1294" s="8" t="inlineStr">
        <is>
          <t>PRD-0308</t>
        </is>
      </c>
      <c r="F1294" s="8" t="n">
        <v>3</v>
      </c>
      <c r="G1294" s="9">
        <f>IFERROR(XLOOKUP(E1294, '04_Products'!$A:$A, '04_Products'!$G:$G), 61.03)</f>
        <v/>
      </c>
      <c r="H1294" s="9">
        <f>IFERROR(XLOOKUP(E1294, '04_Products'!$A:$A, '04_Products'!$F:$F), 0)</f>
        <v/>
      </c>
      <c r="I1294" s="9">
        <f>F1294*G1294</f>
        <v/>
      </c>
      <c r="J1294" s="11" t="n">
        <v>0.05</v>
      </c>
      <c r="K1294" s="9">
        <f>I1294*J1294</f>
        <v/>
      </c>
      <c r="L1294" s="9">
        <f>I1294-K1294</f>
        <v/>
      </c>
      <c r="M1294" s="9">
        <f>F1294*H1294</f>
        <v/>
      </c>
      <c r="N1294" s="9">
        <f>L1294-M1294</f>
        <v/>
      </c>
      <c r="O1294" s="11">
        <f>IFERROR(N1294/L1294, 0)</f>
        <v/>
      </c>
      <c r="P1294" s="8">
        <f>YEAR(C1294)</f>
        <v/>
      </c>
      <c r="Q1294" s="8">
        <f>TEXT(C1294, "yyyy-mm")</f>
        <v/>
      </c>
      <c r="R1294" s="8" t="inlineStr">
        <is>
          <t>Mobile App</t>
        </is>
      </c>
      <c r="S1294" s="8" t="inlineStr">
        <is>
          <t>REG-APAC</t>
        </is>
      </c>
    </row>
    <row r="1295">
      <c r="A1295" s="8" t="inlineStr">
        <is>
          <t>DTL-0001311</t>
        </is>
      </c>
      <c r="B1295" s="8" t="inlineStr">
        <is>
          <t>ORD-000647</t>
        </is>
      </c>
      <c r="C1295" s="10" t="inlineStr">
        <is>
          <t>2024-01-06</t>
        </is>
      </c>
      <c r="D1295" s="8" t="inlineStr">
        <is>
          <t>CUST-01008</t>
        </is>
      </c>
      <c r="E1295" s="8" t="inlineStr">
        <is>
          <t>PRD-0048</t>
        </is>
      </c>
      <c r="F1295" s="8" t="n">
        <v>1</v>
      </c>
      <c r="G1295" s="9">
        <f>IFERROR(XLOOKUP(E1295, '04_Products'!$A:$A, '04_Products'!$G:$G), 39.00)</f>
        <v/>
      </c>
      <c r="H1295" s="9">
        <f>IFERROR(XLOOKUP(E1295, '04_Products'!$A:$A, '04_Products'!$F:$F), 0)</f>
        <v/>
      </c>
      <c r="I1295" s="9">
        <f>F1295*G1295</f>
        <v/>
      </c>
      <c r="J1295" s="11" t="n">
        <v>0.2</v>
      </c>
      <c r="K1295" s="9">
        <f>I1295*J1295</f>
        <v/>
      </c>
      <c r="L1295" s="9">
        <f>I1295-K1295</f>
        <v/>
      </c>
      <c r="M1295" s="9">
        <f>F1295*H1295</f>
        <v/>
      </c>
      <c r="N1295" s="9">
        <f>L1295-M1295</f>
        <v/>
      </c>
      <c r="O1295" s="11">
        <f>IFERROR(N1295/L1295, 0)</f>
        <v/>
      </c>
      <c r="P1295" s="8">
        <f>YEAR(C1295)</f>
        <v/>
      </c>
      <c r="Q1295" s="8">
        <f>TEXT(C1295, "yyyy-mm")</f>
        <v/>
      </c>
      <c r="R1295" s="8" t="inlineStr">
        <is>
          <t>Mobile App</t>
        </is>
      </c>
      <c r="S1295" s="8" t="inlineStr">
        <is>
          <t>REG-EU</t>
        </is>
      </c>
    </row>
    <row r="1296">
      <c r="A1296" s="8" t="inlineStr">
        <is>
          <t>DTL-0001312</t>
        </is>
      </c>
      <c r="B1296" s="8" t="inlineStr">
        <is>
          <t>ORD-000648</t>
        </is>
      </c>
      <c r="C1296" s="10" t="inlineStr">
        <is>
          <t>2025-09-01</t>
        </is>
      </c>
      <c r="D1296" s="8" t="inlineStr">
        <is>
          <t>CUST-01911</t>
        </is>
      </c>
      <c r="E1296" s="8" t="inlineStr">
        <is>
          <t>PRD-0150</t>
        </is>
      </c>
      <c r="F1296" s="8" t="n">
        <v>1</v>
      </c>
      <c r="G1296" s="9">
        <f>IFERROR(XLOOKUP(E1296, '04_Products'!$A:$A, '04_Products'!$G:$G), 384.86)</f>
        <v/>
      </c>
      <c r="H1296" s="9">
        <f>IFERROR(XLOOKUP(E1296, '04_Products'!$A:$A, '04_Products'!$F:$F), 0)</f>
        <v/>
      </c>
      <c r="I1296" s="9">
        <f>F1296*G1296</f>
        <v/>
      </c>
      <c r="J1296" s="11" t="n">
        <v>0</v>
      </c>
      <c r="K1296" s="9">
        <f>I1296*J1296</f>
        <v/>
      </c>
      <c r="L1296" s="9">
        <f>I1296-K1296</f>
        <v/>
      </c>
      <c r="M1296" s="9">
        <f>F1296*H1296</f>
        <v/>
      </c>
      <c r="N1296" s="9">
        <f>L1296-M1296</f>
        <v/>
      </c>
      <c r="O1296" s="11">
        <f>IFERROR(N1296/L1296, 0)</f>
        <v/>
      </c>
      <c r="P1296" s="8">
        <f>YEAR(C1296)</f>
        <v/>
      </c>
      <c r="Q1296" s="8">
        <f>TEXT(C1296, "yyyy-mm")</f>
        <v/>
      </c>
      <c r="R1296" s="8" t="inlineStr">
        <is>
          <t>Direct Web</t>
        </is>
      </c>
      <c r="S1296" s="8" t="inlineStr">
        <is>
          <t>REG-LATAM</t>
        </is>
      </c>
    </row>
    <row r="1297">
      <c r="A1297" s="8" t="inlineStr">
        <is>
          <t>DTL-0001313</t>
        </is>
      </c>
      <c r="B1297" s="8" t="inlineStr">
        <is>
          <t>ORD-000648</t>
        </is>
      </c>
      <c r="C1297" s="10" t="inlineStr">
        <is>
          <t>2025-09-01</t>
        </is>
      </c>
      <c r="D1297" s="8" t="inlineStr">
        <is>
          <t>CUST-01911</t>
        </is>
      </c>
      <c r="E1297" s="8" t="inlineStr">
        <is>
          <t>PRD-0427</t>
        </is>
      </c>
      <c r="F1297" s="8" t="n">
        <v>2</v>
      </c>
      <c r="G1297" s="9">
        <f>IFERROR(XLOOKUP(E1297, '04_Products'!$A:$A, '04_Products'!$G:$G), 108.94)</f>
        <v/>
      </c>
      <c r="H1297" s="9">
        <f>IFERROR(XLOOKUP(E1297, '04_Products'!$A:$A, '04_Products'!$F:$F), 0)</f>
        <v/>
      </c>
      <c r="I1297" s="9">
        <f>F1297*G1297</f>
        <v/>
      </c>
      <c r="J1297" s="11" t="n">
        <v>0.05</v>
      </c>
      <c r="K1297" s="9">
        <f>I1297*J1297</f>
        <v/>
      </c>
      <c r="L1297" s="9">
        <f>I1297-K1297</f>
        <v/>
      </c>
      <c r="M1297" s="9">
        <f>F1297*H1297</f>
        <v/>
      </c>
      <c r="N1297" s="9">
        <f>L1297-M1297</f>
        <v/>
      </c>
      <c r="O1297" s="11">
        <f>IFERROR(N1297/L1297, 0)</f>
        <v/>
      </c>
      <c r="P1297" s="8">
        <f>YEAR(C1297)</f>
        <v/>
      </c>
      <c r="Q1297" s="8">
        <f>TEXT(C1297, "yyyy-mm")</f>
        <v/>
      </c>
      <c r="R1297" s="8" t="inlineStr">
        <is>
          <t>Direct Web</t>
        </is>
      </c>
      <c r="S1297" s="8" t="inlineStr">
        <is>
          <t>REG-LATAM</t>
        </is>
      </c>
    </row>
    <row r="1298">
      <c r="A1298" s="8" t="inlineStr">
        <is>
          <t>DTL-0001314</t>
        </is>
      </c>
      <c r="B1298" s="8" t="inlineStr">
        <is>
          <t>ORD-000649</t>
        </is>
      </c>
      <c r="C1298" s="10" t="inlineStr">
        <is>
          <t>2024-05-06</t>
        </is>
      </c>
      <c r="D1298" s="8" t="inlineStr">
        <is>
          <t>CUST-05027</t>
        </is>
      </c>
      <c r="E1298" s="8" t="inlineStr">
        <is>
          <t>PRD-0162</t>
        </is>
      </c>
      <c r="F1298" s="8" t="n">
        <v>1</v>
      </c>
      <c r="G1298" s="9">
        <f>IFERROR(XLOOKUP(E1298, '04_Products'!$A:$A, '04_Products'!$G:$G), 192.43)</f>
        <v/>
      </c>
      <c r="H1298" s="9">
        <f>IFERROR(XLOOKUP(E1298, '04_Products'!$A:$A, '04_Products'!$F:$F), 0)</f>
        <v/>
      </c>
      <c r="I1298" s="9">
        <f>F1298*G1298</f>
        <v/>
      </c>
      <c r="J1298" s="11" t="n">
        <v>0.05</v>
      </c>
      <c r="K1298" s="9">
        <f>I1298*J1298</f>
        <v/>
      </c>
      <c r="L1298" s="9">
        <f>I1298-K1298</f>
        <v/>
      </c>
      <c r="M1298" s="9">
        <f>F1298*H1298</f>
        <v/>
      </c>
      <c r="N1298" s="9">
        <f>L1298-M1298</f>
        <v/>
      </c>
      <c r="O1298" s="11">
        <f>IFERROR(N1298/L1298, 0)</f>
        <v/>
      </c>
      <c r="P1298" s="8">
        <f>YEAR(C1298)</f>
        <v/>
      </c>
      <c r="Q1298" s="8">
        <f>TEXT(C1298, "yyyy-mm")</f>
        <v/>
      </c>
      <c r="R1298" s="8" t="inlineStr">
        <is>
          <t>Mobile App</t>
        </is>
      </c>
      <c r="S1298" s="8" t="inlineStr">
        <is>
          <t>REG-LATAM</t>
        </is>
      </c>
    </row>
    <row r="1299">
      <c r="A1299" s="8" t="inlineStr">
        <is>
          <t>DTL-0001315</t>
        </is>
      </c>
      <c r="B1299" s="8" t="inlineStr">
        <is>
          <t>ORD-000650</t>
        </is>
      </c>
      <c r="C1299" s="10" t="inlineStr">
        <is>
          <t>2024-09-06</t>
        </is>
      </c>
      <c r="D1299" s="8" t="inlineStr">
        <is>
          <t>CUST-05188</t>
        </is>
      </c>
      <c r="E1299" s="8" t="inlineStr">
        <is>
          <t>PRD-0331</t>
        </is>
      </c>
      <c r="F1299" s="8" t="n">
        <v>2</v>
      </c>
      <c r="G1299" s="9">
        <f>IFERROR(XLOOKUP(E1299, '04_Products'!$A:$A, '04_Products'!$G:$G), 1076.14)</f>
        <v/>
      </c>
      <c r="H1299" s="9">
        <f>IFERROR(XLOOKUP(E1299, '04_Products'!$A:$A, '04_Products'!$F:$F), 0)</f>
        <v/>
      </c>
      <c r="I1299" s="9">
        <f>F1299*G1299</f>
        <v/>
      </c>
      <c r="J1299" s="11" t="n">
        <v>0.1</v>
      </c>
      <c r="K1299" s="9">
        <f>I1299*J1299</f>
        <v/>
      </c>
      <c r="L1299" s="9">
        <f>I1299-K1299</f>
        <v/>
      </c>
      <c r="M1299" s="9">
        <f>F1299*H1299</f>
        <v/>
      </c>
      <c r="N1299" s="9">
        <f>L1299-M1299</f>
        <v/>
      </c>
      <c r="O1299" s="11">
        <f>IFERROR(N1299/L1299, 0)</f>
        <v/>
      </c>
      <c r="P1299" s="8">
        <f>YEAR(C1299)</f>
        <v/>
      </c>
      <c r="Q1299" s="8">
        <f>TEXT(C1299, "yyyy-mm")</f>
        <v/>
      </c>
      <c r="R1299" s="8" t="inlineStr">
        <is>
          <t>Direct Web</t>
        </is>
      </c>
      <c r="S1299" s="8" t="inlineStr">
        <is>
          <t>REG-APAC</t>
        </is>
      </c>
    </row>
    <row r="1300">
      <c r="A1300" s="8" t="inlineStr">
        <is>
          <t>DTL-0001316</t>
        </is>
      </c>
      <c r="B1300" s="8" t="inlineStr">
        <is>
          <t>ORD-000651</t>
        </is>
      </c>
      <c r="C1300" s="10" t="inlineStr">
        <is>
          <t>2023-01-29</t>
        </is>
      </c>
      <c r="D1300" s="8" t="inlineStr">
        <is>
          <t>CUST-01364</t>
        </is>
      </c>
      <c r="E1300" s="8" t="inlineStr">
        <is>
          <t>PRD-0336</t>
        </is>
      </c>
      <c r="F1300" s="8" t="n">
        <v>1</v>
      </c>
      <c r="G1300" s="9">
        <f>IFERROR(XLOOKUP(E1300, '04_Products'!$A:$A, '04_Products'!$G:$G), 216.76)</f>
        <v/>
      </c>
      <c r="H1300" s="9">
        <f>IFERROR(XLOOKUP(E1300, '04_Products'!$A:$A, '04_Products'!$F:$F), 0)</f>
        <v/>
      </c>
      <c r="I1300" s="9">
        <f>F1300*G1300</f>
        <v/>
      </c>
      <c r="J1300" s="11" t="n">
        <v>0.05</v>
      </c>
      <c r="K1300" s="9">
        <f>I1300*J1300</f>
        <v/>
      </c>
      <c r="L1300" s="9">
        <f>I1300-K1300</f>
        <v/>
      </c>
      <c r="M1300" s="9">
        <f>F1300*H1300</f>
        <v/>
      </c>
      <c r="N1300" s="9">
        <f>L1300-M1300</f>
        <v/>
      </c>
      <c r="O1300" s="11">
        <f>IFERROR(N1300/L1300, 0)</f>
        <v/>
      </c>
      <c r="P1300" s="8">
        <f>YEAR(C1300)</f>
        <v/>
      </c>
      <c r="Q1300" s="8">
        <f>TEXT(C1300, "yyyy-mm")</f>
        <v/>
      </c>
      <c r="R1300" s="8" t="inlineStr">
        <is>
          <t>Mobile App</t>
        </is>
      </c>
      <c r="S1300" s="8" t="inlineStr">
        <is>
          <t>REG-EU</t>
        </is>
      </c>
    </row>
    <row r="1301">
      <c r="A1301" s="8" t="inlineStr">
        <is>
          <t>DTL-0001317</t>
        </is>
      </c>
      <c r="B1301" s="8" t="inlineStr">
        <is>
          <t>ORD-000651</t>
        </is>
      </c>
      <c r="C1301" s="10" t="inlineStr">
        <is>
          <t>2023-01-29</t>
        </is>
      </c>
      <c r="D1301" s="8" t="inlineStr">
        <is>
          <t>CUST-01364</t>
        </is>
      </c>
      <c r="E1301" s="8" t="inlineStr">
        <is>
          <t>PRD-0262</t>
        </is>
      </c>
      <c r="F1301" s="8" t="n">
        <v>1</v>
      </c>
      <c r="G1301" s="9">
        <f>IFERROR(XLOOKUP(E1301, '04_Products'!$A:$A, '04_Products'!$G:$G), 621.74)</f>
        <v/>
      </c>
      <c r="H1301" s="9">
        <f>IFERROR(XLOOKUP(E1301, '04_Products'!$A:$A, '04_Products'!$F:$F), 0)</f>
        <v/>
      </c>
      <c r="I1301" s="9">
        <f>F1301*G1301</f>
        <v/>
      </c>
      <c r="J1301" s="11" t="n">
        <v>0.1</v>
      </c>
      <c r="K1301" s="9">
        <f>I1301*J1301</f>
        <v/>
      </c>
      <c r="L1301" s="9">
        <f>I1301-K1301</f>
        <v/>
      </c>
      <c r="M1301" s="9">
        <f>F1301*H1301</f>
        <v/>
      </c>
      <c r="N1301" s="9">
        <f>L1301-M1301</f>
        <v/>
      </c>
      <c r="O1301" s="11">
        <f>IFERROR(N1301/L1301, 0)</f>
        <v/>
      </c>
      <c r="P1301" s="8">
        <f>YEAR(C1301)</f>
        <v/>
      </c>
      <c r="Q1301" s="8">
        <f>TEXT(C1301, "yyyy-mm")</f>
        <v/>
      </c>
      <c r="R1301" s="8" t="inlineStr">
        <is>
          <t>Mobile App</t>
        </is>
      </c>
      <c r="S1301" s="8" t="inlineStr">
        <is>
          <t>REG-EU</t>
        </is>
      </c>
    </row>
    <row r="1302">
      <c r="A1302" s="8" t="inlineStr">
        <is>
          <t>DTL-0001318</t>
        </is>
      </c>
      <c r="B1302" s="8" t="inlineStr">
        <is>
          <t>ORD-000651</t>
        </is>
      </c>
      <c r="C1302" s="10" t="inlineStr">
        <is>
          <t>2023-01-29</t>
        </is>
      </c>
      <c r="D1302" s="8" t="inlineStr">
        <is>
          <t>CUST-01364</t>
        </is>
      </c>
      <c r="E1302" s="8" t="inlineStr">
        <is>
          <t>PRD-0116</t>
        </is>
      </c>
      <c r="F1302" s="8" t="n">
        <v>2</v>
      </c>
      <c r="G1302" s="9">
        <f>IFERROR(XLOOKUP(E1302, '04_Products'!$A:$A, '04_Products'!$G:$G), 177.13)</f>
        <v/>
      </c>
      <c r="H1302" s="9">
        <f>IFERROR(XLOOKUP(E1302, '04_Products'!$A:$A, '04_Products'!$F:$F), 0)</f>
        <v/>
      </c>
      <c r="I1302" s="9">
        <f>F1302*G1302</f>
        <v/>
      </c>
      <c r="J1302" s="11" t="n">
        <v>0</v>
      </c>
      <c r="K1302" s="9">
        <f>I1302*J1302</f>
        <v/>
      </c>
      <c r="L1302" s="9">
        <f>I1302-K1302</f>
        <v/>
      </c>
      <c r="M1302" s="9">
        <f>F1302*H1302</f>
        <v/>
      </c>
      <c r="N1302" s="9">
        <f>L1302-M1302</f>
        <v/>
      </c>
      <c r="O1302" s="11">
        <f>IFERROR(N1302/L1302, 0)</f>
        <v/>
      </c>
      <c r="P1302" s="8">
        <f>YEAR(C1302)</f>
        <v/>
      </c>
      <c r="Q1302" s="8">
        <f>TEXT(C1302, "yyyy-mm")</f>
        <v/>
      </c>
      <c r="R1302" s="8" t="inlineStr">
        <is>
          <t>Mobile App</t>
        </is>
      </c>
      <c r="S1302" s="8" t="inlineStr">
        <is>
          <t>REG-EU</t>
        </is>
      </c>
    </row>
    <row r="1303">
      <c r="A1303" s="8" t="inlineStr">
        <is>
          <t>DTL-0001319</t>
        </is>
      </c>
      <c r="B1303" s="8" t="inlineStr">
        <is>
          <t>ORD-000651</t>
        </is>
      </c>
      <c r="C1303" s="10" t="inlineStr">
        <is>
          <t>2023-01-29</t>
        </is>
      </c>
      <c r="D1303" s="8" t="inlineStr">
        <is>
          <t>CUST-01364</t>
        </is>
      </c>
      <c r="E1303" s="8" t="inlineStr">
        <is>
          <t>PRD-0429</t>
        </is>
      </c>
      <c r="F1303" s="8" t="n">
        <v>1</v>
      </c>
      <c r="G1303" s="9">
        <f>IFERROR(XLOOKUP(E1303, '04_Products'!$A:$A, '04_Products'!$G:$G), 790.21)</f>
        <v/>
      </c>
      <c r="H1303" s="9">
        <f>IFERROR(XLOOKUP(E1303, '04_Products'!$A:$A, '04_Products'!$F:$F), 0)</f>
        <v/>
      </c>
      <c r="I1303" s="9">
        <f>F1303*G1303</f>
        <v/>
      </c>
      <c r="J1303" s="11" t="n">
        <v>0.1</v>
      </c>
      <c r="K1303" s="9">
        <f>I1303*J1303</f>
        <v/>
      </c>
      <c r="L1303" s="9">
        <f>I1303-K1303</f>
        <v/>
      </c>
      <c r="M1303" s="9">
        <f>F1303*H1303</f>
        <v/>
      </c>
      <c r="N1303" s="9">
        <f>L1303-M1303</f>
        <v/>
      </c>
      <c r="O1303" s="11">
        <f>IFERROR(N1303/L1303, 0)</f>
        <v/>
      </c>
      <c r="P1303" s="8">
        <f>YEAR(C1303)</f>
        <v/>
      </c>
      <c r="Q1303" s="8">
        <f>TEXT(C1303, "yyyy-mm")</f>
        <v/>
      </c>
      <c r="R1303" s="8" t="inlineStr">
        <is>
          <t>Mobile App</t>
        </is>
      </c>
      <c r="S1303" s="8" t="inlineStr">
        <is>
          <t>REG-EU</t>
        </is>
      </c>
    </row>
    <row r="1304">
      <c r="A1304" s="8" t="inlineStr">
        <is>
          <t>DTL-0001320</t>
        </is>
      </c>
      <c r="B1304" s="8" t="inlineStr">
        <is>
          <t>ORD-000652</t>
        </is>
      </c>
      <c r="C1304" s="10" t="inlineStr">
        <is>
          <t>2023-05-16</t>
        </is>
      </c>
      <c r="D1304" s="8" t="inlineStr">
        <is>
          <t>CUST-01533</t>
        </is>
      </c>
      <c r="E1304" s="8" t="inlineStr">
        <is>
          <t>PRD-0036</t>
        </is>
      </c>
      <c r="F1304" s="8" t="n">
        <v>2</v>
      </c>
      <c r="G1304" s="9">
        <f>IFERROR(XLOOKUP(E1304, '04_Products'!$A:$A, '04_Products'!$G:$G), 574.88)</f>
        <v/>
      </c>
      <c r="H1304" s="9">
        <f>IFERROR(XLOOKUP(E1304, '04_Products'!$A:$A, '04_Products'!$F:$F), 0)</f>
        <v/>
      </c>
      <c r="I1304" s="9">
        <f>F1304*G1304</f>
        <v/>
      </c>
      <c r="J1304" s="11" t="n">
        <v>0</v>
      </c>
      <c r="K1304" s="9">
        <f>I1304*J1304</f>
        <v/>
      </c>
      <c r="L1304" s="9">
        <f>I1304-K1304</f>
        <v/>
      </c>
      <c r="M1304" s="9">
        <f>F1304*H1304</f>
        <v/>
      </c>
      <c r="N1304" s="9">
        <f>L1304-M1304</f>
        <v/>
      </c>
      <c r="O1304" s="11">
        <f>IFERROR(N1304/L1304, 0)</f>
        <v/>
      </c>
      <c r="P1304" s="8">
        <f>YEAR(C1304)</f>
        <v/>
      </c>
      <c r="Q1304" s="8">
        <f>TEXT(C1304, "yyyy-mm")</f>
        <v/>
      </c>
      <c r="R1304" s="8" t="inlineStr">
        <is>
          <t>Direct Web</t>
        </is>
      </c>
      <c r="S1304" s="8" t="inlineStr">
        <is>
          <t>REG-EU</t>
        </is>
      </c>
    </row>
    <row r="1305">
      <c r="A1305" s="8" t="inlineStr">
        <is>
          <t>DTL-0001321</t>
        </is>
      </c>
      <c r="B1305" s="8" t="inlineStr">
        <is>
          <t>ORD-000653</t>
        </is>
      </c>
      <c r="C1305" s="10" t="inlineStr">
        <is>
          <t>2024-12-23</t>
        </is>
      </c>
      <c r="D1305" s="8" t="inlineStr">
        <is>
          <t>CUST-01403</t>
        </is>
      </c>
      <c r="E1305" s="8" t="inlineStr">
        <is>
          <t>PRD-0005</t>
        </is>
      </c>
      <c r="F1305" s="8" t="n">
        <v>1</v>
      </c>
      <c r="G1305" s="9">
        <f>IFERROR(XLOOKUP(E1305, '04_Products'!$A:$A, '04_Products'!$G:$G), 148.59)</f>
        <v/>
      </c>
      <c r="H1305" s="9">
        <f>IFERROR(XLOOKUP(E1305, '04_Products'!$A:$A, '04_Products'!$F:$F), 0)</f>
        <v/>
      </c>
      <c r="I1305" s="9">
        <f>F1305*G1305</f>
        <v/>
      </c>
      <c r="J1305" s="11" t="n">
        <v>0</v>
      </c>
      <c r="K1305" s="9">
        <f>I1305*J1305</f>
        <v/>
      </c>
      <c r="L1305" s="9">
        <f>I1305-K1305</f>
        <v/>
      </c>
      <c r="M1305" s="9">
        <f>F1305*H1305</f>
        <v/>
      </c>
      <c r="N1305" s="9">
        <f>L1305-M1305</f>
        <v/>
      </c>
      <c r="O1305" s="11">
        <f>IFERROR(N1305/L1305, 0)</f>
        <v/>
      </c>
      <c r="P1305" s="8">
        <f>YEAR(C1305)</f>
        <v/>
      </c>
      <c r="Q1305" s="8">
        <f>TEXT(C1305, "yyyy-mm")</f>
        <v/>
      </c>
      <c r="R1305" s="8" t="inlineStr">
        <is>
          <t>Direct Web</t>
        </is>
      </c>
      <c r="S1305" s="8" t="inlineStr">
        <is>
          <t>REG-NA</t>
        </is>
      </c>
    </row>
    <row r="1306">
      <c r="A1306" s="8" t="inlineStr">
        <is>
          <t>DTL-0001322</t>
        </is>
      </c>
      <c r="B1306" s="8" t="inlineStr">
        <is>
          <t>ORD-000653</t>
        </is>
      </c>
      <c r="C1306" s="10" t="inlineStr">
        <is>
          <t>2024-12-23</t>
        </is>
      </c>
      <c r="D1306" s="8" t="inlineStr">
        <is>
          <t>CUST-01403</t>
        </is>
      </c>
      <c r="E1306" s="8" t="inlineStr">
        <is>
          <t>PRD-0213</t>
        </is>
      </c>
      <c r="F1306" s="8" t="n">
        <v>1</v>
      </c>
      <c r="G1306" s="9">
        <f>IFERROR(XLOOKUP(E1306, '04_Products'!$A:$A, '04_Products'!$G:$G), 592.90)</f>
        <v/>
      </c>
      <c r="H1306" s="9">
        <f>IFERROR(XLOOKUP(E1306, '04_Products'!$A:$A, '04_Products'!$F:$F), 0)</f>
        <v/>
      </c>
      <c r="I1306" s="9">
        <f>F1306*G1306</f>
        <v/>
      </c>
      <c r="J1306" s="11" t="n">
        <v>0.05</v>
      </c>
      <c r="K1306" s="9">
        <f>I1306*J1306</f>
        <v/>
      </c>
      <c r="L1306" s="9">
        <f>I1306-K1306</f>
        <v/>
      </c>
      <c r="M1306" s="9">
        <f>F1306*H1306</f>
        <v/>
      </c>
      <c r="N1306" s="9">
        <f>L1306-M1306</f>
        <v/>
      </c>
      <c r="O1306" s="11">
        <f>IFERROR(N1306/L1306, 0)</f>
        <v/>
      </c>
      <c r="P1306" s="8">
        <f>YEAR(C1306)</f>
        <v/>
      </c>
      <c r="Q1306" s="8">
        <f>TEXT(C1306, "yyyy-mm")</f>
        <v/>
      </c>
      <c r="R1306" s="8" t="inlineStr">
        <is>
          <t>Direct Web</t>
        </is>
      </c>
      <c r="S1306" s="8" t="inlineStr">
        <is>
          <t>REG-NA</t>
        </is>
      </c>
    </row>
    <row r="1307">
      <c r="A1307" s="8" t="inlineStr">
        <is>
          <t>DTL-0001323</t>
        </is>
      </c>
      <c r="B1307" s="8" t="inlineStr">
        <is>
          <t>ORD-000653</t>
        </is>
      </c>
      <c r="C1307" s="10" t="inlineStr">
        <is>
          <t>2024-12-23</t>
        </is>
      </c>
      <c r="D1307" s="8" t="inlineStr">
        <is>
          <t>CUST-01403</t>
        </is>
      </c>
      <c r="E1307" s="8" t="inlineStr">
        <is>
          <t>PRD-0124</t>
        </is>
      </c>
      <c r="F1307" s="8" t="n">
        <v>1</v>
      </c>
      <c r="G1307" s="9">
        <f>IFERROR(XLOOKUP(E1307, '04_Products'!$A:$A, '04_Products'!$G:$G), 265.24)</f>
        <v/>
      </c>
      <c r="H1307" s="9">
        <f>IFERROR(XLOOKUP(E1307, '04_Products'!$A:$A, '04_Products'!$F:$F), 0)</f>
        <v/>
      </c>
      <c r="I1307" s="9">
        <f>F1307*G1307</f>
        <v/>
      </c>
      <c r="J1307" s="11" t="n">
        <v>0.05</v>
      </c>
      <c r="K1307" s="9">
        <f>I1307*J1307</f>
        <v/>
      </c>
      <c r="L1307" s="9">
        <f>I1307-K1307</f>
        <v/>
      </c>
      <c r="M1307" s="9">
        <f>F1307*H1307</f>
        <v/>
      </c>
      <c r="N1307" s="9">
        <f>L1307-M1307</f>
        <v/>
      </c>
      <c r="O1307" s="11">
        <f>IFERROR(N1307/L1307, 0)</f>
        <v/>
      </c>
      <c r="P1307" s="8">
        <f>YEAR(C1307)</f>
        <v/>
      </c>
      <c r="Q1307" s="8">
        <f>TEXT(C1307, "yyyy-mm")</f>
        <v/>
      </c>
      <c r="R1307" s="8" t="inlineStr">
        <is>
          <t>Direct Web</t>
        </is>
      </c>
      <c r="S1307" s="8" t="inlineStr">
        <is>
          <t>REG-NA</t>
        </is>
      </c>
    </row>
    <row r="1308">
      <c r="A1308" s="8" t="inlineStr">
        <is>
          <t>DTL-0001324</t>
        </is>
      </c>
      <c r="B1308" s="8" t="inlineStr">
        <is>
          <t>ORD-000654</t>
        </is>
      </c>
      <c r="C1308" s="10" t="inlineStr">
        <is>
          <t>2025-01-29</t>
        </is>
      </c>
      <c r="D1308" s="8" t="inlineStr">
        <is>
          <t>CUST-05096</t>
        </is>
      </c>
      <c r="E1308" s="8" t="inlineStr">
        <is>
          <t>PRD-0293</t>
        </is>
      </c>
      <c r="F1308" s="8" t="n">
        <v>2</v>
      </c>
      <c r="G1308" s="9">
        <f>IFERROR(XLOOKUP(E1308, '04_Products'!$A:$A, '04_Products'!$G:$G), 231.64)</f>
        <v/>
      </c>
      <c r="H1308" s="9">
        <f>IFERROR(XLOOKUP(E1308, '04_Products'!$A:$A, '04_Products'!$F:$F), 0)</f>
        <v/>
      </c>
      <c r="I1308" s="9">
        <f>F1308*G1308</f>
        <v/>
      </c>
      <c r="J1308" s="11" t="n">
        <v>0.3</v>
      </c>
      <c r="K1308" s="9">
        <f>I1308*J1308</f>
        <v/>
      </c>
      <c r="L1308" s="9">
        <f>I1308-K1308</f>
        <v/>
      </c>
      <c r="M1308" s="9">
        <f>F1308*H1308</f>
        <v/>
      </c>
      <c r="N1308" s="9">
        <f>L1308-M1308</f>
        <v/>
      </c>
      <c r="O1308" s="11">
        <f>IFERROR(N1308/L1308, 0)</f>
        <v/>
      </c>
      <c r="P1308" s="8">
        <f>YEAR(C1308)</f>
        <v/>
      </c>
      <c r="Q1308" s="8">
        <f>TEXT(C1308, "yyyy-mm")</f>
        <v/>
      </c>
      <c r="R1308" s="8" t="inlineStr">
        <is>
          <t>Direct Web</t>
        </is>
      </c>
      <c r="S1308" s="8" t="inlineStr">
        <is>
          <t>REG-NA</t>
        </is>
      </c>
    </row>
    <row r="1309">
      <c r="A1309" s="8" t="inlineStr">
        <is>
          <t>DTL-0001325</t>
        </is>
      </c>
      <c r="B1309" s="8" t="inlineStr">
        <is>
          <t>ORD-000655</t>
        </is>
      </c>
      <c r="C1309" s="10" t="inlineStr">
        <is>
          <t>2023-11-14</t>
        </is>
      </c>
      <c r="D1309" s="8" t="inlineStr">
        <is>
          <t>CUST-07047</t>
        </is>
      </c>
      <c r="E1309" s="8" t="inlineStr">
        <is>
          <t>PRD-0206</t>
        </is>
      </c>
      <c r="F1309" s="8" t="n">
        <v>1</v>
      </c>
      <c r="G1309" s="9">
        <f>IFERROR(XLOOKUP(E1309, '04_Products'!$A:$A, '04_Products'!$G:$G), 672.37)</f>
        <v/>
      </c>
      <c r="H1309" s="9">
        <f>IFERROR(XLOOKUP(E1309, '04_Products'!$A:$A, '04_Products'!$F:$F), 0)</f>
        <v/>
      </c>
      <c r="I1309" s="9">
        <f>F1309*G1309</f>
        <v/>
      </c>
      <c r="J1309" s="11" t="n">
        <v>0.05</v>
      </c>
      <c r="K1309" s="9">
        <f>I1309*J1309</f>
        <v/>
      </c>
      <c r="L1309" s="9">
        <f>I1309-K1309</f>
        <v/>
      </c>
      <c r="M1309" s="9">
        <f>F1309*H1309</f>
        <v/>
      </c>
      <c r="N1309" s="9">
        <f>L1309-M1309</f>
        <v/>
      </c>
      <c r="O1309" s="11">
        <f>IFERROR(N1309/L1309, 0)</f>
        <v/>
      </c>
      <c r="P1309" s="8">
        <f>YEAR(C1309)</f>
        <v/>
      </c>
      <c r="Q1309" s="8">
        <f>TEXT(C1309, "yyyy-mm")</f>
        <v/>
      </c>
      <c r="R1309" s="8" t="inlineStr">
        <is>
          <t>Affiliate Partner</t>
        </is>
      </c>
      <c r="S1309" s="8" t="inlineStr">
        <is>
          <t>REG-EU</t>
        </is>
      </c>
    </row>
    <row r="1310">
      <c r="A1310" s="8" t="inlineStr">
        <is>
          <t>DTL-0001326</t>
        </is>
      </c>
      <c r="B1310" s="8" t="inlineStr">
        <is>
          <t>ORD-000656</t>
        </is>
      </c>
      <c r="C1310" s="10" t="inlineStr">
        <is>
          <t>2024-12-30</t>
        </is>
      </c>
      <c r="D1310" s="8" t="inlineStr">
        <is>
          <t>CUST-04271</t>
        </is>
      </c>
      <c r="E1310" s="8" t="inlineStr">
        <is>
          <t>PRD-0293</t>
        </is>
      </c>
      <c r="F1310" s="8" t="n">
        <v>1</v>
      </c>
      <c r="G1310" s="9">
        <f>IFERROR(XLOOKUP(E1310, '04_Products'!$A:$A, '04_Products'!$G:$G), 231.64)</f>
        <v/>
      </c>
      <c r="H1310" s="9">
        <f>IFERROR(XLOOKUP(E1310, '04_Products'!$A:$A, '04_Products'!$F:$F), 0)</f>
        <v/>
      </c>
      <c r="I1310" s="9">
        <f>F1310*G1310</f>
        <v/>
      </c>
      <c r="J1310" s="11" t="n">
        <v>0.1</v>
      </c>
      <c r="K1310" s="9">
        <f>I1310*J1310</f>
        <v/>
      </c>
      <c r="L1310" s="9">
        <f>I1310-K1310</f>
        <v/>
      </c>
      <c r="M1310" s="9">
        <f>F1310*H1310</f>
        <v/>
      </c>
      <c r="N1310" s="9">
        <f>L1310-M1310</f>
        <v/>
      </c>
      <c r="O1310" s="11">
        <f>IFERROR(N1310/L1310, 0)</f>
        <v/>
      </c>
      <c r="P1310" s="8">
        <f>YEAR(C1310)</f>
        <v/>
      </c>
      <c r="Q1310" s="8">
        <f>TEXT(C1310, "yyyy-mm")</f>
        <v/>
      </c>
      <c r="R1310" s="8" t="inlineStr">
        <is>
          <t>Direct Web</t>
        </is>
      </c>
      <c r="S1310" s="8" t="inlineStr">
        <is>
          <t>REG-APAC</t>
        </is>
      </c>
    </row>
    <row r="1311">
      <c r="A1311" s="8" t="inlineStr">
        <is>
          <t>DTL-0001327</t>
        </is>
      </c>
      <c r="B1311" s="8" t="inlineStr">
        <is>
          <t>ORD-000656</t>
        </is>
      </c>
      <c r="C1311" s="10" t="inlineStr">
        <is>
          <t>2024-12-30</t>
        </is>
      </c>
      <c r="D1311" s="8" t="inlineStr">
        <is>
          <t>CUST-04271</t>
        </is>
      </c>
      <c r="E1311" s="8" t="inlineStr">
        <is>
          <t>PRD-0005</t>
        </is>
      </c>
      <c r="F1311" s="8" t="n">
        <v>4</v>
      </c>
      <c r="G1311" s="9">
        <f>IFERROR(XLOOKUP(E1311, '04_Products'!$A:$A, '04_Products'!$G:$G), 148.59)</f>
        <v/>
      </c>
      <c r="H1311" s="9">
        <f>IFERROR(XLOOKUP(E1311, '04_Products'!$A:$A, '04_Products'!$F:$F), 0)</f>
        <v/>
      </c>
      <c r="I1311" s="9">
        <f>F1311*G1311</f>
        <v/>
      </c>
      <c r="J1311" s="11" t="n">
        <v>0</v>
      </c>
      <c r="K1311" s="9">
        <f>I1311*J1311</f>
        <v/>
      </c>
      <c r="L1311" s="9">
        <f>I1311-K1311</f>
        <v/>
      </c>
      <c r="M1311" s="9">
        <f>F1311*H1311</f>
        <v/>
      </c>
      <c r="N1311" s="9">
        <f>L1311-M1311</f>
        <v/>
      </c>
      <c r="O1311" s="11">
        <f>IFERROR(N1311/L1311, 0)</f>
        <v/>
      </c>
      <c r="P1311" s="8">
        <f>YEAR(C1311)</f>
        <v/>
      </c>
      <c r="Q1311" s="8">
        <f>TEXT(C1311, "yyyy-mm")</f>
        <v/>
      </c>
      <c r="R1311" s="8" t="inlineStr">
        <is>
          <t>Direct Web</t>
        </is>
      </c>
      <c r="S1311" s="8" t="inlineStr">
        <is>
          <t>REG-APAC</t>
        </is>
      </c>
    </row>
    <row r="1312">
      <c r="A1312" s="8" t="inlineStr">
        <is>
          <t>DTL-0001328</t>
        </is>
      </c>
      <c r="B1312" s="8" t="inlineStr">
        <is>
          <t>ORD-000657</t>
        </is>
      </c>
      <c r="C1312" s="10" t="inlineStr">
        <is>
          <t>2023-04-20</t>
        </is>
      </c>
      <c r="D1312" s="8" t="inlineStr">
        <is>
          <t>CUST-06857</t>
        </is>
      </c>
      <c r="E1312" s="8" t="inlineStr">
        <is>
          <t>PRD-0064</t>
        </is>
      </c>
      <c r="F1312" s="8" t="n">
        <v>1</v>
      </c>
      <c r="G1312" s="9">
        <f>IFERROR(XLOOKUP(E1312, '04_Products'!$A:$A, '04_Products'!$G:$G), 36.84)</f>
        <v/>
      </c>
      <c r="H1312" s="9">
        <f>IFERROR(XLOOKUP(E1312, '04_Products'!$A:$A, '04_Products'!$F:$F), 0)</f>
        <v/>
      </c>
      <c r="I1312" s="9">
        <f>F1312*G1312</f>
        <v/>
      </c>
      <c r="J1312" s="11" t="n">
        <v>0.15</v>
      </c>
      <c r="K1312" s="9">
        <f>I1312*J1312</f>
        <v/>
      </c>
      <c r="L1312" s="9">
        <f>I1312-K1312</f>
        <v/>
      </c>
      <c r="M1312" s="9">
        <f>F1312*H1312</f>
        <v/>
      </c>
      <c r="N1312" s="9">
        <f>L1312-M1312</f>
        <v/>
      </c>
      <c r="O1312" s="11">
        <f>IFERROR(N1312/L1312, 0)</f>
        <v/>
      </c>
      <c r="P1312" s="8">
        <f>YEAR(C1312)</f>
        <v/>
      </c>
      <c r="Q1312" s="8">
        <f>TEXT(C1312, "yyyy-mm")</f>
        <v/>
      </c>
      <c r="R1312" s="8" t="inlineStr">
        <is>
          <t>Direct Web</t>
        </is>
      </c>
      <c r="S1312" s="8" t="inlineStr">
        <is>
          <t>REG-EU</t>
        </is>
      </c>
    </row>
    <row r="1313">
      <c r="A1313" s="8" t="inlineStr">
        <is>
          <t>DTL-0001329</t>
        </is>
      </c>
      <c r="B1313" s="8" t="inlineStr">
        <is>
          <t>ORD-000657</t>
        </is>
      </c>
      <c r="C1313" s="10" t="inlineStr">
        <is>
          <t>2023-04-20</t>
        </is>
      </c>
      <c r="D1313" s="8" t="inlineStr">
        <is>
          <t>CUST-06857</t>
        </is>
      </c>
      <c r="E1313" s="8" t="inlineStr">
        <is>
          <t>PRD-0280</t>
        </is>
      </c>
      <c r="F1313" s="8" t="n">
        <v>3</v>
      </c>
      <c r="G1313" s="9">
        <f>IFERROR(XLOOKUP(E1313, '04_Products'!$A:$A, '04_Products'!$G:$G), 408.85)</f>
        <v/>
      </c>
      <c r="H1313" s="9">
        <f>IFERROR(XLOOKUP(E1313, '04_Products'!$A:$A, '04_Products'!$F:$F), 0)</f>
        <v/>
      </c>
      <c r="I1313" s="9">
        <f>F1313*G1313</f>
        <v/>
      </c>
      <c r="J1313" s="11" t="n">
        <v>0.05</v>
      </c>
      <c r="K1313" s="9">
        <f>I1313*J1313</f>
        <v/>
      </c>
      <c r="L1313" s="9">
        <f>I1313-K1313</f>
        <v/>
      </c>
      <c r="M1313" s="9">
        <f>F1313*H1313</f>
        <v/>
      </c>
      <c r="N1313" s="9">
        <f>L1313-M1313</f>
        <v/>
      </c>
      <c r="O1313" s="11">
        <f>IFERROR(N1313/L1313, 0)</f>
        <v/>
      </c>
      <c r="P1313" s="8">
        <f>YEAR(C1313)</f>
        <v/>
      </c>
      <c r="Q1313" s="8">
        <f>TEXT(C1313, "yyyy-mm")</f>
        <v/>
      </c>
      <c r="R1313" s="8" t="inlineStr">
        <is>
          <t>Direct Web</t>
        </is>
      </c>
      <c r="S1313" s="8" t="inlineStr">
        <is>
          <t>REG-EU</t>
        </is>
      </c>
    </row>
    <row r="1314">
      <c r="A1314" s="8" t="inlineStr">
        <is>
          <t>DTL-0001330</t>
        </is>
      </c>
      <c r="B1314" s="8" t="inlineStr">
        <is>
          <t>ORD-000658</t>
        </is>
      </c>
      <c r="C1314" s="10" t="inlineStr">
        <is>
          <t>2024-04-25</t>
        </is>
      </c>
      <c r="D1314" s="8" t="inlineStr">
        <is>
          <t>CUST-02328</t>
        </is>
      </c>
      <c r="E1314" s="8" t="inlineStr">
        <is>
          <t>PRD-0045</t>
        </is>
      </c>
      <c r="F1314" s="8" t="n">
        <v>1</v>
      </c>
      <c r="G1314" s="9">
        <f>IFERROR(XLOOKUP(E1314, '04_Products'!$A:$A, '04_Products'!$G:$G), 30.53)</f>
        <v/>
      </c>
      <c r="H1314" s="9">
        <f>IFERROR(XLOOKUP(E1314, '04_Products'!$A:$A, '04_Products'!$F:$F), 0)</f>
        <v/>
      </c>
      <c r="I1314" s="9">
        <f>F1314*G1314</f>
        <v/>
      </c>
      <c r="J1314" s="11" t="n">
        <v>0.1</v>
      </c>
      <c r="K1314" s="9">
        <f>I1314*J1314</f>
        <v/>
      </c>
      <c r="L1314" s="9">
        <f>I1314-K1314</f>
        <v/>
      </c>
      <c r="M1314" s="9">
        <f>F1314*H1314</f>
        <v/>
      </c>
      <c r="N1314" s="9">
        <f>L1314-M1314</f>
        <v/>
      </c>
      <c r="O1314" s="11">
        <f>IFERROR(N1314/L1314, 0)</f>
        <v/>
      </c>
      <c r="P1314" s="8">
        <f>YEAR(C1314)</f>
        <v/>
      </c>
      <c r="Q1314" s="8">
        <f>TEXT(C1314, "yyyy-mm")</f>
        <v/>
      </c>
      <c r="R1314" s="8" t="inlineStr">
        <is>
          <t>Direct Web</t>
        </is>
      </c>
      <c r="S1314" s="8" t="inlineStr">
        <is>
          <t>REG-LATAM</t>
        </is>
      </c>
    </row>
    <row r="1315">
      <c r="A1315" s="8" t="inlineStr">
        <is>
          <t>DTL-0001331</t>
        </is>
      </c>
      <c r="B1315" s="8" t="inlineStr">
        <is>
          <t>ORD-000658</t>
        </is>
      </c>
      <c r="C1315" s="10" t="inlineStr">
        <is>
          <t>2024-04-25</t>
        </is>
      </c>
      <c r="D1315" s="8" t="inlineStr">
        <is>
          <t>CUST-02328</t>
        </is>
      </c>
      <c r="E1315" s="8" t="inlineStr">
        <is>
          <t>PRD-0480</t>
        </is>
      </c>
      <c r="F1315" s="8" t="n">
        <v>1</v>
      </c>
      <c r="G1315" s="9">
        <f>IFERROR(XLOOKUP(E1315, '04_Products'!$A:$A, '04_Products'!$G:$G), 122.63)</f>
        <v/>
      </c>
      <c r="H1315" s="9">
        <f>IFERROR(XLOOKUP(E1315, '04_Products'!$A:$A, '04_Products'!$F:$F), 0)</f>
        <v/>
      </c>
      <c r="I1315" s="9">
        <f>F1315*G1315</f>
        <v/>
      </c>
      <c r="J1315" s="11" t="n">
        <v>0</v>
      </c>
      <c r="K1315" s="9">
        <f>I1315*J1315</f>
        <v/>
      </c>
      <c r="L1315" s="9">
        <f>I1315-K1315</f>
        <v/>
      </c>
      <c r="M1315" s="9">
        <f>F1315*H1315</f>
        <v/>
      </c>
      <c r="N1315" s="9">
        <f>L1315-M1315</f>
        <v/>
      </c>
      <c r="O1315" s="11">
        <f>IFERROR(N1315/L1315, 0)</f>
        <v/>
      </c>
      <c r="P1315" s="8">
        <f>YEAR(C1315)</f>
        <v/>
      </c>
      <c r="Q1315" s="8">
        <f>TEXT(C1315, "yyyy-mm")</f>
        <v/>
      </c>
      <c r="R1315" s="8" t="inlineStr">
        <is>
          <t>Direct Web</t>
        </is>
      </c>
      <c r="S1315" s="8" t="inlineStr">
        <is>
          <t>REG-LATAM</t>
        </is>
      </c>
    </row>
    <row r="1316">
      <c r="A1316" s="8" t="inlineStr">
        <is>
          <t>DTL-0001332</t>
        </is>
      </c>
      <c r="B1316" s="8" t="inlineStr">
        <is>
          <t>ORD-000658</t>
        </is>
      </c>
      <c r="C1316" s="10" t="inlineStr">
        <is>
          <t>2024-04-25</t>
        </is>
      </c>
      <c r="D1316" s="8" t="inlineStr">
        <is>
          <t>CUST-02328</t>
        </is>
      </c>
      <c r="E1316" s="8" t="inlineStr">
        <is>
          <t>PRD-0490</t>
        </is>
      </c>
      <c r="F1316" s="8" t="n">
        <v>1</v>
      </c>
      <c r="G1316" s="9">
        <f>IFERROR(XLOOKUP(E1316, '04_Products'!$A:$A, '04_Products'!$G:$G), 146.89)</f>
        <v/>
      </c>
      <c r="H1316" s="9">
        <f>IFERROR(XLOOKUP(E1316, '04_Products'!$A:$A, '04_Products'!$F:$F), 0)</f>
        <v/>
      </c>
      <c r="I1316" s="9">
        <f>F1316*G1316</f>
        <v/>
      </c>
      <c r="J1316" s="11" t="n">
        <v>0</v>
      </c>
      <c r="K1316" s="9">
        <f>I1316*J1316</f>
        <v/>
      </c>
      <c r="L1316" s="9">
        <f>I1316-K1316</f>
        <v/>
      </c>
      <c r="M1316" s="9">
        <f>F1316*H1316</f>
        <v/>
      </c>
      <c r="N1316" s="9">
        <f>L1316-M1316</f>
        <v/>
      </c>
      <c r="O1316" s="11">
        <f>IFERROR(N1316/L1316, 0)</f>
        <v/>
      </c>
      <c r="P1316" s="8">
        <f>YEAR(C1316)</f>
        <v/>
      </c>
      <c r="Q1316" s="8">
        <f>TEXT(C1316, "yyyy-mm")</f>
        <v/>
      </c>
      <c r="R1316" s="8" t="inlineStr">
        <is>
          <t>Direct Web</t>
        </is>
      </c>
      <c r="S1316" s="8" t="inlineStr">
        <is>
          <t>REG-LATAM</t>
        </is>
      </c>
    </row>
    <row r="1317">
      <c r="A1317" s="8" t="inlineStr">
        <is>
          <t>DTL-0001333</t>
        </is>
      </c>
      <c r="B1317" s="8" t="inlineStr">
        <is>
          <t>ORD-000658</t>
        </is>
      </c>
      <c r="C1317" s="10" t="inlineStr">
        <is>
          <t>2024-04-25</t>
        </is>
      </c>
      <c r="D1317" s="8" t="inlineStr">
        <is>
          <t>CUST-02328</t>
        </is>
      </c>
      <c r="E1317" s="8" t="inlineStr">
        <is>
          <t>PRD-0261</t>
        </is>
      </c>
      <c r="F1317" s="8" t="n">
        <v>1</v>
      </c>
      <c r="G1317" s="9">
        <f>IFERROR(XLOOKUP(E1317, '04_Products'!$A:$A, '04_Products'!$G:$G), 568.83)</f>
        <v/>
      </c>
      <c r="H1317" s="9">
        <f>IFERROR(XLOOKUP(E1317, '04_Products'!$A:$A, '04_Products'!$F:$F), 0)</f>
        <v/>
      </c>
      <c r="I1317" s="9">
        <f>F1317*G1317</f>
        <v/>
      </c>
      <c r="J1317" s="11" t="n">
        <v>0</v>
      </c>
      <c r="K1317" s="9">
        <f>I1317*J1317</f>
        <v/>
      </c>
      <c r="L1317" s="9">
        <f>I1317-K1317</f>
        <v/>
      </c>
      <c r="M1317" s="9">
        <f>F1317*H1317</f>
        <v/>
      </c>
      <c r="N1317" s="9">
        <f>L1317-M1317</f>
        <v/>
      </c>
      <c r="O1317" s="11">
        <f>IFERROR(N1317/L1317, 0)</f>
        <v/>
      </c>
      <c r="P1317" s="8">
        <f>YEAR(C1317)</f>
        <v/>
      </c>
      <c r="Q1317" s="8">
        <f>TEXT(C1317, "yyyy-mm")</f>
        <v/>
      </c>
      <c r="R1317" s="8" t="inlineStr">
        <is>
          <t>Direct Web</t>
        </is>
      </c>
      <c r="S1317" s="8" t="inlineStr">
        <is>
          <t>REG-LATAM</t>
        </is>
      </c>
    </row>
    <row r="1318">
      <c r="A1318" s="8" t="inlineStr">
        <is>
          <t>DTL-0001334</t>
        </is>
      </c>
      <c r="B1318" s="8" t="inlineStr">
        <is>
          <t>ORD-000659</t>
        </is>
      </c>
      <c r="C1318" s="10" t="inlineStr">
        <is>
          <t>2023-12-29</t>
        </is>
      </c>
      <c r="D1318" s="8" t="inlineStr">
        <is>
          <t>CUST-04973</t>
        </is>
      </c>
      <c r="E1318" s="8" t="inlineStr">
        <is>
          <t>PRD-0280</t>
        </is>
      </c>
      <c r="F1318" s="8" t="n">
        <v>1</v>
      </c>
      <c r="G1318" s="9">
        <f>IFERROR(XLOOKUP(E1318, '04_Products'!$A:$A, '04_Products'!$G:$G), 408.85)</f>
        <v/>
      </c>
      <c r="H1318" s="9">
        <f>IFERROR(XLOOKUP(E1318, '04_Products'!$A:$A, '04_Products'!$F:$F), 0)</f>
        <v/>
      </c>
      <c r="I1318" s="9">
        <f>F1318*G1318</f>
        <v/>
      </c>
      <c r="J1318" s="11" t="n">
        <v>0</v>
      </c>
      <c r="K1318" s="9">
        <f>I1318*J1318</f>
        <v/>
      </c>
      <c r="L1318" s="9">
        <f>I1318-K1318</f>
        <v/>
      </c>
      <c r="M1318" s="9">
        <f>F1318*H1318</f>
        <v/>
      </c>
      <c r="N1318" s="9">
        <f>L1318-M1318</f>
        <v/>
      </c>
      <c r="O1318" s="11">
        <f>IFERROR(N1318/L1318, 0)</f>
        <v/>
      </c>
      <c r="P1318" s="8">
        <f>YEAR(C1318)</f>
        <v/>
      </c>
      <c r="Q1318" s="8">
        <f>TEXT(C1318, "yyyy-mm")</f>
        <v/>
      </c>
      <c r="R1318" s="8" t="inlineStr">
        <is>
          <t>Direct Web</t>
        </is>
      </c>
      <c r="S1318" s="8" t="inlineStr">
        <is>
          <t>REG-NA</t>
        </is>
      </c>
    </row>
    <row r="1319">
      <c r="A1319" s="8" t="inlineStr">
        <is>
          <t>DTL-0001335</t>
        </is>
      </c>
      <c r="B1319" s="8" t="inlineStr">
        <is>
          <t>ORD-000659</t>
        </is>
      </c>
      <c r="C1319" s="10" t="inlineStr">
        <is>
          <t>2023-12-29</t>
        </is>
      </c>
      <c r="D1319" s="8" t="inlineStr">
        <is>
          <t>CUST-04973</t>
        </is>
      </c>
      <c r="E1319" s="8" t="inlineStr">
        <is>
          <t>PRD-0405</t>
        </is>
      </c>
      <c r="F1319" s="8" t="n">
        <v>1</v>
      </c>
      <c r="G1319" s="9">
        <f>IFERROR(XLOOKUP(E1319, '04_Products'!$A:$A, '04_Products'!$G:$G), 29.36)</f>
        <v/>
      </c>
      <c r="H1319" s="9">
        <f>IFERROR(XLOOKUP(E1319, '04_Products'!$A:$A, '04_Products'!$F:$F), 0)</f>
        <v/>
      </c>
      <c r="I1319" s="9">
        <f>F1319*G1319</f>
        <v/>
      </c>
      <c r="J1319" s="11" t="n">
        <v>0.05</v>
      </c>
      <c r="K1319" s="9">
        <f>I1319*J1319</f>
        <v/>
      </c>
      <c r="L1319" s="9">
        <f>I1319-K1319</f>
        <v/>
      </c>
      <c r="M1319" s="9">
        <f>F1319*H1319</f>
        <v/>
      </c>
      <c r="N1319" s="9">
        <f>L1319-M1319</f>
        <v/>
      </c>
      <c r="O1319" s="11">
        <f>IFERROR(N1319/L1319, 0)</f>
        <v/>
      </c>
      <c r="P1319" s="8">
        <f>YEAR(C1319)</f>
        <v/>
      </c>
      <c r="Q1319" s="8">
        <f>TEXT(C1319, "yyyy-mm")</f>
        <v/>
      </c>
      <c r="R1319" s="8" t="inlineStr">
        <is>
          <t>Direct Web</t>
        </is>
      </c>
      <c r="S1319" s="8" t="inlineStr">
        <is>
          <t>REG-NA</t>
        </is>
      </c>
    </row>
    <row r="1320">
      <c r="A1320" s="8" t="inlineStr">
        <is>
          <t>DTL-0001336</t>
        </is>
      </c>
      <c r="B1320" s="8" t="inlineStr">
        <is>
          <t>ORD-000660</t>
        </is>
      </c>
      <c r="C1320" s="10" t="inlineStr">
        <is>
          <t>2025-02-07</t>
        </is>
      </c>
      <c r="D1320" s="8" t="inlineStr">
        <is>
          <t>CUST-07046</t>
        </is>
      </c>
      <c r="E1320" s="8" t="inlineStr">
        <is>
          <t>PRD-0057</t>
        </is>
      </c>
      <c r="F1320" s="8" t="n">
        <v>2</v>
      </c>
      <c r="G1320" s="9">
        <f>IFERROR(XLOOKUP(E1320, '04_Products'!$A:$A, '04_Products'!$G:$G), 1083.72)</f>
        <v/>
      </c>
      <c r="H1320" s="9">
        <f>IFERROR(XLOOKUP(E1320, '04_Products'!$A:$A, '04_Products'!$F:$F), 0)</f>
        <v/>
      </c>
      <c r="I1320" s="9">
        <f>F1320*G1320</f>
        <v/>
      </c>
      <c r="J1320" s="11" t="n">
        <v>0.25</v>
      </c>
      <c r="K1320" s="9">
        <f>I1320*J1320</f>
        <v/>
      </c>
      <c r="L1320" s="9">
        <f>I1320-K1320</f>
        <v/>
      </c>
      <c r="M1320" s="9">
        <f>F1320*H1320</f>
        <v/>
      </c>
      <c r="N1320" s="9">
        <f>L1320-M1320</f>
        <v/>
      </c>
      <c r="O1320" s="11">
        <f>IFERROR(N1320/L1320, 0)</f>
        <v/>
      </c>
      <c r="P1320" s="8">
        <f>YEAR(C1320)</f>
        <v/>
      </c>
      <c r="Q1320" s="8">
        <f>TEXT(C1320, "yyyy-mm")</f>
        <v/>
      </c>
      <c r="R1320" s="8" t="inlineStr">
        <is>
          <t>Direct Web</t>
        </is>
      </c>
      <c r="S1320" s="8" t="inlineStr">
        <is>
          <t>REG-NA</t>
        </is>
      </c>
    </row>
    <row r="1321">
      <c r="A1321" s="8" t="inlineStr">
        <is>
          <t>DTL-0001337</t>
        </is>
      </c>
      <c r="B1321" s="8" t="inlineStr">
        <is>
          <t>ORD-000660</t>
        </is>
      </c>
      <c r="C1321" s="10" t="inlineStr">
        <is>
          <t>2025-02-07</t>
        </is>
      </c>
      <c r="D1321" s="8" t="inlineStr">
        <is>
          <t>CUST-07046</t>
        </is>
      </c>
      <c r="E1321" s="8" t="inlineStr">
        <is>
          <t>PRD-0239</t>
        </is>
      </c>
      <c r="F1321" s="8" t="n">
        <v>2</v>
      </c>
      <c r="G1321" s="9">
        <f>IFERROR(XLOOKUP(E1321, '04_Products'!$A:$A, '04_Products'!$G:$G), 302.56)</f>
        <v/>
      </c>
      <c r="H1321" s="9">
        <f>IFERROR(XLOOKUP(E1321, '04_Products'!$A:$A, '04_Products'!$F:$F), 0)</f>
        <v/>
      </c>
      <c r="I1321" s="9">
        <f>F1321*G1321</f>
        <v/>
      </c>
      <c r="J1321" s="11" t="n">
        <v>0</v>
      </c>
      <c r="K1321" s="9">
        <f>I1321*J1321</f>
        <v/>
      </c>
      <c r="L1321" s="9">
        <f>I1321-K1321</f>
        <v/>
      </c>
      <c r="M1321" s="9">
        <f>F1321*H1321</f>
        <v/>
      </c>
      <c r="N1321" s="9">
        <f>L1321-M1321</f>
        <v/>
      </c>
      <c r="O1321" s="11">
        <f>IFERROR(N1321/L1321, 0)</f>
        <v/>
      </c>
      <c r="P1321" s="8">
        <f>YEAR(C1321)</f>
        <v/>
      </c>
      <c r="Q1321" s="8">
        <f>TEXT(C1321, "yyyy-mm")</f>
        <v/>
      </c>
      <c r="R1321" s="8" t="inlineStr">
        <is>
          <t>Direct Web</t>
        </is>
      </c>
      <c r="S1321" s="8" t="inlineStr">
        <is>
          <t>REG-NA</t>
        </is>
      </c>
    </row>
    <row r="1322">
      <c r="A1322" s="8" t="inlineStr">
        <is>
          <t>DTL-0001338</t>
        </is>
      </c>
      <c r="B1322" s="8" t="inlineStr">
        <is>
          <t>ORD-000660</t>
        </is>
      </c>
      <c r="C1322" s="10" t="inlineStr">
        <is>
          <t>2025-02-07</t>
        </is>
      </c>
      <c r="D1322" s="8" t="inlineStr">
        <is>
          <t>CUST-07046</t>
        </is>
      </c>
      <c r="E1322" s="8" t="inlineStr">
        <is>
          <t>PRD-0485</t>
        </is>
      </c>
      <c r="F1322" s="8" t="n">
        <v>2</v>
      </c>
      <c r="G1322" s="9">
        <f>IFERROR(XLOOKUP(E1322, '04_Products'!$A:$A, '04_Products'!$G:$G), 432.36)</f>
        <v/>
      </c>
      <c r="H1322" s="9">
        <f>IFERROR(XLOOKUP(E1322, '04_Products'!$A:$A, '04_Products'!$F:$F), 0)</f>
        <v/>
      </c>
      <c r="I1322" s="9">
        <f>F1322*G1322</f>
        <v/>
      </c>
      <c r="J1322" s="11" t="n">
        <v>0.25</v>
      </c>
      <c r="K1322" s="9">
        <f>I1322*J1322</f>
        <v/>
      </c>
      <c r="L1322" s="9">
        <f>I1322-K1322</f>
        <v/>
      </c>
      <c r="M1322" s="9">
        <f>F1322*H1322</f>
        <v/>
      </c>
      <c r="N1322" s="9">
        <f>L1322-M1322</f>
        <v/>
      </c>
      <c r="O1322" s="11">
        <f>IFERROR(N1322/L1322, 0)</f>
        <v/>
      </c>
      <c r="P1322" s="8">
        <f>YEAR(C1322)</f>
        <v/>
      </c>
      <c r="Q1322" s="8">
        <f>TEXT(C1322, "yyyy-mm")</f>
        <v/>
      </c>
      <c r="R1322" s="8" t="inlineStr">
        <is>
          <t>Direct Web</t>
        </is>
      </c>
      <c r="S1322" s="8" t="inlineStr">
        <is>
          <t>REG-NA</t>
        </is>
      </c>
    </row>
    <row r="1323">
      <c r="A1323" s="8" t="inlineStr">
        <is>
          <t>DTL-0001339</t>
        </is>
      </c>
      <c r="B1323" s="8" t="inlineStr">
        <is>
          <t>ORD-000661</t>
        </is>
      </c>
      <c r="C1323" s="10" t="inlineStr">
        <is>
          <t>2024-03-23</t>
        </is>
      </c>
      <c r="D1323" s="8" t="inlineStr">
        <is>
          <t>CUST-00843</t>
        </is>
      </c>
      <c r="E1323" s="8" t="inlineStr">
        <is>
          <t>PRD-0111</t>
        </is>
      </c>
      <c r="F1323" s="8" t="n">
        <v>1</v>
      </c>
      <c r="G1323" s="9">
        <f>IFERROR(XLOOKUP(E1323, '04_Products'!$A:$A, '04_Products'!$G:$G), 63.37)</f>
        <v/>
      </c>
      <c r="H1323" s="9">
        <f>IFERROR(XLOOKUP(E1323, '04_Products'!$A:$A, '04_Products'!$F:$F), 0)</f>
        <v/>
      </c>
      <c r="I1323" s="9">
        <f>F1323*G1323</f>
        <v/>
      </c>
      <c r="J1323" s="11" t="n">
        <v>0</v>
      </c>
      <c r="K1323" s="9">
        <f>I1323*J1323</f>
        <v/>
      </c>
      <c r="L1323" s="9">
        <f>I1323-K1323</f>
        <v/>
      </c>
      <c r="M1323" s="9">
        <f>F1323*H1323</f>
        <v/>
      </c>
      <c r="N1323" s="9">
        <f>L1323-M1323</f>
        <v/>
      </c>
      <c r="O1323" s="11">
        <f>IFERROR(N1323/L1323, 0)</f>
        <v/>
      </c>
      <c r="P1323" s="8">
        <f>YEAR(C1323)</f>
        <v/>
      </c>
      <c r="Q1323" s="8">
        <f>TEXT(C1323, "yyyy-mm")</f>
        <v/>
      </c>
      <c r="R1323" s="8" t="inlineStr">
        <is>
          <t>Direct Web</t>
        </is>
      </c>
      <c r="S1323" s="8" t="inlineStr">
        <is>
          <t>REG-NA</t>
        </is>
      </c>
    </row>
    <row r="1324">
      <c r="A1324" s="8" t="inlineStr">
        <is>
          <t>DTL-0001340</t>
        </is>
      </c>
      <c r="B1324" s="8" t="inlineStr">
        <is>
          <t>ORD-000662</t>
        </is>
      </c>
      <c r="C1324" s="10" t="inlineStr">
        <is>
          <t>2025-12-14</t>
        </is>
      </c>
      <c r="D1324" s="8" t="inlineStr">
        <is>
          <t>CUST-04411</t>
        </is>
      </c>
      <c r="E1324" s="8" t="inlineStr">
        <is>
          <t>PRD-0400</t>
        </is>
      </c>
      <c r="F1324" s="8" t="n">
        <v>1</v>
      </c>
      <c r="G1324" s="9">
        <f>IFERROR(XLOOKUP(E1324, '04_Products'!$A:$A, '04_Products'!$G:$G), 409.11)</f>
        <v/>
      </c>
      <c r="H1324" s="9">
        <f>IFERROR(XLOOKUP(E1324, '04_Products'!$A:$A, '04_Products'!$F:$F), 0)</f>
        <v/>
      </c>
      <c r="I1324" s="9">
        <f>F1324*G1324</f>
        <v/>
      </c>
      <c r="J1324" s="11" t="n">
        <v>0</v>
      </c>
      <c r="K1324" s="9">
        <f>I1324*J1324</f>
        <v/>
      </c>
      <c r="L1324" s="9">
        <f>I1324-K1324</f>
        <v/>
      </c>
      <c r="M1324" s="9">
        <f>F1324*H1324</f>
        <v/>
      </c>
      <c r="N1324" s="9">
        <f>L1324-M1324</f>
        <v/>
      </c>
      <c r="O1324" s="11">
        <f>IFERROR(N1324/L1324, 0)</f>
        <v/>
      </c>
      <c r="P1324" s="8">
        <f>YEAR(C1324)</f>
        <v/>
      </c>
      <c r="Q1324" s="8">
        <f>TEXT(C1324, "yyyy-mm")</f>
        <v/>
      </c>
      <c r="R1324" s="8" t="inlineStr">
        <is>
          <t>Mobile App</t>
        </is>
      </c>
      <c r="S1324" s="8" t="inlineStr">
        <is>
          <t>REG-APAC</t>
        </is>
      </c>
    </row>
    <row r="1325">
      <c r="A1325" s="8" t="inlineStr">
        <is>
          <t>DTL-0001341</t>
        </is>
      </c>
      <c r="B1325" s="8" t="inlineStr">
        <is>
          <t>ORD-000663</t>
        </is>
      </c>
      <c r="C1325" s="10" t="inlineStr">
        <is>
          <t>2024-12-30</t>
        </is>
      </c>
      <c r="D1325" s="8" t="inlineStr">
        <is>
          <t>CUST-00618</t>
        </is>
      </c>
      <c r="E1325" s="8" t="inlineStr">
        <is>
          <t>PRD-0490</t>
        </is>
      </c>
      <c r="F1325" s="8" t="n">
        <v>1</v>
      </c>
      <c r="G1325" s="9">
        <f>IFERROR(XLOOKUP(E1325, '04_Products'!$A:$A, '04_Products'!$G:$G), 146.89)</f>
        <v/>
      </c>
      <c r="H1325" s="9">
        <f>IFERROR(XLOOKUP(E1325, '04_Products'!$A:$A, '04_Products'!$F:$F), 0)</f>
        <v/>
      </c>
      <c r="I1325" s="9">
        <f>F1325*G1325</f>
        <v/>
      </c>
      <c r="J1325" s="11" t="n">
        <v>0.05</v>
      </c>
      <c r="K1325" s="9">
        <f>I1325*J1325</f>
        <v/>
      </c>
      <c r="L1325" s="9">
        <f>I1325-K1325</f>
        <v/>
      </c>
      <c r="M1325" s="9">
        <f>F1325*H1325</f>
        <v/>
      </c>
      <c r="N1325" s="9">
        <f>L1325-M1325</f>
        <v/>
      </c>
      <c r="O1325" s="11">
        <f>IFERROR(N1325/L1325, 0)</f>
        <v/>
      </c>
      <c r="P1325" s="8">
        <f>YEAR(C1325)</f>
        <v/>
      </c>
      <c r="Q1325" s="8">
        <f>TEXT(C1325, "yyyy-mm")</f>
        <v/>
      </c>
      <c r="R1325" s="8" t="inlineStr">
        <is>
          <t>B2B Portal</t>
        </is>
      </c>
      <c r="S1325" s="8" t="inlineStr">
        <is>
          <t>REG-APAC</t>
        </is>
      </c>
    </row>
    <row r="1326">
      <c r="A1326" s="8" t="inlineStr">
        <is>
          <t>DTL-0001342</t>
        </is>
      </c>
      <c r="B1326" s="8" t="inlineStr">
        <is>
          <t>ORD-000664</t>
        </is>
      </c>
      <c r="C1326" s="10" t="inlineStr">
        <is>
          <t>2023-12-09</t>
        </is>
      </c>
      <c r="D1326" s="8" t="inlineStr">
        <is>
          <t>CUST-03078</t>
        </is>
      </c>
      <c r="E1326" s="8" t="inlineStr">
        <is>
          <t>PRD-0223</t>
        </is>
      </c>
      <c r="F1326" s="8" t="n">
        <v>1</v>
      </c>
      <c r="G1326" s="9">
        <f>IFERROR(XLOOKUP(E1326, '04_Products'!$A:$A, '04_Products'!$G:$G), 31.04)</f>
        <v/>
      </c>
      <c r="H1326" s="9">
        <f>IFERROR(XLOOKUP(E1326, '04_Products'!$A:$A, '04_Products'!$F:$F), 0)</f>
        <v/>
      </c>
      <c r="I1326" s="9">
        <f>F1326*G1326</f>
        <v/>
      </c>
      <c r="J1326" s="11" t="n">
        <v>0.1</v>
      </c>
      <c r="K1326" s="9">
        <f>I1326*J1326</f>
        <v/>
      </c>
      <c r="L1326" s="9">
        <f>I1326-K1326</f>
        <v/>
      </c>
      <c r="M1326" s="9">
        <f>F1326*H1326</f>
        <v/>
      </c>
      <c r="N1326" s="9">
        <f>L1326-M1326</f>
        <v/>
      </c>
      <c r="O1326" s="11">
        <f>IFERROR(N1326/L1326, 0)</f>
        <v/>
      </c>
      <c r="P1326" s="8">
        <f>YEAR(C1326)</f>
        <v/>
      </c>
      <c r="Q1326" s="8">
        <f>TEXT(C1326, "yyyy-mm")</f>
        <v/>
      </c>
      <c r="R1326" s="8" t="inlineStr">
        <is>
          <t>Mobile App</t>
        </is>
      </c>
      <c r="S1326" s="8" t="inlineStr">
        <is>
          <t>REG-APAC</t>
        </is>
      </c>
    </row>
    <row r="1327">
      <c r="A1327" s="8" t="inlineStr">
        <is>
          <t>DTL-0001343</t>
        </is>
      </c>
      <c r="B1327" s="8" t="inlineStr">
        <is>
          <t>ORD-000665</t>
        </is>
      </c>
      <c r="C1327" s="10" t="inlineStr">
        <is>
          <t>2023-01-05</t>
        </is>
      </c>
      <c r="D1327" s="8" t="inlineStr">
        <is>
          <t>CUST-00541</t>
        </is>
      </c>
      <c r="E1327" s="8" t="inlineStr">
        <is>
          <t>PRD-0032</t>
        </is>
      </c>
      <c r="F1327" s="8" t="n">
        <v>3</v>
      </c>
      <c r="G1327" s="9">
        <f>IFERROR(XLOOKUP(E1327, '04_Products'!$A:$A, '04_Products'!$G:$G), 226.36)</f>
        <v/>
      </c>
      <c r="H1327" s="9">
        <f>IFERROR(XLOOKUP(E1327, '04_Products'!$A:$A, '04_Products'!$F:$F), 0)</f>
        <v/>
      </c>
      <c r="I1327" s="9">
        <f>F1327*G1327</f>
        <v/>
      </c>
      <c r="J1327" s="11" t="n">
        <v>0</v>
      </c>
      <c r="K1327" s="9">
        <f>I1327*J1327</f>
        <v/>
      </c>
      <c r="L1327" s="9">
        <f>I1327-K1327</f>
        <v/>
      </c>
      <c r="M1327" s="9">
        <f>F1327*H1327</f>
        <v/>
      </c>
      <c r="N1327" s="9">
        <f>L1327-M1327</f>
        <v/>
      </c>
      <c r="O1327" s="11">
        <f>IFERROR(N1327/L1327, 0)</f>
        <v/>
      </c>
      <c r="P1327" s="8">
        <f>YEAR(C1327)</f>
        <v/>
      </c>
      <c r="Q1327" s="8">
        <f>TEXT(C1327, "yyyy-mm")</f>
        <v/>
      </c>
      <c r="R1327" s="8" t="inlineStr">
        <is>
          <t>Mobile App</t>
        </is>
      </c>
      <c r="S1327" s="8" t="inlineStr">
        <is>
          <t>REG-NA</t>
        </is>
      </c>
    </row>
    <row r="1328">
      <c r="A1328" s="8" t="inlineStr">
        <is>
          <t>DTL-0001344</t>
        </is>
      </c>
      <c r="B1328" s="8" t="inlineStr">
        <is>
          <t>ORD-000666</t>
        </is>
      </c>
      <c r="C1328" s="10" t="inlineStr">
        <is>
          <t>2023-12-24</t>
        </is>
      </c>
      <c r="D1328" s="8" t="inlineStr">
        <is>
          <t>CUST-00026</t>
        </is>
      </c>
      <c r="E1328" s="8" t="inlineStr">
        <is>
          <t>PRD-0242</t>
        </is>
      </c>
      <c r="F1328" s="8" t="n">
        <v>1</v>
      </c>
      <c r="G1328" s="9">
        <f>IFERROR(XLOOKUP(E1328, '04_Products'!$A:$A, '04_Products'!$G:$G), 745.06)</f>
        <v/>
      </c>
      <c r="H1328" s="9">
        <f>IFERROR(XLOOKUP(E1328, '04_Products'!$A:$A, '04_Products'!$F:$F), 0)</f>
        <v/>
      </c>
      <c r="I1328" s="9">
        <f>F1328*G1328</f>
        <v/>
      </c>
      <c r="J1328" s="11" t="n">
        <v>0.25</v>
      </c>
      <c r="K1328" s="9">
        <f>I1328*J1328</f>
        <v/>
      </c>
      <c r="L1328" s="9">
        <f>I1328-K1328</f>
        <v/>
      </c>
      <c r="M1328" s="9">
        <f>F1328*H1328</f>
        <v/>
      </c>
      <c r="N1328" s="9">
        <f>L1328-M1328</f>
        <v/>
      </c>
      <c r="O1328" s="11">
        <f>IFERROR(N1328/L1328, 0)</f>
        <v/>
      </c>
      <c r="P1328" s="8">
        <f>YEAR(C1328)</f>
        <v/>
      </c>
      <c r="Q1328" s="8">
        <f>TEXT(C1328, "yyyy-mm")</f>
        <v/>
      </c>
      <c r="R1328" s="8" t="inlineStr">
        <is>
          <t>Mobile App</t>
        </is>
      </c>
      <c r="S1328" s="8" t="inlineStr">
        <is>
          <t>REG-EU</t>
        </is>
      </c>
    </row>
    <row r="1329">
      <c r="A1329" s="8" t="inlineStr">
        <is>
          <t>DTL-0001345</t>
        </is>
      </c>
      <c r="B1329" s="8" t="inlineStr">
        <is>
          <t>ORD-000667</t>
        </is>
      </c>
      <c r="C1329" s="10" t="inlineStr">
        <is>
          <t>2024-07-13</t>
        </is>
      </c>
      <c r="D1329" s="8" t="inlineStr">
        <is>
          <t>CUST-07249</t>
        </is>
      </c>
      <c r="E1329" s="8" t="inlineStr">
        <is>
          <t>PRD-0097</t>
        </is>
      </c>
      <c r="F1329" s="8" t="n">
        <v>2</v>
      </c>
      <c r="G1329" s="9">
        <f>IFERROR(XLOOKUP(E1329, '04_Products'!$A:$A, '04_Products'!$G:$G), 216.71)</f>
        <v/>
      </c>
      <c r="H1329" s="9">
        <f>IFERROR(XLOOKUP(E1329, '04_Products'!$A:$A, '04_Products'!$F:$F), 0)</f>
        <v/>
      </c>
      <c r="I1329" s="9">
        <f>F1329*G1329</f>
        <v/>
      </c>
      <c r="J1329" s="11" t="n">
        <v>0.1</v>
      </c>
      <c r="K1329" s="9">
        <f>I1329*J1329</f>
        <v/>
      </c>
      <c r="L1329" s="9">
        <f>I1329-K1329</f>
        <v/>
      </c>
      <c r="M1329" s="9">
        <f>F1329*H1329</f>
        <v/>
      </c>
      <c r="N1329" s="9">
        <f>L1329-M1329</f>
        <v/>
      </c>
      <c r="O1329" s="11">
        <f>IFERROR(N1329/L1329, 0)</f>
        <v/>
      </c>
      <c r="P1329" s="8">
        <f>YEAR(C1329)</f>
        <v/>
      </c>
      <c r="Q1329" s="8">
        <f>TEXT(C1329, "yyyy-mm")</f>
        <v/>
      </c>
      <c r="R1329" s="8" t="inlineStr">
        <is>
          <t>Mobile App</t>
        </is>
      </c>
      <c r="S1329" s="8" t="inlineStr">
        <is>
          <t>REG-NA</t>
        </is>
      </c>
    </row>
    <row r="1330">
      <c r="A1330" s="8" t="inlineStr">
        <is>
          <t>DTL-0001346</t>
        </is>
      </c>
      <c r="B1330" s="8" t="inlineStr">
        <is>
          <t>ORD-000668</t>
        </is>
      </c>
      <c r="C1330" s="10" t="inlineStr">
        <is>
          <t>2023-01-21</t>
        </is>
      </c>
      <c r="D1330" s="8" t="inlineStr">
        <is>
          <t>CUST-06964</t>
        </is>
      </c>
      <c r="E1330" s="8" t="inlineStr">
        <is>
          <t>PRD-0296</t>
        </is>
      </c>
      <c r="F1330" s="8" t="n">
        <v>3</v>
      </c>
      <c r="G1330" s="9">
        <f>IFERROR(XLOOKUP(E1330, '04_Products'!$A:$A, '04_Products'!$G:$G), 52.93)</f>
        <v/>
      </c>
      <c r="H1330" s="9">
        <f>IFERROR(XLOOKUP(E1330, '04_Products'!$A:$A, '04_Products'!$F:$F), 0)</f>
        <v/>
      </c>
      <c r="I1330" s="9">
        <f>F1330*G1330</f>
        <v/>
      </c>
      <c r="J1330" s="11" t="n">
        <v>0.2</v>
      </c>
      <c r="K1330" s="9">
        <f>I1330*J1330</f>
        <v/>
      </c>
      <c r="L1330" s="9">
        <f>I1330-K1330</f>
        <v/>
      </c>
      <c r="M1330" s="9">
        <f>F1330*H1330</f>
        <v/>
      </c>
      <c r="N1330" s="9">
        <f>L1330-M1330</f>
        <v/>
      </c>
      <c r="O1330" s="11">
        <f>IFERROR(N1330/L1330, 0)</f>
        <v/>
      </c>
      <c r="P1330" s="8">
        <f>YEAR(C1330)</f>
        <v/>
      </c>
      <c r="Q1330" s="8">
        <f>TEXT(C1330, "yyyy-mm")</f>
        <v/>
      </c>
      <c r="R1330" s="8" t="inlineStr">
        <is>
          <t>Direct Web</t>
        </is>
      </c>
      <c r="S1330" s="8" t="inlineStr">
        <is>
          <t>REG-NA</t>
        </is>
      </c>
    </row>
    <row r="1331">
      <c r="A1331" s="8" t="inlineStr">
        <is>
          <t>DTL-0001347</t>
        </is>
      </c>
      <c r="B1331" s="8" t="inlineStr">
        <is>
          <t>ORD-000669</t>
        </is>
      </c>
      <c r="C1331" s="10" t="inlineStr">
        <is>
          <t>2024-05-15</t>
        </is>
      </c>
      <c r="D1331" s="8" t="inlineStr">
        <is>
          <t>CUST-07831</t>
        </is>
      </c>
      <c r="E1331" s="8" t="inlineStr">
        <is>
          <t>PRD-0014</t>
        </is>
      </c>
      <c r="F1331" s="8" t="n">
        <v>1</v>
      </c>
      <c r="G1331" s="9">
        <f>IFERROR(XLOOKUP(E1331, '04_Products'!$A:$A, '04_Products'!$G:$G), 958.87)</f>
        <v/>
      </c>
      <c r="H1331" s="9">
        <f>IFERROR(XLOOKUP(E1331, '04_Products'!$A:$A, '04_Products'!$F:$F), 0)</f>
        <v/>
      </c>
      <c r="I1331" s="9">
        <f>F1331*G1331</f>
        <v/>
      </c>
      <c r="J1331" s="11" t="n">
        <v>0</v>
      </c>
      <c r="K1331" s="9">
        <f>I1331*J1331</f>
        <v/>
      </c>
      <c r="L1331" s="9">
        <f>I1331-K1331</f>
        <v/>
      </c>
      <c r="M1331" s="9">
        <f>F1331*H1331</f>
        <v/>
      </c>
      <c r="N1331" s="9">
        <f>L1331-M1331</f>
        <v/>
      </c>
      <c r="O1331" s="11">
        <f>IFERROR(N1331/L1331, 0)</f>
        <v/>
      </c>
      <c r="P1331" s="8">
        <f>YEAR(C1331)</f>
        <v/>
      </c>
      <c r="Q1331" s="8">
        <f>TEXT(C1331, "yyyy-mm")</f>
        <v/>
      </c>
      <c r="R1331" s="8" t="inlineStr">
        <is>
          <t>Mobile App</t>
        </is>
      </c>
      <c r="S1331" s="8" t="inlineStr">
        <is>
          <t>REG-APAC</t>
        </is>
      </c>
    </row>
    <row r="1332">
      <c r="A1332" s="8" t="inlineStr">
        <is>
          <t>DTL-0001348</t>
        </is>
      </c>
      <c r="B1332" s="8" t="inlineStr">
        <is>
          <t>ORD-000670</t>
        </is>
      </c>
      <c r="C1332" s="10" t="inlineStr">
        <is>
          <t>2025-01-23</t>
        </is>
      </c>
      <c r="D1332" s="8" t="inlineStr">
        <is>
          <t>CUST-06221</t>
        </is>
      </c>
      <c r="E1332" s="8" t="inlineStr">
        <is>
          <t>PRD-0155</t>
        </is>
      </c>
      <c r="F1332" s="8" t="n">
        <v>2</v>
      </c>
      <c r="G1332" s="9">
        <f>IFERROR(XLOOKUP(E1332, '04_Products'!$A:$A, '04_Products'!$G:$G), 472.85)</f>
        <v/>
      </c>
      <c r="H1332" s="9">
        <f>IFERROR(XLOOKUP(E1332, '04_Products'!$A:$A, '04_Products'!$F:$F), 0)</f>
        <v/>
      </c>
      <c r="I1332" s="9">
        <f>F1332*G1332</f>
        <v/>
      </c>
      <c r="J1332" s="11" t="n">
        <v>0</v>
      </c>
      <c r="K1332" s="9">
        <f>I1332*J1332</f>
        <v/>
      </c>
      <c r="L1332" s="9">
        <f>I1332-K1332</f>
        <v/>
      </c>
      <c r="M1332" s="9">
        <f>F1332*H1332</f>
        <v/>
      </c>
      <c r="N1332" s="9">
        <f>L1332-M1332</f>
        <v/>
      </c>
      <c r="O1332" s="11">
        <f>IFERROR(N1332/L1332, 0)</f>
        <v/>
      </c>
      <c r="P1332" s="8">
        <f>YEAR(C1332)</f>
        <v/>
      </c>
      <c r="Q1332" s="8">
        <f>TEXT(C1332, "yyyy-mm")</f>
        <v/>
      </c>
      <c r="R1332" s="8" t="inlineStr">
        <is>
          <t>Affiliate Partner</t>
        </is>
      </c>
      <c r="S1332" s="8" t="inlineStr">
        <is>
          <t>REG-NA</t>
        </is>
      </c>
    </row>
    <row r="1333">
      <c r="A1333" s="8" t="inlineStr">
        <is>
          <t>DTL-0001349</t>
        </is>
      </c>
      <c r="B1333" s="8" t="inlineStr">
        <is>
          <t>ORD-000671</t>
        </is>
      </c>
      <c r="C1333" s="10" t="inlineStr">
        <is>
          <t>2023-08-27</t>
        </is>
      </c>
      <c r="D1333" s="8" t="inlineStr">
        <is>
          <t>CUST-01268</t>
        </is>
      </c>
      <c r="E1333" s="8" t="inlineStr">
        <is>
          <t>PRD-0029</t>
        </is>
      </c>
      <c r="F1333" s="8" t="n">
        <v>1</v>
      </c>
      <c r="G1333" s="9">
        <f>IFERROR(XLOOKUP(E1333, '04_Products'!$A:$A, '04_Products'!$G:$G), 9.40)</f>
        <v/>
      </c>
      <c r="H1333" s="9">
        <f>IFERROR(XLOOKUP(E1333, '04_Products'!$A:$A, '04_Products'!$F:$F), 0)</f>
        <v/>
      </c>
      <c r="I1333" s="9">
        <f>F1333*G1333</f>
        <v/>
      </c>
      <c r="J1333" s="11" t="n">
        <v>0</v>
      </c>
      <c r="K1333" s="9">
        <f>I1333*J1333</f>
        <v/>
      </c>
      <c r="L1333" s="9">
        <f>I1333-K1333</f>
        <v/>
      </c>
      <c r="M1333" s="9">
        <f>F1333*H1333</f>
        <v/>
      </c>
      <c r="N1333" s="9">
        <f>L1333-M1333</f>
        <v/>
      </c>
      <c r="O1333" s="11">
        <f>IFERROR(N1333/L1333, 0)</f>
        <v/>
      </c>
      <c r="P1333" s="8">
        <f>YEAR(C1333)</f>
        <v/>
      </c>
      <c r="Q1333" s="8">
        <f>TEXT(C1333, "yyyy-mm")</f>
        <v/>
      </c>
      <c r="R1333" s="8" t="inlineStr">
        <is>
          <t>Direct Web</t>
        </is>
      </c>
      <c r="S1333" s="8" t="inlineStr">
        <is>
          <t>REG-EU</t>
        </is>
      </c>
    </row>
    <row r="1334">
      <c r="A1334" s="8" t="inlineStr">
        <is>
          <t>DTL-0001350</t>
        </is>
      </c>
      <c r="B1334" s="8" t="inlineStr">
        <is>
          <t>ORD-000672</t>
        </is>
      </c>
      <c r="C1334" s="10" t="inlineStr">
        <is>
          <t>2024-12-05</t>
        </is>
      </c>
      <c r="D1334" s="8" t="inlineStr">
        <is>
          <t>CUST-06946</t>
        </is>
      </c>
      <c r="E1334" s="8" t="inlineStr">
        <is>
          <t>PRD-0455</t>
        </is>
      </c>
      <c r="F1334" s="8" t="n">
        <v>1</v>
      </c>
      <c r="G1334" s="9">
        <f>IFERROR(XLOOKUP(E1334, '04_Products'!$A:$A, '04_Products'!$G:$G), 63.62)</f>
        <v/>
      </c>
      <c r="H1334" s="9">
        <f>IFERROR(XLOOKUP(E1334, '04_Products'!$A:$A, '04_Products'!$F:$F), 0)</f>
        <v/>
      </c>
      <c r="I1334" s="9">
        <f>F1334*G1334</f>
        <v/>
      </c>
      <c r="J1334" s="11" t="n">
        <v>0.1</v>
      </c>
      <c r="K1334" s="9">
        <f>I1334*J1334</f>
        <v/>
      </c>
      <c r="L1334" s="9">
        <f>I1334-K1334</f>
        <v/>
      </c>
      <c r="M1334" s="9">
        <f>F1334*H1334</f>
        <v/>
      </c>
      <c r="N1334" s="9">
        <f>L1334-M1334</f>
        <v/>
      </c>
      <c r="O1334" s="11">
        <f>IFERROR(N1334/L1334, 0)</f>
        <v/>
      </c>
      <c r="P1334" s="8">
        <f>YEAR(C1334)</f>
        <v/>
      </c>
      <c r="Q1334" s="8">
        <f>TEXT(C1334, "yyyy-mm")</f>
        <v/>
      </c>
      <c r="R1334" s="8" t="inlineStr">
        <is>
          <t>Direct Web</t>
        </is>
      </c>
      <c r="S1334" s="8" t="inlineStr">
        <is>
          <t>REG-EU</t>
        </is>
      </c>
    </row>
    <row r="1335">
      <c r="A1335" s="8" t="inlineStr">
        <is>
          <t>DTL-0001351</t>
        </is>
      </c>
      <c r="B1335" s="8" t="inlineStr">
        <is>
          <t>ORD-000673</t>
        </is>
      </c>
      <c r="C1335" s="10" t="inlineStr">
        <is>
          <t>2024-12-10</t>
        </is>
      </c>
      <c r="D1335" s="8" t="inlineStr">
        <is>
          <t>CUST-02996</t>
        </is>
      </c>
      <c r="E1335" s="8" t="inlineStr">
        <is>
          <t>PRD-0268</t>
        </is>
      </c>
      <c r="F1335" s="8" t="n">
        <v>1</v>
      </c>
      <c r="G1335" s="9">
        <f>IFERROR(XLOOKUP(E1335, '04_Products'!$A:$A, '04_Products'!$G:$G), 69.90)</f>
        <v/>
      </c>
      <c r="H1335" s="9">
        <f>IFERROR(XLOOKUP(E1335, '04_Products'!$A:$A, '04_Products'!$F:$F), 0)</f>
        <v/>
      </c>
      <c r="I1335" s="9">
        <f>F1335*G1335</f>
        <v/>
      </c>
      <c r="J1335" s="11" t="n">
        <v>0.15</v>
      </c>
      <c r="K1335" s="9">
        <f>I1335*J1335</f>
        <v/>
      </c>
      <c r="L1335" s="9">
        <f>I1335-K1335</f>
        <v/>
      </c>
      <c r="M1335" s="9">
        <f>F1335*H1335</f>
        <v/>
      </c>
      <c r="N1335" s="9">
        <f>L1335-M1335</f>
        <v/>
      </c>
      <c r="O1335" s="11">
        <f>IFERROR(N1335/L1335, 0)</f>
        <v/>
      </c>
      <c r="P1335" s="8">
        <f>YEAR(C1335)</f>
        <v/>
      </c>
      <c r="Q1335" s="8">
        <f>TEXT(C1335, "yyyy-mm")</f>
        <v/>
      </c>
      <c r="R1335" s="8" t="inlineStr">
        <is>
          <t>Direct Web</t>
        </is>
      </c>
      <c r="S1335" s="8" t="inlineStr">
        <is>
          <t>REG-NA</t>
        </is>
      </c>
    </row>
    <row r="1336">
      <c r="A1336" s="8" t="inlineStr">
        <is>
          <t>DTL-0001352</t>
        </is>
      </c>
      <c r="B1336" s="8" t="inlineStr">
        <is>
          <t>ORD-000674</t>
        </is>
      </c>
      <c r="C1336" s="10" t="inlineStr">
        <is>
          <t>2024-11-05</t>
        </is>
      </c>
      <c r="D1336" s="8" t="inlineStr">
        <is>
          <t>CUST-06141</t>
        </is>
      </c>
      <c r="E1336" s="8" t="inlineStr">
        <is>
          <t>PRD-0296</t>
        </is>
      </c>
      <c r="F1336" s="8" t="n">
        <v>1</v>
      </c>
      <c r="G1336" s="9">
        <f>IFERROR(XLOOKUP(E1336, '04_Products'!$A:$A, '04_Products'!$G:$G), 52.93)</f>
        <v/>
      </c>
      <c r="H1336" s="9">
        <f>IFERROR(XLOOKUP(E1336, '04_Products'!$A:$A, '04_Products'!$F:$F), 0)</f>
        <v/>
      </c>
      <c r="I1336" s="9">
        <f>F1336*G1336</f>
        <v/>
      </c>
      <c r="J1336" s="11" t="n">
        <v>0</v>
      </c>
      <c r="K1336" s="9">
        <f>I1336*J1336</f>
        <v/>
      </c>
      <c r="L1336" s="9">
        <f>I1336-K1336</f>
        <v/>
      </c>
      <c r="M1336" s="9">
        <f>F1336*H1336</f>
        <v/>
      </c>
      <c r="N1336" s="9">
        <f>L1336-M1336</f>
        <v/>
      </c>
      <c r="O1336" s="11">
        <f>IFERROR(N1336/L1336, 0)</f>
        <v/>
      </c>
      <c r="P1336" s="8">
        <f>YEAR(C1336)</f>
        <v/>
      </c>
      <c r="Q1336" s="8">
        <f>TEXT(C1336, "yyyy-mm")</f>
        <v/>
      </c>
      <c r="R1336" s="8" t="inlineStr">
        <is>
          <t>B2B Portal</t>
        </is>
      </c>
      <c r="S1336" s="8" t="inlineStr">
        <is>
          <t>REG-NA</t>
        </is>
      </c>
    </row>
    <row r="1337">
      <c r="A1337" s="8" t="inlineStr">
        <is>
          <t>DTL-0001353</t>
        </is>
      </c>
      <c r="B1337" s="8" t="inlineStr">
        <is>
          <t>ORD-000674</t>
        </is>
      </c>
      <c r="C1337" s="10" t="inlineStr">
        <is>
          <t>2024-11-05</t>
        </is>
      </c>
      <c r="D1337" s="8" t="inlineStr">
        <is>
          <t>CUST-06141</t>
        </is>
      </c>
      <c r="E1337" s="8" t="inlineStr">
        <is>
          <t>PRD-0488</t>
        </is>
      </c>
      <c r="F1337" s="8" t="n">
        <v>1</v>
      </c>
      <c r="G1337" s="9">
        <f>IFERROR(XLOOKUP(E1337, '04_Products'!$A:$A, '04_Products'!$G:$G), 54.77)</f>
        <v/>
      </c>
      <c r="H1337" s="9">
        <f>IFERROR(XLOOKUP(E1337, '04_Products'!$A:$A, '04_Products'!$F:$F), 0)</f>
        <v/>
      </c>
      <c r="I1337" s="9">
        <f>F1337*G1337</f>
        <v/>
      </c>
      <c r="J1337" s="11" t="n">
        <v>0</v>
      </c>
      <c r="K1337" s="9">
        <f>I1337*J1337</f>
        <v/>
      </c>
      <c r="L1337" s="9">
        <f>I1337-K1337</f>
        <v/>
      </c>
      <c r="M1337" s="9">
        <f>F1337*H1337</f>
        <v/>
      </c>
      <c r="N1337" s="9">
        <f>L1337-M1337</f>
        <v/>
      </c>
      <c r="O1337" s="11">
        <f>IFERROR(N1337/L1337, 0)</f>
        <v/>
      </c>
      <c r="P1337" s="8">
        <f>YEAR(C1337)</f>
        <v/>
      </c>
      <c r="Q1337" s="8">
        <f>TEXT(C1337, "yyyy-mm")</f>
        <v/>
      </c>
      <c r="R1337" s="8" t="inlineStr">
        <is>
          <t>B2B Portal</t>
        </is>
      </c>
      <c r="S1337" s="8" t="inlineStr">
        <is>
          <t>REG-NA</t>
        </is>
      </c>
    </row>
    <row r="1338">
      <c r="A1338" s="8" t="inlineStr">
        <is>
          <t>DTL-0001354</t>
        </is>
      </c>
      <c r="B1338" s="8" t="inlineStr">
        <is>
          <t>ORD-000675</t>
        </is>
      </c>
      <c r="C1338" s="10" t="inlineStr">
        <is>
          <t>2024-05-19</t>
        </is>
      </c>
      <c r="D1338" s="8" t="inlineStr">
        <is>
          <t>CUST-05288</t>
        </is>
      </c>
      <c r="E1338" s="8" t="inlineStr">
        <is>
          <t>PRD-0128</t>
        </is>
      </c>
      <c r="F1338" s="8" t="n">
        <v>1</v>
      </c>
      <c r="G1338" s="9">
        <f>IFERROR(XLOOKUP(E1338, '04_Products'!$A:$A, '04_Products'!$G:$G), 570.32)</f>
        <v/>
      </c>
      <c r="H1338" s="9">
        <f>IFERROR(XLOOKUP(E1338, '04_Products'!$A:$A, '04_Products'!$F:$F), 0)</f>
        <v/>
      </c>
      <c r="I1338" s="9">
        <f>F1338*G1338</f>
        <v/>
      </c>
      <c r="J1338" s="11" t="n">
        <v>0.05</v>
      </c>
      <c r="K1338" s="9">
        <f>I1338*J1338</f>
        <v/>
      </c>
      <c r="L1338" s="9">
        <f>I1338-K1338</f>
        <v/>
      </c>
      <c r="M1338" s="9">
        <f>F1338*H1338</f>
        <v/>
      </c>
      <c r="N1338" s="9">
        <f>L1338-M1338</f>
        <v/>
      </c>
      <c r="O1338" s="11">
        <f>IFERROR(N1338/L1338, 0)</f>
        <v/>
      </c>
      <c r="P1338" s="8">
        <f>YEAR(C1338)</f>
        <v/>
      </c>
      <c r="Q1338" s="8">
        <f>TEXT(C1338, "yyyy-mm")</f>
        <v/>
      </c>
      <c r="R1338" s="8" t="inlineStr">
        <is>
          <t>Direct Web</t>
        </is>
      </c>
      <c r="S1338" s="8" t="inlineStr">
        <is>
          <t>REG-NA</t>
        </is>
      </c>
    </row>
    <row r="1339">
      <c r="A1339" s="8" t="inlineStr">
        <is>
          <t>DTL-0001355</t>
        </is>
      </c>
      <c r="B1339" s="8" t="inlineStr">
        <is>
          <t>ORD-000675</t>
        </is>
      </c>
      <c r="C1339" s="10" t="inlineStr">
        <is>
          <t>2024-05-19</t>
        </is>
      </c>
      <c r="D1339" s="8" t="inlineStr">
        <is>
          <t>CUST-05288</t>
        </is>
      </c>
      <c r="E1339" s="8" t="inlineStr">
        <is>
          <t>PRD-0046</t>
        </is>
      </c>
      <c r="F1339" s="8" t="n">
        <v>1</v>
      </c>
      <c r="G1339" s="9">
        <f>IFERROR(XLOOKUP(E1339, '04_Products'!$A:$A, '04_Products'!$G:$G), 692.90)</f>
        <v/>
      </c>
      <c r="H1339" s="9">
        <f>IFERROR(XLOOKUP(E1339, '04_Products'!$A:$A, '04_Products'!$F:$F), 0)</f>
        <v/>
      </c>
      <c r="I1339" s="9">
        <f>F1339*G1339</f>
        <v/>
      </c>
      <c r="J1339" s="11" t="n">
        <v>0.05</v>
      </c>
      <c r="K1339" s="9">
        <f>I1339*J1339</f>
        <v/>
      </c>
      <c r="L1339" s="9">
        <f>I1339-K1339</f>
        <v/>
      </c>
      <c r="M1339" s="9">
        <f>F1339*H1339</f>
        <v/>
      </c>
      <c r="N1339" s="9">
        <f>L1339-M1339</f>
        <v/>
      </c>
      <c r="O1339" s="11">
        <f>IFERROR(N1339/L1339, 0)</f>
        <v/>
      </c>
      <c r="P1339" s="8">
        <f>YEAR(C1339)</f>
        <v/>
      </c>
      <c r="Q1339" s="8">
        <f>TEXT(C1339, "yyyy-mm")</f>
        <v/>
      </c>
      <c r="R1339" s="8" t="inlineStr">
        <is>
          <t>Direct Web</t>
        </is>
      </c>
      <c r="S1339" s="8" t="inlineStr">
        <is>
          <t>REG-NA</t>
        </is>
      </c>
    </row>
    <row r="1340">
      <c r="A1340" s="8" t="inlineStr">
        <is>
          <t>DTL-0001356</t>
        </is>
      </c>
      <c r="B1340" s="8" t="inlineStr">
        <is>
          <t>ORD-000676</t>
        </is>
      </c>
      <c r="C1340" s="10" t="inlineStr">
        <is>
          <t>2024-05-27</t>
        </is>
      </c>
      <c r="D1340" s="8" t="inlineStr">
        <is>
          <t>CUST-06344</t>
        </is>
      </c>
      <c r="E1340" s="8" t="inlineStr">
        <is>
          <t>PRD-0036</t>
        </is>
      </c>
      <c r="F1340" s="8" t="n">
        <v>1</v>
      </c>
      <c r="G1340" s="9">
        <f>IFERROR(XLOOKUP(E1340, '04_Products'!$A:$A, '04_Products'!$G:$G), 574.88)</f>
        <v/>
      </c>
      <c r="H1340" s="9">
        <f>IFERROR(XLOOKUP(E1340, '04_Products'!$A:$A, '04_Products'!$F:$F), 0)</f>
        <v/>
      </c>
      <c r="I1340" s="9">
        <f>F1340*G1340</f>
        <v/>
      </c>
      <c r="J1340" s="11" t="n">
        <v>0.1</v>
      </c>
      <c r="K1340" s="9">
        <f>I1340*J1340</f>
        <v/>
      </c>
      <c r="L1340" s="9">
        <f>I1340-K1340</f>
        <v/>
      </c>
      <c r="M1340" s="9">
        <f>F1340*H1340</f>
        <v/>
      </c>
      <c r="N1340" s="9">
        <f>L1340-M1340</f>
        <v/>
      </c>
      <c r="O1340" s="11">
        <f>IFERROR(N1340/L1340, 0)</f>
        <v/>
      </c>
      <c r="P1340" s="8">
        <f>YEAR(C1340)</f>
        <v/>
      </c>
      <c r="Q1340" s="8">
        <f>TEXT(C1340, "yyyy-mm")</f>
        <v/>
      </c>
      <c r="R1340" s="8" t="inlineStr">
        <is>
          <t>Direct Web</t>
        </is>
      </c>
      <c r="S1340" s="8" t="inlineStr">
        <is>
          <t>REG-EU</t>
        </is>
      </c>
    </row>
    <row r="1341">
      <c r="A1341" s="8" t="inlineStr">
        <is>
          <t>DTL-0001357</t>
        </is>
      </c>
      <c r="B1341" s="8" t="inlineStr">
        <is>
          <t>ORD-000676</t>
        </is>
      </c>
      <c r="C1341" s="10" t="inlineStr">
        <is>
          <t>2024-05-27</t>
        </is>
      </c>
      <c r="D1341" s="8" t="inlineStr">
        <is>
          <t>CUST-06344</t>
        </is>
      </c>
      <c r="E1341" s="8" t="inlineStr">
        <is>
          <t>PRD-0034</t>
        </is>
      </c>
      <c r="F1341" s="8" t="n">
        <v>3</v>
      </c>
      <c r="G1341" s="9">
        <f>IFERROR(XLOOKUP(E1341, '04_Products'!$A:$A, '04_Products'!$G:$G), 52.58)</f>
        <v/>
      </c>
      <c r="H1341" s="9">
        <f>IFERROR(XLOOKUP(E1341, '04_Products'!$A:$A, '04_Products'!$F:$F), 0)</f>
        <v/>
      </c>
      <c r="I1341" s="9">
        <f>F1341*G1341</f>
        <v/>
      </c>
      <c r="J1341" s="11" t="n">
        <v>0.05</v>
      </c>
      <c r="K1341" s="9">
        <f>I1341*J1341</f>
        <v/>
      </c>
      <c r="L1341" s="9">
        <f>I1341-K1341</f>
        <v/>
      </c>
      <c r="M1341" s="9">
        <f>F1341*H1341</f>
        <v/>
      </c>
      <c r="N1341" s="9">
        <f>L1341-M1341</f>
        <v/>
      </c>
      <c r="O1341" s="11">
        <f>IFERROR(N1341/L1341, 0)</f>
        <v/>
      </c>
      <c r="P1341" s="8">
        <f>YEAR(C1341)</f>
        <v/>
      </c>
      <c r="Q1341" s="8">
        <f>TEXT(C1341, "yyyy-mm")</f>
        <v/>
      </c>
      <c r="R1341" s="8" t="inlineStr">
        <is>
          <t>Direct Web</t>
        </is>
      </c>
      <c r="S1341" s="8" t="inlineStr">
        <is>
          <t>REG-EU</t>
        </is>
      </c>
    </row>
    <row r="1342">
      <c r="A1342" s="8" t="inlineStr">
        <is>
          <t>DTL-0001358</t>
        </is>
      </c>
      <c r="B1342" s="8" t="inlineStr">
        <is>
          <t>ORD-000677</t>
        </is>
      </c>
      <c r="C1342" s="10" t="inlineStr">
        <is>
          <t>2025-09-03</t>
        </is>
      </c>
      <c r="D1342" s="8" t="inlineStr">
        <is>
          <t>CUST-06912</t>
        </is>
      </c>
      <c r="E1342" s="8" t="inlineStr">
        <is>
          <t>PRD-0048</t>
        </is>
      </c>
      <c r="F1342" s="8" t="n">
        <v>1</v>
      </c>
      <c r="G1342" s="9">
        <f>IFERROR(XLOOKUP(E1342, '04_Products'!$A:$A, '04_Products'!$G:$G), 39.00)</f>
        <v/>
      </c>
      <c r="H1342" s="9">
        <f>IFERROR(XLOOKUP(E1342, '04_Products'!$A:$A, '04_Products'!$F:$F), 0)</f>
        <v/>
      </c>
      <c r="I1342" s="9">
        <f>F1342*G1342</f>
        <v/>
      </c>
      <c r="J1342" s="11" t="n">
        <v>0.1</v>
      </c>
      <c r="K1342" s="9">
        <f>I1342*J1342</f>
        <v/>
      </c>
      <c r="L1342" s="9">
        <f>I1342-K1342</f>
        <v/>
      </c>
      <c r="M1342" s="9">
        <f>F1342*H1342</f>
        <v/>
      </c>
      <c r="N1342" s="9">
        <f>L1342-M1342</f>
        <v/>
      </c>
      <c r="O1342" s="11">
        <f>IFERROR(N1342/L1342, 0)</f>
        <v/>
      </c>
      <c r="P1342" s="8">
        <f>YEAR(C1342)</f>
        <v/>
      </c>
      <c r="Q1342" s="8">
        <f>TEXT(C1342, "yyyy-mm")</f>
        <v/>
      </c>
      <c r="R1342" s="8" t="inlineStr">
        <is>
          <t>Affiliate Partner</t>
        </is>
      </c>
      <c r="S1342" s="8" t="inlineStr">
        <is>
          <t>REG-NA</t>
        </is>
      </c>
    </row>
    <row r="1343">
      <c r="A1343" s="8" t="inlineStr">
        <is>
          <t>DTL-0001359</t>
        </is>
      </c>
      <c r="B1343" s="8" t="inlineStr">
        <is>
          <t>ORD-000677</t>
        </is>
      </c>
      <c r="C1343" s="10" t="inlineStr">
        <is>
          <t>2025-09-03</t>
        </is>
      </c>
      <c r="D1343" s="8" t="inlineStr">
        <is>
          <t>CUST-06912</t>
        </is>
      </c>
      <c r="E1343" s="8" t="inlineStr">
        <is>
          <t>PRD-0101</t>
        </is>
      </c>
      <c r="F1343" s="8" t="n">
        <v>2</v>
      </c>
      <c r="G1343" s="9">
        <f>IFERROR(XLOOKUP(E1343, '04_Products'!$A:$A, '04_Products'!$G:$G), 1004.41)</f>
        <v/>
      </c>
      <c r="H1343" s="9">
        <f>IFERROR(XLOOKUP(E1343, '04_Products'!$A:$A, '04_Products'!$F:$F), 0)</f>
        <v/>
      </c>
      <c r="I1343" s="9">
        <f>F1343*G1343</f>
        <v/>
      </c>
      <c r="J1343" s="11" t="n">
        <v>0</v>
      </c>
      <c r="K1343" s="9">
        <f>I1343*J1343</f>
        <v/>
      </c>
      <c r="L1343" s="9">
        <f>I1343-K1343</f>
        <v/>
      </c>
      <c r="M1343" s="9">
        <f>F1343*H1343</f>
        <v/>
      </c>
      <c r="N1343" s="9">
        <f>L1343-M1343</f>
        <v/>
      </c>
      <c r="O1343" s="11">
        <f>IFERROR(N1343/L1343, 0)</f>
        <v/>
      </c>
      <c r="P1343" s="8">
        <f>YEAR(C1343)</f>
        <v/>
      </c>
      <c r="Q1343" s="8">
        <f>TEXT(C1343, "yyyy-mm")</f>
        <v/>
      </c>
      <c r="R1343" s="8" t="inlineStr">
        <is>
          <t>Affiliate Partner</t>
        </is>
      </c>
      <c r="S1343" s="8" t="inlineStr">
        <is>
          <t>REG-NA</t>
        </is>
      </c>
    </row>
    <row r="1344">
      <c r="A1344" s="8" t="inlineStr">
        <is>
          <t>DTL-0001360</t>
        </is>
      </c>
      <c r="B1344" s="8" t="inlineStr">
        <is>
          <t>ORD-000677</t>
        </is>
      </c>
      <c r="C1344" s="10" t="inlineStr">
        <is>
          <t>2025-09-03</t>
        </is>
      </c>
      <c r="D1344" s="8" t="inlineStr">
        <is>
          <t>CUST-06912</t>
        </is>
      </c>
      <c r="E1344" s="8" t="inlineStr">
        <is>
          <t>PRD-0278</t>
        </is>
      </c>
      <c r="F1344" s="8" t="n">
        <v>1</v>
      </c>
      <c r="G1344" s="9">
        <f>IFERROR(XLOOKUP(E1344, '04_Products'!$A:$A, '04_Products'!$G:$G), 1176.56)</f>
        <v/>
      </c>
      <c r="H1344" s="9">
        <f>IFERROR(XLOOKUP(E1344, '04_Products'!$A:$A, '04_Products'!$F:$F), 0)</f>
        <v/>
      </c>
      <c r="I1344" s="9">
        <f>F1344*G1344</f>
        <v/>
      </c>
      <c r="J1344" s="11" t="n">
        <v>0.05</v>
      </c>
      <c r="K1344" s="9">
        <f>I1344*J1344</f>
        <v/>
      </c>
      <c r="L1344" s="9">
        <f>I1344-K1344</f>
        <v/>
      </c>
      <c r="M1344" s="9">
        <f>F1344*H1344</f>
        <v/>
      </c>
      <c r="N1344" s="9">
        <f>L1344-M1344</f>
        <v/>
      </c>
      <c r="O1344" s="11">
        <f>IFERROR(N1344/L1344, 0)</f>
        <v/>
      </c>
      <c r="P1344" s="8">
        <f>YEAR(C1344)</f>
        <v/>
      </c>
      <c r="Q1344" s="8">
        <f>TEXT(C1344, "yyyy-mm")</f>
        <v/>
      </c>
      <c r="R1344" s="8" t="inlineStr">
        <is>
          <t>Affiliate Partner</t>
        </is>
      </c>
      <c r="S1344" s="8" t="inlineStr">
        <is>
          <t>REG-NA</t>
        </is>
      </c>
    </row>
    <row r="1345">
      <c r="A1345" s="8" t="inlineStr">
        <is>
          <t>DTL-0001361</t>
        </is>
      </c>
      <c r="B1345" s="8" t="inlineStr">
        <is>
          <t>ORD-000677</t>
        </is>
      </c>
      <c r="C1345" s="10" t="inlineStr">
        <is>
          <t>2025-09-03</t>
        </is>
      </c>
      <c r="D1345" s="8" t="inlineStr">
        <is>
          <t>CUST-06912</t>
        </is>
      </c>
      <c r="E1345" s="8" t="inlineStr">
        <is>
          <t>PRD-0489</t>
        </is>
      </c>
      <c r="F1345" s="8" t="n">
        <v>3</v>
      </c>
      <c r="G1345" s="9">
        <f>IFERROR(XLOOKUP(E1345, '04_Products'!$A:$A, '04_Products'!$G:$G), 61.45)</f>
        <v/>
      </c>
      <c r="H1345" s="9">
        <f>IFERROR(XLOOKUP(E1345, '04_Products'!$A:$A, '04_Products'!$F:$F), 0)</f>
        <v/>
      </c>
      <c r="I1345" s="9">
        <f>F1345*G1345</f>
        <v/>
      </c>
      <c r="J1345" s="11" t="n">
        <v>0.1</v>
      </c>
      <c r="K1345" s="9">
        <f>I1345*J1345</f>
        <v/>
      </c>
      <c r="L1345" s="9">
        <f>I1345-K1345</f>
        <v/>
      </c>
      <c r="M1345" s="9">
        <f>F1345*H1345</f>
        <v/>
      </c>
      <c r="N1345" s="9">
        <f>L1345-M1345</f>
        <v/>
      </c>
      <c r="O1345" s="11">
        <f>IFERROR(N1345/L1345, 0)</f>
        <v/>
      </c>
      <c r="P1345" s="8">
        <f>YEAR(C1345)</f>
        <v/>
      </c>
      <c r="Q1345" s="8">
        <f>TEXT(C1345, "yyyy-mm")</f>
        <v/>
      </c>
      <c r="R1345" s="8" t="inlineStr">
        <is>
          <t>Affiliate Partner</t>
        </is>
      </c>
      <c r="S1345" s="8" t="inlineStr">
        <is>
          <t>REG-NA</t>
        </is>
      </c>
    </row>
    <row r="1346">
      <c r="A1346" s="8" t="inlineStr">
        <is>
          <t>DTL-0001362</t>
        </is>
      </c>
      <c r="B1346" s="8" t="inlineStr">
        <is>
          <t>ORD-000677</t>
        </is>
      </c>
      <c r="C1346" s="10" t="inlineStr">
        <is>
          <t>2025-09-03</t>
        </is>
      </c>
      <c r="D1346" s="8" t="inlineStr">
        <is>
          <t>CUST-06912</t>
        </is>
      </c>
      <c r="E1346" s="8" t="inlineStr">
        <is>
          <t>PRD-0188</t>
        </is>
      </c>
      <c r="F1346" s="8" t="n">
        <v>1</v>
      </c>
      <c r="G1346" s="9">
        <f>IFERROR(XLOOKUP(E1346, '04_Products'!$A:$A, '04_Products'!$G:$G), 946.83)</f>
        <v/>
      </c>
      <c r="H1346" s="9">
        <f>IFERROR(XLOOKUP(E1346, '04_Products'!$A:$A, '04_Products'!$F:$F), 0)</f>
        <v/>
      </c>
      <c r="I1346" s="9">
        <f>F1346*G1346</f>
        <v/>
      </c>
      <c r="J1346" s="11" t="n">
        <v>0</v>
      </c>
      <c r="K1346" s="9">
        <f>I1346*J1346</f>
        <v/>
      </c>
      <c r="L1346" s="9">
        <f>I1346-K1346</f>
        <v/>
      </c>
      <c r="M1346" s="9">
        <f>F1346*H1346</f>
        <v/>
      </c>
      <c r="N1346" s="9">
        <f>L1346-M1346</f>
        <v/>
      </c>
      <c r="O1346" s="11">
        <f>IFERROR(N1346/L1346, 0)</f>
        <v/>
      </c>
      <c r="P1346" s="8">
        <f>YEAR(C1346)</f>
        <v/>
      </c>
      <c r="Q1346" s="8">
        <f>TEXT(C1346, "yyyy-mm")</f>
        <v/>
      </c>
      <c r="R1346" s="8" t="inlineStr">
        <is>
          <t>Affiliate Partner</t>
        </is>
      </c>
      <c r="S1346" s="8" t="inlineStr">
        <is>
          <t>REG-NA</t>
        </is>
      </c>
    </row>
    <row r="1347">
      <c r="A1347" s="8" t="inlineStr">
        <is>
          <t>DTL-0001363</t>
        </is>
      </c>
      <c r="B1347" s="8" t="inlineStr">
        <is>
          <t>ORD-000678</t>
        </is>
      </c>
      <c r="C1347" s="10" t="inlineStr">
        <is>
          <t>2024-04-06</t>
        </is>
      </c>
      <c r="D1347" s="8" t="inlineStr">
        <is>
          <t>CUST-00391</t>
        </is>
      </c>
      <c r="E1347" s="8" t="inlineStr">
        <is>
          <t>PRD-0118</t>
        </is>
      </c>
      <c r="F1347" s="8" t="n">
        <v>1</v>
      </c>
      <c r="G1347" s="9">
        <f>IFERROR(XLOOKUP(E1347, '04_Products'!$A:$A, '04_Products'!$G:$G), 513.16)</f>
        <v/>
      </c>
      <c r="H1347" s="9">
        <f>IFERROR(XLOOKUP(E1347, '04_Products'!$A:$A, '04_Products'!$F:$F), 0)</f>
        <v/>
      </c>
      <c r="I1347" s="9">
        <f>F1347*G1347</f>
        <v/>
      </c>
      <c r="J1347" s="11" t="n">
        <v>0.2</v>
      </c>
      <c r="K1347" s="9">
        <f>I1347*J1347</f>
        <v/>
      </c>
      <c r="L1347" s="9">
        <f>I1347-K1347</f>
        <v/>
      </c>
      <c r="M1347" s="9">
        <f>F1347*H1347</f>
        <v/>
      </c>
      <c r="N1347" s="9">
        <f>L1347-M1347</f>
        <v/>
      </c>
      <c r="O1347" s="11">
        <f>IFERROR(N1347/L1347, 0)</f>
        <v/>
      </c>
      <c r="P1347" s="8">
        <f>YEAR(C1347)</f>
        <v/>
      </c>
      <c r="Q1347" s="8">
        <f>TEXT(C1347, "yyyy-mm")</f>
        <v/>
      </c>
      <c r="R1347" s="8" t="inlineStr">
        <is>
          <t>Direct Web</t>
        </is>
      </c>
      <c r="S1347" s="8" t="inlineStr">
        <is>
          <t>REG-LATAM</t>
        </is>
      </c>
    </row>
    <row r="1348">
      <c r="A1348" s="8" t="inlineStr">
        <is>
          <t>DTL-0001364</t>
        </is>
      </c>
      <c r="B1348" s="8" t="inlineStr">
        <is>
          <t>ORD-000678</t>
        </is>
      </c>
      <c r="C1348" s="10" t="inlineStr">
        <is>
          <t>2024-04-06</t>
        </is>
      </c>
      <c r="D1348" s="8" t="inlineStr">
        <is>
          <t>CUST-00391</t>
        </is>
      </c>
      <c r="E1348" s="8" t="inlineStr">
        <is>
          <t>PRD-0322</t>
        </is>
      </c>
      <c r="F1348" s="8" t="n">
        <v>5</v>
      </c>
      <c r="G1348" s="9">
        <f>IFERROR(XLOOKUP(E1348, '04_Products'!$A:$A, '04_Products'!$G:$G), 1239.40)</f>
        <v/>
      </c>
      <c r="H1348" s="9">
        <f>IFERROR(XLOOKUP(E1348, '04_Products'!$A:$A, '04_Products'!$F:$F), 0)</f>
        <v/>
      </c>
      <c r="I1348" s="9">
        <f>F1348*G1348</f>
        <v/>
      </c>
      <c r="J1348" s="11" t="n">
        <v>0</v>
      </c>
      <c r="K1348" s="9">
        <f>I1348*J1348</f>
        <v/>
      </c>
      <c r="L1348" s="9">
        <f>I1348-K1348</f>
        <v/>
      </c>
      <c r="M1348" s="9">
        <f>F1348*H1348</f>
        <v/>
      </c>
      <c r="N1348" s="9">
        <f>L1348-M1348</f>
        <v/>
      </c>
      <c r="O1348" s="11">
        <f>IFERROR(N1348/L1348, 0)</f>
        <v/>
      </c>
      <c r="P1348" s="8">
        <f>YEAR(C1348)</f>
        <v/>
      </c>
      <c r="Q1348" s="8">
        <f>TEXT(C1348, "yyyy-mm")</f>
        <v/>
      </c>
      <c r="R1348" s="8" t="inlineStr">
        <is>
          <t>Direct Web</t>
        </is>
      </c>
      <c r="S1348" s="8" t="inlineStr">
        <is>
          <t>REG-LATAM</t>
        </is>
      </c>
    </row>
    <row r="1349">
      <c r="A1349" s="8" t="inlineStr">
        <is>
          <t>DTL-0001365</t>
        </is>
      </c>
      <c r="B1349" s="8" t="inlineStr">
        <is>
          <t>ORD-000678</t>
        </is>
      </c>
      <c r="C1349" s="10" t="inlineStr">
        <is>
          <t>2024-04-06</t>
        </is>
      </c>
      <c r="D1349" s="8" t="inlineStr">
        <is>
          <t>CUST-00391</t>
        </is>
      </c>
      <c r="E1349" s="8" t="inlineStr">
        <is>
          <t>PRD-0392</t>
        </is>
      </c>
      <c r="F1349" s="8" t="n">
        <v>1</v>
      </c>
      <c r="G1349" s="9">
        <f>IFERROR(XLOOKUP(E1349, '04_Products'!$A:$A, '04_Products'!$G:$G), 252.58)</f>
        <v/>
      </c>
      <c r="H1349" s="9">
        <f>IFERROR(XLOOKUP(E1349, '04_Products'!$A:$A, '04_Products'!$F:$F), 0)</f>
        <v/>
      </c>
      <c r="I1349" s="9">
        <f>F1349*G1349</f>
        <v/>
      </c>
      <c r="J1349" s="11" t="n">
        <v>0</v>
      </c>
      <c r="K1349" s="9">
        <f>I1349*J1349</f>
        <v/>
      </c>
      <c r="L1349" s="9">
        <f>I1349-K1349</f>
        <v/>
      </c>
      <c r="M1349" s="9">
        <f>F1349*H1349</f>
        <v/>
      </c>
      <c r="N1349" s="9">
        <f>L1349-M1349</f>
        <v/>
      </c>
      <c r="O1349" s="11">
        <f>IFERROR(N1349/L1349, 0)</f>
        <v/>
      </c>
      <c r="P1349" s="8">
        <f>YEAR(C1349)</f>
        <v/>
      </c>
      <c r="Q1349" s="8">
        <f>TEXT(C1349, "yyyy-mm")</f>
        <v/>
      </c>
      <c r="R1349" s="8" t="inlineStr">
        <is>
          <t>Direct Web</t>
        </is>
      </c>
      <c r="S1349" s="8" t="inlineStr">
        <is>
          <t>REG-LATAM</t>
        </is>
      </c>
    </row>
    <row r="1350">
      <c r="A1350" s="8" t="inlineStr">
        <is>
          <t>DTL-0001366</t>
        </is>
      </c>
      <c r="B1350" s="8" t="inlineStr">
        <is>
          <t>ORD-000678</t>
        </is>
      </c>
      <c r="C1350" s="10" t="inlineStr">
        <is>
          <t>2024-04-06</t>
        </is>
      </c>
      <c r="D1350" s="8" t="inlineStr">
        <is>
          <t>CUST-00391</t>
        </is>
      </c>
      <c r="E1350" s="8" t="inlineStr">
        <is>
          <t>PRD-0091</t>
        </is>
      </c>
      <c r="F1350" s="8" t="n">
        <v>1</v>
      </c>
      <c r="G1350" s="9">
        <f>IFERROR(XLOOKUP(E1350, '04_Products'!$A:$A, '04_Products'!$G:$G), 57.04)</f>
        <v/>
      </c>
      <c r="H1350" s="9">
        <f>IFERROR(XLOOKUP(E1350, '04_Products'!$A:$A, '04_Products'!$F:$F), 0)</f>
        <v/>
      </c>
      <c r="I1350" s="9">
        <f>F1350*G1350</f>
        <v/>
      </c>
      <c r="J1350" s="11" t="n">
        <v>0.05</v>
      </c>
      <c r="K1350" s="9">
        <f>I1350*J1350</f>
        <v/>
      </c>
      <c r="L1350" s="9">
        <f>I1350-K1350</f>
        <v/>
      </c>
      <c r="M1350" s="9">
        <f>F1350*H1350</f>
        <v/>
      </c>
      <c r="N1350" s="9">
        <f>L1350-M1350</f>
        <v/>
      </c>
      <c r="O1350" s="11">
        <f>IFERROR(N1350/L1350, 0)</f>
        <v/>
      </c>
      <c r="P1350" s="8">
        <f>YEAR(C1350)</f>
        <v/>
      </c>
      <c r="Q1350" s="8">
        <f>TEXT(C1350, "yyyy-mm")</f>
        <v/>
      </c>
      <c r="R1350" s="8" t="inlineStr">
        <is>
          <t>Direct Web</t>
        </is>
      </c>
      <c r="S1350" s="8" t="inlineStr">
        <is>
          <t>REG-LATAM</t>
        </is>
      </c>
    </row>
    <row r="1351">
      <c r="A1351" s="8" t="inlineStr">
        <is>
          <t>DTL-0001367</t>
        </is>
      </c>
      <c r="B1351" s="8" t="inlineStr">
        <is>
          <t>ORD-000679</t>
        </is>
      </c>
      <c r="C1351" s="10" t="inlineStr">
        <is>
          <t>2025-01-26</t>
        </is>
      </c>
      <c r="D1351" s="8" t="inlineStr">
        <is>
          <t>CUST-05789</t>
        </is>
      </c>
      <c r="E1351" s="8" t="inlineStr">
        <is>
          <t>PRD-0315</t>
        </is>
      </c>
      <c r="F1351" s="8" t="n">
        <v>1</v>
      </c>
      <c r="G1351" s="9">
        <f>IFERROR(XLOOKUP(E1351, '04_Products'!$A:$A, '04_Products'!$G:$G), 916.00)</f>
        <v/>
      </c>
      <c r="H1351" s="9">
        <f>IFERROR(XLOOKUP(E1351, '04_Products'!$A:$A, '04_Products'!$F:$F), 0)</f>
        <v/>
      </c>
      <c r="I1351" s="9">
        <f>F1351*G1351</f>
        <v/>
      </c>
      <c r="J1351" s="11" t="n">
        <v>0.05</v>
      </c>
      <c r="K1351" s="9">
        <f>I1351*J1351</f>
        <v/>
      </c>
      <c r="L1351" s="9">
        <f>I1351-K1351</f>
        <v/>
      </c>
      <c r="M1351" s="9">
        <f>F1351*H1351</f>
        <v/>
      </c>
      <c r="N1351" s="9">
        <f>L1351-M1351</f>
        <v/>
      </c>
      <c r="O1351" s="11">
        <f>IFERROR(N1351/L1351, 0)</f>
        <v/>
      </c>
      <c r="P1351" s="8">
        <f>YEAR(C1351)</f>
        <v/>
      </c>
      <c r="Q1351" s="8">
        <f>TEXT(C1351, "yyyy-mm")</f>
        <v/>
      </c>
      <c r="R1351" s="8" t="inlineStr">
        <is>
          <t>Mobile App</t>
        </is>
      </c>
      <c r="S1351" s="8" t="inlineStr">
        <is>
          <t>REG-EU</t>
        </is>
      </c>
    </row>
    <row r="1352">
      <c r="A1352" s="8" t="inlineStr">
        <is>
          <t>DTL-0001368</t>
        </is>
      </c>
      <c r="B1352" s="8" t="inlineStr">
        <is>
          <t>ORD-000680</t>
        </is>
      </c>
      <c r="C1352" s="10" t="inlineStr">
        <is>
          <t>2023-03-21</t>
        </is>
      </c>
      <c r="D1352" s="8" t="inlineStr">
        <is>
          <t>CUST-06614</t>
        </is>
      </c>
      <c r="E1352" s="8" t="inlineStr">
        <is>
          <t>PRD-0200</t>
        </is>
      </c>
      <c r="F1352" s="8" t="n">
        <v>2</v>
      </c>
      <c r="G1352" s="9">
        <f>IFERROR(XLOOKUP(E1352, '04_Products'!$A:$A, '04_Products'!$G:$G), 977.00)</f>
        <v/>
      </c>
      <c r="H1352" s="9">
        <f>IFERROR(XLOOKUP(E1352, '04_Products'!$A:$A, '04_Products'!$F:$F), 0)</f>
        <v/>
      </c>
      <c r="I1352" s="9">
        <f>F1352*G1352</f>
        <v/>
      </c>
      <c r="J1352" s="11" t="n">
        <v>0</v>
      </c>
      <c r="K1352" s="9">
        <f>I1352*J1352</f>
        <v/>
      </c>
      <c r="L1352" s="9">
        <f>I1352-K1352</f>
        <v/>
      </c>
      <c r="M1352" s="9">
        <f>F1352*H1352</f>
        <v/>
      </c>
      <c r="N1352" s="9">
        <f>L1352-M1352</f>
        <v/>
      </c>
      <c r="O1352" s="11">
        <f>IFERROR(N1352/L1352, 0)</f>
        <v/>
      </c>
      <c r="P1352" s="8">
        <f>YEAR(C1352)</f>
        <v/>
      </c>
      <c r="Q1352" s="8">
        <f>TEXT(C1352, "yyyy-mm")</f>
        <v/>
      </c>
      <c r="R1352" s="8" t="inlineStr">
        <is>
          <t>Mobile App</t>
        </is>
      </c>
      <c r="S1352" s="8" t="inlineStr">
        <is>
          <t>REG-NA</t>
        </is>
      </c>
    </row>
    <row r="1353">
      <c r="A1353" s="8" t="inlineStr">
        <is>
          <t>DTL-0001369</t>
        </is>
      </c>
      <c r="B1353" s="8" t="inlineStr">
        <is>
          <t>ORD-000680</t>
        </is>
      </c>
      <c r="C1353" s="10" t="inlineStr">
        <is>
          <t>2023-03-21</t>
        </is>
      </c>
      <c r="D1353" s="8" t="inlineStr">
        <is>
          <t>CUST-06614</t>
        </is>
      </c>
      <c r="E1353" s="8" t="inlineStr">
        <is>
          <t>PRD-0468</t>
        </is>
      </c>
      <c r="F1353" s="8" t="n">
        <v>2</v>
      </c>
      <c r="G1353" s="9">
        <f>IFERROR(XLOOKUP(E1353, '04_Products'!$A:$A, '04_Products'!$G:$G), 226.88)</f>
        <v/>
      </c>
      <c r="H1353" s="9">
        <f>IFERROR(XLOOKUP(E1353, '04_Products'!$A:$A, '04_Products'!$F:$F), 0)</f>
        <v/>
      </c>
      <c r="I1353" s="9">
        <f>F1353*G1353</f>
        <v/>
      </c>
      <c r="J1353" s="11" t="n">
        <v>0.05</v>
      </c>
      <c r="K1353" s="9">
        <f>I1353*J1353</f>
        <v/>
      </c>
      <c r="L1353" s="9">
        <f>I1353-K1353</f>
        <v/>
      </c>
      <c r="M1353" s="9">
        <f>F1353*H1353</f>
        <v/>
      </c>
      <c r="N1353" s="9">
        <f>L1353-M1353</f>
        <v/>
      </c>
      <c r="O1353" s="11">
        <f>IFERROR(N1353/L1353, 0)</f>
        <v/>
      </c>
      <c r="P1353" s="8">
        <f>YEAR(C1353)</f>
        <v/>
      </c>
      <c r="Q1353" s="8">
        <f>TEXT(C1353, "yyyy-mm")</f>
        <v/>
      </c>
      <c r="R1353" s="8" t="inlineStr">
        <is>
          <t>Mobile App</t>
        </is>
      </c>
      <c r="S1353" s="8" t="inlineStr">
        <is>
          <t>REG-NA</t>
        </is>
      </c>
    </row>
    <row r="1354">
      <c r="A1354" s="8" t="inlineStr">
        <is>
          <t>DTL-0001370</t>
        </is>
      </c>
      <c r="B1354" s="8" t="inlineStr">
        <is>
          <t>ORD-000681</t>
        </is>
      </c>
      <c r="C1354" s="10" t="inlineStr">
        <is>
          <t>2025-07-15</t>
        </is>
      </c>
      <c r="D1354" s="8" t="inlineStr">
        <is>
          <t>CUST-05344</t>
        </is>
      </c>
      <c r="E1354" s="8" t="inlineStr">
        <is>
          <t>PRD-0109</t>
        </is>
      </c>
      <c r="F1354" s="8" t="n">
        <v>4</v>
      </c>
      <c r="G1354" s="9">
        <f>IFERROR(XLOOKUP(E1354, '04_Products'!$A:$A, '04_Products'!$G:$G), 53.86)</f>
        <v/>
      </c>
      <c r="H1354" s="9">
        <f>IFERROR(XLOOKUP(E1354, '04_Products'!$A:$A, '04_Products'!$F:$F), 0)</f>
        <v/>
      </c>
      <c r="I1354" s="9">
        <f>F1354*G1354</f>
        <v/>
      </c>
      <c r="J1354" s="11" t="n">
        <v>0.25</v>
      </c>
      <c r="K1354" s="9">
        <f>I1354*J1354</f>
        <v/>
      </c>
      <c r="L1354" s="9">
        <f>I1354-K1354</f>
        <v/>
      </c>
      <c r="M1354" s="9">
        <f>F1354*H1354</f>
        <v/>
      </c>
      <c r="N1354" s="9">
        <f>L1354-M1354</f>
        <v/>
      </c>
      <c r="O1354" s="11">
        <f>IFERROR(N1354/L1354, 0)</f>
        <v/>
      </c>
      <c r="P1354" s="8">
        <f>YEAR(C1354)</f>
        <v/>
      </c>
      <c r="Q1354" s="8">
        <f>TEXT(C1354, "yyyy-mm")</f>
        <v/>
      </c>
      <c r="R1354" s="8" t="inlineStr">
        <is>
          <t>Direct Web</t>
        </is>
      </c>
      <c r="S1354" s="8" t="inlineStr">
        <is>
          <t>REG-EU</t>
        </is>
      </c>
    </row>
    <row r="1355">
      <c r="A1355" s="8" t="inlineStr">
        <is>
          <t>DTL-0001371</t>
        </is>
      </c>
      <c r="B1355" s="8" t="inlineStr">
        <is>
          <t>ORD-000682</t>
        </is>
      </c>
      <c r="C1355" s="10" t="inlineStr">
        <is>
          <t>2025-08-29</t>
        </is>
      </c>
      <c r="D1355" s="8" t="inlineStr">
        <is>
          <t>CUST-06310</t>
        </is>
      </c>
      <c r="E1355" s="8" t="inlineStr">
        <is>
          <t>PRD-0356</t>
        </is>
      </c>
      <c r="F1355" s="8" t="n">
        <v>1</v>
      </c>
      <c r="G1355" s="9">
        <f>IFERROR(XLOOKUP(E1355, '04_Products'!$A:$A, '04_Products'!$G:$G), 180.92)</f>
        <v/>
      </c>
      <c r="H1355" s="9">
        <f>IFERROR(XLOOKUP(E1355, '04_Products'!$A:$A, '04_Products'!$F:$F), 0)</f>
        <v/>
      </c>
      <c r="I1355" s="9">
        <f>F1355*G1355</f>
        <v/>
      </c>
      <c r="J1355" s="11" t="n">
        <v>0</v>
      </c>
      <c r="K1355" s="9">
        <f>I1355*J1355</f>
        <v/>
      </c>
      <c r="L1355" s="9">
        <f>I1355-K1355</f>
        <v/>
      </c>
      <c r="M1355" s="9">
        <f>F1355*H1355</f>
        <v/>
      </c>
      <c r="N1355" s="9">
        <f>L1355-M1355</f>
        <v/>
      </c>
      <c r="O1355" s="11">
        <f>IFERROR(N1355/L1355, 0)</f>
        <v/>
      </c>
      <c r="P1355" s="8">
        <f>YEAR(C1355)</f>
        <v/>
      </c>
      <c r="Q1355" s="8">
        <f>TEXT(C1355, "yyyy-mm")</f>
        <v/>
      </c>
      <c r="R1355" s="8" t="inlineStr">
        <is>
          <t>Direct Web</t>
        </is>
      </c>
      <c r="S1355" s="8" t="inlineStr">
        <is>
          <t>REG-LATAM</t>
        </is>
      </c>
    </row>
    <row r="1356">
      <c r="A1356" s="8" t="inlineStr">
        <is>
          <t>DTL-0001372</t>
        </is>
      </c>
      <c r="B1356" s="8" t="inlineStr">
        <is>
          <t>ORD-000683</t>
        </is>
      </c>
      <c r="C1356" s="10" t="inlineStr">
        <is>
          <t>2023-08-06</t>
        </is>
      </c>
      <c r="D1356" s="8" t="inlineStr">
        <is>
          <t>CUST-00473</t>
        </is>
      </c>
      <c r="E1356" s="8" t="inlineStr">
        <is>
          <t>PRD-0244</t>
        </is>
      </c>
      <c r="F1356" s="8" t="n">
        <v>3</v>
      </c>
      <c r="G1356" s="9">
        <f>IFERROR(XLOOKUP(E1356, '04_Products'!$A:$A, '04_Products'!$G:$G), 395.39)</f>
        <v/>
      </c>
      <c r="H1356" s="9">
        <f>IFERROR(XLOOKUP(E1356, '04_Products'!$A:$A, '04_Products'!$F:$F), 0)</f>
        <v/>
      </c>
      <c r="I1356" s="9">
        <f>F1356*G1356</f>
        <v/>
      </c>
      <c r="J1356" s="11" t="n">
        <v>0</v>
      </c>
      <c r="K1356" s="9">
        <f>I1356*J1356</f>
        <v/>
      </c>
      <c r="L1356" s="9">
        <f>I1356-K1356</f>
        <v/>
      </c>
      <c r="M1356" s="9">
        <f>F1356*H1356</f>
        <v/>
      </c>
      <c r="N1356" s="9">
        <f>L1356-M1356</f>
        <v/>
      </c>
      <c r="O1356" s="11">
        <f>IFERROR(N1356/L1356, 0)</f>
        <v/>
      </c>
      <c r="P1356" s="8">
        <f>YEAR(C1356)</f>
        <v/>
      </c>
      <c r="Q1356" s="8">
        <f>TEXT(C1356, "yyyy-mm")</f>
        <v/>
      </c>
      <c r="R1356" s="8" t="inlineStr">
        <is>
          <t>Direct Web</t>
        </is>
      </c>
      <c r="S1356" s="8" t="inlineStr">
        <is>
          <t>REG-APAC</t>
        </is>
      </c>
    </row>
    <row r="1357">
      <c r="A1357" s="8" t="inlineStr">
        <is>
          <t>DTL-0001373</t>
        </is>
      </c>
      <c r="B1357" s="8" t="inlineStr">
        <is>
          <t>ORD-000683</t>
        </is>
      </c>
      <c r="C1357" s="10" t="inlineStr">
        <is>
          <t>2023-08-06</t>
        </is>
      </c>
      <c r="D1357" s="8" t="inlineStr">
        <is>
          <t>CUST-00473</t>
        </is>
      </c>
      <c r="E1357" s="8" t="inlineStr">
        <is>
          <t>PRD-0421</t>
        </is>
      </c>
      <c r="F1357" s="8" t="n">
        <v>4</v>
      </c>
      <c r="G1357" s="9">
        <f>IFERROR(XLOOKUP(E1357, '04_Products'!$A:$A, '04_Products'!$G:$G), 50.08)</f>
        <v/>
      </c>
      <c r="H1357" s="9">
        <f>IFERROR(XLOOKUP(E1357, '04_Products'!$A:$A, '04_Products'!$F:$F), 0)</f>
        <v/>
      </c>
      <c r="I1357" s="9">
        <f>F1357*G1357</f>
        <v/>
      </c>
      <c r="J1357" s="11" t="n">
        <v>0.25</v>
      </c>
      <c r="K1357" s="9">
        <f>I1357*J1357</f>
        <v/>
      </c>
      <c r="L1357" s="9">
        <f>I1357-K1357</f>
        <v/>
      </c>
      <c r="M1357" s="9">
        <f>F1357*H1357</f>
        <v/>
      </c>
      <c r="N1357" s="9">
        <f>L1357-M1357</f>
        <v/>
      </c>
      <c r="O1357" s="11">
        <f>IFERROR(N1357/L1357, 0)</f>
        <v/>
      </c>
      <c r="P1357" s="8">
        <f>YEAR(C1357)</f>
        <v/>
      </c>
      <c r="Q1357" s="8">
        <f>TEXT(C1357, "yyyy-mm")</f>
        <v/>
      </c>
      <c r="R1357" s="8" t="inlineStr">
        <is>
          <t>Direct Web</t>
        </is>
      </c>
      <c r="S1357" s="8" t="inlineStr">
        <is>
          <t>REG-APAC</t>
        </is>
      </c>
    </row>
    <row r="1358">
      <c r="A1358" s="8" t="inlineStr">
        <is>
          <t>DTL-0001374</t>
        </is>
      </c>
      <c r="B1358" s="8" t="inlineStr">
        <is>
          <t>ORD-000684</t>
        </is>
      </c>
      <c r="C1358" s="10" t="inlineStr">
        <is>
          <t>2023-02-16</t>
        </is>
      </c>
      <c r="D1358" s="8" t="inlineStr">
        <is>
          <t>CUST-01562</t>
        </is>
      </c>
      <c r="E1358" s="8" t="inlineStr">
        <is>
          <t>PRD-0047</t>
        </is>
      </c>
      <c r="F1358" s="8" t="n">
        <v>1</v>
      </c>
      <c r="G1358" s="9">
        <f>IFERROR(XLOOKUP(E1358, '04_Products'!$A:$A, '04_Products'!$G:$G), 43.83)</f>
        <v/>
      </c>
      <c r="H1358" s="9">
        <f>IFERROR(XLOOKUP(E1358, '04_Products'!$A:$A, '04_Products'!$F:$F), 0)</f>
        <v/>
      </c>
      <c r="I1358" s="9">
        <f>F1358*G1358</f>
        <v/>
      </c>
      <c r="J1358" s="11" t="n">
        <v>0</v>
      </c>
      <c r="K1358" s="9">
        <f>I1358*J1358</f>
        <v/>
      </c>
      <c r="L1358" s="9">
        <f>I1358-K1358</f>
        <v/>
      </c>
      <c r="M1358" s="9">
        <f>F1358*H1358</f>
        <v/>
      </c>
      <c r="N1358" s="9">
        <f>L1358-M1358</f>
        <v/>
      </c>
      <c r="O1358" s="11">
        <f>IFERROR(N1358/L1358, 0)</f>
        <v/>
      </c>
      <c r="P1358" s="8">
        <f>YEAR(C1358)</f>
        <v/>
      </c>
      <c r="Q1358" s="8">
        <f>TEXT(C1358, "yyyy-mm")</f>
        <v/>
      </c>
      <c r="R1358" s="8" t="inlineStr">
        <is>
          <t>Direct Web</t>
        </is>
      </c>
      <c r="S1358" s="8" t="inlineStr">
        <is>
          <t>REG-NA</t>
        </is>
      </c>
    </row>
    <row r="1359">
      <c r="A1359" s="8" t="inlineStr">
        <is>
          <t>DTL-0001375</t>
        </is>
      </c>
      <c r="B1359" s="8" t="inlineStr">
        <is>
          <t>ORD-000684</t>
        </is>
      </c>
      <c r="C1359" s="10" t="inlineStr">
        <is>
          <t>2023-02-16</t>
        </is>
      </c>
      <c r="D1359" s="8" t="inlineStr">
        <is>
          <t>CUST-01562</t>
        </is>
      </c>
      <c r="E1359" s="8" t="inlineStr">
        <is>
          <t>PRD-0159</t>
        </is>
      </c>
      <c r="F1359" s="8" t="n">
        <v>1</v>
      </c>
      <c r="G1359" s="9">
        <f>IFERROR(XLOOKUP(E1359, '04_Products'!$A:$A, '04_Products'!$G:$G), 416.78)</f>
        <v/>
      </c>
      <c r="H1359" s="9">
        <f>IFERROR(XLOOKUP(E1359, '04_Products'!$A:$A, '04_Products'!$F:$F), 0)</f>
        <v/>
      </c>
      <c r="I1359" s="9">
        <f>F1359*G1359</f>
        <v/>
      </c>
      <c r="J1359" s="11" t="n">
        <v>0.05</v>
      </c>
      <c r="K1359" s="9">
        <f>I1359*J1359</f>
        <v/>
      </c>
      <c r="L1359" s="9">
        <f>I1359-K1359</f>
        <v/>
      </c>
      <c r="M1359" s="9">
        <f>F1359*H1359</f>
        <v/>
      </c>
      <c r="N1359" s="9">
        <f>L1359-M1359</f>
        <v/>
      </c>
      <c r="O1359" s="11">
        <f>IFERROR(N1359/L1359, 0)</f>
        <v/>
      </c>
      <c r="P1359" s="8">
        <f>YEAR(C1359)</f>
        <v/>
      </c>
      <c r="Q1359" s="8">
        <f>TEXT(C1359, "yyyy-mm")</f>
        <v/>
      </c>
      <c r="R1359" s="8" t="inlineStr">
        <is>
          <t>Direct Web</t>
        </is>
      </c>
      <c r="S1359" s="8" t="inlineStr">
        <is>
          <t>REG-NA</t>
        </is>
      </c>
    </row>
    <row r="1360">
      <c r="A1360" s="8" t="inlineStr">
        <is>
          <t>DTL-0001376</t>
        </is>
      </c>
      <c r="B1360" s="8" t="inlineStr">
        <is>
          <t>ORD-000685</t>
        </is>
      </c>
      <c r="C1360" s="10" t="inlineStr">
        <is>
          <t>2025-03-23</t>
        </is>
      </c>
      <c r="D1360" s="8" t="inlineStr">
        <is>
          <t>CUST-07946</t>
        </is>
      </c>
      <c r="E1360" s="8" t="inlineStr">
        <is>
          <t>PRD-0215</t>
        </is>
      </c>
      <c r="F1360" s="8" t="n">
        <v>1</v>
      </c>
      <c r="G1360" s="9">
        <f>IFERROR(XLOOKUP(E1360, '04_Products'!$A:$A, '04_Products'!$G:$G), 1006.33)</f>
        <v/>
      </c>
      <c r="H1360" s="9">
        <f>IFERROR(XLOOKUP(E1360, '04_Products'!$A:$A, '04_Products'!$F:$F), 0)</f>
        <v/>
      </c>
      <c r="I1360" s="9">
        <f>F1360*G1360</f>
        <v/>
      </c>
      <c r="J1360" s="11" t="n">
        <v>0.1</v>
      </c>
      <c r="K1360" s="9">
        <f>I1360*J1360</f>
        <v/>
      </c>
      <c r="L1360" s="9">
        <f>I1360-K1360</f>
        <v/>
      </c>
      <c r="M1360" s="9">
        <f>F1360*H1360</f>
        <v/>
      </c>
      <c r="N1360" s="9">
        <f>L1360-M1360</f>
        <v/>
      </c>
      <c r="O1360" s="11">
        <f>IFERROR(N1360/L1360, 0)</f>
        <v/>
      </c>
      <c r="P1360" s="8">
        <f>YEAR(C1360)</f>
        <v/>
      </c>
      <c r="Q1360" s="8">
        <f>TEXT(C1360, "yyyy-mm")</f>
        <v/>
      </c>
      <c r="R1360" s="8" t="inlineStr">
        <is>
          <t>Direct Web</t>
        </is>
      </c>
      <c r="S1360" s="8" t="inlineStr">
        <is>
          <t>REG-APAC</t>
        </is>
      </c>
    </row>
    <row r="1361">
      <c r="A1361" s="8" t="inlineStr">
        <is>
          <t>DTL-0001377</t>
        </is>
      </c>
      <c r="B1361" s="8" t="inlineStr">
        <is>
          <t>ORD-000685</t>
        </is>
      </c>
      <c r="C1361" s="10" t="inlineStr">
        <is>
          <t>2025-03-23</t>
        </is>
      </c>
      <c r="D1361" s="8" t="inlineStr">
        <is>
          <t>CUST-07946</t>
        </is>
      </c>
      <c r="E1361" s="8" t="inlineStr">
        <is>
          <t>PRD-0149</t>
        </is>
      </c>
      <c r="F1361" s="8" t="n">
        <v>1</v>
      </c>
      <c r="G1361" s="9">
        <f>IFERROR(XLOOKUP(E1361, '04_Products'!$A:$A, '04_Products'!$G:$G), 184.54)</f>
        <v/>
      </c>
      <c r="H1361" s="9">
        <f>IFERROR(XLOOKUP(E1361, '04_Products'!$A:$A, '04_Products'!$F:$F), 0)</f>
        <v/>
      </c>
      <c r="I1361" s="9">
        <f>F1361*G1361</f>
        <v/>
      </c>
      <c r="J1361" s="11" t="n">
        <v>0</v>
      </c>
      <c r="K1361" s="9">
        <f>I1361*J1361</f>
        <v/>
      </c>
      <c r="L1361" s="9">
        <f>I1361-K1361</f>
        <v/>
      </c>
      <c r="M1361" s="9">
        <f>F1361*H1361</f>
        <v/>
      </c>
      <c r="N1361" s="9">
        <f>L1361-M1361</f>
        <v/>
      </c>
      <c r="O1361" s="11">
        <f>IFERROR(N1361/L1361, 0)</f>
        <v/>
      </c>
      <c r="P1361" s="8">
        <f>YEAR(C1361)</f>
        <v/>
      </c>
      <c r="Q1361" s="8">
        <f>TEXT(C1361, "yyyy-mm")</f>
        <v/>
      </c>
      <c r="R1361" s="8" t="inlineStr">
        <is>
          <t>Direct Web</t>
        </is>
      </c>
      <c r="S1361" s="8" t="inlineStr">
        <is>
          <t>REG-APAC</t>
        </is>
      </c>
    </row>
    <row r="1362">
      <c r="A1362" s="8" t="inlineStr">
        <is>
          <t>DTL-0001378</t>
        </is>
      </c>
      <c r="B1362" s="8" t="inlineStr">
        <is>
          <t>ORD-000685</t>
        </is>
      </c>
      <c r="C1362" s="10" t="inlineStr">
        <is>
          <t>2025-03-23</t>
        </is>
      </c>
      <c r="D1362" s="8" t="inlineStr">
        <is>
          <t>CUST-07946</t>
        </is>
      </c>
      <c r="E1362" s="8" t="inlineStr">
        <is>
          <t>PRD-0424</t>
        </is>
      </c>
      <c r="F1362" s="8" t="n">
        <v>1</v>
      </c>
      <c r="G1362" s="9">
        <f>IFERROR(XLOOKUP(E1362, '04_Products'!$A:$A, '04_Products'!$G:$G), 268.72)</f>
        <v/>
      </c>
      <c r="H1362" s="9">
        <f>IFERROR(XLOOKUP(E1362, '04_Products'!$A:$A, '04_Products'!$F:$F), 0)</f>
        <v/>
      </c>
      <c r="I1362" s="9">
        <f>F1362*G1362</f>
        <v/>
      </c>
      <c r="J1362" s="11" t="n">
        <v>0.15</v>
      </c>
      <c r="K1362" s="9">
        <f>I1362*J1362</f>
        <v/>
      </c>
      <c r="L1362" s="9">
        <f>I1362-K1362</f>
        <v/>
      </c>
      <c r="M1362" s="9">
        <f>F1362*H1362</f>
        <v/>
      </c>
      <c r="N1362" s="9">
        <f>L1362-M1362</f>
        <v/>
      </c>
      <c r="O1362" s="11">
        <f>IFERROR(N1362/L1362, 0)</f>
        <v/>
      </c>
      <c r="P1362" s="8">
        <f>YEAR(C1362)</f>
        <v/>
      </c>
      <c r="Q1362" s="8">
        <f>TEXT(C1362, "yyyy-mm")</f>
        <v/>
      </c>
      <c r="R1362" s="8" t="inlineStr">
        <is>
          <t>Direct Web</t>
        </is>
      </c>
      <c r="S1362" s="8" t="inlineStr">
        <is>
          <t>REG-APAC</t>
        </is>
      </c>
    </row>
    <row r="1363">
      <c r="A1363" s="8" t="inlineStr">
        <is>
          <t>DTL-0001379</t>
        </is>
      </c>
      <c r="B1363" s="8" t="inlineStr">
        <is>
          <t>ORD-000686</t>
        </is>
      </c>
      <c r="C1363" s="10" t="inlineStr">
        <is>
          <t>2024-11-20</t>
        </is>
      </c>
      <c r="D1363" s="8" t="inlineStr">
        <is>
          <t>CUST-03043</t>
        </is>
      </c>
      <c r="E1363" s="8" t="inlineStr">
        <is>
          <t>PRD-0029</t>
        </is>
      </c>
      <c r="F1363" s="8" t="n">
        <v>1</v>
      </c>
      <c r="G1363" s="9">
        <f>IFERROR(XLOOKUP(E1363, '04_Products'!$A:$A, '04_Products'!$G:$G), 9.40)</f>
        <v/>
      </c>
      <c r="H1363" s="9">
        <f>IFERROR(XLOOKUP(E1363, '04_Products'!$A:$A, '04_Products'!$F:$F), 0)</f>
        <v/>
      </c>
      <c r="I1363" s="9">
        <f>F1363*G1363</f>
        <v/>
      </c>
      <c r="J1363" s="11" t="n">
        <v>0.05</v>
      </c>
      <c r="K1363" s="9">
        <f>I1363*J1363</f>
        <v/>
      </c>
      <c r="L1363" s="9">
        <f>I1363-K1363</f>
        <v/>
      </c>
      <c r="M1363" s="9">
        <f>F1363*H1363</f>
        <v/>
      </c>
      <c r="N1363" s="9">
        <f>L1363-M1363</f>
        <v/>
      </c>
      <c r="O1363" s="11">
        <f>IFERROR(N1363/L1363, 0)</f>
        <v/>
      </c>
      <c r="P1363" s="8">
        <f>YEAR(C1363)</f>
        <v/>
      </c>
      <c r="Q1363" s="8">
        <f>TEXT(C1363, "yyyy-mm")</f>
        <v/>
      </c>
      <c r="R1363" s="8" t="inlineStr">
        <is>
          <t>B2B Portal</t>
        </is>
      </c>
      <c r="S1363" s="8" t="inlineStr">
        <is>
          <t>REG-EU</t>
        </is>
      </c>
    </row>
    <row r="1364">
      <c r="A1364" s="8" t="inlineStr">
        <is>
          <t>DTL-0001380</t>
        </is>
      </c>
      <c r="B1364" s="8" t="inlineStr">
        <is>
          <t>ORD-000687</t>
        </is>
      </c>
      <c r="C1364" s="10" t="inlineStr">
        <is>
          <t>2025-06-03</t>
        </is>
      </c>
      <c r="D1364" s="8" t="inlineStr">
        <is>
          <t>CUST-06392</t>
        </is>
      </c>
      <c r="E1364" s="8" t="inlineStr">
        <is>
          <t>PRD-0437</t>
        </is>
      </c>
      <c r="F1364" s="8" t="n">
        <v>1</v>
      </c>
      <c r="G1364" s="9">
        <f>IFERROR(XLOOKUP(E1364, '04_Products'!$A:$A, '04_Products'!$G:$G), 177.29)</f>
        <v/>
      </c>
      <c r="H1364" s="9">
        <f>IFERROR(XLOOKUP(E1364, '04_Products'!$A:$A, '04_Products'!$F:$F), 0)</f>
        <v/>
      </c>
      <c r="I1364" s="9">
        <f>F1364*G1364</f>
        <v/>
      </c>
      <c r="J1364" s="11" t="n">
        <v>0</v>
      </c>
      <c r="K1364" s="9">
        <f>I1364*J1364</f>
        <v/>
      </c>
      <c r="L1364" s="9">
        <f>I1364-K1364</f>
        <v/>
      </c>
      <c r="M1364" s="9">
        <f>F1364*H1364</f>
        <v/>
      </c>
      <c r="N1364" s="9">
        <f>L1364-M1364</f>
        <v/>
      </c>
      <c r="O1364" s="11">
        <f>IFERROR(N1364/L1364, 0)</f>
        <v/>
      </c>
      <c r="P1364" s="8">
        <f>YEAR(C1364)</f>
        <v/>
      </c>
      <c r="Q1364" s="8">
        <f>TEXT(C1364, "yyyy-mm")</f>
        <v/>
      </c>
      <c r="R1364" s="8" t="inlineStr">
        <is>
          <t>Direct Web</t>
        </is>
      </c>
      <c r="S1364" s="8" t="inlineStr">
        <is>
          <t>REG-NA</t>
        </is>
      </c>
    </row>
    <row r="1365">
      <c r="A1365" s="8" t="inlineStr">
        <is>
          <t>DTL-0001381</t>
        </is>
      </c>
      <c r="B1365" s="8" t="inlineStr">
        <is>
          <t>ORD-000687</t>
        </is>
      </c>
      <c r="C1365" s="10" t="inlineStr">
        <is>
          <t>2025-06-03</t>
        </is>
      </c>
      <c r="D1365" s="8" t="inlineStr">
        <is>
          <t>CUST-06392</t>
        </is>
      </c>
      <c r="E1365" s="8" t="inlineStr">
        <is>
          <t>PRD-0200</t>
        </is>
      </c>
      <c r="F1365" s="8" t="n">
        <v>2</v>
      </c>
      <c r="G1365" s="9">
        <f>IFERROR(XLOOKUP(E1365, '04_Products'!$A:$A, '04_Products'!$G:$G), 977.00)</f>
        <v/>
      </c>
      <c r="H1365" s="9">
        <f>IFERROR(XLOOKUP(E1365, '04_Products'!$A:$A, '04_Products'!$F:$F), 0)</f>
        <v/>
      </c>
      <c r="I1365" s="9">
        <f>F1365*G1365</f>
        <v/>
      </c>
      <c r="J1365" s="11" t="n">
        <v>0</v>
      </c>
      <c r="K1365" s="9">
        <f>I1365*J1365</f>
        <v/>
      </c>
      <c r="L1365" s="9">
        <f>I1365-K1365</f>
        <v/>
      </c>
      <c r="M1365" s="9">
        <f>F1365*H1365</f>
        <v/>
      </c>
      <c r="N1365" s="9">
        <f>L1365-M1365</f>
        <v/>
      </c>
      <c r="O1365" s="11">
        <f>IFERROR(N1365/L1365, 0)</f>
        <v/>
      </c>
      <c r="P1365" s="8">
        <f>YEAR(C1365)</f>
        <v/>
      </c>
      <c r="Q1365" s="8">
        <f>TEXT(C1365, "yyyy-mm")</f>
        <v/>
      </c>
      <c r="R1365" s="8" t="inlineStr">
        <is>
          <t>Direct Web</t>
        </is>
      </c>
      <c r="S1365" s="8" t="inlineStr">
        <is>
          <t>REG-NA</t>
        </is>
      </c>
    </row>
    <row r="1366">
      <c r="A1366" s="8" t="inlineStr">
        <is>
          <t>DTL-0001382</t>
        </is>
      </c>
      <c r="B1366" s="8" t="inlineStr">
        <is>
          <t>ORD-000688</t>
        </is>
      </c>
      <c r="C1366" s="10" t="inlineStr">
        <is>
          <t>2023-02-18</t>
        </is>
      </c>
      <c r="D1366" s="8" t="inlineStr">
        <is>
          <t>CUST-07120</t>
        </is>
      </c>
      <c r="E1366" s="8" t="inlineStr">
        <is>
          <t>PRD-0170</t>
        </is>
      </c>
      <c r="F1366" s="8" t="n">
        <v>1</v>
      </c>
      <c r="G1366" s="9">
        <f>IFERROR(XLOOKUP(E1366, '04_Products'!$A:$A, '04_Products'!$G:$G), 111.00)</f>
        <v/>
      </c>
      <c r="H1366" s="9">
        <f>IFERROR(XLOOKUP(E1366, '04_Products'!$A:$A, '04_Products'!$F:$F), 0)</f>
        <v/>
      </c>
      <c r="I1366" s="9">
        <f>F1366*G1366</f>
        <v/>
      </c>
      <c r="J1366" s="11" t="n">
        <v>0</v>
      </c>
      <c r="K1366" s="9">
        <f>I1366*J1366</f>
        <v/>
      </c>
      <c r="L1366" s="9">
        <f>I1366-K1366</f>
        <v/>
      </c>
      <c r="M1366" s="9">
        <f>F1366*H1366</f>
        <v/>
      </c>
      <c r="N1366" s="9">
        <f>L1366-M1366</f>
        <v/>
      </c>
      <c r="O1366" s="11">
        <f>IFERROR(N1366/L1366, 0)</f>
        <v/>
      </c>
      <c r="P1366" s="8">
        <f>YEAR(C1366)</f>
        <v/>
      </c>
      <c r="Q1366" s="8">
        <f>TEXT(C1366, "yyyy-mm")</f>
        <v/>
      </c>
      <c r="R1366" s="8" t="inlineStr">
        <is>
          <t>Direct Web</t>
        </is>
      </c>
      <c r="S1366" s="8" t="inlineStr">
        <is>
          <t>REG-EU</t>
        </is>
      </c>
    </row>
    <row r="1367">
      <c r="A1367" s="8" t="inlineStr">
        <is>
          <t>DTL-0001383</t>
        </is>
      </c>
      <c r="B1367" s="8" t="inlineStr">
        <is>
          <t>ORD-000689</t>
        </is>
      </c>
      <c r="C1367" s="10" t="inlineStr">
        <is>
          <t>2024-03-20</t>
        </is>
      </c>
      <c r="D1367" s="8" t="inlineStr">
        <is>
          <t>CUST-05726</t>
        </is>
      </c>
      <c r="E1367" s="8" t="inlineStr">
        <is>
          <t>PRD-0368</t>
        </is>
      </c>
      <c r="F1367" s="8" t="n">
        <v>1</v>
      </c>
      <c r="G1367" s="9">
        <f>IFERROR(XLOOKUP(E1367, '04_Products'!$A:$A, '04_Products'!$G:$G), 590.05)</f>
        <v/>
      </c>
      <c r="H1367" s="9">
        <f>IFERROR(XLOOKUP(E1367, '04_Products'!$A:$A, '04_Products'!$F:$F), 0)</f>
        <v/>
      </c>
      <c r="I1367" s="9">
        <f>F1367*G1367</f>
        <v/>
      </c>
      <c r="J1367" s="11" t="n">
        <v>0.05</v>
      </c>
      <c r="K1367" s="9">
        <f>I1367*J1367</f>
        <v/>
      </c>
      <c r="L1367" s="9">
        <f>I1367-K1367</f>
        <v/>
      </c>
      <c r="M1367" s="9">
        <f>F1367*H1367</f>
        <v/>
      </c>
      <c r="N1367" s="9">
        <f>L1367-M1367</f>
        <v/>
      </c>
      <c r="O1367" s="11">
        <f>IFERROR(N1367/L1367, 0)</f>
        <v/>
      </c>
      <c r="P1367" s="8">
        <f>YEAR(C1367)</f>
        <v/>
      </c>
      <c r="Q1367" s="8">
        <f>TEXT(C1367, "yyyy-mm")</f>
        <v/>
      </c>
      <c r="R1367" s="8" t="inlineStr">
        <is>
          <t>Direct Web</t>
        </is>
      </c>
      <c r="S1367" s="8" t="inlineStr">
        <is>
          <t>REG-NA</t>
        </is>
      </c>
    </row>
    <row r="1368">
      <c r="A1368" s="8" t="inlineStr">
        <is>
          <t>DTL-0001384</t>
        </is>
      </c>
      <c r="B1368" s="8" t="inlineStr">
        <is>
          <t>ORD-000690</t>
        </is>
      </c>
      <c r="C1368" s="10" t="inlineStr">
        <is>
          <t>2024-08-11</t>
        </is>
      </c>
      <c r="D1368" s="8" t="inlineStr">
        <is>
          <t>CUST-07492</t>
        </is>
      </c>
      <c r="E1368" s="8" t="inlineStr">
        <is>
          <t>PRD-0077</t>
        </is>
      </c>
      <c r="F1368" s="8" t="n">
        <v>2</v>
      </c>
      <c r="G1368" s="9">
        <f>IFERROR(XLOOKUP(E1368, '04_Products'!$A:$A, '04_Products'!$G:$G), 1210.48)</f>
        <v/>
      </c>
      <c r="H1368" s="9">
        <f>IFERROR(XLOOKUP(E1368, '04_Products'!$A:$A, '04_Products'!$F:$F), 0)</f>
        <v/>
      </c>
      <c r="I1368" s="9">
        <f>F1368*G1368</f>
        <v/>
      </c>
      <c r="J1368" s="11" t="n">
        <v>0</v>
      </c>
      <c r="K1368" s="9">
        <f>I1368*J1368</f>
        <v/>
      </c>
      <c r="L1368" s="9">
        <f>I1368-K1368</f>
        <v/>
      </c>
      <c r="M1368" s="9">
        <f>F1368*H1368</f>
        <v/>
      </c>
      <c r="N1368" s="9">
        <f>L1368-M1368</f>
        <v/>
      </c>
      <c r="O1368" s="11">
        <f>IFERROR(N1368/L1368, 0)</f>
        <v/>
      </c>
      <c r="P1368" s="8">
        <f>YEAR(C1368)</f>
        <v/>
      </c>
      <c r="Q1368" s="8">
        <f>TEXT(C1368, "yyyy-mm")</f>
        <v/>
      </c>
      <c r="R1368" s="8" t="inlineStr">
        <is>
          <t>Mobile App</t>
        </is>
      </c>
      <c r="S1368" s="8" t="inlineStr">
        <is>
          <t>REG-APAC</t>
        </is>
      </c>
    </row>
    <row r="1369">
      <c r="A1369" s="8" t="inlineStr">
        <is>
          <t>DTL-0001385</t>
        </is>
      </c>
      <c r="B1369" s="8" t="inlineStr">
        <is>
          <t>ORD-000690</t>
        </is>
      </c>
      <c r="C1369" s="10" t="inlineStr">
        <is>
          <t>2024-08-11</t>
        </is>
      </c>
      <c r="D1369" s="8" t="inlineStr">
        <is>
          <t>CUST-07492</t>
        </is>
      </c>
      <c r="E1369" s="8" t="inlineStr">
        <is>
          <t>PRD-0139</t>
        </is>
      </c>
      <c r="F1369" s="8" t="n">
        <v>1</v>
      </c>
      <c r="G1369" s="9">
        <f>IFERROR(XLOOKUP(E1369, '04_Products'!$A:$A, '04_Products'!$G:$G), 402.87)</f>
        <v/>
      </c>
      <c r="H1369" s="9">
        <f>IFERROR(XLOOKUP(E1369, '04_Products'!$A:$A, '04_Products'!$F:$F), 0)</f>
        <v/>
      </c>
      <c r="I1369" s="9">
        <f>F1369*G1369</f>
        <v/>
      </c>
      <c r="J1369" s="11" t="n">
        <v>0.2</v>
      </c>
      <c r="K1369" s="9">
        <f>I1369*J1369</f>
        <v/>
      </c>
      <c r="L1369" s="9">
        <f>I1369-K1369</f>
        <v/>
      </c>
      <c r="M1369" s="9">
        <f>F1369*H1369</f>
        <v/>
      </c>
      <c r="N1369" s="9">
        <f>L1369-M1369</f>
        <v/>
      </c>
      <c r="O1369" s="11">
        <f>IFERROR(N1369/L1369, 0)</f>
        <v/>
      </c>
      <c r="P1369" s="8">
        <f>YEAR(C1369)</f>
        <v/>
      </c>
      <c r="Q1369" s="8">
        <f>TEXT(C1369, "yyyy-mm")</f>
        <v/>
      </c>
      <c r="R1369" s="8" t="inlineStr">
        <is>
          <t>Mobile App</t>
        </is>
      </c>
      <c r="S1369" s="8" t="inlineStr">
        <is>
          <t>REG-APAC</t>
        </is>
      </c>
    </row>
    <row r="1370">
      <c r="A1370" s="8" t="inlineStr">
        <is>
          <t>DTL-0001386</t>
        </is>
      </c>
      <c r="B1370" s="8" t="inlineStr">
        <is>
          <t>ORD-000690</t>
        </is>
      </c>
      <c r="C1370" s="10" t="inlineStr">
        <is>
          <t>2024-08-11</t>
        </is>
      </c>
      <c r="D1370" s="8" t="inlineStr">
        <is>
          <t>CUST-07492</t>
        </is>
      </c>
      <c r="E1370" s="8" t="inlineStr">
        <is>
          <t>PRD-0040</t>
        </is>
      </c>
      <c r="F1370" s="8" t="n">
        <v>1</v>
      </c>
      <c r="G1370" s="9">
        <f>IFERROR(XLOOKUP(E1370, '04_Products'!$A:$A, '04_Products'!$G:$G), 28.56)</f>
        <v/>
      </c>
      <c r="H1370" s="9">
        <f>IFERROR(XLOOKUP(E1370, '04_Products'!$A:$A, '04_Products'!$F:$F), 0)</f>
        <v/>
      </c>
      <c r="I1370" s="9">
        <f>F1370*G1370</f>
        <v/>
      </c>
      <c r="J1370" s="11" t="n">
        <v>0.1</v>
      </c>
      <c r="K1370" s="9">
        <f>I1370*J1370</f>
        <v/>
      </c>
      <c r="L1370" s="9">
        <f>I1370-K1370</f>
        <v/>
      </c>
      <c r="M1370" s="9">
        <f>F1370*H1370</f>
        <v/>
      </c>
      <c r="N1370" s="9">
        <f>L1370-M1370</f>
        <v/>
      </c>
      <c r="O1370" s="11">
        <f>IFERROR(N1370/L1370, 0)</f>
        <v/>
      </c>
      <c r="P1370" s="8">
        <f>YEAR(C1370)</f>
        <v/>
      </c>
      <c r="Q1370" s="8">
        <f>TEXT(C1370, "yyyy-mm")</f>
        <v/>
      </c>
      <c r="R1370" s="8" t="inlineStr">
        <is>
          <t>Mobile App</t>
        </is>
      </c>
      <c r="S1370" s="8" t="inlineStr">
        <is>
          <t>REG-APAC</t>
        </is>
      </c>
    </row>
    <row r="1371">
      <c r="A1371" s="8" t="inlineStr">
        <is>
          <t>DTL-0001387</t>
        </is>
      </c>
      <c r="B1371" s="8" t="inlineStr">
        <is>
          <t>ORD-000690</t>
        </is>
      </c>
      <c r="C1371" s="10" t="inlineStr">
        <is>
          <t>2024-08-11</t>
        </is>
      </c>
      <c r="D1371" s="8" t="inlineStr">
        <is>
          <t>CUST-07492</t>
        </is>
      </c>
      <c r="E1371" s="8" t="inlineStr">
        <is>
          <t>PRD-0145</t>
        </is>
      </c>
      <c r="F1371" s="8" t="n">
        <v>1</v>
      </c>
      <c r="G1371" s="9">
        <f>IFERROR(XLOOKUP(E1371, '04_Products'!$A:$A, '04_Products'!$G:$G), 37.95)</f>
        <v/>
      </c>
      <c r="H1371" s="9">
        <f>IFERROR(XLOOKUP(E1371, '04_Products'!$A:$A, '04_Products'!$F:$F), 0)</f>
        <v/>
      </c>
      <c r="I1371" s="9">
        <f>F1371*G1371</f>
        <v/>
      </c>
      <c r="J1371" s="11" t="n">
        <v>0.05</v>
      </c>
      <c r="K1371" s="9">
        <f>I1371*J1371</f>
        <v/>
      </c>
      <c r="L1371" s="9">
        <f>I1371-K1371</f>
        <v/>
      </c>
      <c r="M1371" s="9">
        <f>F1371*H1371</f>
        <v/>
      </c>
      <c r="N1371" s="9">
        <f>L1371-M1371</f>
        <v/>
      </c>
      <c r="O1371" s="11">
        <f>IFERROR(N1371/L1371, 0)</f>
        <v/>
      </c>
      <c r="P1371" s="8">
        <f>YEAR(C1371)</f>
        <v/>
      </c>
      <c r="Q1371" s="8">
        <f>TEXT(C1371, "yyyy-mm")</f>
        <v/>
      </c>
      <c r="R1371" s="8" t="inlineStr">
        <is>
          <t>Mobile App</t>
        </is>
      </c>
      <c r="S1371" s="8" t="inlineStr">
        <is>
          <t>REG-APAC</t>
        </is>
      </c>
    </row>
    <row r="1372">
      <c r="A1372" s="8" t="inlineStr">
        <is>
          <t>DTL-0001388</t>
        </is>
      </c>
      <c r="B1372" s="8" t="inlineStr">
        <is>
          <t>ORD-000690</t>
        </is>
      </c>
      <c r="C1372" s="10" t="inlineStr">
        <is>
          <t>2024-08-11</t>
        </is>
      </c>
      <c r="D1372" s="8" t="inlineStr">
        <is>
          <t>CUST-07492</t>
        </is>
      </c>
      <c r="E1372" s="8" t="inlineStr">
        <is>
          <t>PRD-0339</t>
        </is>
      </c>
      <c r="F1372" s="8" t="n">
        <v>2</v>
      </c>
      <c r="G1372" s="9">
        <f>IFERROR(XLOOKUP(E1372, '04_Products'!$A:$A, '04_Products'!$G:$G), 30.04)</f>
        <v/>
      </c>
      <c r="H1372" s="9">
        <f>IFERROR(XLOOKUP(E1372, '04_Products'!$A:$A, '04_Products'!$F:$F), 0)</f>
        <v/>
      </c>
      <c r="I1372" s="9">
        <f>F1372*G1372</f>
        <v/>
      </c>
      <c r="J1372" s="11" t="n">
        <v>0.1</v>
      </c>
      <c r="K1372" s="9">
        <f>I1372*J1372</f>
        <v/>
      </c>
      <c r="L1372" s="9">
        <f>I1372-K1372</f>
        <v/>
      </c>
      <c r="M1372" s="9">
        <f>F1372*H1372</f>
        <v/>
      </c>
      <c r="N1372" s="9">
        <f>L1372-M1372</f>
        <v/>
      </c>
      <c r="O1372" s="11">
        <f>IFERROR(N1372/L1372, 0)</f>
        <v/>
      </c>
      <c r="P1372" s="8">
        <f>YEAR(C1372)</f>
        <v/>
      </c>
      <c r="Q1372" s="8">
        <f>TEXT(C1372, "yyyy-mm")</f>
        <v/>
      </c>
      <c r="R1372" s="8" t="inlineStr">
        <is>
          <t>Mobile App</t>
        </is>
      </c>
      <c r="S1372" s="8" t="inlineStr">
        <is>
          <t>REG-APAC</t>
        </is>
      </c>
    </row>
    <row r="1373">
      <c r="A1373" s="8" t="inlineStr">
        <is>
          <t>DTL-0001389</t>
        </is>
      </c>
      <c r="B1373" s="8" t="inlineStr">
        <is>
          <t>ORD-000691</t>
        </is>
      </c>
      <c r="C1373" s="10" t="inlineStr">
        <is>
          <t>2023-12-13</t>
        </is>
      </c>
      <c r="D1373" s="8" t="inlineStr">
        <is>
          <t>CUST-07289</t>
        </is>
      </c>
      <c r="E1373" s="8" t="inlineStr">
        <is>
          <t>PRD-0490</t>
        </is>
      </c>
      <c r="F1373" s="8" t="n">
        <v>1</v>
      </c>
      <c r="G1373" s="9">
        <f>IFERROR(XLOOKUP(E1373, '04_Products'!$A:$A, '04_Products'!$G:$G), 146.89)</f>
        <v/>
      </c>
      <c r="H1373" s="9">
        <f>IFERROR(XLOOKUP(E1373, '04_Products'!$A:$A, '04_Products'!$F:$F), 0)</f>
        <v/>
      </c>
      <c r="I1373" s="9">
        <f>F1373*G1373</f>
        <v/>
      </c>
      <c r="J1373" s="11" t="n">
        <v>0.15</v>
      </c>
      <c r="K1373" s="9">
        <f>I1373*J1373</f>
        <v/>
      </c>
      <c r="L1373" s="9">
        <f>I1373-K1373</f>
        <v/>
      </c>
      <c r="M1373" s="9">
        <f>F1373*H1373</f>
        <v/>
      </c>
      <c r="N1373" s="9">
        <f>L1373-M1373</f>
        <v/>
      </c>
      <c r="O1373" s="11">
        <f>IFERROR(N1373/L1373, 0)</f>
        <v/>
      </c>
      <c r="P1373" s="8">
        <f>YEAR(C1373)</f>
        <v/>
      </c>
      <c r="Q1373" s="8">
        <f>TEXT(C1373, "yyyy-mm")</f>
        <v/>
      </c>
      <c r="R1373" s="8" t="inlineStr">
        <is>
          <t>Direct Web</t>
        </is>
      </c>
      <c r="S1373" s="8" t="inlineStr">
        <is>
          <t>REG-EU</t>
        </is>
      </c>
    </row>
    <row r="1374">
      <c r="A1374" s="8" t="inlineStr">
        <is>
          <t>DTL-0001390</t>
        </is>
      </c>
      <c r="B1374" s="8" t="inlineStr">
        <is>
          <t>ORD-000691</t>
        </is>
      </c>
      <c r="C1374" s="10" t="inlineStr">
        <is>
          <t>2023-12-13</t>
        </is>
      </c>
      <c r="D1374" s="8" t="inlineStr">
        <is>
          <t>CUST-07289</t>
        </is>
      </c>
      <c r="E1374" s="8" t="inlineStr">
        <is>
          <t>PRD-0453</t>
        </is>
      </c>
      <c r="F1374" s="8" t="n">
        <v>1</v>
      </c>
      <c r="G1374" s="9">
        <f>IFERROR(XLOOKUP(E1374, '04_Products'!$A:$A, '04_Products'!$G:$G), 54.92)</f>
        <v/>
      </c>
      <c r="H1374" s="9">
        <f>IFERROR(XLOOKUP(E1374, '04_Products'!$A:$A, '04_Products'!$F:$F), 0)</f>
        <v/>
      </c>
      <c r="I1374" s="9">
        <f>F1374*G1374</f>
        <v/>
      </c>
      <c r="J1374" s="11" t="n">
        <v>0.1</v>
      </c>
      <c r="K1374" s="9">
        <f>I1374*J1374</f>
        <v/>
      </c>
      <c r="L1374" s="9">
        <f>I1374-K1374</f>
        <v/>
      </c>
      <c r="M1374" s="9">
        <f>F1374*H1374</f>
        <v/>
      </c>
      <c r="N1374" s="9">
        <f>L1374-M1374</f>
        <v/>
      </c>
      <c r="O1374" s="11">
        <f>IFERROR(N1374/L1374, 0)</f>
        <v/>
      </c>
      <c r="P1374" s="8">
        <f>YEAR(C1374)</f>
        <v/>
      </c>
      <c r="Q1374" s="8">
        <f>TEXT(C1374, "yyyy-mm")</f>
        <v/>
      </c>
      <c r="R1374" s="8" t="inlineStr">
        <is>
          <t>Direct Web</t>
        </is>
      </c>
      <c r="S1374" s="8" t="inlineStr">
        <is>
          <t>REG-EU</t>
        </is>
      </c>
    </row>
    <row r="1375">
      <c r="A1375" s="8" t="inlineStr">
        <is>
          <t>DTL-0001391</t>
        </is>
      </c>
      <c r="B1375" s="8" t="inlineStr">
        <is>
          <t>ORD-000691</t>
        </is>
      </c>
      <c r="C1375" s="10" t="inlineStr">
        <is>
          <t>2023-12-13</t>
        </is>
      </c>
      <c r="D1375" s="8" t="inlineStr">
        <is>
          <t>CUST-07289</t>
        </is>
      </c>
      <c r="E1375" s="8" t="inlineStr">
        <is>
          <t>PRD-0110</t>
        </is>
      </c>
      <c r="F1375" s="8" t="n">
        <v>1</v>
      </c>
      <c r="G1375" s="9">
        <f>IFERROR(XLOOKUP(E1375, '04_Products'!$A:$A, '04_Products'!$G:$G), 84.14)</f>
        <v/>
      </c>
      <c r="H1375" s="9">
        <f>IFERROR(XLOOKUP(E1375, '04_Products'!$A:$A, '04_Products'!$F:$F), 0)</f>
        <v/>
      </c>
      <c r="I1375" s="9">
        <f>F1375*G1375</f>
        <v/>
      </c>
      <c r="J1375" s="11" t="n">
        <v>0.05</v>
      </c>
      <c r="K1375" s="9">
        <f>I1375*J1375</f>
        <v/>
      </c>
      <c r="L1375" s="9">
        <f>I1375-K1375</f>
        <v/>
      </c>
      <c r="M1375" s="9">
        <f>F1375*H1375</f>
        <v/>
      </c>
      <c r="N1375" s="9">
        <f>L1375-M1375</f>
        <v/>
      </c>
      <c r="O1375" s="11">
        <f>IFERROR(N1375/L1375, 0)</f>
        <v/>
      </c>
      <c r="P1375" s="8">
        <f>YEAR(C1375)</f>
        <v/>
      </c>
      <c r="Q1375" s="8">
        <f>TEXT(C1375, "yyyy-mm")</f>
        <v/>
      </c>
      <c r="R1375" s="8" t="inlineStr">
        <is>
          <t>Direct Web</t>
        </is>
      </c>
      <c r="S1375" s="8" t="inlineStr">
        <is>
          <t>REG-EU</t>
        </is>
      </c>
    </row>
    <row r="1376">
      <c r="A1376" s="8" t="inlineStr">
        <is>
          <t>DTL-0001392</t>
        </is>
      </c>
      <c r="B1376" s="8" t="inlineStr">
        <is>
          <t>ORD-000692</t>
        </is>
      </c>
      <c r="C1376" s="10" t="inlineStr">
        <is>
          <t>2024-09-08</t>
        </is>
      </c>
      <c r="D1376" s="8" t="inlineStr">
        <is>
          <t>CUST-04062</t>
        </is>
      </c>
      <c r="E1376" s="8" t="inlineStr">
        <is>
          <t>PRD-0066</t>
        </is>
      </c>
      <c r="F1376" s="8" t="n">
        <v>3</v>
      </c>
      <c r="G1376" s="9">
        <f>IFERROR(XLOOKUP(E1376, '04_Products'!$A:$A, '04_Products'!$G:$G), 976.53)</f>
        <v/>
      </c>
      <c r="H1376" s="9">
        <f>IFERROR(XLOOKUP(E1376, '04_Products'!$A:$A, '04_Products'!$F:$F), 0)</f>
        <v/>
      </c>
      <c r="I1376" s="9">
        <f>F1376*G1376</f>
        <v/>
      </c>
      <c r="J1376" s="11" t="n">
        <v>0</v>
      </c>
      <c r="K1376" s="9">
        <f>I1376*J1376</f>
        <v/>
      </c>
      <c r="L1376" s="9">
        <f>I1376-K1376</f>
        <v/>
      </c>
      <c r="M1376" s="9">
        <f>F1376*H1376</f>
        <v/>
      </c>
      <c r="N1376" s="9">
        <f>L1376-M1376</f>
        <v/>
      </c>
      <c r="O1376" s="11">
        <f>IFERROR(N1376/L1376, 0)</f>
        <v/>
      </c>
      <c r="P1376" s="8">
        <f>YEAR(C1376)</f>
        <v/>
      </c>
      <c r="Q1376" s="8">
        <f>TEXT(C1376, "yyyy-mm")</f>
        <v/>
      </c>
      <c r="R1376" s="8" t="inlineStr">
        <is>
          <t>Direct Web</t>
        </is>
      </c>
      <c r="S1376" s="8" t="inlineStr">
        <is>
          <t>REG-NA</t>
        </is>
      </c>
    </row>
    <row r="1377">
      <c r="A1377" s="8" t="inlineStr">
        <is>
          <t>DTL-0001393</t>
        </is>
      </c>
      <c r="B1377" s="8" t="inlineStr">
        <is>
          <t>ORD-000693</t>
        </is>
      </c>
      <c r="C1377" s="10" t="inlineStr">
        <is>
          <t>2023-11-01</t>
        </is>
      </c>
      <c r="D1377" s="8" t="inlineStr">
        <is>
          <t>CUST-07131</t>
        </is>
      </c>
      <c r="E1377" s="8" t="inlineStr">
        <is>
          <t>PRD-0094</t>
        </is>
      </c>
      <c r="F1377" s="8" t="n">
        <v>1</v>
      </c>
      <c r="G1377" s="9">
        <f>IFERROR(XLOOKUP(E1377, '04_Products'!$A:$A, '04_Products'!$G:$G), 282.30)</f>
        <v/>
      </c>
      <c r="H1377" s="9">
        <f>IFERROR(XLOOKUP(E1377, '04_Products'!$A:$A, '04_Products'!$F:$F), 0)</f>
        <v/>
      </c>
      <c r="I1377" s="9">
        <f>F1377*G1377</f>
        <v/>
      </c>
      <c r="J1377" s="11" t="n">
        <v>0.15</v>
      </c>
      <c r="K1377" s="9">
        <f>I1377*J1377</f>
        <v/>
      </c>
      <c r="L1377" s="9">
        <f>I1377-K1377</f>
        <v/>
      </c>
      <c r="M1377" s="9">
        <f>F1377*H1377</f>
        <v/>
      </c>
      <c r="N1377" s="9">
        <f>L1377-M1377</f>
        <v/>
      </c>
      <c r="O1377" s="11">
        <f>IFERROR(N1377/L1377, 0)</f>
        <v/>
      </c>
      <c r="P1377" s="8">
        <f>YEAR(C1377)</f>
        <v/>
      </c>
      <c r="Q1377" s="8">
        <f>TEXT(C1377, "yyyy-mm")</f>
        <v/>
      </c>
      <c r="R1377" s="8" t="inlineStr">
        <is>
          <t>Affiliate Partner</t>
        </is>
      </c>
      <c r="S1377" s="8" t="inlineStr">
        <is>
          <t>REG-NA</t>
        </is>
      </c>
    </row>
    <row r="1378">
      <c r="A1378" s="8" t="inlineStr">
        <is>
          <t>DTL-0001394</t>
        </is>
      </c>
      <c r="B1378" s="8" t="inlineStr">
        <is>
          <t>ORD-000694</t>
        </is>
      </c>
      <c r="C1378" s="10" t="inlineStr">
        <is>
          <t>2025-06-23</t>
        </is>
      </c>
      <c r="D1378" s="8" t="inlineStr">
        <is>
          <t>CUST-02604</t>
        </is>
      </c>
      <c r="E1378" s="8" t="inlineStr">
        <is>
          <t>PRD-0001</t>
        </is>
      </c>
      <c r="F1378" s="8" t="n">
        <v>1</v>
      </c>
      <c r="G1378" s="9">
        <f>IFERROR(XLOOKUP(E1378, '04_Products'!$A:$A, '04_Products'!$G:$G), 9.00)</f>
        <v/>
      </c>
      <c r="H1378" s="9">
        <f>IFERROR(XLOOKUP(E1378, '04_Products'!$A:$A, '04_Products'!$F:$F), 0)</f>
        <v/>
      </c>
      <c r="I1378" s="9">
        <f>F1378*G1378</f>
        <v/>
      </c>
      <c r="J1378" s="11" t="n">
        <v>0.1</v>
      </c>
      <c r="K1378" s="9">
        <f>I1378*J1378</f>
        <v/>
      </c>
      <c r="L1378" s="9">
        <f>I1378-K1378</f>
        <v/>
      </c>
      <c r="M1378" s="9">
        <f>F1378*H1378</f>
        <v/>
      </c>
      <c r="N1378" s="9">
        <f>L1378-M1378</f>
        <v/>
      </c>
      <c r="O1378" s="11">
        <f>IFERROR(N1378/L1378, 0)</f>
        <v/>
      </c>
      <c r="P1378" s="8">
        <f>YEAR(C1378)</f>
        <v/>
      </c>
      <c r="Q1378" s="8">
        <f>TEXT(C1378, "yyyy-mm")</f>
        <v/>
      </c>
      <c r="R1378" s="8" t="inlineStr">
        <is>
          <t>Direct Web</t>
        </is>
      </c>
      <c r="S1378" s="8" t="inlineStr">
        <is>
          <t>REG-NA</t>
        </is>
      </c>
    </row>
    <row r="1379">
      <c r="A1379" s="8" t="inlineStr">
        <is>
          <t>DTL-0001395</t>
        </is>
      </c>
      <c r="B1379" s="8" t="inlineStr">
        <is>
          <t>ORD-000695</t>
        </is>
      </c>
      <c r="C1379" s="10" t="inlineStr">
        <is>
          <t>2024-02-12</t>
        </is>
      </c>
      <c r="D1379" s="8" t="inlineStr">
        <is>
          <t>CUST-01213</t>
        </is>
      </c>
      <c r="E1379" s="8" t="inlineStr">
        <is>
          <t>PRD-0027</t>
        </is>
      </c>
      <c r="F1379" s="8" t="n">
        <v>3</v>
      </c>
      <c r="G1379" s="9">
        <f>IFERROR(XLOOKUP(E1379, '04_Products'!$A:$A, '04_Products'!$G:$G), 11.10)</f>
        <v/>
      </c>
      <c r="H1379" s="9">
        <f>IFERROR(XLOOKUP(E1379, '04_Products'!$A:$A, '04_Products'!$F:$F), 0)</f>
        <v/>
      </c>
      <c r="I1379" s="9">
        <f>F1379*G1379</f>
        <v/>
      </c>
      <c r="J1379" s="11" t="n">
        <v>0</v>
      </c>
      <c r="K1379" s="9">
        <f>I1379*J1379</f>
        <v/>
      </c>
      <c r="L1379" s="9">
        <f>I1379-K1379</f>
        <v/>
      </c>
      <c r="M1379" s="9">
        <f>F1379*H1379</f>
        <v/>
      </c>
      <c r="N1379" s="9">
        <f>L1379-M1379</f>
        <v/>
      </c>
      <c r="O1379" s="11">
        <f>IFERROR(N1379/L1379, 0)</f>
        <v/>
      </c>
      <c r="P1379" s="8">
        <f>YEAR(C1379)</f>
        <v/>
      </c>
      <c r="Q1379" s="8">
        <f>TEXT(C1379, "yyyy-mm")</f>
        <v/>
      </c>
      <c r="R1379" s="8" t="inlineStr">
        <is>
          <t>Mobile App</t>
        </is>
      </c>
      <c r="S1379" s="8" t="inlineStr">
        <is>
          <t>REG-NA</t>
        </is>
      </c>
    </row>
    <row r="1380">
      <c r="A1380" s="8" t="inlineStr">
        <is>
          <t>DTL-0001396</t>
        </is>
      </c>
      <c r="B1380" s="8" t="inlineStr">
        <is>
          <t>ORD-000696</t>
        </is>
      </c>
      <c r="C1380" s="10" t="inlineStr">
        <is>
          <t>2023-04-20</t>
        </is>
      </c>
      <c r="D1380" s="8" t="inlineStr">
        <is>
          <t>CUST-01196</t>
        </is>
      </c>
      <c r="E1380" s="8" t="inlineStr">
        <is>
          <t>PRD-0123</t>
        </is>
      </c>
      <c r="F1380" s="8" t="n">
        <v>1</v>
      </c>
      <c r="G1380" s="9">
        <f>IFERROR(XLOOKUP(E1380, '04_Products'!$A:$A, '04_Products'!$G:$G), 195.79)</f>
        <v/>
      </c>
      <c r="H1380" s="9">
        <f>IFERROR(XLOOKUP(E1380, '04_Products'!$A:$A, '04_Products'!$F:$F), 0)</f>
        <v/>
      </c>
      <c r="I1380" s="9">
        <f>F1380*G1380</f>
        <v/>
      </c>
      <c r="J1380" s="11" t="n">
        <v>0</v>
      </c>
      <c r="K1380" s="9">
        <f>I1380*J1380</f>
        <v/>
      </c>
      <c r="L1380" s="9">
        <f>I1380-K1380</f>
        <v/>
      </c>
      <c r="M1380" s="9">
        <f>F1380*H1380</f>
        <v/>
      </c>
      <c r="N1380" s="9">
        <f>L1380-M1380</f>
        <v/>
      </c>
      <c r="O1380" s="11">
        <f>IFERROR(N1380/L1380, 0)</f>
        <v/>
      </c>
      <c r="P1380" s="8">
        <f>YEAR(C1380)</f>
        <v/>
      </c>
      <c r="Q1380" s="8">
        <f>TEXT(C1380, "yyyy-mm")</f>
        <v/>
      </c>
      <c r="R1380" s="8" t="inlineStr">
        <is>
          <t>B2B Portal</t>
        </is>
      </c>
      <c r="S1380" s="8" t="inlineStr">
        <is>
          <t>REG-NA</t>
        </is>
      </c>
    </row>
    <row r="1381">
      <c r="A1381" s="8" t="inlineStr">
        <is>
          <t>DTL-0001397</t>
        </is>
      </c>
      <c r="B1381" s="8" t="inlineStr">
        <is>
          <t>ORD-000697</t>
        </is>
      </c>
      <c r="C1381" s="10" t="inlineStr">
        <is>
          <t>2023-04-25</t>
        </is>
      </c>
      <c r="D1381" s="8" t="inlineStr">
        <is>
          <t>CUST-05723</t>
        </is>
      </c>
      <c r="E1381" s="8" t="inlineStr">
        <is>
          <t>PRD-0174</t>
        </is>
      </c>
      <c r="F1381" s="8" t="n">
        <v>1</v>
      </c>
      <c r="G1381" s="9">
        <f>IFERROR(XLOOKUP(E1381, '04_Products'!$A:$A, '04_Products'!$G:$G), 960.11)</f>
        <v/>
      </c>
      <c r="H1381" s="9">
        <f>IFERROR(XLOOKUP(E1381, '04_Products'!$A:$A, '04_Products'!$F:$F), 0)</f>
        <v/>
      </c>
      <c r="I1381" s="9">
        <f>F1381*G1381</f>
        <v/>
      </c>
      <c r="J1381" s="11" t="n">
        <v>0.1</v>
      </c>
      <c r="K1381" s="9">
        <f>I1381*J1381</f>
        <v/>
      </c>
      <c r="L1381" s="9">
        <f>I1381-K1381</f>
        <v/>
      </c>
      <c r="M1381" s="9">
        <f>F1381*H1381</f>
        <v/>
      </c>
      <c r="N1381" s="9">
        <f>L1381-M1381</f>
        <v/>
      </c>
      <c r="O1381" s="11">
        <f>IFERROR(N1381/L1381, 0)</f>
        <v/>
      </c>
      <c r="P1381" s="8">
        <f>YEAR(C1381)</f>
        <v/>
      </c>
      <c r="Q1381" s="8">
        <f>TEXT(C1381, "yyyy-mm")</f>
        <v/>
      </c>
      <c r="R1381" s="8" t="inlineStr">
        <is>
          <t>Mobile App</t>
        </is>
      </c>
      <c r="S1381" s="8" t="inlineStr">
        <is>
          <t>REG-NA</t>
        </is>
      </c>
    </row>
    <row r="1382">
      <c r="A1382" s="8" t="inlineStr">
        <is>
          <t>DTL-0001398</t>
        </is>
      </c>
      <c r="B1382" s="8" t="inlineStr">
        <is>
          <t>ORD-000697</t>
        </is>
      </c>
      <c r="C1382" s="10" t="inlineStr">
        <is>
          <t>2023-04-25</t>
        </is>
      </c>
      <c r="D1382" s="8" t="inlineStr">
        <is>
          <t>CUST-05723</t>
        </is>
      </c>
      <c r="E1382" s="8" t="inlineStr">
        <is>
          <t>PRD-0248</t>
        </is>
      </c>
      <c r="F1382" s="8" t="n">
        <v>5</v>
      </c>
      <c r="G1382" s="9">
        <f>IFERROR(XLOOKUP(E1382, '04_Products'!$A:$A, '04_Products'!$G:$G), 603.58)</f>
        <v/>
      </c>
      <c r="H1382" s="9">
        <f>IFERROR(XLOOKUP(E1382, '04_Products'!$A:$A, '04_Products'!$F:$F), 0)</f>
        <v/>
      </c>
      <c r="I1382" s="9">
        <f>F1382*G1382</f>
        <v/>
      </c>
      <c r="J1382" s="11" t="n">
        <v>0</v>
      </c>
      <c r="K1382" s="9">
        <f>I1382*J1382</f>
        <v/>
      </c>
      <c r="L1382" s="9">
        <f>I1382-K1382</f>
        <v/>
      </c>
      <c r="M1382" s="9">
        <f>F1382*H1382</f>
        <v/>
      </c>
      <c r="N1382" s="9">
        <f>L1382-M1382</f>
        <v/>
      </c>
      <c r="O1382" s="11">
        <f>IFERROR(N1382/L1382, 0)</f>
        <v/>
      </c>
      <c r="P1382" s="8">
        <f>YEAR(C1382)</f>
        <v/>
      </c>
      <c r="Q1382" s="8">
        <f>TEXT(C1382, "yyyy-mm")</f>
        <v/>
      </c>
      <c r="R1382" s="8" t="inlineStr">
        <is>
          <t>Mobile App</t>
        </is>
      </c>
      <c r="S1382" s="8" t="inlineStr">
        <is>
          <t>REG-NA</t>
        </is>
      </c>
    </row>
    <row r="1383">
      <c r="A1383" s="8" t="inlineStr">
        <is>
          <t>DTL-0001399</t>
        </is>
      </c>
      <c r="B1383" s="8" t="inlineStr">
        <is>
          <t>ORD-000698</t>
        </is>
      </c>
      <c r="C1383" s="10" t="inlineStr">
        <is>
          <t>2025-09-21</t>
        </is>
      </c>
      <c r="D1383" s="8" t="inlineStr">
        <is>
          <t>CUST-01140</t>
        </is>
      </c>
      <c r="E1383" s="8" t="inlineStr">
        <is>
          <t>PRD-0020</t>
        </is>
      </c>
      <c r="F1383" s="8" t="n">
        <v>4</v>
      </c>
      <c r="G1383" s="9">
        <f>IFERROR(XLOOKUP(E1383, '04_Products'!$A:$A, '04_Products'!$G:$G), 22.42)</f>
        <v/>
      </c>
      <c r="H1383" s="9">
        <f>IFERROR(XLOOKUP(E1383, '04_Products'!$A:$A, '04_Products'!$F:$F), 0)</f>
        <v/>
      </c>
      <c r="I1383" s="9">
        <f>F1383*G1383</f>
        <v/>
      </c>
      <c r="J1383" s="11" t="n">
        <v>0</v>
      </c>
      <c r="K1383" s="9">
        <f>I1383*J1383</f>
        <v/>
      </c>
      <c r="L1383" s="9">
        <f>I1383-K1383</f>
        <v/>
      </c>
      <c r="M1383" s="9">
        <f>F1383*H1383</f>
        <v/>
      </c>
      <c r="N1383" s="9">
        <f>L1383-M1383</f>
        <v/>
      </c>
      <c r="O1383" s="11">
        <f>IFERROR(N1383/L1383, 0)</f>
        <v/>
      </c>
      <c r="P1383" s="8">
        <f>YEAR(C1383)</f>
        <v/>
      </c>
      <c r="Q1383" s="8">
        <f>TEXT(C1383, "yyyy-mm")</f>
        <v/>
      </c>
      <c r="R1383" s="8" t="inlineStr">
        <is>
          <t>Direct Web</t>
        </is>
      </c>
      <c r="S1383" s="8" t="inlineStr">
        <is>
          <t>REG-EU</t>
        </is>
      </c>
    </row>
    <row r="1384">
      <c r="A1384" s="8" t="inlineStr">
        <is>
          <t>DTL-0001400</t>
        </is>
      </c>
      <c r="B1384" s="8" t="inlineStr">
        <is>
          <t>ORD-000698</t>
        </is>
      </c>
      <c r="C1384" s="10" t="inlineStr">
        <is>
          <t>2025-09-21</t>
        </is>
      </c>
      <c r="D1384" s="8" t="inlineStr">
        <is>
          <t>CUST-01140</t>
        </is>
      </c>
      <c r="E1384" s="8" t="inlineStr">
        <is>
          <t>PRD-0230</t>
        </is>
      </c>
      <c r="F1384" s="8" t="n">
        <v>2</v>
      </c>
      <c r="G1384" s="9">
        <f>IFERROR(XLOOKUP(E1384, '04_Products'!$A:$A, '04_Products'!$G:$G), 54.32)</f>
        <v/>
      </c>
      <c r="H1384" s="9">
        <f>IFERROR(XLOOKUP(E1384, '04_Products'!$A:$A, '04_Products'!$F:$F), 0)</f>
        <v/>
      </c>
      <c r="I1384" s="9">
        <f>F1384*G1384</f>
        <v/>
      </c>
      <c r="J1384" s="11" t="n">
        <v>0.2</v>
      </c>
      <c r="K1384" s="9">
        <f>I1384*J1384</f>
        <v/>
      </c>
      <c r="L1384" s="9">
        <f>I1384-K1384</f>
        <v/>
      </c>
      <c r="M1384" s="9">
        <f>F1384*H1384</f>
        <v/>
      </c>
      <c r="N1384" s="9">
        <f>L1384-M1384</f>
        <v/>
      </c>
      <c r="O1384" s="11">
        <f>IFERROR(N1384/L1384, 0)</f>
        <v/>
      </c>
      <c r="P1384" s="8">
        <f>YEAR(C1384)</f>
        <v/>
      </c>
      <c r="Q1384" s="8">
        <f>TEXT(C1384, "yyyy-mm")</f>
        <v/>
      </c>
      <c r="R1384" s="8" t="inlineStr">
        <is>
          <t>Direct Web</t>
        </is>
      </c>
      <c r="S1384" s="8" t="inlineStr">
        <is>
          <t>REG-EU</t>
        </is>
      </c>
    </row>
    <row r="1385">
      <c r="A1385" s="8" t="inlineStr">
        <is>
          <t>DTL-0001401</t>
        </is>
      </c>
      <c r="B1385" s="8" t="inlineStr">
        <is>
          <t>ORD-000699</t>
        </is>
      </c>
      <c r="C1385" s="10" t="inlineStr">
        <is>
          <t>2025-12-17</t>
        </is>
      </c>
      <c r="D1385" s="8" t="inlineStr">
        <is>
          <t>CUST-05664</t>
        </is>
      </c>
      <c r="E1385" s="8" t="inlineStr">
        <is>
          <t>PRD-0408</t>
        </is>
      </c>
      <c r="F1385" s="8" t="n">
        <v>1</v>
      </c>
      <c r="G1385" s="9">
        <f>IFERROR(XLOOKUP(E1385, '04_Products'!$A:$A, '04_Products'!$G:$G), 117.01)</f>
        <v/>
      </c>
      <c r="H1385" s="9">
        <f>IFERROR(XLOOKUP(E1385, '04_Products'!$A:$A, '04_Products'!$F:$F), 0)</f>
        <v/>
      </c>
      <c r="I1385" s="9">
        <f>F1385*G1385</f>
        <v/>
      </c>
      <c r="J1385" s="11" t="n">
        <v>0.05</v>
      </c>
      <c r="K1385" s="9">
        <f>I1385*J1385</f>
        <v/>
      </c>
      <c r="L1385" s="9">
        <f>I1385-K1385</f>
        <v/>
      </c>
      <c r="M1385" s="9">
        <f>F1385*H1385</f>
        <v/>
      </c>
      <c r="N1385" s="9">
        <f>L1385-M1385</f>
        <v/>
      </c>
      <c r="O1385" s="11">
        <f>IFERROR(N1385/L1385, 0)</f>
        <v/>
      </c>
      <c r="P1385" s="8">
        <f>YEAR(C1385)</f>
        <v/>
      </c>
      <c r="Q1385" s="8">
        <f>TEXT(C1385, "yyyy-mm")</f>
        <v/>
      </c>
      <c r="R1385" s="8" t="inlineStr">
        <is>
          <t>B2B Portal</t>
        </is>
      </c>
      <c r="S1385" s="8" t="inlineStr">
        <is>
          <t>REG-NA</t>
        </is>
      </c>
    </row>
    <row r="1386">
      <c r="A1386" s="8" t="inlineStr">
        <is>
          <t>DTL-0001402</t>
        </is>
      </c>
      <c r="B1386" s="8" t="inlineStr">
        <is>
          <t>ORD-000699</t>
        </is>
      </c>
      <c r="C1386" s="10" t="inlineStr">
        <is>
          <t>2025-12-17</t>
        </is>
      </c>
      <c r="D1386" s="8" t="inlineStr">
        <is>
          <t>CUST-05664</t>
        </is>
      </c>
      <c r="E1386" s="8" t="inlineStr">
        <is>
          <t>PRD-0215</t>
        </is>
      </c>
      <c r="F1386" s="8" t="n">
        <v>10</v>
      </c>
      <c r="G1386" s="9">
        <f>IFERROR(XLOOKUP(E1386, '04_Products'!$A:$A, '04_Products'!$G:$G), 1006.33)</f>
        <v/>
      </c>
      <c r="H1386" s="9">
        <f>IFERROR(XLOOKUP(E1386, '04_Products'!$A:$A, '04_Products'!$F:$F), 0)</f>
        <v/>
      </c>
      <c r="I1386" s="9">
        <f>F1386*G1386</f>
        <v/>
      </c>
      <c r="J1386" s="11" t="n">
        <v>0</v>
      </c>
      <c r="K1386" s="9">
        <f>I1386*J1386</f>
        <v/>
      </c>
      <c r="L1386" s="9">
        <f>I1386-K1386</f>
        <v/>
      </c>
      <c r="M1386" s="9">
        <f>F1386*H1386</f>
        <v/>
      </c>
      <c r="N1386" s="9">
        <f>L1386-M1386</f>
        <v/>
      </c>
      <c r="O1386" s="11">
        <f>IFERROR(N1386/L1386, 0)</f>
        <v/>
      </c>
      <c r="P1386" s="8">
        <f>YEAR(C1386)</f>
        <v/>
      </c>
      <c r="Q1386" s="8">
        <f>TEXT(C1386, "yyyy-mm")</f>
        <v/>
      </c>
      <c r="R1386" s="8" t="inlineStr">
        <is>
          <t>B2B Portal</t>
        </is>
      </c>
      <c r="S1386" s="8" t="inlineStr">
        <is>
          <t>REG-NA</t>
        </is>
      </c>
    </row>
    <row r="1387">
      <c r="A1387" s="8" t="inlineStr">
        <is>
          <t>DTL-0001403</t>
        </is>
      </c>
      <c r="B1387" s="8" t="inlineStr">
        <is>
          <t>ORD-000699</t>
        </is>
      </c>
      <c r="C1387" s="10" t="inlineStr">
        <is>
          <t>2025-12-17</t>
        </is>
      </c>
      <c r="D1387" s="8" t="inlineStr">
        <is>
          <t>CUST-05664</t>
        </is>
      </c>
      <c r="E1387" s="8" t="inlineStr">
        <is>
          <t>PRD-0188</t>
        </is>
      </c>
      <c r="F1387" s="8" t="n">
        <v>1</v>
      </c>
      <c r="G1387" s="9">
        <f>IFERROR(XLOOKUP(E1387, '04_Products'!$A:$A, '04_Products'!$G:$G), 946.83)</f>
        <v/>
      </c>
      <c r="H1387" s="9">
        <f>IFERROR(XLOOKUP(E1387, '04_Products'!$A:$A, '04_Products'!$F:$F), 0)</f>
        <v/>
      </c>
      <c r="I1387" s="9">
        <f>F1387*G1387</f>
        <v/>
      </c>
      <c r="J1387" s="11" t="n">
        <v>0.05</v>
      </c>
      <c r="K1387" s="9">
        <f>I1387*J1387</f>
        <v/>
      </c>
      <c r="L1387" s="9">
        <f>I1387-K1387</f>
        <v/>
      </c>
      <c r="M1387" s="9">
        <f>F1387*H1387</f>
        <v/>
      </c>
      <c r="N1387" s="9">
        <f>L1387-M1387</f>
        <v/>
      </c>
      <c r="O1387" s="11">
        <f>IFERROR(N1387/L1387, 0)</f>
        <v/>
      </c>
      <c r="P1387" s="8">
        <f>YEAR(C1387)</f>
        <v/>
      </c>
      <c r="Q1387" s="8">
        <f>TEXT(C1387, "yyyy-mm")</f>
        <v/>
      </c>
      <c r="R1387" s="8" t="inlineStr">
        <is>
          <t>B2B Portal</t>
        </is>
      </c>
      <c r="S1387" s="8" t="inlineStr">
        <is>
          <t>REG-NA</t>
        </is>
      </c>
    </row>
    <row r="1388">
      <c r="A1388" s="8" t="inlineStr">
        <is>
          <t>DTL-0001404</t>
        </is>
      </c>
      <c r="B1388" s="8" t="inlineStr">
        <is>
          <t>ORD-000700</t>
        </is>
      </c>
      <c r="C1388" s="10" t="inlineStr">
        <is>
          <t>2023-12-24</t>
        </is>
      </c>
      <c r="D1388" s="8" t="inlineStr">
        <is>
          <t>CUST-02524</t>
        </is>
      </c>
      <c r="E1388" s="8" t="inlineStr">
        <is>
          <t>PRD-0051</t>
        </is>
      </c>
      <c r="F1388" s="8" t="n">
        <v>4</v>
      </c>
      <c r="G1388" s="9">
        <f>IFERROR(XLOOKUP(E1388, '04_Products'!$A:$A, '04_Products'!$G:$G), 896.46)</f>
        <v/>
      </c>
      <c r="H1388" s="9">
        <f>IFERROR(XLOOKUP(E1388, '04_Products'!$A:$A, '04_Products'!$F:$F), 0)</f>
        <v/>
      </c>
      <c r="I1388" s="9">
        <f>F1388*G1388</f>
        <v/>
      </c>
      <c r="J1388" s="11" t="n">
        <v>0</v>
      </c>
      <c r="K1388" s="9">
        <f>I1388*J1388</f>
        <v/>
      </c>
      <c r="L1388" s="9">
        <f>I1388-K1388</f>
        <v/>
      </c>
      <c r="M1388" s="9">
        <f>F1388*H1388</f>
        <v/>
      </c>
      <c r="N1388" s="9">
        <f>L1388-M1388</f>
        <v/>
      </c>
      <c r="O1388" s="11">
        <f>IFERROR(N1388/L1388, 0)</f>
        <v/>
      </c>
      <c r="P1388" s="8">
        <f>YEAR(C1388)</f>
        <v/>
      </c>
      <c r="Q1388" s="8">
        <f>TEXT(C1388, "yyyy-mm")</f>
        <v/>
      </c>
      <c r="R1388" s="8" t="inlineStr">
        <is>
          <t>Direct Web</t>
        </is>
      </c>
      <c r="S1388" s="8" t="inlineStr">
        <is>
          <t>REG-LATAM</t>
        </is>
      </c>
    </row>
    <row r="1389">
      <c r="A1389" s="8" t="inlineStr">
        <is>
          <t>DTL-0001405</t>
        </is>
      </c>
      <c r="B1389" s="8" t="inlineStr">
        <is>
          <t>ORD-000700</t>
        </is>
      </c>
      <c r="C1389" s="10" t="inlineStr">
        <is>
          <t>2023-12-24</t>
        </is>
      </c>
      <c r="D1389" s="8" t="inlineStr">
        <is>
          <t>CUST-02524</t>
        </is>
      </c>
      <c r="E1389" s="8" t="inlineStr">
        <is>
          <t>PRD-0110</t>
        </is>
      </c>
      <c r="F1389" s="8" t="n">
        <v>2</v>
      </c>
      <c r="G1389" s="9">
        <f>IFERROR(XLOOKUP(E1389, '04_Products'!$A:$A, '04_Products'!$G:$G), 84.14)</f>
        <v/>
      </c>
      <c r="H1389" s="9">
        <f>IFERROR(XLOOKUP(E1389, '04_Products'!$A:$A, '04_Products'!$F:$F), 0)</f>
        <v/>
      </c>
      <c r="I1389" s="9">
        <f>F1389*G1389</f>
        <v/>
      </c>
      <c r="J1389" s="11" t="n">
        <v>0.05</v>
      </c>
      <c r="K1389" s="9">
        <f>I1389*J1389</f>
        <v/>
      </c>
      <c r="L1389" s="9">
        <f>I1389-K1389</f>
        <v/>
      </c>
      <c r="M1389" s="9">
        <f>F1389*H1389</f>
        <v/>
      </c>
      <c r="N1389" s="9">
        <f>L1389-M1389</f>
        <v/>
      </c>
      <c r="O1389" s="11">
        <f>IFERROR(N1389/L1389, 0)</f>
        <v/>
      </c>
      <c r="P1389" s="8">
        <f>YEAR(C1389)</f>
        <v/>
      </c>
      <c r="Q1389" s="8">
        <f>TEXT(C1389, "yyyy-mm")</f>
        <v/>
      </c>
      <c r="R1389" s="8" t="inlineStr">
        <is>
          <t>Direct Web</t>
        </is>
      </c>
      <c r="S1389" s="8" t="inlineStr">
        <is>
          <t>REG-LATAM</t>
        </is>
      </c>
    </row>
    <row r="1390">
      <c r="A1390" s="8" t="inlineStr">
        <is>
          <t>DTL-0001406</t>
        </is>
      </c>
      <c r="B1390" s="8" t="inlineStr">
        <is>
          <t>ORD-000700</t>
        </is>
      </c>
      <c r="C1390" s="10" t="inlineStr">
        <is>
          <t>2023-12-24</t>
        </is>
      </c>
      <c r="D1390" s="8" t="inlineStr">
        <is>
          <t>CUST-02524</t>
        </is>
      </c>
      <c r="E1390" s="8" t="inlineStr">
        <is>
          <t>PRD-0136</t>
        </is>
      </c>
      <c r="F1390" s="8" t="n">
        <v>1</v>
      </c>
      <c r="G1390" s="9">
        <f>IFERROR(XLOOKUP(E1390, '04_Products'!$A:$A, '04_Products'!$G:$G), 12.16)</f>
        <v/>
      </c>
      <c r="H1390" s="9">
        <f>IFERROR(XLOOKUP(E1390, '04_Products'!$A:$A, '04_Products'!$F:$F), 0)</f>
        <v/>
      </c>
      <c r="I1390" s="9">
        <f>F1390*G1390</f>
        <v/>
      </c>
      <c r="J1390" s="11" t="n">
        <v>0</v>
      </c>
      <c r="K1390" s="9">
        <f>I1390*J1390</f>
        <v/>
      </c>
      <c r="L1390" s="9">
        <f>I1390-K1390</f>
        <v/>
      </c>
      <c r="M1390" s="9">
        <f>F1390*H1390</f>
        <v/>
      </c>
      <c r="N1390" s="9">
        <f>L1390-M1390</f>
        <v/>
      </c>
      <c r="O1390" s="11">
        <f>IFERROR(N1390/L1390, 0)</f>
        <v/>
      </c>
      <c r="P1390" s="8">
        <f>YEAR(C1390)</f>
        <v/>
      </c>
      <c r="Q1390" s="8">
        <f>TEXT(C1390, "yyyy-mm")</f>
        <v/>
      </c>
      <c r="R1390" s="8" t="inlineStr">
        <is>
          <t>Direct Web</t>
        </is>
      </c>
      <c r="S1390" s="8" t="inlineStr">
        <is>
          <t>REG-LATAM</t>
        </is>
      </c>
    </row>
    <row r="1391">
      <c r="A1391" s="8" t="inlineStr">
        <is>
          <t>DTL-0001407</t>
        </is>
      </c>
      <c r="B1391" s="8" t="inlineStr">
        <is>
          <t>ORD-000700</t>
        </is>
      </c>
      <c r="C1391" s="10" t="inlineStr">
        <is>
          <t>2023-12-24</t>
        </is>
      </c>
      <c r="D1391" s="8" t="inlineStr">
        <is>
          <t>CUST-02524</t>
        </is>
      </c>
      <c r="E1391" s="8" t="inlineStr">
        <is>
          <t>PRD-0376</t>
        </is>
      </c>
      <c r="F1391" s="8" t="n">
        <v>5</v>
      </c>
      <c r="G1391" s="9">
        <f>IFERROR(XLOOKUP(E1391, '04_Products'!$A:$A, '04_Products'!$G:$G), 219.88)</f>
        <v/>
      </c>
      <c r="H1391" s="9">
        <f>IFERROR(XLOOKUP(E1391, '04_Products'!$A:$A, '04_Products'!$F:$F), 0)</f>
        <v/>
      </c>
      <c r="I1391" s="9">
        <f>F1391*G1391</f>
        <v/>
      </c>
      <c r="J1391" s="11" t="n">
        <v>0.05</v>
      </c>
      <c r="K1391" s="9">
        <f>I1391*J1391</f>
        <v/>
      </c>
      <c r="L1391" s="9">
        <f>I1391-K1391</f>
        <v/>
      </c>
      <c r="M1391" s="9">
        <f>F1391*H1391</f>
        <v/>
      </c>
      <c r="N1391" s="9">
        <f>L1391-M1391</f>
        <v/>
      </c>
      <c r="O1391" s="11">
        <f>IFERROR(N1391/L1391, 0)</f>
        <v/>
      </c>
      <c r="P1391" s="8">
        <f>YEAR(C1391)</f>
        <v/>
      </c>
      <c r="Q1391" s="8">
        <f>TEXT(C1391, "yyyy-mm")</f>
        <v/>
      </c>
      <c r="R1391" s="8" t="inlineStr">
        <is>
          <t>Direct Web</t>
        </is>
      </c>
      <c r="S1391" s="8" t="inlineStr">
        <is>
          <t>REG-LATAM</t>
        </is>
      </c>
    </row>
    <row r="1392">
      <c r="A1392" s="8" t="inlineStr">
        <is>
          <t>DTL-0001408</t>
        </is>
      </c>
      <c r="B1392" s="8" t="inlineStr">
        <is>
          <t>ORD-000701</t>
        </is>
      </c>
      <c r="C1392" s="10" t="inlineStr">
        <is>
          <t>2024-02-15</t>
        </is>
      </c>
      <c r="D1392" s="8" t="inlineStr">
        <is>
          <t>CUST-06475</t>
        </is>
      </c>
      <c r="E1392" s="8" t="inlineStr">
        <is>
          <t>PRD-0042</t>
        </is>
      </c>
      <c r="F1392" s="8" t="n">
        <v>1</v>
      </c>
      <c r="G1392" s="9">
        <f>IFERROR(XLOOKUP(E1392, '04_Products'!$A:$A, '04_Products'!$G:$G), 758.99)</f>
        <v/>
      </c>
      <c r="H1392" s="9">
        <f>IFERROR(XLOOKUP(E1392, '04_Products'!$A:$A, '04_Products'!$F:$F), 0)</f>
        <v/>
      </c>
      <c r="I1392" s="9">
        <f>F1392*G1392</f>
        <v/>
      </c>
      <c r="J1392" s="11" t="n">
        <v>0.05</v>
      </c>
      <c r="K1392" s="9">
        <f>I1392*J1392</f>
        <v/>
      </c>
      <c r="L1392" s="9">
        <f>I1392-K1392</f>
        <v/>
      </c>
      <c r="M1392" s="9">
        <f>F1392*H1392</f>
        <v/>
      </c>
      <c r="N1392" s="9">
        <f>L1392-M1392</f>
        <v/>
      </c>
      <c r="O1392" s="11">
        <f>IFERROR(N1392/L1392, 0)</f>
        <v/>
      </c>
      <c r="P1392" s="8">
        <f>YEAR(C1392)</f>
        <v/>
      </c>
      <c r="Q1392" s="8">
        <f>TEXT(C1392, "yyyy-mm")</f>
        <v/>
      </c>
      <c r="R1392" s="8" t="inlineStr">
        <is>
          <t>Mobile App</t>
        </is>
      </c>
      <c r="S1392" s="8" t="inlineStr">
        <is>
          <t>REG-NA</t>
        </is>
      </c>
    </row>
    <row r="1393">
      <c r="A1393" s="8" t="inlineStr">
        <is>
          <t>DTL-0001409</t>
        </is>
      </c>
      <c r="B1393" s="8" t="inlineStr">
        <is>
          <t>ORD-000701</t>
        </is>
      </c>
      <c r="C1393" s="10" t="inlineStr">
        <is>
          <t>2024-02-15</t>
        </is>
      </c>
      <c r="D1393" s="8" t="inlineStr">
        <is>
          <t>CUST-06475</t>
        </is>
      </c>
      <c r="E1393" s="8" t="inlineStr">
        <is>
          <t>PRD-0434</t>
        </is>
      </c>
      <c r="F1393" s="8" t="n">
        <v>1</v>
      </c>
      <c r="G1393" s="9">
        <f>IFERROR(XLOOKUP(E1393, '04_Products'!$A:$A, '04_Products'!$G:$G), 899.59)</f>
        <v/>
      </c>
      <c r="H1393" s="9">
        <f>IFERROR(XLOOKUP(E1393, '04_Products'!$A:$A, '04_Products'!$F:$F), 0)</f>
        <v/>
      </c>
      <c r="I1393" s="9">
        <f>F1393*G1393</f>
        <v/>
      </c>
      <c r="J1393" s="11" t="n">
        <v>0.1</v>
      </c>
      <c r="K1393" s="9">
        <f>I1393*J1393</f>
        <v/>
      </c>
      <c r="L1393" s="9">
        <f>I1393-K1393</f>
        <v/>
      </c>
      <c r="M1393" s="9">
        <f>F1393*H1393</f>
        <v/>
      </c>
      <c r="N1393" s="9">
        <f>L1393-M1393</f>
        <v/>
      </c>
      <c r="O1393" s="11">
        <f>IFERROR(N1393/L1393, 0)</f>
        <v/>
      </c>
      <c r="P1393" s="8">
        <f>YEAR(C1393)</f>
        <v/>
      </c>
      <c r="Q1393" s="8">
        <f>TEXT(C1393, "yyyy-mm")</f>
        <v/>
      </c>
      <c r="R1393" s="8" t="inlineStr">
        <is>
          <t>Mobile App</t>
        </is>
      </c>
      <c r="S1393" s="8" t="inlineStr">
        <is>
          <t>REG-NA</t>
        </is>
      </c>
    </row>
    <row r="1394">
      <c r="A1394" s="8" t="inlineStr">
        <is>
          <t>DTL-0001410</t>
        </is>
      </c>
      <c r="B1394" s="8" t="inlineStr">
        <is>
          <t>ORD-000701</t>
        </is>
      </c>
      <c r="C1394" s="10" t="inlineStr">
        <is>
          <t>2024-02-15</t>
        </is>
      </c>
      <c r="D1394" s="8" t="inlineStr">
        <is>
          <t>CUST-06475</t>
        </is>
      </c>
      <c r="E1394" s="8" t="inlineStr">
        <is>
          <t>PRD-0177</t>
        </is>
      </c>
      <c r="F1394" s="8" t="n">
        <v>1</v>
      </c>
      <c r="G1394" s="9">
        <f>IFERROR(XLOOKUP(E1394, '04_Products'!$A:$A, '04_Products'!$G:$G), 12.94)</f>
        <v/>
      </c>
      <c r="H1394" s="9">
        <f>IFERROR(XLOOKUP(E1394, '04_Products'!$A:$A, '04_Products'!$F:$F), 0)</f>
        <v/>
      </c>
      <c r="I1394" s="9">
        <f>F1394*G1394</f>
        <v/>
      </c>
      <c r="J1394" s="11" t="n">
        <v>0.05</v>
      </c>
      <c r="K1394" s="9">
        <f>I1394*J1394</f>
        <v/>
      </c>
      <c r="L1394" s="9">
        <f>I1394-K1394</f>
        <v/>
      </c>
      <c r="M1394" s="9">
        <f>F1394*H1394</f>
        <v/>
      </c>
      <c r="N1394" s="9">
        <f>L1394-M1394</f>
        <v/>
      </c>
      <c r="O1394" s="11">
        <f>IFERROR(N1394/L1394, 0)</f>
        <v/>
      </c>
      <c r="P1394" s="8">
        <f>YEAR(C1394)</f>
        <v/>
      </c>
      <c r="Q1394" s="8">
        <f>TEXT(C1394, "yyyy-mm")</f>
        <v/>
      </c>
      <c r="R1394" s="8" t="inlineStr">
        <is>
          <t>Mobile App</t>
        </is>
      </c>
      <c r="S1394" s="8" t="inlineStr">
        <is>
          <t>REG-NA</t>
        </is>
      </c>
    </row>
    <row r="1395">
      <c r="A1395" s="8" t="inlineStr">
        <is>
          <t>DTL-0001411</t>
        </is>
      </c>
      <c r="B1395" s="8" t="inlineStr">
        <is>
          <t>ORD-000701</t>
        </is>
      </c>
      <c r="C1395" s="10" t="inlineStr">
        <is>
          <t>2024-02-15</t>
        </is>
      </c>
      <c r="D1395" s="8" t="inlineStr">
        <is>
          <t>CUST-06475</t>
        </is>
      </c>
      <c r="E1395" s="8" t="inlineStr">
        <is>
          <t>PRD-0079</t>
        </is>
      </c>
      <c r="F1395" s="8" t="n">
        <v>1</v>
      </c>
      <c r="G1395" s="9">
        <f>IFERROR(XLOOKUP(E1395, '04_Products'!$A:$A, '04_Products'!$G:$G), 1234.41)</f>
        <v/>
      </c>
      <c r="H1395" s="9">
        <f>IFERROR(XLOOKUP(E1395, '04_Products'!$A:$A, '04_Products'!$F:$F), 0)</f>
        <v/>
      </c>
      <c r="I1395" s="9">
        <f>F1395*G1395</f>
        <v/>
      </c>
      <c r="J1395" s="11" t="n">
        <v>0.05</v>
      </c>
      <c r="K1395" s="9">
        <f>I1395*J1395</f>
        <v/>
      </c>
      <c r="L1395" s="9">
        <f>I1395-K1395</f>
        <v/>
      </c>
      <c r="M1395" s="9">
        <f>F1395*H1395</f>
        <v/>
      </c>
      <c r="N1395" s="9">
        <f>L1395-M1395</f>
        <v/>
      </c>
      <c r="O1395" s="11">
        <f>IFERROR(N1395/L1395, 0)</f>
        <v/>
      </c>
      <c r="P1395" s="8">
        <f>YEAR(C1395)</f>
        <v/>
      </c>
      <c r="Q1395" s="8">
        <f>TEXT(C1395, "yyyy-mm")</f>
        <v/>
      </c>
      <c r="R1395" s="8" t="inlineStr">
        <is>
          <t>Mobile App</t>
        </is>
      </c>
      <c r="S1395" s="8" t="inlineStr">
        <is>
          <t>REG-NA</t>
        </is>
      </c>
    </row>
    <row r="1396">
      <c r="A1396" s="8" t="inlineStr">
        <is>
          <t>DTL-0001412</t>
        </is>
      </c>
      <c r="B1396" s="8" t="inlineStr">
        <is>
          <t>ORD-000702</t>
        </is>
      </c>
      <c r="C1396" s="10" t="inlineStr">
        <is>
          <t>2023-10-12</t>
        </is>
      </c>
      <c r="D1396" s="8" t="inlineStr">
        <is>
          <t>CUST-05412</t>
        </is>
      </c>
      <c r="E1396" s="8" t="inlineStr">
        <is>
          <t>PRD-0107</t>
        </is>
      </c>
      <c r="F1396" s="8" t="n">
        <v>1</v>
      </c>
      <c r="G1396" s="9">
        <f>IFERROR(XLOOKUP(E1396, '04_Products'!$A:$A, '04_Products'!$G:$G), 754.95)</f>
        <v/>
      </c>
      <c r="H1396" s="9">
        <f>IFERROR(XLOOKUP(E1396, '04_Products'!$A:$A, '04_Products'!$F:$F), 0)</f>
        <v/>
      </c>
      <c r="I1396" s="9">
        <f>F1396*G1396</f>
        <v/>
      </c>
      <c r="J1396" s="11" t="n">
        <v>0.05</v>
      </c>
      <c r="K1396" s="9">
        <f>I1396*J1396</f>
        <v/>
      </c>
      <c r="L1396" s="9">
        <f>I1396-K1396</f>
        <v/>
      </c>
      <c r="M1396" s="9">
        <f>F1396*H1396</f>
        <v/>
      </c>
      <c r="N1396" s="9">
        <f>L1396-M1396</f>
        <v/>
      </c>
      <c r="O1396" s="11">
        <f>IFERROR(N1396/L1396, 0)</f>
        <v/>
      </c>
      <c r="P1396" s="8">
        <f>YEAR(C1396)</f>
        <v/>
      </c>
      <c r="Q1396" s="8">
        <f>TEXT(C1396, "yyyy-mm")</f>
        <v/>
      </c>
      <c r="R1396" s="8" t="inlineStr">
        <is>
          <t>Mobile App</t>
        </is>
      </c>
      <c r="S1396" s="8" t="inlineStr">
        <is>
          <t>REG-NA</t>
        </is>
      </c>
    </row>
    <row r="1397">
      <c r="A1397" s="8" t="inlineStr">
        <is>
          <t>DTL-0001413</t>
        </is>
      </c>
      <c r="B1397" s="8" t="inlineStr">
        <is>
          <t>ORD-000702</t>
        </is>
      </c>
      <c r="C1397" s="10" t="inlineStr">
        <is>
          <t>2023-10-12</t>
        </is>
      </c>
      <c r="D1397" s="8" t="inlineStr">
        <is>
          <t>CUST-05412</t>
        </is>
      </c>
      <c r="E1397" s="8" t="inlineStr">
        <is>
          <t>PRD-0203</t>
        </is>
      </c>
      <c r="F1397" s="8" t="n">
        <v>1</v>
      </c>
      <c r="G1397" s="9">
        <f>IFERROR(XLOOKUP(E1397, '04_Products'!$A:$A, '04_Products'!$G:$G), 991.36)</f>
        <v/>
      </c>
      <c r="H1397" s="9">
        <f>IFERROR(XLOOKUP(E1397, '04_Products'!$A:$A, '04_Products'!$F:$F), 0)</f>
        <v/>
      </c>
      <c r="I1397" s="9">
        <f>F1397*G1397</f>
        <v/>
      </c>
      <c r="J1397" s="11" t="n">
        <v>0.2</v>
      </c>
      <c r="K1397" s="9">
        <f>I1397*J1397</f>
        <v/>
      </c>
      <c r="L1397" s="9">
        <f>I1397-K1397</f>
        <v/>
      </c>
      <c r="M1397" s="9">
        <f>F1397*H1397</f>
        <v/>
      </c>
      <c r="N1397" s="9">
        <f>L1397-M1397</f>
        <v/>
      </c>
      <c r="O1397" s="11">
        <f>IFERROR(N1397/L1397, 0)</f>
        <v/>
      </c>
      <c r="P1397" s="8">
        <f>YEAR(C1397)</f>
        <v/>
      </c>
      <c r="Q1397" s="8">
        <f>TEXT(C1397, "yyyy-mm")</f>
        <v/>
      </c>
      <c r="R1397" s="8" t="inlineStr">
        <is>
          <t>Mobile App</t>
        </is>
      </c>
      <c r="S1397" s="8" t="inlineStr">
        <is>
          <t>REG-NA</t>
        </is>
      </c>
    </row>
    <row r="1398">
      <c r="A1398" s="8" t="inlineStr">
        <is>
          <t>DTL-0001414</t>
        </is>
      </c>
      <c r="B1398" s="8" t="inlineStr">
        <is>
          <t>ORD-000703</t>
        </is>
      </c>
      <c r="C1398" s="10" t="inlineStr">
        <is>
          <t>2024-06-10</t>
        </is>
      </c>
      <c r="D1398" s="8" t="inlineStr">
        <is>
          <t>CUST-00953</t>
        </is>
      </c>
      <c r="E1398" s="8" t="inlineStr">
        <is>
          <t>PRD-0434</t>
        </is>
      </c>
      <c r="F1398" s="8" t="n">
        <v>1</v>
      </c>
      <c r="G1398" s="9">
        <f>IFERROR(XLOOKUP(E1398, '04_Products'!$A:$A, '04_Products'!$G:$G), 899.59)</f>
        <v/>
      </c>
      <c r="H1398" s="9">
        <f>IFERROR(XLOOKUP(E1398, '04_Products'!$A:$A, '04_Products'!$F:$F), 0)</f>
        <v/>
      </c>
      <c r="I1398" s="9">
        <f>F1398*G1398</f>
        <v/>
      </c>
      <c r="J1398" s="11" t="n">
        <v>0.05</v>
      </c>
      <c r="K1398" s="9">
        <f>I1398*J1398</f>
        <v/>
      </c>
      <c r="L1398" s="9">
        <f>I1398-K1398</f>
        <v/>
      </c>
      <c r="M1398" s="9">
        <f>F1398*H1398</f>
        <v/>
      </c>
      <c r="N1398" s="9">
        <f>L1398-M1398</f>
        <v/>
      </c>
      <c r="O1398" s="11">
        <f>IFERROR(N1398/L1398, 0)</f>
        <v/>
      </c>
      <c r="P1398" s="8">
        <f>YEAR(C1398)</f>
        <v/>
      </c>
      <c r="Q1398" s="8">
        <f>TEXT(C1398, "yyyy-mm")</f>
        <v/>
      </c>
      <c r="R1398" s="8" t="inlineStr">
        <is>
          <t>Mobile App</t>
        </is>
      </c>
      <c r="S1398" s="8" t="inlineStr">
        <is>
          <t>REG-APAC</t>
        </is>
      </c>
    </row>
    <row r="1399">
      <c r="A1399" s="8" t="inlineStr">
        <is>
          <t>DTL-0001415</t>
        </is>
      </c>
      <c r="B1399" s="8" t="inlineStr">
        <is>
          <t>ORD-000704</t>
        </is>
      </c>
      <c r="C1399" s="10" t="inlineStr">
        <is>
          <t>2023-11-17</t>
        </is>
      </c>
      <c r="D1399" s="8" t="inlineStr">
        <is>
          <t>CUST-04862</t>
        </is>
      </c>
      <c r="E1399" s="8" t="inlineStr">
        <is>
          <t>PRD-0264</t>
        </is>
      </c>
      <c r="F1399" s="8" t="n">
        <v>2</v>
      </c>
      <c r="G1399" s="9">
        <f>IFERROR(XLOOKUP(E1399, '04_Products'!$A:$A, '04_Products'!$G:$G), 705.08)</f>
        <v/>
      </c>
      <c r="H1399" s="9">
        <f>IFERROR(XLOOKUP(E1399, '04_Products'!$A:$A, '04_Products'!$F:$F), 0)</f>
        <v/>
      </c>
      <c r="I1399" s="9">
        <f>F1399*G1399</f>
        <v/>
      </c>
      <c r="J1399" s="11" t="n">
        <v>0</v>
      </c>
      <c r="K1399" s="9">
        <f>I1399*J1399</f>
        <v/>
      </c>
      <c r="L1399" s="9">
        <f>I1399-K1399</f>
        <v/>
      </c>
      <c r="M1399" s="9">
        <f>F1399*H1399</f>
        <v/>
      </c>
      <c r="N1399" s="9">
        <f>L1399-M1399</f>
        <v/>
      </c>
      <c r="O1399" s="11">
        <f>IFERROR(N1399/L1399, 0)</f>
        <v/>
      </c>
      <c r="P1399" s="8">
        <f>YEAR(C1399)</f>
        <v/>
      </c>
      <c r="Q1399" s="8">
        <f>TEXT(C1399, "yyyy-mm")</f>
        <v/>
      </c>
      <c r="R1399" s="8" t="inlineStr">
        <is>
          <t>Mobile App</t>
        </is>
      </c>
      <c r="S1399" s="8" t="inlineStr">
        <is>
          <t>REG-EU</t>
        </is>
      </c>
    </row>
    <row r="1400">
      <c r="A1400" s="8" t="inlineStr">
        <is>
          <t>DTL-0001416</t>
        </is>
      </c>
      <c r="B1400" s="8" t="inlineStr">
        <is>
          <t>ORD-000704</t>
        </is>
      </c>
      <c r="C1400" s="10" t="inlineStr">
        <is>
          <t>2023-11-17</t>
        </is>
      </c>
      <c r="D1400" s="8" t="inlineStr">
        <is>
          <t>CUST-04862</t>
        </is>
      </c>
      <c r="E1400" s="8" t="inlineStr">
        <is>
          <t>PRD-0366</t>
        </is>
      </c>
      <c r="F1400" s="8" t="n">
        <v>5</v>
      </c>
      <c r="G1400" s="9">
        <f>IFERROR(XLOOKUP(E1400, '04_Products'!$A:$A, '04_Products'!$G:$G), 772.59)</f>
        <v/>
      </c>
      <c r="H1400" s="9">
        <f>IFERROR(XLOOKUP(E1400, '04_Products'!$A:$A, '04_Products'!$F:$F), 0)</f>
        <v/>
      </c>
      <c r="I1400" s="9">
        <f>F1400*G1400</f>
        <v/>
      </c>
      <c r="J1400" s="11" t="n">
        <v>0</v>
      </c>
      <c r="K1400" s="9">
        <f>I1400*J1400</f>
        <v/>
      </c>
      <c r="L1400" s="9">
        <f>I1400-K1400</f>
        <v/>
      </c>
      <c r="M1400" s="9">
        <f>F1400*H1400</f>
        <v/>
      </c>
      <c r="N1400" s="9">
        <f>L1400-M1400</f>
        <v/>
      </c>
      <c r="O1400" s="11">
        <f>IFERROR(N1400/L1400, 0)</f>
        <v/>
      </c>
      <c r="P1400" s="8">
        <f>YEAR(C1400)</f>
        <v/>
      </c>
      <c r="Q1400" s="8">
        <f>TEXT(C1400, "yyyy-mm")</f>
        <v/>
      </c>
      <c r="R1400" s="8" t="inlineStr">
        <is>
          <t>Mobile App</t>
        </is>
      </c>
      <c r="S1400" s="8" t="inlineStr">
        <is>
          <t>REG-EU</t>
        </is>
      </c>
    </row>
    <row r="1401">
      <c r="A1401" s="8" t="inlineStr">
        <is>
          <t>DTL-0001417</t>
        </is>
      </c>
      <c r="B1401" s="8" t="inlineStr">
        <is>
          <t>ORD-000704</t>
        </is>
      </c>
      <c r="C1401" s="10" t="inlineStr">
        <is>
          <t>2023-11-17</t>
        </is>
      </c>
      <c r="D1401" s="8" t="inlineStr">
        <is>
          <t>CUST-04862</t>
        </is>
      </c>
      <c r="E1401" s="8" t="inlineStr">
        <is>
          <t>PRD-0076</t>
        </is>
      </c>
      <c r="F1401" s="8" t="n">
        <v>1</v>
      </c>
      <c r="G1401" s="9">
        <f>IFERROR(XLOOKUP(E1401, '04_Products'!$A:$A, '04_Products'!$G:$G), 83.40)</f>
        <v/>
      </c>
      <c r="H1401" s="9">
        <f>IFERROR(XLOOKUP(E1401, '04_Products'!$A:$A, '04_Products'!$F:$F), 0)</f>
        <v/>
      </c>
      <c r="I1401" s="9">
        <f>F1401*G1401</f>
        <v/>
      </c>
      <c r="J1401" s="11" t="n">
        <v>0</v>
      </c>
      <c r="K1401" s="9">
        <f>I1401*J1401</f>
        <v/>
      </c>
      <c r="L1401" s="9">
        <f>I1401-K1401</f>
        <v/>
      </c>
      <c r="M1401" s="9">
        <f>F1401*H1401</f>
        <v/>
      </c>
      <c r="N1401" s="9">
        <f>L1401-M1401</f>
        <v/>
      </c>
      <c r="O1401" s="11">
        <f>IFERROR(N1401/L1401, 0)</f>
        <v/>
      </c>
      <c r="P1401" s="8">
        <f>YEAR(C1401)</f>
        <v/>
      </c>
      <c r="Q1401" s="8">
        <f>TEXT(C1401, "yyyy-mm")</f>
        <v/>
      </c>
      <c r="R1401" s="8" t="inlineStr">
        <is>
          <t>Mobile App</t>
        </is>
      </c>
      <c r="S1401" s="8" t="inlineStr">
        <is>
          <t>REG-EU</t>
        </is>
      </c>
    </row>
    <row r="1402">
      <c r="A1402" s="8" t="inlineStr">
        <is>
          <t>DTL-0001418</t>
        </is>
      </c>
      <c r="B1402" s="8" t="inlineStr">
        <is>
          <t>ORD-000704</t>
        </is>
      </c>
      <c r="C1402" s="10" t="inlineStr">
        <is>
          <t>2023-11-17</t>
        </is>
      </c>
      <c r="D1402" s="8" t="inlineStr">
        <is>
          <t>CUST-04862</t>
        </is>
      </c>
      <c r="E1402" s="8" t="inlineStr">
        <is>
          <t>PRD-0073</t>
        </is>
      </c>
      <c r="F1402" s="8" t="n">
        <v>1</v>
      </c>
      <c r="G1402" s="9">
        <f>IFERROR(XLOOKUP(E1402, '04_Products'!$A:$A, '04_Products'!$G:$G), 508.70)</f>
        <v/>
      </c>
      <c r="H1402" s="9">
        <f>IFERROR(XLOOKUP(E1402, '04_Products'!$A:$A, '04_Products'!$F:$F), 0)</f>
        <v/>
      </c>
      <c r="I1402" s="9">
        <f>F1402*G1402</f>
        <v/>
      </c>
      <c r="J1402" s="11" t="n">
        <v>0</v>
      </c>
      <c r="K1402" s="9">
        <f>I1402*J1402</f>
        <v/>
      </c>
      <c r="L1402" s="9">
        <f>I1402-K1402</f>
        <v/>
      </c>
      <c r="M1402" s="9">
        <f>F1402*H1402</f>
        <v/>
      </c>
      <c r="N1402" s="9">
        <f>L1402-M1402</f>
        <v/>
      </c>
      <c r="O1402" s="11">
        <f>IFERROR(N1402/L1402, 0)</f>
        <v/>
      </c>
      <c r="P1402" s="8">
        <f>YEAR(C1402)</f>
        <v/>
      </c>
      <c r="Q1402" s="8">
        <f>TEXT(C1402, "yyyy-mm")</f>
        <v/>
      </c>
      <c r="R1402" s="8" t="inlineStr">
        <is>
          <t>Mobile App</t>
        </is>
      </c>
      <c r="S1402" s="8" t="inlineStr">
        <is>
          <t>REG-EU</t>
        </is>
      </c>
    </row>
    <row r="1403">
      <c r="A1403" s="8" t="inlineStr">
        <is>
          <t>DTL-0001419</t>
        </is>
      </c>
      <c r="B1403" s="8" t="inlineStr">
        <is>
          <t>ORD-000705</t>
        </is>
      </c>
      <c r="C1403" s="10" t="inlineStr">
        <is>
          <t>2024-05-18</t>
        </is>
      </c>
      <c r="D1403" s="8" t="inlineStr">
        <is>
          <t>CUST-02452</t>
        </is>
      </c>
      <c r="E1403" s="8" t="inlineStr">
        <is>
          <t>PRD-0200</t>
        </is>
      </c>
      <c r="F1403" s="8" t="n">
        <v>2</v>
      </c>
      <c r="G1403" s="9">
        <f>IFERROR(XLOOKUP(E1403, '04_Products'!$A:$A, '04_Products'!$G:$G), 977.00)</f>
        <v/>
      </c>
      <c r="H1403" s="9">
        <f>IFERROR(XLOOKUP(E1403, '04_Products'!$A:$A, '04_Products'!$F:$F), 0)</f>
        <v/>
      </c>
      <c r="I1403" s="9">
        <f>F1403*G1403</f>
        <v/>
      </c>
      <c r="J1403" s="11" t="n">
        <v>0.05</v>
      </c>
      <c r="K1403" s="9">
        <f>I1403*J1403</f>
        <v/>
      </c>
      <c r="L1403" s="9">
        <f>I1403-K1403</f>
        <v/>
      </c>
      <c r="M1403" s="9">
        <f>F1403*H1403</f>
        <v/>
      </c>
      <c r="N1403" s="9">
        <f>L1403-M1403</f>
        <v/>
      </c>
      <c r="O1403" s="11">
        <f>IFERROR(N1403/L1403, 0)</f>
        <v/>
      </c>
      <c r="P1403" s="8">
        <f>YEAR(C1403)</f>
        <v/>
      </c>
      <c r="Q1403" s="8">
        <f>TEXT(C1403, "yyyy-mm")</f>
        <v/>
      </c>
      <c r="R1403" s="8" t="inlineStr">
        <is>
          <t>Direct Web</t>
        </is>
      </c>
      <c r="S1403" s="8" t="inlineStr">
        <is>
          <t>REG-NA</t>
        </is>
      </c>
    </row>
    <row r="1404">
      <c r="A1404" s="8" t="inlineStr">
        <is>
          <t>DTL-0001420</t>
        </is>
      </c>
      <c r="B1404" s="8" t="inlineStr">
        <is>
          <t>ORD-000705</t>
        </is>
      </c>
      <c r="C1404" s="10" t="inlineStr">
        <is>
          <t>2024-05-18</t>
        </is>
      </c>
      <c r="D1404" s="8" t="inlineStr">
        <is>
          <t>CUST-02452</t>
        </is>
      </c>
      <c r="E1404" s="8" t="inlineStr">
        <is>
          <t>PRD-0284</t>
        </is>
      </c>
      <c r="F1404" s="8" t="n">
        <v>1</v>
      </c>
      <c r="G1404" s="9">
        <f>IFERROR(XLOOKUP(E1404, '04_Products'!$A:$A, '04_Products'!$G:$G), 621.83)</f>
        <v/>
      </c>
      <c r="H1404" s="9">
        <f>IFERROR(XLOOKUP(E1404, '04_Products'!$A:$A, '04_Products'!$F:$F), 0)</f>
        <v/>
      </c>
      <c r="I1404" s="9">
        <f>F1404*G1404</f>
        <v/>
      </c>
      <c r="J1404" s="11" t="n">
        <v>0.1</v>
      </c>
      <c r="K1404" s="9">
        <f>I1404*J1404</f>
        <v/>
      </c>
      <c r="L1404" s="9">
        <f>I1404-K1404</f>
        <v/>
      </c>
      <c r="M1404" s="9">
        <f>F1404*H1404</f>
        <v/>
      </c>
      <c r="N1404" s="9">
        <f>L1404-M1404</f>
        <v/>
      </c>
      <c r="O1404" s="11">
        <f>IFERROR(N1404/L1404, 0)</f>
        <v/>
      </c>
      <c r="P1404" s="8">
        <f>YEAR(C1404)</f>
        <v/>
      </c>
      <c r="Q1404" s="8">
        <f>TEXT(C1404, "yyyy-mm")</f>
        <v/>
      </c>
      <c r="R1404" s="8" t="inlineStr">
        <is>
          <t>Direct Web</t>
        </is>
      </c>
      <c r="S1404" s="8" t="inlineStr">
        <is>
          <t>REG-NA</t>
        </is>
      </c>
    </row>
    <row r="1405">
      <c r="A1405" s="8" t="inlineStr">
        <is>
          <t>DTL-0001421</t>
        </is>
      </c>
      <c r="B1405" s="8" t="inlineStr">
        <is>
          <t>ORD-000705</t>
        </is>
      </c>
      <c r="C1405" s="10" t="inlineStr">
        <is>
          <t>2024-05-18</t>
        </is>
      </c>
      <c r="D1405" s="8" t="inlineStr">
        <is>
          <t>CUST-02452</t>
        </is>
      </c>
      <c r="E1405" s="8" t="inlineStr">
        <is>
          <t>PRD-0461</t>
        </is>
      </c>
      <c r="F1405" s="8" t="n">
        <v>2</v>
      </c>
      <c r="G1405" s="9">
        <f>IFERROR(XLOOKUP(E1405, '04_Products'!$A:$A, '04_Products'!$G:$G), 724.93)</f>
        <v/>
      </c>
      <c r="H1405" s="9">
        <f>IFERROR(XLOOKUP(E1405, '04_Products'!$A:$A, '04_Products'!$F:$F), 0)</f>
        <v/>
      </c>
      <c r="I1405" s="9">
        <f>F1405*G1405</f>
        <v/>
      </c>
      <c r="J1405" s="11" t="n">
        <v>0</v>
      </c>
      <c r="K1405" s="9">
        <f>I1405*J1405</f>
        <v/>
      </c>
      <c r="L1405" s="9">
        <f>I1405-K1405</f>
        <v/>
      </c>
      <c r="M1405" s="9">
        <f>F1405*H1405</f>
        <v/>
      </c>
      <c r="N1405" s="9">
        <f>L1405-M1405</f>
        <v/>
      </c>
      <c r="O1405" s="11">
        <f>IFERROR(N1405/L1405, 0)</f>
        <v/>
      </c>
      <c r="P1405" s="8">
        <f>YEAR(C1405)</f>
        <v/>
      </c>
      <c r="Q1405" s="8">
        <f>TEXT(C1405, "yyyy-mm")</f>
        <v/>
      </c>
      <c r="R1405" s="8" t="inlineStr">
        <is>
          <t>Direct Web</t>
        </is>
      </c>
      <c r="S1405" s="8" t="inlineStr">
        <is>
          <t>REG-NA</t>
        </is>
      </c>
    </row>
    <row r="1406">
      <c r="A1406" s="8" t="inlineStr">
        <is>
          <t>DTL-0001422</t>
        </is>
      </c>
      <c r="B1406" s="8" t="inlineStr">
        <is>
          <t>ORD-000706</t>
        </is>
      </c>
      <c r="C1406" s="10" t="inlineStr">
        <is>
          <t>2023-12-02</t>
        </is>
      </c>
      <c r="D1406" s="8" t="inlineStr">
        <is>
          <t>CUST-04833</t>
        </is>
      </c>
      <c r="E1406" s="8" t="inlineStr">
        <is>
          <t>PRD-0169</t>
        </is>
      </c>
      <c r="F1406" s="8" t="n">
        <v>1</v>
      </c>
      <c r="G1406" s="9">
        <f>IFERROR(XLOOKUP(E1406, '04_Products'!$A:$A, '04_Products'!$G:$G), 68.87)</f>
        <v/>
      </c>
      <c r="H1406" s="9">
        <f>IFERROR(XLOOKUP(E1406, '04_Products'!$A:$A, '04_Products'!$F:$F), 0)</f>
        <v/>
      </c>
      <c r="I1406" s="9">
        <f>F1406*G1406</f>
        <v/>
      </c>
      <c r="J1406" s="11" t="n">
        <v>0.05</v>
      </c>
      <c r="K1406" s="9">
        <f>I1406*J1406</f>
        <v/>
      </c>
      <c r="L1406" s="9">
        <f>I1406-K1406</f>
        <v/>
      </c>
      <c r="M1406" s="9">
        <f>F1406*H1406</f>
        <v/>
      </c>
      <c r="N1406" s="9">
        <f>L1406-M1406</f>
        <v/>
      </c>
      <c r="O1406" s="11">
        <f>IFERROR(N1406/L1406, 0)</f>
        <v/>
      </c>
      <c r="P1406" s="8">
        <f>YEAR(C1406)</f>
        <v/>
      </c>
      <c r="Q1406" s="8">
        <f>TEXT(C1406, "yyyy-mm")</f>
        <v/>
      </c>
      <c r="R1406" s="8" t="inlineStr">
        <is>
          <t>B2B Portal</t>
        </is>
      </c>
      <c r="S1406" s="8" t="inlineStr">
        <is>
          <t>REG-NA</t>
        </is>
      </c>
    </row>
    <row r="1407">
      <c r="A1407" s="8" t="inlineStr">
        <is>
          <t>DTL-0001423</t>
        </is>
      </c>
      <c r="B1407" s="8" t="inlineStr">
        <is>
          <t>ORD-000706</t>
        </is>
      </c>
      <c r="C1407" s="10" t="inlineStr">
        <is>
          <t>2023-12-02</t>
        </is>
      </c>
      <c r="D1407" s="8" t="inlineStr">
        <is>
          <t>CUST-04833</t>
        </is>
      </c>
      <c r="E1407" s="8" t="inlineStr">
        <is>
          <t>PRD-0481</t>
        </is>
      </c>
      <c r="F1407" s="8" t="n">
        <v>1</v>
      </c>
      <c r="G1407" s="9">
        <f>IFERROR(XLOOKUP(E1407, '04_Products'!$A:$A, '04_Products'!$G:$G), 143.11)</f>
        <v/>
      </c>
      <c r="H1407" s="9">
        <f>IFERROR(XLOOKUP(E1407, '04_Products'!$A:$A, '04_Products'!$F:$F), 0)</f>
        <v/>
      </c>
      <c r="I1407" s="9">
        <f>F1407*G1407</f>
        <v/>
      </c>
      <c r="J1407" s="11" t="n">
        <v>0.05</v>
      </c>
      <c r="K1407" s="9">
        <f>I1407*J1407</f>
        <v/>
      </c>
      <c r="L1407" s="9">
        <f>I1407-K1407</f>
        <v/>
      </c>
      <c r="M1407" s="9">
        <f>F1407*H1407</f>
        <v/>
      </c>
      <c r="N1407" s="9">
        <f>L1407-M1407</f>
        <v/>
      </c>
      <c r="O1407" s="11">
        <f>IFERROR(N1407/L1407, 0)</f>
        <v/>
      </c>
      <c r="P1407" s="8">
        <f>YEAR(C1407)</f>
        <v/>
      </c>
      <c r="Q1407" s="8">
        <f>TEXT(C1407, "yyyy-mm")</f>
        <v/>
      </c>
      <c r="R1407" s="8" t="inlineStr">
        <is>
          <t>B2B Portal</t>
        </is>
      </c>
      <c r="S1407" s="8" t="inlineStr">
        <is>
          <t>REG-NA</t>
        </is>
      </c>
    </row>
    <row r="1408">
      <c r="A1408" s="8" t="inlineStr">
        <is>
          <t>DTL-0001424</t>
        </is>
      </c>
      <c r="B1408" s="8" t="inlineStr">
        <is>
          <t>ORD-000707</t>
        </is>
      </c>
      <c r="C1408" s="10" t="inlineStr">
        <is>
          <t>2023-05-08</t>
        </is>
      </c>
      <c r="D1408" s="8" t="inlineStr">
        <is>
          <t>CUST-05600</t>
        </is>
      </c>
      <c r="E1408" s="8" t="inlineStr">
        <is>
          <t>PRD-0252</t>
        </is>
      </c>
      <c r="F1408" s="8" t="n">
        <v>1</v>
      </c>
      <c r="G1408" s="9">
        <f>IFERROR(XLOOKUP(E1408, '04_Products'!$A:$A, '04_Products'!$G:$G), 332.85)</f>
        <v/>
      </c>
      <c r="H1408" s="9">
        <f>IFERROR(XLOOKUP(E1408, '04_Products'!$A:$A, '04_Products'!$F:$F), 0)</f>
        <v/>
      </c>
      <c r="I1408" s="9">
        <f>F1408*G1408</f>
        <v/>
      </c>
      <c r="J1408" s="11" t="n">
        <v>0</v>
      </c>
      <c r="K1408" s="9">
        <f>I1408*J1408</f>
        <v/>
      </c>
      <c r="L1408" s="9">
        <f>I1408-K1408</f>
        <v/>
      </c>
      <c r="M1408" s="9">
        <f>F1408*H1408</f>
        <v/>
      </c>
      <c r="N1408" s="9">
        <f>L1408-M1408</f>
        <v/>
      </c>
      <c r="O1408" s="11">
        <f>IFERROR(N1408/L1408, 0)</f>
        <v/>
      </c>
      <c r="P1408" s="8">
        <f>YEAR(C1408)</f>
        <v/>
      </c>
      <c r="Q1408" s="8">
        <f>TEXT(C1408, "yyyy-mm")</f>
        <v/>
      </c>
      <c r="R1408" s="8" t="inlineStr">
        <is>
          <t>Direct Web</t>
        </is>
      </c>
      <c r="S1408" s="8" t="inlineStr">
        <is>
          <t>REG-NA</t>
        </is>
      </c>
    </row>
    <row r="1409">
      <c r="A1409" s="8" t="inlineStr">
        <is>
          <t>DTL-0001425</t>
        </is>
      </c>
      <c r="B1409" s="8" t="inlineStr">
        <is>
          <t>ORD-000707</t>
        </is>
      </c>
      <c r="C1409" s="10" t="inlineStr">
        <is>
          <t>2023-05-08</t>
        </is>
      </c>
      <c r="D1409" s="8" t="inlineStr">
        <is>
          <t>CUST-05600</t>
        </is>
      </c>
      <c r="E1409" s="8" t="inlineStr">
        <is>
          <t>PRD-0411</t>
        </is>
      </c>
      <c r="F1409" s="8" t="n">
        <v>1</v>
      </c>
      <c r="G1409" s="9">
        <f>IFERROR(XLOOKUP(E1409, '04_Products'!$A:$A, '04_Products'!$G:$G), 126.22)</f>
        <v/>
      </c>
      <c r="H1409" s="9">
        <f>IFERROR(XLOOKUP(E1409, '04_Products'!$A:$A, '04_Products'!$F:$F), 0)</f>
        <v/>
      </c>
      <c r="I1409" s="9">
        <f>F1409*G1409</f>
        <v/>
      </c>
      <c r="J1409" s="11" t="n">
        <v>0.1</v>
      </c>
      <c r="K1409" s="9">
        <f>I1409*J1409</f>
        <v/>
      </c>
      <c r="L1409" s="9">
        <f>I1409-K1409</f>
        <v/>
      </c>
      <c r="M1409" s="9">
        <f>F1409*H1409</f>
        <v/>
      </c>
      <c r="N1409" s="9">
        <f>L1409-M1409</f>
        <v/>
      </c>
      <c r="O1409" s="11">
        <f>IFERROR(N1409/L1409, 0)</f>
        <v/>
      </c>
      <c r="P1409" s="8">
        <f>YEAR(C1409)</f>
        <v/>
      </c>
      <c r="Q1409" s="8">
        <f>TEXT(C1409, "yyyy-mm")</f>
        <v/>
      </c>
      <c r="R1409" s="8" t="inlineStr">
        <is>
          <t>Direct Web</t>
        </is>
      </c>
      <c r="S1409" s="8" t="inlineStr">
        <is>
          <t>REG-NA</t>
        </is>
      </c>
    </row>
    <row r="1410">
      <c r="A1410" s="8" t="inlineStr">
        <is>
          <t>DTL-0001426</t>
        </is>
      </c>
      <c r="B1410" s="8" t="inlineStr">
        <is>
          <t>ORD-000707</t>
        </is>
      </c>
      <c r="C1410" s="10" t="inlineStr">
        <is>
          <t>2023-05-08</t>
        </is>
      </c>
      <c r="D1410" s="8" t="inlineStr">
        <is>
          <t>CUST-05600</t>
        </is>
      </c>
      <c r="E1410" s="8" t="inlineStr">
        <is>
          <t>PRD-0042</t>
        </is>
      </c>
      <c r="F1410" s="8" t="n">
        <v>1</v>
      </c>
      <c r="G1410" s="9">
        <f>IFERROR(XLOOKUP(E1410, '04_Products'!$A:$A, '04_Products'!$G:$G), 758.99)</f>
        <v/>
      </c>
      <c r="H1410" s="9">
        <f>IFERROR(XLOOKUP(E1410, '04_Products'!$A:$A, '04_Products'!$F:$F), 0)</f>
        <v/>
      </c>
      <c r="I1410" s="9">
        <f>F1410*G1410</f>
        <v/>
      </c>
      <c r="J1410" s="11" t="n">
        <v>0</v>
      </c>
      <c r="K1410" s="9">
        <f>I1410*J1410</f>
        <v/>
      </c>
      <c r="L1410" s="9">
        <f>I1410-K1410</f>
        <v/>
      </c>
      <c r="M1410" s="9">
        <f>F1410*H1410</f>
        <v/>
      </c>
      <c r="N1410" s="9">
        <f>L1410-M1410</f>
        <v/>
      </c>
      <c r="O1410" s="11">
        <f>IFERROR(N1410/L1410, 0)</f>
        <v/>
      </c>
      <c r="P1410" s="8">
        <f>YEAR(C1410)</f>
        <v/>
      </c>
      <c r="Q1410" s="8">
        <f>TEXT(C1410, "yyyy-mm")</f>
        <v/>
      </c>
      <c r="R1410" s="8" t="inlineStr">
        <is>
          <t>Direct Web</t>
        </is>
      </c>
      <c r="S1410" s="8" t="inlineStr">
        <is>
          <t>REG-NA</t>
        </is>
      </c>
    </row>
    <row r="1411">
      <c r="A1411" s="8" t="inlineStr">
        <is>
          <t>DTL-0001427</t>
        </is>
      </c>
      <c r="B1411" s="8" t="inlineStr">
        <is>
          <t>ORD-000708</t>
        </is>
      </c>
      <c r="C1411" s="10" t="inlineStr">
        <is>
          <t>2025-09-15</t>
        </is>
      </c>
      <c r="D1411" s="8" t="inlineStr">
        <is>
          <t>CUST-06785</t>
        </is>
      </c>
      <c r="E1411" s="8" t="inlineStr">
        <is>
          <t>PRD-0205</t>
        </is>
      </c>
      <c r="F1411" s="8" t="n">
        <v>1</v>
      </c>
      <c r="G1411" s="9">
        <f>IFERROR(XLOOKUP(E1411, '04_Products'!$A:$A, '04_Products'!$G:$G), 385.35)</f>
        <v/>
      </c>
      <c r="H1411" s="9">
        <f>IFERROR(XLOOKUP(E1411, '04_Products'!$A:$A, '04_Products'!$F:$F), 0)</f>
        <v/>
      </c>
      <c r="I1411" s="9">
        <f>F1411*G1411</f>
        <v/>
      </c>
      <c r="J1411" s="11" t="n">
        <v>0</v>
      </c>
      <c r="K1411" s="9">
        <f>I1411*J1411</f>
        <v/>
      </c>
      <c r="L1411" s="9">
        <f>I1411-K1411</f>
        <v/>
      </c>
      <c r="M1411" s="9">
        <f>F1411*H1411</f>
        <v/>
      </c>
      <c r="N1411" s="9">
        <f>L1411-M1411</f>
        <v/>
      </c>
      <c r="O1411" s="11">
        <f>IFERROR(N1411/L1411, 0)</f>
        <v/>
      </c>
      <c r="P1411" s="8">
        <f>YEAR(C1411)</f>
        <v/>
      </c>
      <c r="Q1411" s="8">
        <f>TEXT(C1411, "yyyy-mm")</f>
        <v/>
      </c>
      <c r="R1411" s="8" t="inlineStr">
        <is>
          <t>Mobile App</t>
        </is>
      </c>
      <c r="S1411" s="8" t="inlineStr">
        <is>
          <t>REG-NA</t>
        </is>
      </c>
    </row>
    <row r="1412">
      <c r="A1412" s="8" t="inlineStr">
        <is>
          <t>DTL-0001428</t>
        </is>
      </c>
      <c r="B1412" s="8" t="inlineStr">
        <is>
          <t>ORD-000708</t>
        </is>
      </c>
      <c r="C1412" s="10" t="inlineStr">
        <is>
          <t>2025-09-15</t>
        </is>
      </c>
      <c r="D1412" s="8" t="inlineStr">
        <is>
          <t>CUST-06785</t>
        </is>
      </c>
      <c r="E1412" s="8" t="inlineStr">
        <is>
          <t>PRD-0338</t>
        </is>
      </c>
      <c r="F1412" s="8" t="n">
        <v>1</v>
      </c>
      <c r="G1412" s="9">
        <f>IFERROR(XLOOKUP(E1412, '04_Products'!$A:$A, '04_Products'!$G:$G), 76.99)</f>
        <v/>
      </c>
      <c r="H1412" s="9">
        <f>IFERROR(XLOOKUP(E1412, '04_Products'!$A:$A, '04_Products'!$F:$F), 0)</f>
        <v/>
      </c>
      <c r="I1412" s="9">
        <f>F1412*G1412</f>
        <v/>
      </c>
      <c r="J1412" s="11" t="n">
        <v>0.05</v>
      </c>
      <c r="K1412" s="9">
        <f>I1412*J1412</f>
        <v/>
      </c>
      <c r="L1412" s="9">
        <f>I1412-K1412</f>
        <v/>
      </c>
      <c r="M1412" s="9">
        <f>F1412*H1412</f>
        <v/>
      </c>
      <c r="N1412" s="9">
        <f>L1412-M1412</f>
        <v/>
      </c>
      <c r="O1412" s="11">
        <f>IFERROR(N1412/L1412, 0)</f>
        <v/>
      </c>
      <c r="P1412" s="8">
        <f>YEAR(C1412)</f>
        <v/>
      </c>
      <c r="Q1412" s="8">
        <f>TEXT(C1412, "yyyy-mm")</f>
        <v/>
      </c>
      <c r="R1412" s="8" t="inlineStr">
        <is>
          <t>Mobile App</t>
        </is>
      </c>
      <c r="S1412" s="8" t="inlineStr">
        <is>
          <t>REG-NA</t>
        </is>
      </c>
    </row>
    <row r="1413">
      <c r="A1413" s="8" t="inlineStr">
        <is>
          <t>DTL-0001429</t>
        </is>
      </c>
      <c r="B1413" s="8" t="inlineStr">
        <is>
          <t>ORD-000708</t>
        </is>
      </c>
      <c r="C1413" s="10" t="inlineStr">
        <is>
          <t>2025-09-15</t>
        </is>
      </c>
      <c r="D1413" s="8" t="inlineStr">
        <is>
          <t>CUST-06785</t>
        </is>
      </c>
      <c r="E1413" s="8" t="inlineStr">
        <is>
          <t>PRD-0171</t>
        </is>
      </c>
      <c r="F1413" s="8" t="n">
        <v>1</v>
      </c>
      <c r="G1413" s="9">
        <f>IFERROR(XLOOKUP(E1413, '04_Products'!$A:$A, '04_Products'!$G:$G), 143.61)</f>
        <v/>
      </c>
      <c r="H1413" s="9">
        <f>IFERROR(XLOOKUP(E1413, '04_Products'!$A:$A, '04_Products'!$F:$F), 0)</f>
        <v/>
      </c>
      <c r="I1413" s="9">
        <f>F1413*G1413</f>
        <v/>
      </c>
      <c r="J1413" s="11" t="n">
        <v>0.15</v>
      </c>
      <c r="K1413" s="9">
        <f>I1413*J1413</f>
        <v/>
      </c>
      <c r="L1413" s="9">
        <f>I1413-K1413</f>
        <v/>
      </c>
      <c r="M1413" s="9">
        <f>F1413*H1413</f>
        <v/>
      </c>
      <c r="N1413" s="9">
        <f>L1413-M1413</f>
        <v/>
      </c>
      <c r="O1413" s="11">
        <f>IFERROR(N1413/L1413, 0)</f>
        <v/>
      </c>
      <c r="P1413" s="8">
        <f>YEAR(C1413)</f>
        <v/>
      </c>
      <c r="Q1413" s="8">
        <f>TEXT(C1413, "yyyy-mm")</f>
        <v/>
      </c>
      <c r="R1413" s="8" t="inlineStr">
        <is>
          <t>Mobile App</t>
        </is>
      </c>
      <c r="S1413" s="8" t="inlineStr">
        <is>
          <t>REG-NA</t>
        </is>
      </c>
    </row>
    <row r="1414">
      <c r="A1414" s="8" t="inlineStr">
        <is>
          <t>DTL-0001430</t>
        </is>
      </c>
      <c r="B1414" s="8" t="inlineStr">
        <is>
          <t>ORD-000709</t>
        </is>
      </c>
      <c r="C1414" s="10" t="inlineStr">
        <is>
          <t>2024-01-05</t>
        </is>
      </c>
      <c r="D1414" s="8" t="inlineStr">
        <is>
          <t>CUST-03742</t>
        </is>
      </c>
      <c r="E1414" s="8" t="inlineStr">
        <is>
          <t>PRD-0111</t>
        </is>
      </c>
      <c r="F1414" s="8" t="n">
        <v>1</v>
      </c>
      <c r="G1414" s="9">
        <f>IFERROR(XLOOKUP(E1414, '04_Products'!$A:$A, '04_Products'!$G:$G), 63.37)</f>
        <v/>
      </c>
      <c r="H1414" s="9">
        <f>IFERROR(XLOOKUP(E1414, '04_Products'!$A:$A, '04_Products'!$F:$F), 0)</f>
        <v/>
      </c>
      <c r="I1414" s="9">
        <f>F1414*G1414</f>
        <v/>
      </c>
      <c r="J1414" s="11" t="n">
        <v>0.1</v>
      </c>
      <c r="K1414" s="9">
        <f>I1414*J1414</f>
        <v/>
      </c>
      <c r="L1414" s="9">
        <f>I1414-K1414</f>
        <v/>
      </c>
      <c r="M1414" s="9">
        <f>F1414*H1414</f>
        <v/>
      </c>
      <c r="N1414" s="9">
        <f>L1414-M1414</f>
        <v/>
      </c>
      <c r="O1414" s="11">
        <f>IFERROR(N1414/L1414, 0)</f>
        <v/>
      </c>
      <c r="P1414" s="8">
        <f>YEAR(C1414)</f>
        <v/>
      </c>
      <c r="Q1414" s="8">
        <f>TEXT(C1414, "yyyy-mm")</f>
        <v/>
      </c>
      <c r="R1414" s="8" t="inlineStr">
        <is>
          <t>B2B Portal</t>
        </is>
      </c>
      <c r="S1414" s="8" t="inlineStr">
        <is>
          <t>REG-NA</t>
        </is>
      </c>
    </row>
    <row r="1415">
      <c r="A1415" s="8" t="inlineStr">
        <is>
          <t>DTL-0001431</t>
        </is>
      </c>
      <c r="B1415" s="8" t="inlineStr">
        <is>
          <t>ORD-000709</t>
        </is>
      </c>
      <c r="C1415" s="10" t="inlineStr">
        <is>
          <t>2024-01-05</t>
        </is>
      </c>
      <c r="D1415" s="8" t="inlineStr">
        <is>
          <t>CUST-03742</t>
        </is>
      </c>
      <c r="E1415" s="8" t="inlineStr">
        <is>
          <t>PRD-0439</t>
        </is>
      </c>
      <c r="F1415" s="8" t="n">
        <v>1</v>
      </c>
      <c r="G1415" s="9">
        <f>IFERROR(XLOOKUP(E1415, '04_Products'!$A:$A, '04_Products'!$G:$G), 807.98)</f>
        <v/>
      </c>
      <c r="H1415" s="9">
        <f>IFERROR(XLOOKUP(E1415, '04_Products'!$A:$A, '04_Products'!$F:$F), 0)</f>
        <v/>
      </c>
      <c r="I1415" s="9">
        <f>F1415*G1415</f>
        <v/>
      </c>
      <c r="J1415" s="11" t="n">
        <v>0.05</v>
      </c>
      <c r="K1415" s="9">
        <f>I1415*J1415</f>
        <v/>
      </c>
      <c r="L1415" s="9">
        <f>I1415-K1415</f>
        <v/>
      </c>
      <c r="M1415" s="9">
        <f>F1415*H1415</f>
        <v/>
      </c>
      <c r="N1415" s="9">
        <f>L1415-M1415</f>
        <v/>
      </c>
      <c r="O1415" s="11">
        <f>IFERROR(N1415/L1415, 0)</f>
        <v/>
      </c>
      <c r="P1415" s="8">
        <f>YEAR(C1415)</f>
        <v/>
      </c>
      <c r="Q1415" s="8">
        <f>TEXT(C1415, "yyyy-mm")</f>
        <v/>
      </c>
      <c r="R1415" s="8" t="inlineStr">
        <is>
          <t>B2B Portal</t>
        </is>
      </c>
      <c r="S1415" s="8" t="inlineStr">
        <is>
          <t>REG-NA</t>
        </is>
      </c>
    </row>
    <row r="1416">
      <c r="A1416" s="8" t="inlineStr">
        <is>
          <t>DTL-0001432</t>
        </is>
      </c>
      <c r="B1416" s="8" t="inlineStr">
        <is>
          <t>ORD-000709</t>
        </is>
      </c>
      <c r="C1416" s="10" t="inlineStr">
        <is>
          <t>2024-01-05</t>
        </is>
      </c>
      <c r="D1416" s="8" t="inlineStr">
        <is>
          <t>CUST-03742</t>
        </is>
      </c>
      <c r="E1416" s="8" t="inlineStr">
        <is>
          <t>PRD-0236</t>
        </is>
      </c>
      <c r="F1416" s="8" t="n">
        <v>1</v>
      </c>
      <c r="G1416" s="9">
        <f>IFERROR(XLOOKUP(E1416, '04_Products'!$A:$A, '04_Products'!$G:$G), 128.74)</f>
        <v/>
      </c>
      <c r="H1416" s="9">
        <f>IFERROR(XLOOKUP(E1416, '04_Products'!$A:$A, '04_Products'!$F:$F), 0)</f>
        <v/>
      </c>
      <c r="I1416" s="9">
        <f>F1416*G1416</f>
        <v/>
      </c>
      <c r="J1416" s="11" t="n">
        <v>0</v>
      </c>
      <c r="K1416" s="9">
        <f>I1416*J1416</f>
        <v/>
      </c>
      <c r="L1416" s="9">
        <f>I1416-K1416</f>
        <v/>
      </c>
      <c r="M1416" s="9">
        <f>F1416*H1416</f>
        <v/>
      </c>
      <c r="N1416" s="9">
        <f>L1416-M1416</f>
        <v/>
      </c>
      <c r="O1416" s="11">
        <f>IFERROR(N1416/L1416, 0)</f>
        <v/>
      </c>
      <c r="P1416" s="8">
        <f>YEAR(C1416)</f>
        <v/>
      </c>
      <c r="Q1416" s="8">
        <f>TEXT(C1416, "yyyy-mm")</f>
        <v/>
      </c>
      <c r="R1416" s="8" t="inlineStr">
        <is>
          <t>B2B Portal</t>
        </is>
      </c>
      <c r="S1416" s="8" t="inlineStr">
        <is>
          <t>REG-NA</t>
        </is>
      </c>
    </row>
    <row r="1417">
      <c r="A1417" s="8" t="inlineStr">
        <is>
          <t>DTL-0001433</t>
        </is>
      </c>
      <c r="B1417" s="8" t="inlineStr">
        <is>
          <t>ORD-000710</t>
        </is>
      </c>
      <c r="C1417" s="10" t="inlineStr">
        <is>
          <t>2023-06-14</t>
        </is>
      </c>
      <c r="D1417" s="8" t="inlineStr">
        <is>
          <t>CUST-07439</t>
        </is>
      </c>
      <c r="E1417" s="8" t="inlineStr">
        <is>
          <t>PRD-0077</t>
        </is>
      </c>
      <c r="F1417" s="8" t="n">
        <v>1</v>
      </c>
      <c r="G1417" s="9">
        <f>IFERROR(XLOOKUP(E1417, '04_Products'!$A:$A, '04_Products'!$G:$G), 1210.48)</f>
        <v/>
      </c>
      <c r="H1417" s="9">
        <f>IFERROR(XLOOKUP(E1417, '04_Products'!$A:$A, '04_Products'!$F:$F), 0)</f>
        <v/>
      </c>
      <c r="I1417" s="9">
        <f>F1417*G1417</f>
        <v/>
      </c>
      <c r="J1417" s="11" t="n">
        <v>0.15</v>
      </c>
      <c r="K1417" s="9">
        <f>I1417*J1417</f>
        <v/>
      </c>
      <c r="L1417" s="9">
        <f>I1417-K1417</f>
        <v/>
      </c>
      <c r="M1417" s="9">
        <f>F1417*H1417</f>
        <v/>
      </c>
      <c r="N1417" s="9">
        <f>L1417-M1417</f>
        <v/>
      </c>
      <c r="O1417" s="11">
        <f>IFERROR(N1417/L1417, 0)</f>
        <v/>
      </c>
      <c r="P1417" s="8">
        <f>YEAR(C1417)</f>
        <v/>
      </c>
      <c r="Q1417" s="8">
        <f>TEXT(C1417, "yyyy-mm")</f>
        <v/>
      </c>
      <c r="R1417" s="8" t="inlineStr">
        <is>
          <t>Direct Web</t>
        </is>
      </c>
      <c r="S1417" s="8" t="inlineStr">
        <is>
          <t>REG-NA</t>
        </is>
      </c>
    </row>
    <row r="1418">
      <c r="A1418" s="8" t="inlineStr">
        <is>
          <t>DTL-0001434</t>
        </is>
      </c>
      <c r="B1418" s="8" t="inlineStr">
        <is>
          <t>ORD-000710</t>
        </is>
      </c>
      <c r="C1418" s="10" t="inlineStr">
        <is>
          <t>2023-06-14</t>
        </is>
      </c>
      <c r="D1418" s="8" t="inlineStr">
        <is>
          <t>CUST-07439</t>
        </is>
      </c>
      <c r="E1418" s="8" t="inlineStr">
        <is>
          <t>PRD-0480</t>
        </is>
      </c>
      <c r="F1418" s="8" t="n">
        <v>1</v>
      </c>
      <c r="G1418" s="9">
        <f>IFERROR(XLOOKUP(E1418, '04_Products'!$A:$A, '04_Products'!$G:$G), 122.63)</f>
        <v/>
      </c>
      <c r="H1418" s="9">
        <f>IFERROR(XLOOKUP(E1418, '04_Products'!$A:$A, '04_Products'!$F:$F), 0)</f>
        <v/>
      </c>
      <c r="I1418" s="9">
        <f>F1418*G1418</f>
        <v/>
      </c>
      <c r="J1418" s="11" t="n">
        <v>0</v>
      </c>
      <c r="K1418" s="9">
        <f>I1418*J1418</f>
        <v/>
      </c>
      <c r="L1418" s="9">
        <f>I1418-K1418</f>
        <v/>
      </c>
      <c r="M1418" s="9">
        <f>F1418*H1418</f>
        <v/>
      </c>
      <c r="N1418" s="9">
        <f>L1418-M1418</f>
        <v/>
      </c>
      <c r="O1418" s="11">
        <f>IFERROR(N1418/L1418, 0)</f>
        <v/>
      </c>
      <c r="P1418" s="8">
        <f>YEAR(C1418)</f>
        <v/>
      </c>
      <c r="Q1418" s="8">
        <f>TEXT(C1418, "yyyy-mm")</f>
        <v/>
      </c>
      <c r="R1418" s="8" t="inlineStr">
        <is>
          <t>Direct Web</t>
        </is>
      </c>
      <c r="S1418" s="8" t="inlineStr">
        <is>
          <t>REG-NA</t>
        </is>
      </c>
    </row>
    <row r="1419">
      <c r="A1419" s="8" t="inlineStr">
        <is>
          <t>DTL-0001435</t>
        </is>
      </c>
      <c r="B1419" s="8" t="inlineStr">
        <is>
          <t>ORD-000710</t>
        </is>
      </c>
      <c r="C1419" s="10" t="inlineStr">
        <is>
          <t>2023-06-14</t>
        </is>
      </c>
      <c r="D1419" s="8" t="inlineStr">
        <is>
          <t>CUST-07439</t>
        </is>
      </c>
      <c r="E1419" s="8" t="inlineStr">
        <is>
          <t>PRD-0426</t>
        </is>
      </c>
      <c r="F1419" s="8" t="n">
        <v>1</v>
      </c>
      <c r="G1419" s="9">
        <f>IFERROR(XLOOKUP(E1419, '04_Products'!$A:$A, '04_Products'!$G:$G), 51.71)</f>
        <v/>
      </c>
      <c r="H1419" s="9">
        <f>IFERROR(XLOOKUP(E1419, '04_Products'!$A:$A, '04_Products'!$F:$F), 0)</f>
        <v/>
      </c>
      <c r="I1419" s="9">
        <f>F1419*G1419</f>
        <v/>
      </c>
      <c r="J1419" s="11" t="n">
        <v>0</v>
      </c>
      <c r="K1419" s="9">
        <f>I1419*J1419</f>
        <v/>
      </c>
      <c r="L1419" s="9">
        <f>I1419-K1419</f>
        <v/>
      </c>
      <c r="M1419" s="9">
        <f>F1419*H1419</f>
        <v/>
      </c>
      <c r="N1419" s="9">
        <f>L1419-M1419</f>
        <v/>
      </c>
      <c r="O1419" s="11">
        <f>IFERROR(N1419/L1419, 0)</f>
        <v/>
      </c>
      <c r="P1419" s="8">
        <f>YEAR(C1419)</f>
        <v/>
      </c>
      <c r="Q1419" s="8">
        <f>TEXT(C1419, "yyyy-mm")</f>
        <v/>
      </c>
      <c r="R1419" s="8" t="inlineStr">
        <is>
          <t>Direct Web</t>
        </is>
      </c>
      <c r="S1419" s="8" t="inlineStr">
        <is>
          <t>REG-NA</t>
        </is>
      </c>
    </row>
    <row r="1420">
      <c r="A1420" s="8" t="inlineStr">
        <is>
          <t>DTL-0001436</t>
        </is>
      </c>
      <c r="B1420" s="8" t="inlineStr">
        <is>
          <t>ORD-000710</t>
        </is>
      </c>
      <c r="C1420" s="10" t="inlineStr">
        <is>
          <t>2023-06-14</t>
        </is>
      </c>
      <c r="D1420" s="8" t="inlineStr">
        <is>
          <t>CUST-07439</t>
        </is>
      </c>
      <c r="E1420" s="8" t="inlineStr">
        <is>
          <t>PRD-0074</t>
        </is>
      </c>
      <c r="F1420" s="8" t="n">
        <v>4</v>
      </c>
      <c r="G1420" s="9">
        <f>IFERROR(XLOOKUP(E1420, '04_Products'!$A:$A, '04_Products'!$G:$G), 405.95)</f>
        <v/>
      </c>
      <c r="H1420" s="9">
        <f>IFERROR(XLOOKUP(E1420, '04_Products'!$A:$A, '04_Products'!$F:$F), 0)</f>
        <v/>
      </c>
      <c r="I1420" s="9">
        <f>F1420*G1420</f>
        <v/>
      </c>
      <c r="J1420" s="11" t="n">
        <v>0.1</v>
      </c>
      <c r="K1420" s="9">
        <f>I1420*J1420</f>
        <v/>
      </c>
      <c r="L1420" s="9">
        <f>I1420-K1420</f>
        <v/>
      </c>
      <c r="M1420" s="9">
        <f>F1420*H1420</f>
        <v/>
      </c>
      <c r="N1420" s="9">
        <f>L1420-M1420</f>
        <v/>
      </c>
      <c r="O1420" s="11">
        <f>IFERROR(N1420/L1420, 0)</f>
        <v/>
      </c>
      <c r="P1420" s="8">
        <f>YEAR(C1420)</f>
        <v/>
      </c>
      <c r="Q1420" s="8">
        <f>TEXT(C1420, "yyyy-mm")</f>
        <v/>
      </c>
      <c r="R1420" s="8" t="inlineStr">
        <is>
          <t>Direct Web</t>
        </is>
      </c>
      <c r="S1420" s="8" t="inlineStr">
        <is>
          <t>REG-NA</t>
        </is>
      </c>
    </row>
    <row r="1421">
      <c r="A1421" s="8" t="inlineStr">
        <is>
          <t>DTL-0001437</t>
        </is>
      </c>
      <c r="B1421" s="8" t="inlineStr">
        <is>
          <t>ORD-000711</t>
        </is>
      </c>
      <c r="C1421" s="10" t="inlineStr">
        <is>
          <t>2025-12-13</t>
        </is>
      </c>
      <c r="D1421" s="8" t="inlineStr">
        <is>
          <t>CUST-03520</t>
        </is>
      </c>
      <c r="E1421" s="8" t="inlineStr">
        <is>
          <t>PRD-0218</t>
        </is>
      </c>
      <c r="F1421" s="8" t="n">
        <v>1</v>
      </c>
      <c r="G1421" s="9">
        <f>IFERROR(XLOOKUP(E1421, '04_Products'!$A:$A, '04_Products'!$G:$G), 468.61)</f>
        <v/>
      </c>
      <c r="H1421" s="9">
        <f>IFERROR(XLOOKUP(E1421, '04_Products'!$A:$A, '04_Products'!$F:$F), 0)</f>
        <v/>
      </c>
      <c r="I1421" s="9">
        <f>F1421*G1421</f>
        <v/>
      </c>
      <c r="J1421" s="11" t="n">
        <v>0</v>
      </c>
      <c r="K1421" s="9">
        <f>I1421*J1421</f>
        <v/>
      </c>
      <c r="L1421" s="9">
        <f>I1421-K1421</f>
        <v/>
      </c>
      <c r="M1421" s="9">
        <f>F1421*H1421</f>
        <v/>
      </c>
      <c r="N1421" s="9">
        <f>L1421-M1421</f>
        <v/>
      </c>
      <c r="O1421" s="11">
        <f>IFERROR(N1421/L1421, 0)</f>
        <v/>
      </c>
      <c r="P1421" s="8">
        <f>YEAR(C1421)</f>
        <v/>
      </c>
      <c r="Q1421" s="8">
        <f>TEXT(C1421, "yyyy-mm")</f>
        <v/>
      </c>
      <c r="R1421" s="8" t="inlineStr">
        <is>
          <t>Mobile App</t>
        </is>
      </c>
      <c r="S1421" s="8" t="inlineStr">
        <is>
          <t>REG-EU</t>
        </is>
      </c>
    </row>
    <row r="1422">
      <c r="A1422" s="8" t="inlineStr">
        <is>
          <t>DTL-0001438</t>
        </is>
      </c>
      <c r="B1422" s="8" t="inlineStr">
        <is>
          <t>ORD-000711</t>
        </is>
      </c>
      <c r="C1422" s="10" t="inlineStr">
        <is>
          <t>2025-12-13</t>
        </is>
      </c>
      <c r="D1422" s="8" t="inlineStr">
        <is>
          <t>CUST-03520</t>
        </is>
      </c>
      <c r="E1422" s="8" t="inlineStr">
        <is>
          <t>PRD-0107</t>
        </is>
      </c>
      <c r="F1422" s="8" t="n">
        <v>1</v>
      </c>
      <c r="G1422" s="9">
        <f>IFERROR(XLOOKUP(E1422, '04_Products'!$A:$A, '04_Products'!$G:$G), 754.95)</f>
        <v/>
      </c>
      <c r="H1422" s="9">
        <f>IFERROR(XLOOKUP(E1422, '04_Products'!$A:$A, '04_Products'!$F:$F), 0)</f>
        <v/>
      </c>
      <c r="I1422" s="9">
        <f>F1422*G1422</f>
        <v/>
      </c>
      <c r="J1422" s="11" t="n">
        <v>0</v>
      </c>
      <c r="K1422" s="9">
        <f>I1422*J1422</f>
        <v/>
      </c>
      <c r="L1422" s="9">
        <f>I1422-K1422</f>
        <v/>
      </c>
      <c r="M1422" s="9">
        <f>F1422*H1422</f>
        <v/>
      </c>
      <c r="N1422" s="9">
        <f>L1422-M1422</f>
        <v/>
      </c>
      <c r="O1422" s="11">
        <f>IFERROR(N1422/L1422, 0)</f>
        <v/>
      </c>
      <c r="P1422" s="8">
        <f>YEAR(C1422)</f>
        <v/>
      </c>
      <c r="Q1422" s="8">
        <f>TEXT(C1422, "yyyy-mm")</f>
        <v/>
      </c>
      <c r="R1422" s="8" t="inlineStr">
        <is>
          <t>Mobile App</t>
        </is>
      </c>
      <c r="S1422" s="8" t="inlineStr">
        <is>
          <t>REG-EU</t>
        </is>
      </c>
    </row>
    <row r="1423">
      <c r="A1423" s="8" t="inlineStr">
        <is>
          <t>DTL-0001439</t>
        </is>
      </c>
      <c r="B1423" s="8" t="inlineStr">
        <is>
          <t>ORD-000711</t>
        </is>
      </c>
      <c r="C1423" s="10" t="inlineStr">
        <is>
          <t>2025-12-13</t>
        </is>
      </c>
      <c r="D1423" s="8" t="inlineStr">
        <is>
          <t>CUST-03520</t>
        </is>
      </c>
      <c r="E1423" s="8" t="inlineStr">
        <is>
          <t>PRD-0007</t>
        </is>
      </c>
      <c r="F1423" s="8" t="n">
        <v>1</v>
      </c>
      <c r="G1423" s="9">
        <f>IFERROR(XLOOKUP(E1423, '04_Products'!$A:$A, '04_Products'!$G:$G), 254.43)</f>
        <v/>
      </c>
      <c r="H1423" s="9">
        <f>IFERROR(XLOOKUP(E1423, '04_Products'!$A:$A, '04_Products'!$F:$F), 0)</f>
        <v/>
      </c>
      <c r="I1423" s="9">
        <f>F1423*G1423</f>
        <v/>
      </c>
      <c r="J1423" s="11" t="n">
        <v>0.05</v>
      </c>
      <c r="K1423" s="9">
        <f>I1423*J1423</f>
        <v/>
      </c>
      <c r="L1423" s="9">
        <f>I1423-K1423</f>
        <v/>
      </c>
      <c r="M1423" s="9">
        <f>F1423*H1423</f>
        <v/>
      </c>
      <c r="N1423" s="9">
        <f>L1423-M1423</f>
        <v/>
      </c>
      <c r="O1423" s="11">
        <f>IFERROR(N1423/L1423, 0)</f>
        <v/>
      </c>
      <c r="P1423" s="8">
        <f>YEAR(C1423)</f>
        <v/>
      </c>
      <c r="Q1423" s="8">
        <f>TEXT(C1423, "yyyy-mm")</f>
        <v/>
      </c>
      <c r="R1423" s="8" t="inlineStr">
        <is>
          <t>Mobile App</t>
        </is>
      </c>
      <c r="S1423" s="8" t="inlineStr">
        <is>
          <t>REG-EU</t>
        </is>
      </c>
    </row>
    <row r="1424">
      <c r="A1424" s="8" t="inlineStr">
        <is>
          <t>DTL-0001440</t>
        </is>
      </c>
      <c r="B1424" s="8" t="inlineStr">
        <is>
          <t>ORD-000712</t>
        </is>
      </c>
      <c r="C1424" s="10" t="inlineStr">
        <is>
          <t>2025-07-10</t>
        </is>
      </c>
      <c r="D1424" s="8" t="inlineStr">
        <is>
          <t>CUST-06851</t>
        </is>
      </c>
      <c r="E1424" s="8" t="inlineStr">
        <is>
          <t>PRD-0273</t>
        </is>
      </c>
      <c r="F1424" s="8" t="n">
        <v>4</v>
      </c>
      <c r="G1424" s="9">
        <f>IFERROR(XLOOKUP(E1424, '04_Products'!$A:$A, '04_Products'!$G:$G), 19.23)</f>
        <v/>
      </c>
      <c r="H1424" s="9">
        <f>IFERROR(XLOOKUP(E1424, '04_Products'!$A:$A, '04_Products'!$F:$F), 0)</f>
        <v/>
      </c>
      <c r="I1424" s="9">
        <f>F1424*G1424</f>
        <v/>
      </c>
      <c r="J1424" s="11" t="n">
        <v>0</v>
      </c>
      <c r="K1424" s="9">
        <f>I1424*J1424</f>
        <v/>
      </c>
      <c r="L1424" s="9">
        <f>I1424-K1424</f>
        <v/>
      </c>
      <c r="M1424" s="9">
        <f>F1424*H1424</f>
        <v/>
      </c>
      <c r="N1424" s="9">
        <f>L1424-M1424</f>
        <v/>
      </c>
      <c r="O1424" s="11">
        <f>IFERROR(N1424/L1424, 0)</f>
        <v/>
      </c>
      <c r="P1424" s="8">
        <f>YEAR(C1424)</f>
        <v/>
      </c>
      <c r="Q1424" s="8">
        <f>TEXT(C1424, "yyyy-mm")</f>
        <v/>
      </c>
      <c r="R1424" s="8" t="inlineStr">
        <is>
          <t>Direct Web</t>
        </is>
      </c>
      <c r="S1424" s="8" t="inlineStr">
        <is>
          <t>REG-EU</t>
        </is>
      </c>
    </row>
    <row r="1425">
      <c r="A1425" s="8" t="inlineStr">
        <is>
          <t>DTL-0001441</t>
        </is>
      </c>
      <c r="B1425" s="8" t="inlineStr">
        <is>
          <t>ORD-000713</t>
        </is>
      </c>
      <c r="C1425" s="10" t="inlineStr">
        <is>
          <t>2023-01-28</t>
        </is>
      </c>
      <c r="D1425" s="8" t="inlineStr">
        <is>
          <t>CUST-00443</t>
        </is>
      </c>
      <c r="E1425" s="8" t="inlineStr">
        <is>
          <t>PRD-0279</t>
        </is>
      </c>
      <c r="F1425" s="8" t="n">
        <v>1</v>
      </c>
      <c r="G1425" s="9">
        <f>IFERROR(XLOOKUP(E1425, '04_Products'!$A:$A, '04_Products'!$G:$G), 783.46)</f>
        <v/>
      </c>
      <c r="H1425" s="9">
        <f>IFERROR(XLOOKUP(E1425, '04_Products'!$A:$A, '04_Products'!$F:$F), 0)</f>
        <v/>
      </c>
      <c r="I1425" s="9">
        <f>F1425*G1425</f>
        <v/>
      </c>
      <c r="J1425" s="11" t="n">
        <v>0.05</v>
      </c>
      <c r="K1425" s="9">
        <f>I1425*J1425</f>
        <v/>
      </c>
      <c r="L1425" s="9">
        <f>I1425-K1425</f>
        <v/>
      </c>
      <c r="M1425" s="9">
        <f>F1425*H1425</f>
        <v/>
      </c>
      <c r="N1425" s="9">
        <f>L1425-M1425</f>
        <v/>
      </c>
      <c r="O1425" s="11">
        <f>IFERROR(N1425/L1425, 0)</f>
        <v/>
      </c>
      <c r="P1425" s="8">
        <f>YEAR(C1425)</f>
        <v/>
      </c>
      <c r="Q1425" s="8">
        <f>TEXT(C1425, "yyyy-mm")</f>
        <v/>
      </c>
      <c r="R1425" s="8" t="inlineStr">
        <is>
          <t>Mobile App</t>
        </is>
      </c>
      <c r="S1425" s="8" t="inlineStr">
        <is>
          <t>REG-EU</t>
        </is>
      </c>
    </row>
    <row r="1426">
      <c r="A1426" s="8" t="inlineStr">
        <is>
          <t>DTL-0001442</t>
        </is>
      </c>
      <c r="B1426" s="8" t="inlineStr">
        <is>
          <t>ORD-000713</t>
        </is>
      </c>
      <c r="C1426" s="10" t="inlineStr">
        <is>
          <t>2023-01-28</t>
        </is>
      </c>
      <c r="D1426" s="8" t="inlineStr">
        <is>
          <t>CUST-00443</t>
        </is>
      </c>
      <c r="E1426" s="8" t="inlineStr">
        <is>
          <t>PRD-0291</t>
        </is>
      </c>
      <c r="F1426" s="8" t="n">
        <v>1</v>
      </c>
      <c r="G1426" s="9">
        <f>IFERROR(XLOOKUP(E1426, '04_Products'!$A:$A, '04_Products'!$G:$G), 52.44)</f>
        <v/>
      </c>
      <c r="H1426" s="9">
        <f>IFERROR(XLOOKUP(E1426, '04_Products'!$A:$A, '04_Products'!$F:$F), 0)</f>
        <v/>
      </c>
      <c r="I1426" s="9">
        <f>F1426*G1426</f>
        <v/>
      </c>
      <c r="J1426" s="11" t="n">
        <v>0.05</v>
      </c>
      <c r="K1426" s="9">
        <f>I1426*J1426</f>
        <v/>
      </c>
      <c r="L1426" s="9">
        <f>I1426-K1426</f>
        <v/>
      </c>
      <c r="M1426" s="9">
        <f>F1426*H1426</f>
        <v/>
      </c>
      <c r="N1426" s="9">
        <f>L1426-M1426</f>
        <v/>
      </c>
      <c r="O1426" s="11">
        <f>IFERROR(N1426/L1426, 0)</f>
        <v/>
      </c>
      <c r="P1426" s="8">
        <f>YEAR(C1426)</f>
        <v/>
      </c>
      <c r="Q1426" s="8">
        <f>TEXT(C1426, "yyyy-mm")</f>
        <v/>
      </c>
      <c r="R1426" s="8" t="inlineStr">
        <is>
          <t>Mobile App</t>
        </is>
      </c>
      <c r="S1426" s="8" t="inlineStr">
        <is>
          <t>REG-EU</t>
        </is>
      </c>
    </row>
    <row r="1427">
      <c r="A1427" s="8" t="inlineStr">
        <is>
          <t>DTL-0001443</t>
        </is>
      </c>
      <c r="B1427" s="8" t="inlineStr">
        <is>
          <t>ORD-000714</t>
        </is>
      </c>
      <c r="C1427" s="10" t="inlineStr">
        <is>
          <t>2023-09-14</t>
        </is>
      </c>
      <c r="D1427" s="8" t="inlineStr">
        <is>
          <t>CUST-03801</t>
        </is>
      </c>
      <c r="E1427" s="8" t="inlineStr">
        <is>
          <t>PRD-0430</t>
        </is>
      </c>
      <c r="F1427" s="8" t="n">
        <v>10</v>
      </c>
      <c r="G1427" s="9">
        <f>IFERROR(XLOOKUP(E1427, '04_Products'!$A:$A, '04_Products'!$G:$G), 105.31)</f>
        <v/>
      </c>
      <c r="H1427" s="9">
        <f>IFERROR(XLOOKUP(E1427, '04_Products'!$A:$A, '04_Products'!$F:$F), 0)</f>
        <v/>
      </c>
      <c r="I1427" s="9">
        <f>F1427*G1427</f>
        <v/>
      </c>
      <c r="J1427" s="11" t="n">
        <v>0</v>
      </c>
      <c r="K1427" s="9">
        <f>I1427*J1427</f>
        <v/>
      </c>
      <c r="L1427" s="9">
        <f>I1427-K1427</f>
        <v/>
      </c>
      <c r="M1427" s="9">
        <f>F1427*H1427</f>
        <v/>
      </c>
      <c r="N1427" s="9">
        <f>L1427-M1427</f>
        <v/>
      </c>
      <c r="O1427" s="11">
        <f>IFERROR(N1427/L1427, 0)</f>
        <v/>
      </c>
      <c r="P1427" s="8">
        <f>YEAR(C1427)</f>
        <v/>
      </c>
      <c r="Q1427" s="8">
        <f>TEXT(C1427, "yyyy-mm")</f>
        <v/>
      </c>
      <c r="R1427" s="8" t="inlineStr">
        <is>
          <t>Mobile App</t>
        </is>
      </c>
      <c r="S1427" s="8" t="inlineStr">
        <is>
          <t>REG-EU</t>
        </is>
      </c>
    </row>
    <row r="1428">
      <c r="A1428" s="8" t="inlineStr">
        <is>
          <t>DTL-0001444</t>
        </is>
      </c>
      <c r="B1428" s="8" t="inlineStr">
        <is>
          <t>ORD-000715</t>
        </is>
      </c>
      <c r="C1428" s="10" t="inlineStr">
        <is>
          <t>2023-01-25</t>
        </is>
      </c>
      <c r="D1428" s="8" t="inlineStr">
        <is>
          <t>CUST-02499</t>
        </is>
      </c>
      <c r="E1428" s="8" t="inlineStr">
        <is>
          <t>PRD-0423</t>
        </is>
      </c>
      <c r="F1428" s="8" t="n">
        <v>1</v>
      </c>
      <c r="G1428" s="9">
        <f>IFERROR(XLOOKUP(E1428, '04_Products'!$A:$A, '04_Products'!$G:$G), 922.78)</f>
        <v/>
      </c>
      <c r="H1428" s="9">
        <f>IFERROR(XLOOKUP(E1428, '04_Products'!$A:$A, '04_Products'!$F:$F), 0)</f>
        <v/>
      </c>
      <c r="I1428" s="9">
        <f>F1428*G1428</f>
        <v/>
      </c>
      <c r="J1428" s="11" t="n">
        <v>0.1</v>
      </c>
      <c r="K1428" s="9">
        <f>I1428*J1428</f>
        <v/>
      </c>
      <c r="L1428" s="9">
        <f>I1428-K1428</f>
        <v/>
      </c>
      <c r="M1428" s="9">
        <f>F1428*H1428</f>
        <v/>
      </c>
      <c r="N1428" s="9">
        <f>L1428-M1428</f>
        <v/>
      </c>
      <c r="O1428" s="11">
        <f>IFERROR(N1428/L1428, 0)</f>
        <v/>
      </c>
      <c r="P1428" s="8">
        <f>YEAR(C1428)</f>
        <v/>
      </c>
      <c r="Q1428" s="8">
        <f>TEXT(C1428, "yyyy-mm")</f>
        <v/>
      </c>
      <c r="R1428" s="8" t="inlineStr">
        <is>
          <t>Direct Web</t>
        </is>
      </c>
      <c r="S1428" s="8" t="inlineStr">
        <is>
          <t>REG-NA</t>
        </is>
      </c>
    </row>
    <row r="1429">
      <c r="A1429" s="8" t="inlineStr">
        <is>
          <t>DTL-0001445</t>
        </is>
      </c>
      <c r="B1429" s="8" t="inlineStr">
        <is>
          <t>ORD-000715</t>
        </is>
      </c>
      <c r="C1429" s="10" t="inlineStr">
        <is>
          <t>2023-01-25</t>
        </is>
      </c>
      <c r="D1429" s="8" t="inlineStr">
        <is>
          <t>CUST-02499</t>
        </is>
      </c>
      <c r="E1429" s="8" t="inlineStr">
        <is>
          <t>PRD-0282</t>
        </is>
      </c>
      <c r="F1429" s="8" t="n">
        <v>4</v>
      </c>
      <c r="G1429" s="9">
        <f>IFERROR(XLOOKUP(E1429, '04_Products'!$A:$A, '04_Products'!$G:$G), 48.43)</f>
        <v/>
      </c>
      <c r="H1429" s="9">
        <f>IFERROR(XLOOKUP(E1429, '04_Products'!$A:$A, '04_Products'!$F:$F), 0)</f>
        <v/>
      </c>
      <c r="I1429" s="9">
        <f>F1429*G1429</f>
        <v/>
      </c>
      <c r="J1429" s="11" t="n">
        <v>0.1</v>
      </c>
      <c r="K1429" s="9">
        <f>I1429*J1429</f>
        <v/>
      </c>
      <c r="L1429" s="9">
        <f>I1429-K1429</f>
        <v/>
      </c>
      <c r="M1429" s="9">
        <f>F1429*H1429</f>
        <v/>
      </c>
      <c r="N1429" s="9">
        <f>L1429-M1429</f>
        <v/>
      </c>
      <c r="O1429" s="11">
        <f>IFERROR(N1429/L1429, 0)</f>
        <v/>
      </c>
      <c r="P1429" s="8">
        <f>YEAR(C1429)</f>
        <v/>
      </c>
      <c r="Q1429" s="8">
        <f>TEXT(C1429, "yyyy-mm")</f>
        <v/>
      </c>
      <c r="R1429" s="8" t="inlineStr">
        <is>
          <t>Direct Web</t>
        </is>
      </c>
      <c r="S1429" s="8" t="inlineStr">
        <is>
          <t>REG-NA</t>
        </is>
      </c>
    </row>
    <row r="1430">
      <c r="A1430" s="8" t="inlineStr">
        <is>
          <t>DTL-0001446</t>
        </is>
      </c>
      <c r="B1430" s="8" t="inlineStr">
        <is>
          <t>ORD-000716</t>
        </is>
      </c>
      <c r="C1430" s="10" t="inlineStr">
        <is>
          <t>2024-11-24</t>
        </is>
      </c>
      <c r="D1430" s="8" t="inlineStr">
        <is>
          <t>CUST-03546</t>
        </is>
      </c>
      <c r="E1430" s="8" t="inlineStr">
        <is>
          <t>PRD-0334</t>
        </is>
      </c>
      <c r="F1430" s="8" t="n">
        <v>2</v>
      </c>
      <c r="G1430" s="9">
        <f>IFERROR(XLOOKUP(E1430, '04_Products'!$A:$A, '04_Products'!$G:$G), 874.67)</f>
        <v/>
      </c>
      <c r="H1430" s="9">
        <f>IFERROR(XLOOKUP(E1430, '04_Products'!$A:$A, '04_Products'!$F:$F), 0)</f>
        <v/>
      </c>
      <c r="I1430" s="9">
        <f>F1430*G1430</f>
        <v/>
      </c>
      <c r="J1430" s="11" t="n">
        <v>0</v>
      </c>
      <c r="K1430" s="9">
        <f>I1430*J1430</f>
        <v/>
      </c>
      <c r="L1430" s="9">
        <f>I1430-K1430</f>
        <v/>
      </c>
      <c r="M1430" s="9">
        <f>F1430*H1430</f>
        <v/>
      </c>
      <c r="N1430" s="9">
        <f>L1430-M1430</f>
        <v/>
      </c>
      <c r="O1430" s="11">
        <f>IFERROR(N1430/L1430, 0)</f>
        <v/>
      </c>
      <c r="P1430" s="8">
        <f>YEAR(C1430)</f>
        <v/>
      </c>
      <c r="Q1430" s="8">
        <f>TEXT(C1430, "yyyy-mm")</f>
        <v/>
      </c>
      <c r="R1430" s="8" t="inlineStr">
        <is>
          <t>Mobile App</t>
        </is>
      </c>
      <c r="S1430" s="8" t="inlineStr">
        <is>
          <t>REG-APAC</t>
        </is>
      </c>
    </row>
    <row r="1431">
      <c r="A1431" s="8" t="inlineStr">
        <is>
          <t>DTL-0001447</t>
        </is>
      </c>
      <c r="B1431" s="8" t="inlineStr">
        <is>
          <t>ORD-000717</t>
        </is>
      </c>
      <c r="C1431" s="10" t="inlineStr">
        <is>
          <t>2023-01-04</t>
        </is>
      </c>
      <c r="D1431" s="8" t="inlineStr">
        <is>
          <t>CUST-00930</t>
        </is>
      </c>
      <c r="E1431" s="8" t="inlineStr">
        <is>
          <t>PRD-0052</t>
        </is>
      </c>
      <c r="F1431" s="8" t="n">
        <v>1</v>
      </c>
      <c r="G1431" s="9">
        <f>IFERROR(XLOOKUP(E1431, '04_Products'!$A:$A, '04_Products'!$G:$G), 354.02)</f>
        <v/>
      </c>
      <c r="H1431" s="9">
        <f>IFERROR(XLOOKUP(E1431, '04_Products'!$A:$A, '04_Products'!$F:$F), 0)</f>
        <v/>
      </c>
      <c r="I1431" s="9">
        <f>F1431*G1431</f>
        <v/>
      </c>
      <c r="J1431" s="11" t="n">
        <v>0</v>
      </c>
      <c r="K1431" s="9">
        <f>I1431*J1431</f>
        <v/>
      </c>
      <c r="L1431" s="9">
        <f>I1431-K1431</f>
        <v/>
      </c>
      <c r="M1431" s="9">
        <f>F1431*H1431</f>
        <v/>
      </c>
      <c r="N1431" s="9">
        <f>L1431-M1431</f>
        <v/>
      </c>
      <c r="O1431" s="11">
        <f>IFERROR(N1431/L1431, 0)</f>
        <v/>
      </c>
      <c r="P1431" s="8">
        <f>YEAR(C1431)</f>
        <v/>
      </c>
      <c r="Q1431" s="8">
        <f>TEXT(C1431, "yyyy-mm")</f>
        <v/>
      </c>
      <c r="R1431" s="8" t="inlineStr">
        <is>
          <t>Direct Web</t>
        </is>
      </c>
      <c r="S1431" s="8" t="inlineStr">
        <is>
          <t>REG-APAC</t>
        </is>
      </c>
    </row>
    <row r="1432">
      <c r="A1432" s="8" t="inlineStr">
        <is>
          <t>DTL-0001448</t>
        </is>
      </c>
      <c r="B1432" s="8" t="inlineStr">
        <is>
          <t>ORD-000718</t>
        </is>
      </c>
      <c r="C1432" s="10" t="inlineStr">
        <is>
          <t>2023-04-14</t>
        </is>
      </c>
      <c r="D1432" s="8" t="inlineStr">
        <is>
          <t>CUST-06527</t>
        </is>
      </c>
      <c r="E1432" s="8" t="inlineStr">
        <is>
          <t>PRD-0050</t>
        </is>
      </c>
      <c r="F1432" s="8" t="n">
        <v>2</v>
      </c>
      <c r="G1432" s="9">
        <f>IFERROR(XLOOKUP(E1432, '04_Products'!$A:$A, '04_Products'!$G:$G), 73.20)</f>
        <v/>
      </c>
      <c r="H1432" s="9">
        <f>IFERROR(XLOOKUP(E1432, '04_Products'!$A:$A, '04_Products'!$F:$F), 0)</f>
        <v/>
      </c>
      <c r="I1432" s="9">
        <f>F1432*G1432</f>
        <v/>
      </c>
      <c r="J1432" s="11" t="n">
        <v>0</v>
      </c>
      <c r="K1432" s="9">
        <f>I1432*J1432</f>
        <v/>
      </c>
      <c r="L1432" s="9">
        <f>I1432-K1432</f>
        <v/>
      </c>
      <c r="M1432" s="9">
        <f>F1432*H1432</f>
        <v/>
      </c>
      <c r="N1432" s="9">
        <f>L1432-M1432</f>
        <v/>
      </c>
      <c r="O1432" s="11">
        <f>IFERROR(N1432/L1432, 0)</f>
        <v/>
      </c>
      <c r="P1432" s="8">
        <f>YEAR(C1432)</f>
        <v/>
      </c>
      <c r="Q1432" s="8">
        <f>TEXT(C1432, "yyyy-mm")</f>
        <v/>
      </c>
      <c r="R1432" s="8" t="inlineStr">
        <is>
          <t>Direct Web</t>
        </is>
      </c>
      <c r="S1432" s="8" t="inlineStr">
        <is>
          <t>REG-APAC</t>
        </is>
      </c>
    </row>
    <row r="1433">
      <c r="A1433" s="8" t="inlineStr">
        <is>
          <t>DTL-0001449</t>
        </is>
      </c>
      <c r="B1433" s="8" t="inlineStr">
        <is>
          <t>ORD-000718</t>
        </is>
      </c>
      <c r="C1433" s="10" t="inlineStr">
        <is>
          <t>2023-04-14</t>
        </is>
      </c>
      <c r="D1433" s="8" t="inlineStr">
        <is>
          <t>CUST-06527</t>
        </is>
      </c>
      <c r="E1433" s="8" t="inlineStr">
        <is>
          <t>PRD-0067</t>
        </is>
      </c>
      <c r="F1433" s="8" t="n">
        <v>3</v>
      </c>
      <c r="G1433" s="9">
        <f>IFERROR(XLOOKUP(E1433, '04_Products'!$A:$A, '04_Products'!$G:$G), 30.04)</f>
        <v/>
      </c>
      <c r="H1433" s="9">
        <f>IFERROR(XLOOKUP(E1433, '04_Products'!$A:$A, '04_Products'!$F:$F), 0)</f>
        <v/>
      </c>
      <c r="I1433" s="9">
        <f>F1433*G1433</f>
        <v/>
      </c>
      <c r="J1433" s="11" t="n">
        <v>0.1</v>
      </c>
      <c r="K1433" s="9">
        <f>I1433*J1433</f>
        <v/>
      </c>
      <c r="L1433" s="9">
        <f>I1433-K1433</f>
        <v/>
      </c>
      <c r="M1433" s="9">
        <f>F1433*H1433</f>
        <v/>
      </c>
      <c r="N1433" s="9">
        <f>L1433-M1433</f>
        <v/>
      </c>
      <c r="O1433" s="11">
        <f>IFERROR(N1433/L1433, 0)</f>
        <v/>
      </c>
      <c r="P1433" s="8">
        <f>YEAR(C1433)</f>
        <v/>
      </c>
      <c r="Q1433" s="8">
        <f>TEXT(C1433, "yyyy-mm")</f>
        <v/>
      </c>
      <c r="R1433" s="8" t="inlineStr">
        <is>
          <t>Direct Web</t>
        </is>
      </c>
      <c r="S1433" s="8" t="inlineStr">
        <is>
          <t>REG-APAC</t>
        </is>
      </c>
    </row>
    <row r="1434">
      <c r="A1434" s="8" t="inlineStr">
        <is>
          <t>DTL-0001450</t>
        </is>
      </c>
      <c r="B1434" s="8" t="inlineStr">
        <is>
          <t>ORD-000719</t>
        </is>
      </c>
      <c r="C1434" s="10" t="inlineStr">
        <is>
          <t>2025-05-26</t>
        </is>
      </c>
      <c r="D1434" s="8" t="inlineStr">
        <is>
          <t>CUST-00524</t>
        </is>
      </c>
      <c r="E1434" s="8" t="inlineStr">
        <is>
          <t>PRD-0024</t>
        </is>
      </c>
      <c r="F1434" s="8" t="n">
        <v>2</v>
      </c>
      <c r="G1434" s="9">
        <f>IFERROR(XLOOKUP(E1434, '04_Products'!$A:$A, '04_Products'!$G:$G), 45.49)</f>
        <v/>
      </c>
      <c r="H1434" s="9">
        <f>IFERROR(XLOOKUP(E1434, '04_Products'!$A:$A, '04_Products'!$F:$F), 0)</f>
        <v/>
      </c>
      <c r="I1434" s="9">
        <f>F1434*G1434</f>
        <v/>
      </c>
      <c r="J1434" s="11" t="n">
        <v>0</v>
      </c>
      <c r="K1434" s="9">
        <f>I1434*J1434</f>
        <v/>
      </c>
      <c r="L1434" s="9">
        <f>I1434-K1434</f>
        <v/>
      </c>
      <c r="M1434" s="9">
        <f>F1434*H1434</f>
        <v/>
      </c>
      <c r="N1434" s="9">
        <f>L1434-M1434</f>
        <v/>
      </c>
      <c r="O1434" s="11">
        <f>IFERROR(N1434/L1434, 0)</f>
        <v/>
      </c>
      <c r="P1434" s="8">
        <f>YEAR(C1434)</f>
        <v/>
      </c>
      <c r="Q1434" s="8">
        <f>TEXT(C1434, "yyyy-mm")</f>
        <v/>
      </c>
      <c r="R1434" s="8" t="inlineStr">
        <is>
          <t>Direct Web</t>
        </is>
      </c>
      <c r="S1434" s="8" t="inlineStr">
        <is>
          <t>REG-NA</t>
        </is>
      </c>
    </row>
    <row r="1435">
      <c r="A1435" s="8" t="inlineStr">
        <is>
          <t>DTL-0001451</t>
        </is>
      </c>
      <c r="B1435" s="8" t="inlineStr">
        <is>
          <t>ORD-000720</t>
        </is>
      </c>
      <c r="C1435" s="10" t="inlineStr">
        <is>
          <t>2024-12-14</t>
        </is>
      </c>
      <c r="D1435" s="8" t="inlineStr">
        <is>
          <t>CUST-05472</t>
        </is>
      </c>
      <c r="E1435" s="8" t="inlineStr">
        <is>
          <t>PRD-0118</t>
        </is>
      </c>
      <c r="F1435" s="8" t="n">
        <v>10</v>
      </c>
      <c r="G1435" s="9">
        <f>IFERROR(XLOOKUP(E1435, '04_Products'!$A:$A, '04_Products'!$G:$G), 513.16)</f>
        <v/>
      </c>
      <c r="H1435" s="9">
        <f>IFERROR(XLOOKUP(E1435, '04_Products'!$A:$A, '04_Products'!$F:$F), 0)</f>
        <v/>
      </c>
      <c r="I1435" s="9">
        <f>F1435*G1435</f>
        <v/>
      </c>
      <c r="J1435" s="11" t="n">
        <v>0.05</v>
      </c>
      <c r="K1435" s="9">
        <f>I1435*J1435</f>
        <v/>
      </c>
      <c r="L1435" s="9">
        <f>I1435-K1435</f>
        <v/>
      </c>
      <c r="M1435" s="9">
        <f>F1435*H1435</f>
        <v/>
      </c>
      <c r="N1435" s="9">
        <f>L1435-M1435</f>
        <v/>
      </c>
      <c r="O1435" s="11">
        <f>IFERROR(N1435/L1435, 0)</f>
        <v/>
      </c>
      <c r="P1435" s="8">
        <f>YEAR(C1435)</f>
        <v/>
      </c>
      <c r="Q1435" s="8">
        <f>TEXT(C1435, "yyyy-mm")</f>
        <v/>
      </c>
      <c r="R1435" s="8" t="inlineStr">
        <is>
          <t>Direct Web</t>
        </is>
      </c>
      <c r="S1435" s="8" t="inlineStr">
        <is>
          <t>REG-NA</t>
        </is>
      </c>
    </row>
    <row r="1436">
      <c r="A1436" s="8" t="inlineStr">
        <is>
          <t>DTL-0001452</t>
        </is>
      </c>
      <c r="B1436" s="8" t="inlineStr">
        <is>
          <t>ORD-000721</t>
        </is>
      </c>
      <c r="C1436" s="10" t="inlineStr">
        <is>
          <t>2024-10-18</t>
        </is>
      </c>
      <c r="D1436" s="8" t="inlineStr">
        <is>
          <t>CUST-07507</t>
        </is>
      </c>
      <c r="E1436" s="8" t="inlineStr">
        <is>
          <t>PRD-0024</t>
        </is>
      </c>
      <c r="F1436" s="8" t="n">
        <v>1</v>
      </c>
      <c r="G1436" s="9">
        <f>IFERROR(XLOOKUP(E1436, '04_Products'!$A:$A, '04_Products'!$G:$G), 45.49)</f>
        <v/>
      </c>
      <c r="H1436" s="9">
        <f>IFERROR(XLOOKUP(E1436, '04_Products'!$A:$A, '04_Products'!$F:$F), 0)</f>
        <v/>
      </c>
      <c r="I1436" s="9">
        <f>F1436*G1436</f>
        <v/>
      </c>
      <c r="J1436" s="11" t="n">
        <v>0</v>
      </c>
      <c r="K1436" s="9">
        <f>I1436*J1436</f>
        <v/>
      </c>
      <c r="L1436" s="9">
        <f>I1436-K1436</f>
        <v/>
      </c>
      <c r="M1436" s="9">
        <f>F1436*H1436</f>
        <v/>
      </c>
      <c r="N1436" s="9">
        <f>L1436-M1436</f>
        <v/>
      </c>
      <c r="O1436" s="11">
        <f>IFERROR(N1436/L1436, 0)</f>
        <v/>
      </c>
      <c r="P1436" s="8">
        <f>YEAR(C1436)</f>
        <v/>
      </c>
      <c r="Q1436" s="8">
        <f>TEXT(C1436, "yyyy-mm")</f>
        <v/>
      </c>
      <c r="R1436" s="8" t="inlineStr">
        <is>
          <t>Mobile App</t>
        </is>
      </c>
      <c r="S1436" s="8" t="inlineStr">
        <is>
          <t>REG-NA</t>
        </is>
      </c>
    </row>
    <row r="1437">
      <c r="A1437" s="8" t="inlineStr">
        <is>
          <t>DTL-0001453</t>
        </is>
      </c>
      <c r="B1437" s="8" t="inlineStr">
        <is>
          <t>ORD-000721</t>
        </is>
      </c>
      <c r="C1437" s="10" t="inlineStr">
        <is>
          <t>2024-10-18</t>
        </is>
      </c>
      <c r="D1437" s="8" t="inlineStr">
        <is>
          <t>CUST-07507</t>
        </is>
      </c>
      <c r="E1437" s="8" t="inlineStr">
        <is>
          <t>PRD-0217</t>
        </is>
      </c>
      <c r="F1437" s="8" t="n">
        <v>3</v>
      </c>
      <c r="G1437" s="9">
        <f>IFERROR(XLOOKUP(E1437, '04_Products'!$A:$A, '04_Products'!$G:$G), 457.08)</f>
        <v/>
      </c>
      <c r="H1437" s="9">
        <f>IFERROR(XLOOKUP(E1437, '04_Products'!$A:$A, '04_Products'!$F:$F), 0)</f>
        <v/>
      </c>
      <c r="I1437" s="9">
        <f>F1437*G1437</f>
        <v/>
      </c>
      <c r="J1437" s="11" t="n">
        <v>0</v>
      </c>
      <c r="K1437" s="9">
        <f>I1437*J1437</f>
        <v/>
      </c>
      <c r="L1437" s="9">
        <f>I1437-K1437</f>
        <v/>
      </c>
      <c r="M1437" s="9">
        <f>F1437*H1437</f>
        <v/>
      </c>
      <c r="N1437" s="9">
        <f>L1437-M1437</f>
        <v/>
      </c>
      <c r="O1437" s="11">
        <f>IFERROR(N1437/L1437, 0)</f>
        <v/>
      </c>
      <c r="P1437" s="8">
        <f>YEAR(C1437)</f>
        <v/>
      </c>
      <c r="Q1437" s="8">
        <f>TEXT(C1437, "yyyy-mm")</f>
        <v/>
      </c>
      <c r="R1437" s="8" t="inlineStr">
        <is>
          <t>Mobile App</t>
        </is>
      </c>
      <c r="S1437" s="8" t="inlineStr">
        <is>
          <t>REG-NA</t>
        </is>
      </c>
    </row>
    <row r="1438">
      <c r="A1438" s="8" t="inlineStr">
        <is>
          <t>DTL-0001454</t>
        </is>
      </c>
      <c r="B1438" s="8" t="inlineStr">
        <is>
          <t>ORD-000721</t>
        </is>
      </c>
      <c r="C1438" s="10" t="inlineStr">
        <is>
          <t>2024-10-18</t>
        </is>
      </c>
      <c r="D1438" s="8" t="inlineStr">
        <is>
          <t>CUST-07507</t>
        </is>
      </c>
      <c r="E1438" s="8" t="inlineStr">
        <is>
          <t>PRD-0247</t>
        </is>
      </c>
      <c r="F1438" s="8" t="n">
        <v>1</v>
      </c>
      <c r="G1438" s="9">
        <f>IFERROR(XLOOKUP(E1438, '04_Products'!$A:$A, '04_Products'!$G:$G), 878.40)</f>
        <v/>
      </c>
      <c r="H1438" s="9">
        <f>IFERROR(XLOOKUP(E1438, '04_Products'!$A:$A, '04_Products'!$F:$F), 0)</f>
        <v/>
      </c>
      <c r="I1438" s="9">
        <f>F1438*G1438</f>
        <v/>
      </c>
      <c r="J1438" s="11" t="n">
        <v>0.2</v>
      </c>
      <c r="K1438" s="9">
        <f>I1438*J1438</f>
        <v/>
      </c>
      <c r="L1438" s="9">
        <f>I1438-K1438</f>
        <v/>
      </c>
      <c r="M1438" s="9">
        <f>F1438*H1438</f>
        <v/>
      </c>
      <c r="N1438" s="9">
        <f>L1438-M1438</f>
        <v/>
      </c>
      <c r="O1438" s="11">
        <f>IFERROR(N1438/L1438, 0)</f>
        <v/>
      </c>
      <c r="P1438" s="8">
        <f>YEAR(C1438)</f>
        <v/>
      </c>
      <c r="Q1438" s="8">
        <f>TEXT(C1438, "yyyy-mm")</f>
        <v/>
      </c>
      <c r="R1438" s="8" t="inlineStr">
        <is>
          <t>Mobile App</t>
        </is>
      </c>
      <c r="S1438" s="8" t="inlineStr">
        <is>
          <t>REG-NA</t>
        </is>
      </c>
    </row>
    <row r="1439">
      <c r="A1439" s="8" t="inlineStr">
        <is>
          <t>DTL-0001455</t>
        </is>
      </c>
      <c r="B1439" s="8" t="inlineStr">
        <is>
          <t>ORD-000722</t>
        </is>
      </c>
      <c r="C1439" s="10" t="inlineStr">
        <is>
          <t>2024-03-03</t>
        </is>
      </c>
      <c r="D1439" s="8" t="inlineStr">
        <is>
          <t>CUST-06439</t>
        </is>
      </c>
      <c r="E1439" s="8" t="inlineStr">
        <is>
          <t>PRD-0425</t>
        </is>
      </c>
      <c r="F1439" s="8" t="n">
        <v>1</v>
      </c>
      <c r="G1439" s="9">
        <f>IFERROR(XLOOKUP(E1439, '04_Products'!$A:$A, '04_Products'!$G:$G), 805.83)</f>
        <v/>
      </c>
      <c r="H1439" s="9">
        <f>IFERROR(XLOOKUP(E1439, '04_Products'!$A:$A, '04_Products'!$F:$F), 0)</f>
        <v/>
      </c>
      <c r="I1439" s="9">
        <f>F1439*G1439</f>
        <v/>
      </c>
      <c r="J1439" s="11" t="n">
        <v>0</v>
      </c>
      <c r="K1439" s="9">
        <f>I1439*J1439</f>
        <v/>
      </c>
      <c r="L1439" s="9">
        <f>I1439-K1439</f>
        <v/>
      </c>
      <c r="M1439" s="9">
        <f>F1439*H1439</f>
        <v/>
      </c>
      <c r="N1439" s="9">
        <f>L1439-M1439</f>
        <v/>
      </c>
      <c r="O1439" s="11">
        <f>IFERROR(N1439/L1439, 0)</f>
        <v/>
      </c>
      <c r="P1439" s="8">
        <f>YEAR(C1439)</f>
        <v/>
      </c>
      <c r="Q1439" s="8">
        <f>TEXT(C1439, "yyyy-mm")</f>
        <v/>
      </c>
      <c r="R1439" s="8" t="inlineStr">
        <is>
          <t>Mobile App</t>
        </is>
      </c>
      <c r="S1439" s="8" t="inlineStr">
        <is>
          <t>REG-LATAM</t>
        </is>
      </c>
    </row>
    <row r="1440">
      <c r="A1440" s="8" t="inlineStr">
        <is>
          <t>DTL-0001456</t>
        </is>
      </c>
      <c r="B1440" s="8" t="inlineStr">
        <is>
          <t>ORD-000722</t>
        </is>
      </c>
      <c r="C1440" s="10" t="inlineStr">
        <is>
          <t>2024-03-03</t>
        </is>
      </c>
      <c r="D1440" s="8" t="inlineStr">
        <is>
          <t>CUST-06439</t>
        </is>
      </c>
      <c r="E1440" s="8" t="inlineStr">
        <is>
          <t>PRD-0270</t>
        </is>
      </c>
      <c r="F1440" s="8" t="n">
        <v>2</v>
      </c>
      <c r="G1440" s="9">
        <f>IFERROR(XLOOKUP(E1440, '04_Products'!$A:$A, '04_Products'!$G:$G), 137.10)</f>
        <v/>
      </c>
      <c r="H1440" s="9">
        <f>IFERROR(XLOOKUP(E1440, '04_Products'!$A:$A, '04_Products'!$F:$F), 0)</f>
        <v/>
      </c>
      <c r="I1440" s="9">
        <f>F1440*G1440</f>
        <v/>
      </c>
      <c r="J1440" s="11" t="n">
        <v>0</v>
      </c>
      <c r="K1440" s="9">
        <f>I1440*J1440</f>
        <v/>
      </c>
      <c r="L1440" s="9">
        <f>I1440-K1440</f>
        <v/>
      </c>
      <c r="M1440" s="9">
        <f>F1440*H1440</f>
        <v/>
      </c>
      <c r="N1440" s="9">
        <f>L1440-M1440</f>
        <v/>
      </c>
      <c r="O1440" s="11">
        <f>IFERROR(N1440/L1440, 0)</f>
        <v/>
      </c>
      <c r="P1440" s="8">
        <f>YEAR(C1440)</f>
        <v/>
      </c>
      <c r="Q1440" s="8">
        <f>TEXT(C1440, "yyyy-mm")</f>
        <v/>
      </c>
      <c r="R1440" s="8" t="inlineStr">
        <is>
          <t>Mobile App</t>
        </is>
      </c>
      <c r="S1440" s="8" t="inlineStr">
        <is>
          <t>REG-LATAM</t>
        </is>
      </c>
    </row>
    <row r="1441">
      <c r="A1441" s="8" t="inlineStr">
        <is>
          <t>DTL-0001457</t>
        </is>
      </c>
      <c r="B1441" s="8" t="inlineStr">
        <is>
          <t>ORD-000723</t>
        </is>
      </c>
      <c r="C1441" s="10" t="inlineStr">
        <is>
          <t>2023-12-17</t>
        </is>
      </c>
      <c r="D1441" s="8" t="inlineStr">
        <is>
          <t>CUST-01963</t>
        </is>
      </c>
      <c r="E1441" s="8" t="inlineStr">
        <is>
          <t>PRD-0488</t>
        </is>
      </c>
      <c r="F1441" s="8" t="n">
        <v>4</v>
      </c>
      <c r="G1441" s="9">
        <f>IFERROR(XLOOKUP(E1441, '04_Products'!$A:$A, '04_Products'!$G:$G), 54.77)</f>
        <v/>
      </c>
      <c r="H1441" s="9">
        <f>IFERROR(XLOOKUP(E1441, '04_Products'!$A:$A, '04_Products'!$F:$F), 0)</f>
        <v/>
      </c>
      <c r="I1441" s="9">
        <f>F1441*G1441</f>
        <v/>
      </c>
      <c r="J1441" s="11" t="n">
        <v>0.05</v>
      </c>
      <c r="K1441" s="9">
        <f>I1441*J1441</f>
        <v/>
      </c>
      <c r="L1441" s="9">
        <f>I1441-K1441</f>
        <v/>
      </c>
      <c r="M1441" s="9">
        <f>F1441*H1441</f>
        <v/>
      </c>
      <c r="N1441" s="9">
        <f>L1441-M1441</f>
        <v/>
      </c>
      <c r="O1441" s="11">
        <f>IFERROR(N1441/L1441, 0)</f>
        <v/>
      </c>
      <c r="P1441" s="8">
        <f>YEAR(C1441)</f>
        <v/>
      </c>
      <c r="Q1441" s="8">
        <f>TEXT(C1441, "yyyy-mm")</f>
        <v/>
      </c>
      <c r="R1441" s="8" t="inlineStr">
        <is>
          <t>Mobile App</t>
        </is>
      </c>
      <c r="S1441" s="8" t="inlineStr">
        <is>
          <t>REG-NA</t>
        </is>
      </c>
    </row>
    <row r="1442">
      <c r="A1442" s="8" t="inlineStr">
        <is>
          <t>DTL-0001458</t>
        </is>
      </c>
      <c r="B1442" s="8" t="inlineStr">
        <is>
          <t>ORD-000723</t>
        </is>
      </c>
      <c r="C1442" s="10" t="inlineStr">
        <is>
          <t>2023-12-17</t>
        </is>
      </c>
      <c r="D1442" s="8" t="inlineStr">
        <is>
          <t>CUST-01963</t>
        </is>
      </c>
      <c r="E1442" s="8" t="inlineStr">
        <is>
          <t>PRD-0181</t>
        </is>
      </c>
      <c r="F1442" s="8" t="n">
        <v>4</v>
      </c>
      <c r="G1442" s="9">
        <f>IFERROR(XLOOKUP(E1442, '04_Products'!$A:$A, '04_Products'!$G:$G), 57.06)</f>
        <v/>
      </c>
      <c r="H1442" s="9">
        <f>IFERROR(XLOOKUP(E1442, '04_Products'!$A:$A, '04_Products'!$F:$F), 0)</f>
        <v/>
      </c>
      <c r="I1442" s="9">
        <f>F1442*G1442</f>
        <v/>
      </c>
      <c r="J1442" s="11" t="n">
        <v>0.05</v>
      </c>
      <c r="K1442" s="9">
        <f>I1442*J1442</f>
        <v/>
      </c>
      <c r="L1442" s="9">
        <f>I1442-K1442</f>
        <v/>
      </c>
      <c r="M1442" s="9">
        <f>F1442*H1442</f>
        <v/>
      </c>
      <c r="N1442" s="9">
        <f>L1442-M1442</f>
        <v/>
      </c>
      <c r="O1442" s="11">
        <f>IFERROR(N1442/L1442, 0)</f>
        <v/>
      </c>
      <c r="P1442" s="8">
        <f>YEAR(C1442)</f>
        <v/>
      </c>
      <c r="Q1442" s="8">
        <f>TEXT(C1442, "yyyy-mm")</f>
        <v/>
      </c>
      <c r="R1442" s="8" t="inlineStr">
        <is>
          <t>Mobile App</t>
        </is>
      </c>
      <c r="S1442" s="8" t="inlineStr">
        <is>
          <t>REG-NA</t>
        </is>
      </c>
    </row>
    <row r="1443">
      <c r="A1443" s="8" t="inlineStr">
        <is>
          <t>DTL-0001459</t>
        </is>
      </c>
      <c r="B1443" s="8" t="inlineStr">
        <is>
          <t>ORD-000723</t>
        </is>
      </c>
      <c r="C1443" s="10" t="inlineStr">
        <is>
          <t>2023-12-17</t>
        </is>
      </c>
      <c r="D1443" s="8" t="inlineStr">
        <is>
          <t>CUST-01963</t>
        </is>
      </c>
      <c r="E1443" s="8" t="inlineStr">
        <is>
          <t>PRD-0087</t>
        </is>
      </c>
      <c r="F1443" s="8" t="n">
        <v>1</v>
      </c>
      <c r="G1443" s="9">
        <f>IFERROR(XLOOKUP(E1443, '04_Products'!$A:$A, '04_Products'!$G:$G), 1103.24)</f>
        <v/>
      </c>
      <c r="H1443" s="9">
        <f>IFERROR(XLOOKUP(E1443, '04_Products'!$A:$A, '04_Products'!$F:$F), 0)</f>
        <v/>
      </c>
      <c r="I1443" s="9">
        <f>F1443*G1443</f>
        <v/>
      </c>
      <c r="J1443" s="11" t="n">
        <v>0.2</v>
      </c>
      <c r="K1443" s="9">
        <f>I1443*J1443</f>
        <v/>
      </c>
      <c r="L1443" s="9">
        <f>I1443-K1443</f>
        <v/>
      </c>
      <c r="M1443" s="9">
        <f>F1443*H1443</f>
        <v/>
      </c>
      <c r="N1443" s="9">
        <f>L1443-M1443</f>
        <v/>
      </c>
      <c r="O1443" s="11">
        <f>IFERROR(N1443/L1443, 0)</f>
        <v/>
      </c>
      <c r="P1443" s="8">
        <f>YEAR(C1443)</f>
        <v/>
      </c>
      <c r="Q1443" s="8">
        <f>TEXT(C1443, "yyyy-mm")</f>
        <v/>
      </c>
      <c r="R1443" s="8" t="inlineStr">
        <is>
          <t>Mobile App</t>
        </is>
      </c>
      <c r="S1443" s="8" t="inlineStr">
        <is>
          <t>REG-NA</t>
        </is>
      </c>
    </row>
    <row r="1444">
      <c r="A1444" s="8" t="inlineStr">
        <is>
          <t>DTL-0001460</t>
        </is>
      </c>
      <c r="B1444" s="8" t="inlineStr">
        <is>
          <t>ORD-000724</t>
        </is>
      </c>
      <c r="C1444" s="10" t="inlineStr">
        <is>
          <t>2025-02-14</t>
        </is>
      </c>
      <c r="D1444" s="8" t="inlineStr">
        <is>
          <t>CUST-06577</t>
        </is>
      </c>
      <c r="E1444" s="8" t="inlineStr">
        <is>
          <t>PRD-0168</t>
        </is>
      </c>
      <c r="F1444" s="8" t="n">
        <v>1</v>
      </c>
      <c r="G1444" s="9">
        <f>IFERROR(XLOOKUP(E1444, '04_Products'!$A:$A, '04_Products'!$G:$G), 597.34)</f>
        <v/>
      </c>
      <c r="H1444" s="9">
        <f>IFERROR(XLOOKUP(E1444, '04_Products'!$A:$A, '04_Products'!$F:$F), 0)</f>
        <v/>
      </c>
      <c r="I1444" s="9">
        <f>F1444*G1444</f>
        <v/>
      </c>
      <c r="J1444" s="11" t="n">
        <v>0.15</v>
      </c>
      <c r="K1444" s="9">
        <f>I1444*J1444</f>
        <v/>
      </c>
      <c r="L1444" s="9">
        <f>I1444-K1444</f>
        <v/>
      </c>
      <c r="M1444" s="9">
        <f>F1444*H1444</f>
        <v/>
      </c>
      <c r="N1444" s="9">
        <f>L1444-M1444</f>
        <v/>
      </c>
      <c r="O1444" s="11">
        <f>IFERROR(N1444/L1444, 0)</f>
        <v/>
      </c>
      <c r="P1444" s="8">
        <f>YEAR(C1444)</f>
        <v/>
      </c>
      <c r="Q1444" s="8">
        <f>TEXT(C1444, "yyyy-mm")</f>
        <v/>
      </c>
      <c r="R1444" s="8" t="inlineStr">
        <is>
          <t>Direct Web</t>
        </is>
      </c>
      <c r="S1444" s="8" t="inlineStr">
        <is>
          <t>REG-EU</t>
        </is>
      </c>
    </row>
    <row r="1445">
      <c r="A1445" s="8" t="inlineStr">
        <is>
          <t>DTL-0001461</t>
        </is>
      </c>
      <c r="B1445" s="8" t="inlineStr">
        <is>
          <t>ORD-000725</t>
        </is>
      </c>
      <c r="C1445" s="10" t="inlineStr">
        <is>
          <t>2023-07-14</t>
        </is>
      </c>
      <c r="D1445" s="8" t="inlineStr">
        <is>
          <t>CUST-06040</t>
        </is>
      </c>
      <c r="E1445" s="8" t="inlineStr">
        <is>
          <t>PRD-0300</t>
        </is>
      </c>
      <c r="F1445" s="8" t="n">
        <v>1</v>
      </c>
      <c r="G1445" s="9">
        <f>IFERROR(XLOOKUP(E1445, '04_Products'!$A:$A, '04_Products'!$G:$G), 1041.76)</f>
        <v/>
      </c>
      <c r="H1445" s="9">
        <f>IFERROR(XLOOKUP(E1445, '04_Products'!$A:$A, '04_Products'!$F:$F), 0)</f>
        <v/>
      </c>
      <c r="I1445" s="9">
        <f>F1445*G1445</f>
        <v/>
      </c>
      <c r="J1445" s="11" t="n">
        <v>0.1</v>
      </c>
      <c r="K1445" s="9">
        <f>I1445*J1445</f>
        <v/>
      </c>
      <c r="L1445" s="9">
        <f>I1445-K1445</f>
        <v/>
      </c>
      <c r="M1445" s="9">
        <f>F1445*H1445</f>
        <v/>
      </c>
      <c r="N1445" s="9">
        <f>L1445-M1445</f>
        <v/>
      </c>
      <c r="O1445" s="11">
        <f>IFERROR(N1445/L1445, 0)</f>
        <v/>
      </c>
      <c r="P1445" s="8">
        <f>YEAR(C1445)</f>
        <v/>
      </c>
      <c r="Q1445" s="8">
        <f>TEXT(C1445, "yyyy-mm")</f>
        <v/>
      </c>
      <c r="R1445" s="8" t="inlineStr">
        <is>
          <t>Direct Web</t>
        </is>
      </c>
      <c r="S1445" s="8" t="inlineStr">
        <is>
          <t>REG-LATAM</t>
        </is>
      </c>
    </row>
    <row r="1446">
      <c r="A1446" s="8" t="inlineStr">
        <is>
          <t>DTL-0001462</t>
        </is>
      </c>
      <c r="B1446" s="8" t="inlineStr">
        <is>
          <t>ORD-000726</t>
        </is>
      </c>
      <c r="C1446" s="10" t="inlineStr">
        <is>
          <t>2024-01-16</t>
        </is>
      </c>
      <c r="D1446" s="8" t="inlineStr">
        <is>
          <t>CUST-04933</t>
        </is>
      </c>
      <c r="E1446" s="8" t="inlineStr">
        <is>
          <t>PRD-0255</t>
        </is>
      </c>
      <c r="F1446" s="8" t="n">
        <v>1</v>
      </c>
      <c r="G1446" s="9">
        <f>IFERROR(XLOOKUP(E1446, '04_Products'!$A:$A, '04_Products'!$G:$G), 151.28)</f>
        <v/>
      </c>
      <c r="H1446" s="9">
        <f>IFERROR(XLOOKUP(E1446, '04_Products'!$A:$A, '04_Products'!$F:$F), 0)</f>
        <v/>
      </c>
      <c r="I1446" s="9">
        <f>F1446*G1446</f>
        <v/>
      </c>
      <c r="J1446" s="11" t="n">
        <v>0.15</v>
      </c>
      <c r="K1446" s="9">
        <f>I1446*J1446</f>
        <v/>
      </c>
      <c r="L1446" s="9">
        <f>I1446-K1446</f>
        <v/>
      </c>
      <c r="M1446" s="9">
        <f>F1446*H1446</f>
        <v/>
      </c>
      <c r="N1446" s="9">
        <f>L1446-M1446</f>
        <v/>
      </c>
      <c r="O1446" s="11">
        <f>IFERROR(N1446/L1446, 0)</f>
        <v/>
      </c>
      <c r="P1446" s="8">
        <f>YEAR(C1446)</f>
        <v/>
      </c>
      <c r="Q1446" s="8">
        <f>TEXT(C1446, "yyyy-mm")</f>
        <v/>
      </c>
      <c r="R1446" s="8" t="inlineStr">
        <is>
          <t>Mobile App</t>
        </is>
      </c>
      <c r="S1446" s="8" t="inlineStr">
        <is>
          <t>REG-EU</t>
        </is>
      </c>
    </row>
    <row r="1447">
      <c r="A1447" s="8" t="inlineStr">
        <is>
          <t>DTL-0001463</t>
        </is>
      </c>
      <c r="B1447" s="8" t="inlineStr">
        <is>
          <t>ORD-000727</t>
        </is>
      </c>
      <c r="C1447" s="10" t="inlineStr">
        <is>
          <t>2024-12-09</t>
        </is>
      </c>
      <c r="D1447" s="8" t="inlineStr">
        <is>
          <t>CUST-07571</t>
        </is>
      </c>
      <c r="E1447" s="8" t="inlineStr">
        <is>
          <t>PRD-0046</t>
        </is>
      </c>
      <c r="F1447" s="8" t="n">
        <v>2</v>
      </c>
      <c r="G1447" s="9">
        <f>IFERROR(XLOOKUP(E1447, '04_Products'!$A:$A, '04_Products'!$G:$G), 692.90)</f>
        <v/>
      </c>
      <c r="H1447" s="9">
        <f>IFERROR(XLOOKUP(E1447, '04_Products'!$A:$A, '04_Products'!$F:$F), 0)</f>
        <v/>
      </c>
      <c r="I1447" s="9">
        <f>F1447*G1447</f>
        <v/>
      </c>
      <c r="J1447" s="11" t="n">
        <v>0.05</v>
      </c>
      <c r="K1447" s="9">
        <f>I1447*J1447</f>
        <v/>
      </c>
      <c r="L1447" s="9">
        <f>I1447-K1447</f>
        <v/>
      </c>
      <c r="M1447" s="9">
        <f>F1447*H1447</f>
        <v/>
      </c>
      <c r="N1447" s="9">
        <f>L1447-M1447</f>
        <v/>
      </c>
      <c r="O1447" s="11">
        <f>IFERROR(N1447/L1447, 0)</f>
        <v/>
      </c>
      <c r="P1447" s="8">
        <f>YEAR(C1447)</f>
        <v/>
      </c>
      <c r="Q1447" s="8">
        <f>TEXT(C1447, "yyyy-mm")</f>
        <v/>
      </c>
      <c r="R1447" s="8" t="inlineStr">
        <is>
          <t>Direct Web</t>
        </is>
      </c>
      <c r="S1447" s="8" t="inlineStr">
        <is>
          <t>REG-EU</t>
        </is>
      </c>
    </row>
    <row r="1448">
      <c r="A1448" s="8" t="inlineStr">
        <is>
          <t>DTL-0001464</t>
        </is>
      </c>
      <c r="B1448" s="8" t="inlineStr">
        <is>
          <t>ORD-000728</t>
        </is>
      </c>
      <c r="C1448" s="10" t="inlineStr">
        <is>
          <t>2024-06-19</t>
        </is>
      </c>
      <c r="D1448" s="8" t="inlineStr">
        <is>
          <t>CUST-00170</t>
        </is>
      </c>
      <c r="E1448" s="8" t="inlineStr">
        <is>
          <t>PRD-0278</t>
        </is>
      </c>
      <c r="F1448" s="8" t="n">
        <v>2</v>
      </c>
      <c r="G1448" s="9">
        <f>IFERROR(XLOOKUP(E1448, '04_Products'!$A:$A, '04_Products'!$G:$G), 1176.56)</f>
        <v/>
      </c>
      <c r="H1448" s="9">
        <f>IFERROR(XLOOKUP(E1448, '04_Products'!$A:$A, '04_Products'!$F:$F), 0)</f>
        <v/>
      </c>
      <c r="I1448" s="9">
        <f>F1448*G1448</f>
        <v/>
      </c>
      <c r="J1448" s="11" t="n">
        <v>0</v>
      </c>
      <c r="K1448" s="9">
        <f>I1448*J1448</f>
        <v/>
      </c>
      <c r="L1448" s="9">
        <f>I1448-K1448</f>
        <v/>
      </c>
      <c r="M1448" s="9">
        <f>F1448*H1448</f>
        <v/>
      </c>
      <c r="N1448" s="9">
        <f>L1448-M1448</f>
        <v/>
      </c>
      <c r="O1448" s="11">
        <f>IFERROR(N1448/L1448, 0)</f>
        <v/>
      </c>
      <c r="P1448" s="8">
        <f>YEAR(C1448)</f>
        <v/>
      </c>
      <c r="Q1448" s="8">
        <f>TEXT(C1448, "yyyy-mm")</f>
        <v/>
      </c>
      <c r="R1448" s="8" t="inlineStr">
        <is>
          <t>Mobile App</t>
        </is>
      </c>
      <c r="S1448" s="8" t="inlineStr">
        <is>
          <t>REG-NA</t>
        </is>
      </c>
    </row>
    <row r="1449">
      <c r="A1449" s="8" t="inlineStr">
        <is>
          <t>DTL-0001465</t>
        </is>
      </c>
      <c r="B1449" s="8" t="inlineStr">
        <is>
          <t>ORD-000729</t>
        </is>
      </c>
      <c r="C1449" s="10" t="inlineStr">
        <is>
          <t>2023-05-09</t>
        </is>
      </c>
      <c r="D1449" s="8" t="inlineStr">
        <is>
          <t>CUST-01903</t>
        </is>
      </c>
      <c r="E1449" s="8" t="inlineStr">
        <is>
          <t>PRD-0329</t>
        </is>
      </c>
      <c r="F1449" s="8" t="n">
        <v>2</v>
      </c>
      <c r="G1449" s="9">
        <f>IFERROR(XLOOKUP(E1449, '04_Products'!$A:$A, '04_Products'!$G:$G), 1014.02)</f>
        <v/>
      </c>
      <c r="H1449" s="9">
        <f>IFERROR(XLOOKUP(E1449, '04_Products'!$A:$A, '04_Products'!$F:$F), 0)</f>
        <v/>
      </c>
      <c r="I1449" s="9">
        <f>F1449*G1449</f>
        <v/>
      </c>
      <c r="J1449" s="11" t="n">
        <v>0</v>
      </c>
      <c r="K1449" s="9">
        <f>I1449*J1449</f>
        <v/>
      </c>
      <c r="L1449" s="9">
        <f>I1449-K1449</f>
        <v/>
      </c>
      <c r="M1449" s="9">
        <f>F1449*H1449</f>
        <v/>
      </c>
      <c r="N1449" s="9">
        <f>L1449-M1449</f>
        <v/>
      </c>
      <c r="O1449" s="11">
        <f>IFERROR(N1449/L1449, 0)</f>
        <v/>
      </c>
      <c r="P1449" s="8">
        <f>YEAR(C1449)</f>
        <v/>
      </c>
      <c r="Q1449" s="8">
        <f>TEXT(C1449, "yyyy-mm")</f>
        <v/>
      </c>
      <c r="R1449" s="8" t="inlineStr">
        <is>
          <t>Direct Web</t>
        </is>
      </c>
      <c r="S1449" s="8" t="inlineStr">
        <is>
          <t>REG-EU</t>
        </is>
      </c>
    </row>
    <row r="1450">
      <c r="A1450" s="8" t="inlineStr">
        <is>
          <t>DTL-0001466</t>
        </is>
      </c>
      <c r="B1450" s="8" t="inlineStr">
        <is>
          <t>ORD-000729</t>
        </is>
      </c>
      <c r="C1450" s="10" t="inlineStr">
        <is>
          <t>2023-05-09</t>
        </is>
      </c>
      <c r="D1450" s="8" t="inlineStr">
        <is>
          <t>CUST-01903</t>
        </is>
      </c>
      <c r="E1450" s="8" t="inlineStr">
        <is>
          <t>PRD-0156</t>
        </is>
      </c>
      <c r="F1450" s="8" t="n">
        <v>2</v>
      </c>
      <c r="G1450" s="9">
        <f>IFERROR(XLOOKUP(E1450, '04_Products'!$A:$A, '04_Products'!$G:$G), 129.00)</f>
        <v/>
      </c>
      <c r="H1450" s="9">
        <f>IFERROR(XLOOKUP(E1450, '04_Products'!$A:$A, '04_Products'!$F:$F), 0)</f>
        <v/>
      </c>
      <c r="I1450" s="9">
        <f>F1450*G1450</f>
        <v/>
      </c>
      <c r="J1450" s="11" t="n">
        <v>0.05</v>
      </c>
      <c r="K1450" s="9">
        <f>I1450*J1450</f>
        <v/>
      </c>
      <c r="L1450" s="9">
        <f>I1450-K1450</f>
        <v/>
      </c>
      <c r="M1450" s="9">
        <f>F1450*H1450</f>
        <v/>
      </c>
      <c r="N1450" s="9">
        <f>L1450-M1450</f>
        <v/>
      </c>
      <c r="O1450" s="11">
        <f>IFERROR(N1450/L1450, 0)</f>
        <v/>
      </c>
      <c r="P1450" s="8">
        <f>YEAR(C1450)</f>
        <v/>
      </c>
      <c r="Q1450" s="8">
        <f>TEXT(C1450, "yyyy-mm")</f>
        <v/>
      </c>
      <c r="R1450" s="8" t="inlineStr">
        <is>
          <t>Direct Web</t>
        </is>
      </c>
      <c r="S1450" s="8" t="inlineStr">
        <is>
          <t>REG-EU</t>
        </is>
      </c>
    </row>
    <row r="1451">
      <c r="A1451" s="8" t="inlineStr">
        <is>
          <t>DTL-0001467</t>
        </is>
      </c>
      <c r="B1451" s="8" t="inlineStr">
        <is>
          <t>ORD-000729</t>
        </is>
      </c>
      <c r="C1451" s="10" t="inlineStr">
        <is>
          <t>2023-05-09</t>
        </is>
      </c>
      <c r="D1451" s="8" t="inlineStr">
        <is>
          <t>CUST-01903</t>
        </is>
      </c>
      <c r="E1451" s="8" t="inlineStr">
        <is>
          <t>PRD-0142</t>
        </is>
      </c>
      <c r="F1451" s="8" t="n">
        <v>1</v>
      </c>
      <c r="G1451" s="9">
        <f>IFERROR(XLOOKUP(E1451, '04_Products'!$A:$A, '04_Products'!$G:$G), 44.60)</f>
        <v/>
      </c>
      <c r="H1451" s="9">
        <f>IFERROR(XLOOKUP(E1451, '04_Products'!$A:$A, '04_Products'!$F:$F), 0)</f>
        <v/>
      </c>
      <c r="I1451" s="9">
        <f>F1451*G1451</f>
        <v/>
      </c>
      <c r="J1451" s="11" t="n">
        <v>0.15</v>
      </c>
      <c r="K1451" s="9">
        <f>I1451*J1451</f>
        <v/>
      </c>
      <c r="L1451" s="9">
        <f>I1451-K1451</f>
        <v/>
      </c>
      <c r="M1451" s="9">
        <f>F1451*H1451</f>
        <v/>
      </c>
      <c r="N1451" s="9">
        <f>L1451-M1451</f>
        <v/>
      </c>
      <c r="O1451" s="11">
        <f>IFERROR(N1451/L1451, 0)</f>
        <v/>
      </c>
      <c r="P1451" s="8">
        <f>YEAR(C1451)</f>
        <v/>
      </c>
      <c r="Q1451" s="8">
        <f>TEXT(C1451, "yyyy-mm")</f>
        <v/>
      </c>
      <c r="R1451" s="8" t="inlineStr">
        <is>
          <t>Direct Web</t>
        </is>
      </c>
      <c r="S1451" s="8" t="inlineStr">
        <is>
          <t>REG-EU</t>
        </is>
      </c>
    </row>
    <row r="1452">
      <c r="A1452" s="8" t="inlineStr">
        <is>
          <t>DTL-0001468</t>
        </is>
      </c>
      <c r="B1452" s="8" t="inlineStr">
        <is>
          <t>ORD-000729</t>
        </is>
      </c>
      <c r="C1452" s="10" t="inlineStr">
        <is>
          <t>2023-05-09</t>
        </is>
      </c>
      <c r="D1452" s="8" t="inlineStr">
        <is>
          <t>CUST-01903</t>
        </is>
      </c>
      <c r="E1452" s="8" t="inlineStr">
        <is>
          <t>PRD-0298</t>
        </is>
      </c>
      <c r="F1452" s="8" t="n">
        <v>8</v>
      </c>
      <c r="G1452" s="9">
        <f>IFERROR(XLOOKUP(E1452, '04_Products'!$A:$A, '04_Products'!$G:$G), 1013.11)</f>
        <v/>
      </c>
      <c r="H1452" s="9">
        <f>IFERROR(XLOOKUP(E1452, '04_Products'!$A:$A, '04_Products'!$F:$F), 0)</f>
        <v/>
      </c>
      <c r="I1452" s="9">
        <f>F1452*G1452</f>
        <v/>
      </c>
      <c r="J1452" s="11" t="n">
        <v>0.05</v>
      </c>
      <c r="K1452" s="9">
        <f>I1452*J1452</f>
        <v/>
      </c>
      <c r="L1452" s="9">
        <f>I1452-K1452</f>
        <v/>
      </c>
      <c r="M1452" s="9">
        <f>F1452*H1452</f>
        <v/>
      </c>
      <c r="N1452" s="9">
        <f>L1452-M1452</f>
        <v/>
      </c>
      <c r="O1452" s="11">
        <f>IFERROR(N1452/L1452, 0)</f>
        <v/>
      </c>
      <c r="P1452" s="8">
        <f>YEAR(C1452)</f>
        <v/>
      </c>
      <c r="Q1452" s="8">
        <f>TEXT(C1452, "yyyy-mm")</f>
        <v/>
      </c>
      <c r="R1452" s="8" t="inlineStr">
        <is>
          <t>Direct Web</t>
        </is>
      </c>
      <c r="S1452" s="8" t="inlineStr">
        <is>
          <t>REG-EU</t>
        </is>
      </c>
    </row>
    <row r="1453">
      <c r="A1453" s="8" t="inlineStr">
        <is>
          <t>DTL-0001469</t>
        </is>
      </c>
      <c r="B1453" s="8" t="inlineStr">
        <is>
          <t>ORD-000730</t>
        </is>
      </c>
      <c r="C1453" s="10" t="inlineStr">
        <is>
          <t>2023-05-28</t>
        </is>
      </c>
      <c r="D1453" s="8" t="inlineStr">
        <is>
          <t>CUST-03052</t>
        </is>
      </c>
      <c r="E1453" s="8" t="inlineStr">
        <is>
          <t>PRD-0038</t>
        </is>
      </c>
      <c r="F1453" s="8" t="n">
        <v>2</v>
      </c>
      <c r="G1453" s="9">
        <f>IFERROR(XLOOKUP(E1453, '04_Products'!$A:$A, '04_Products'!$G:$G), 220.46)</f>
        <v/>
      </c>
      <c r="H1453" s="9">
        <f>IFERROR(XLOOKUP(E1453, '04_Products'!$A:$A, '04_Products'!$F:$F), 0)</f>
        <v/>
      </c>
      <c r="I1453" s="9">
        <f>F1453*G1453</f>
        <v/>
      </c>
      <c r="J1453" s="11" t="n">
        <v>0.05</v>
      </c>
      <c r="K1453" s="9">
        <f>I1453*J1453</f>
        <v/>
      </c>
      <c r="L1453" s="9">
        <f>I1453-K1453</f>
        <v/>
      </c>
      <c r="M1453" s="9">
        <f>F1453*H1453</f>
        <v/>
      </c>
      <c r="N1453" s="9">
        <f>L1453-M1453</f>
        <v/>
      </c>
      <c r="O1453" s="11">
        <f>IFERROR(N1453/L1453, 0)</f>
        <v/>
      </c>
      <c r="P1453" s="8">
        <f>YEAR(C1453)</f>
        <v/>
      </c>
      <c r="Q1453" s="8">
        <f>TEXT(C1453, "yyyy-mm")</f>
        <v/>
      </c>
      <c r="R1453" s="8" t="inlineStr">
        <is>
          <t>Direct Web</t>
        </is>
      </c>
      <c r="S1453" s="8" t="inlineStr">
        <is>
          <t>REG-NA</t>
        </is>
      </c>
    </row>
    <row r="1454">
      <c r="A1454" s="8" t="inlineStr">
        <is>
          <t>DTL-0001470</t>
        </is>
      </c>
      <c r="B1454" s="8" t="inlineStr">
        <is>
          <t>ORD-000731</t>
        </is>
      </c>
      <c r="C1454" s="10" t="inlineStr">
        <is>
          <t>2025-07-18</t>
        </is>
      </c>
      <c r="D1454" s="8" t="inlineStr">
        <is>
          <t>CUST-07232</t>
        </is>
      </c>
      <c r="E1454" s="8" t="inlineStr">
        <is>
          <t>PRD-0392</t>
        </is>
      </c>
      <c r="F1454" s="8" t="n">
        <v>2</v>
      </c>
      <c r="G1454" s="9">
        <f>IFERROR(XLOOKUP(E1454, '04_Products'!$A:$A, '04_Products'!$G:$G), 252.58)</f>
        <v/>
      </c>
      <c r="H1454" s="9">
        <f>IFERROR(XLOOKUP(E1454, '04_Products'!$A:$A, '04_Products'!$F:$F), 0)</f>
        <v/>
      </c>
      <c r="I1454" s="9">
        <f>F1454*G1454</f>
        <v/>
      </c>
      <c r="J1454" s="11" t="n">
        <v>0</v>
      </c>
      <c r="K1454" s="9">
        <f>I1454*J1454</f>
        <v/>
      </c>
      <c r="L1454" s="9">
        <f>I1454-K1454</f>
        <v/>
      </c>
      <c r="M1454" s="9">
        <f>F1454*H1454</f>
        <v/>
      </c>
      <c r="N1454" s="9">
        <f>L1454-M1454</f>
        <v/>
      </c>
      <c r="O1454" s="11">
        <f>IFERROR(N1454/L1454, 0)</f>
        <v/>
      </c>
      <c r="P1454" s="8">
        <f>YEAR(C1454)</f>
        <v/>
      </c>
      <c r="Q1454" s="8">
        <f>TEXT(C1454, "yyyy-mm")</f>
        <v/>
      </c>
      <c r="R1454" s="8" t="inlineStr">
        <is>
          <t>Mobile App</t>
        </is>
      </c>
      <c r="S1454" s="8" t="inlineStr">
        <is>
          <t>REG-LATAM</t>
        </is>
      </c>
    </row>
    <row r="1455">
      <c r="A1455" s="8" t="inlineStr">
        <is>
          <t>DTL-0001471</t>
        </is>
      </c>
      <c r="B1455" s="8" t="inlineStr">
        <is>
          <t>ORD-000732</t>
        </is>
      </c>
      <c r="C1455" s="10" t="inlineStr">
        <is>
          <t>2023-03-22</t>
        </is>
      </c>
      <c r="D1455" s="8" t="inlineStr">
        <is>
          <t>CUST-05255</t>
        </is>
      </c>
      <c r="E1455" s="8" t="inlineStr">
        <is>
          <t>PRD-0149</t>
        </is>
      </c>
      <c r="F1455" s="8" t="n">
        <v>2</v>
      </c>
      <c r="G1455" s="9">
        <f>IFERROR(XLOOKUP(E1455, '04_Products'!$A:$A, '04_Products'!$G:$G), 184.54)</f>
        <v/>
      </c>
      <c r="H1455" s="9">
        <f>IFERROR(XLOOKUP(E1455, '04_Products'!$A:$A, '04_Products'!$F:$F), 0)</f>
        <v/>
      </c>
      <c r="I1455" s="9">
        <f>F1455*G1455</f>
        <v/>
      </c>
      <c r="J1455" s="11" t="n">
        <v>0</v>
      </c>
      <c r="K1455" s="9">
        <f>I1455*J1455</f>
        <v/>
      </c>
      <c r="L1455" s="9">
        <f>I1455-K1455</f>
        <v/>
      </c>
      <c r="M1455" s="9">
        <f>F1455*H1455</f>
        <v/>
      </c>
      <c r="N1455" s="9">
        <f>L1455-M1455</f>
        <v/>
      </c>
      <c r="O1455" s="11">
        <f>IFERROR(N1455/L1455, 0)</f>
        <v/>
      </c>
      <c r="P1455" s="8">
        <f>YEAR(C1455)</f>
        <v/>
      </c>
      <c r="Q1455" s="8">
        <f>TEXT(C1455, "yyyy-mm")</f>
        <v/>
      </c>
      <c r="R1455" s="8" t="inlineStr">
        <is>
          <t>Direct Web</t>
        </is>
      </c>
      <c r="S1455" s="8" t="inlineStr">
        <is>
          <t>REG-LATAM</t>
        </is>
      </c>
    </row>
    <row r="1456">
      <c r="A1456" s="8" t="inlineStr">
        <is>
          <t>DTL-0001472</t>
        </is>
      </c>
      <c r="B1456" s="8" t="inlineStr">
        <is>
          <t>ORD-000733</t>
        </is>
      </c>
      <c r="C1456" s="10" t="inlineStr">
        <is>
          <t>2025-12-09</t>
        </is>
      </c>
      <c r="D1456" s="8" t="inlineStr">
        <is>
          <t>CUST-01000</t>
        </is>
      </c>
      <c r="E1456" s="8" t="inlineStr">
        <is>
          <t>PRD-0432</t>
        </is>
      </c>
      <c r="F1456" s="8" t="n">
        <v>1</v>
      </c>
      <c r="G1456" s="9">
        <f>IFERROR(XLOOKUP(E1456, '04_Products'!$A:$A, '04_Products'!$G:$G), 25.28)</f>
        <v/>
      </c>
      <c r="H1456" s="9">
        <f>IFERROR(XLOOKUP(E1456, '04_Products'!$A:$A, '04_Products'!$F:$F), 0)</f>
        <v/>
      </c>
      <c r="I1456" s="9">
        <f>F1456*G1456</f>
        <v/>
      </c>
      <c r="J1456" s="11" t="n">
        <v>0</v>
      </c>
      <c r="K1456" s="9">
        <f>I1456*J1456</f>
        <v/>
      </c>
      <c r="L1456" s="9">
        <f>I1456-K1456</f>
        <v/>
      </c>
      <c r="M1456" s="9">
        <f>F1456*H1456</f>
        <v/>
      </c>
      <c r="N1456" s="9">
        <f>L1456-M1456</f>
        <v/>
      </c>
      <c r="O1456" s="11">
        <f>IFERROR(N1456/L1456, 0)</f>
        <v/>
      </c>
      <c r="P1456" s="8">
        <f>YEAR(C1456)</f>
        <v/>
      </c>
      <c r="Q1456" s="8">
        <f>TEXT(C1456, "yyyy-mm")</f>
        <v/>
      </c>
      <c r="R1456" s="8" t="inlineStr">
        <is>
          <t>Affiliate Partner</t>
        </is>
      </c>
      <c r="S1456" s="8" t="inlineStr">
        <is>
          <t>REG-EU</t>
        </is>
      </c>
    </row>
    <row r="1457">
      <c r="A1457" s="8" t="inlineStr">
        <is>
          <t>DTL-0001473</t>
        </is>
      </c>
      <c r="B1457" s="8" t="inlineStr">
        <is>
          <t>ORD-000733</t>
        </is>
      </c>
      <c r="C1457" s="10" t="inlineStr">
        <is>
          <t>2025-12-09</t>
        </is>
      </c>
      <c r="D1457" s="8" t="inlineStr">
        <is>
          <t>CUST-01000</t>
        </is>
      </c>
      <c r="E1457" s="8" t="inlineStr">
        <is>
          <t>PRD-0278</t>
        </is>
      </c>
      <c r="F1457" s="8" t="n">
        <v>1</v>
      </c>
      <c r="G1457" s="9">
        <f>IFERROR(XLOOKUP(E1457, '04_Products'!$A:$A, '04_Products'!$G:$G), 1176.56)</f>
        <v/>
      </c>
      <c r="H1457" s="9">
        <f>IFERROR(XLOOKUP(E1457, '04_Products'!$A:$A, '04_Products'!$F:$F), 0)</f>
        <v/>
      </c>
      <c r="I1457" s="9">
        <f>F1457*G1457</f>
        <v/>
      </c>
      <c r="J1457" s="11" t="n">
        <v>0.3</v>
      </c>
      <c r="K1457" s="9">
        <f>I1457*J1457</f>
        <v/>
      </c>
      <c r="L1457" s="9">
        <f>I1457-K1457</f>
        <v/>
      </c>
      <c r="M1457" s="9">
        <f>F1457*H1457</f>
        <v/>
      </c>
      <c r="N1457" s="9">
        <f>L1457-M1457</f>
        <v/>
      </c>
      <c r="O1457" s="11">
        <f>IFERROR(N1457/L1457, 0)</f>
        <v/>
      </c>
      <c r="P1457" s="8">
        <f>YEAR(C1457)</f>
        <v/>
      </c>
      <c r="Q1457" s="8">
        <f>TEXT(C1457, "yyyy-mm")</f>
        <v/>
      </c>
      <c r="R1457" s="8" t="inlineStr">
        <is>
          <t>Affiliate Partner</t>
        </is>
      </c>
      <c r="S1457" s="8" t="inlineStr">
        <is>
          <t>REG-EU</t>
        </is>
      </c>
    </row>
    <row r="1458">
      <c r="A1458" s="8" t="inlineStr">
        <is>
          <t>DTL-0001474</t>
        </is>
      </c>
      <c r="B1458" s="8" t="inlineStr">
        <is>
          <t>ORD-000734</t>
        </is>
      </c>
      <c r="C1458" s="10" t="inlineStr">
        <is>
          <t>2024-06-30</t>
        </is>
      </c>
      <c r="D1458" s="8" t="inlineStr">
        <is>
          <t>CUST-01285</t>
        </is>
      </c>
      <c r="E1458" s="8" t="inlineStr">
        <is>
          <t>PRD-0247</t>
        </is>
      </c>
      <c r="F1458" s="8" t="n">
        <v>1</v>
      </c>
      <c r="G1458" s="9">
        <f>IFERROR(XLOOKUP(E1458, '04_Products'!$A:$A, '04_Products'!$G:$G), 878.40)</f>
        <v/>
      </c>
      <c r="H1458" s="9">
        <f>IFERROR(XLOOKUP(E1458, '04_Products'!$A:$A, '04_Products'!$F:$F), 0)</f>
        <v/>
      </c>
      <c r="I1458" s="9">
        <f>F1458*G1458</f>
        <v/>
      </c>
      <c r="J1458" s="11" t="n">
        <v>0.3</v>
      </c>
      <c r="K1458" s="9">
        <f>I1458*J1458</f>
        <v/>
      </c>
      <c r="L1458" s="9">
        <f>I1458-K1458</f>
        <v/>
      </c>
      <c r="M1458" s="9">
        <f>F1458*H1458</f>
        <v/>
      </c>
      <c r="N1458" s="9">
        <f>L1458-M1458</f>
        <v/>
      </c>
      <c r="O1458" s="11">
        <f>IFERROR(N1458/L1458, 0)</f>
        <v/>
      </c>
      <c r="P1458" s="8">
        <f>YEAR(C1458)</f>
        <v/>
      </c>
      <c r="Q1458" s="8">
        <f>TEXT(C1458, "yyyy-mm")</f>
        <v/>
      </c>
      <c r="R1458" s="8" t="inlineStr">
        <is>
          <t>Direct Web</t>
        </is>
      </c>
      <c r="S1458" s="8" t="inlineStr">
        <is>
          <t>REG-NA</t>
        </is>
      </c>
    </row>
    <row r="1459">
      <c r="A1459" s="8" t="inlineStr">
        <is>
          <t>DTL-0001475</t>
        </is>
      </c>
      <c r="B1459" s="8" t="inlineStr">
        <is>
          <t>ORD-000735</t>
        </is>
      </c>
      <c r="C1459" s="10" t="inlineStr">
        <is>
          <t>2025-12-14</t>
        </is>
      </c>
      <c r="D1459" s="8" t="inlineStr">
        <is>
          <t>CUST-02265</t>
        </is>
      </c>
      <c r="E1459" s="8" t="inlineStr">
        <is>
          <t>PRD-0280</t>
        </is>
      </c>
      <c r="F1459" s="8" t="n">
        <v>1</v>
      </c>
      <c r="G1459" s="9">
        <f>IFERROR(XLOOKUP(E1459, '04_Products'!$A:$A, '04_Products'!$G:$G), 408.85)</f>
        <v/>
      </c>
      <c r="H1459" s="9">
        <f>IFERROR(XLOOKUP(E1459, '04_Products'!$A:$A, '04_Products'!$F:$F), 0)</f>
        <v/>
      </c>
      <c r="I1459" s="9">
        <f>F1459*G1459</f>
        <v/>
      </c>
      <c r="J1459" s="11" t="n">
        <v>0</v>
      </c>
      <c r="K1459" s="9">
        <f>I1459*J1459</f>
        <v/>
      </c>
      <c r="L1459" s="9">
        <f>I1459-K1459</f>
        <v/>
      </c>
      <c r="M1459" s="9">
        <f>F1459*H1459</f>
        <v/>
      </c>
      <c r="N1459" s="9">
        <f>L1459-M1459</f>
        <v/>
      </c>
      <c r="O1459" s="11">
        <f>IFERROR(N1459/L1459, 0)</f>
        <v/>
      </c>
      <c r="P1459" s="8">
        <f>YEAR(C1459)</f>
        <v/>
      </c>
      <c r="Q1459" s="8">
        <f>TEXT(C1459, "yyyy-mm")</f>
        <v/>
      </c>
      <c r="R1459" s="8" t="inlineStr">
        <is>
          <t>Direct Web</t>
        </is>
      </c>
      <c r="S1459" s="8" t="inlineStr">
        <is>
          <t>REG-NA</t>
        </is>
      </c>
    </row>
    <row r="1460">
      <c r="A1460" s="8" t="inlineStr">
        <is>
          <t>DTL-0001476</t>
        </is>
      </c>
      <c r="B1460" s="8" t="inlineStr">
        <is>
          <t>ORD-000736</t>
        </is>
      </c>
      <c r="C1460" s="10" t="inlineStr">
        <is>
          <t>2024-05-28</t>
        </is>
      </c>
      <c r="D1460" s="8" t="inlineStr">
        <is>
          <t>CUST-00337</t>
        </is>
      </c>
      <c r="E1460" s="8" t="inlineStr">
        <is>
          <t>PRD-0140</t>
        </is>
      </c>
      <c r="F1460" s="8" t="n">
        <v>1</v>
      </c>
      <c r="G1460" s="9">
        <f>IFERROR(XLOOKUP(E1460, '04_Products'!$A:$A, '04_Products'!$G:$G), 41.25)</f>
        <v/>
      </c>
      <c r="H1460" s="9">
        <f>IFERROR(XLOOKUP(E1460, '04_Products'!$A:$A, '04_Products'!$F:$F), 0)</f>
        <v/>
      </c>
      <c r="I1460" s="9">
        <f>F1460*G1460</f>
        <v/>
      </c>
      <c r="J1460" s="11" t="n">
        <v>0</v>
      </c>
      <c r="K1460" s="9">
        <f>I1460*J1460</f>
        <v/>
      </c>
      <c r="L1460" s="9">
        <f>I1460-K1460</f>
        <v/>
      </c>
      <c r="M1460" s="9">
        <f>F1460*H1460</f>
        <v/>
      </c>
      <c r="N1460" s="9">
        <f>L1460-M1460</f>
        <v/>
      </c>
      <c r="O1460" s="11">
        <f>IFERROR(N1460/L1460, 0)</f>
        <v/>
      </c>
      <c r="P1460" s="8">
        <f>YEAR(C1460)</f>
        <v/>
      </c>
      <c r="Q1460" s="8">
        <f>TEXT(C1460, "yyyy-mm")</f>
        <v/>
      </c>
      <c r="R1460" s="8" t="inlineStr">
        <is>
          <t>Affiliate Partner</t>
        </is>
      </c>
      <c r="S1460" s="8" t="inlineStr">
        <is>
          <t>REG-EU</t>
        </is>
      </c>
    </row>
    <row r="1461">
      <c r="A1461" s="8" t="inlineStr">
        <is>
          <t>DTL-0001478</t>
        </is>
      </c>
      <c r="B1461" s="8" t="inlineStr">
        <is>
          <t>ORD-000738</t>
        </is>
      </c>
      <c r="C1461" s="10" t="inlineStr">
        <is>
          <t>2024-12-16</t>
        </is>
      </c>
      <c r="D1461" s="8" t="inlineStr">
        <is>
          <t>CUST-03536</t>
        </is>
      </c>
      <c r="E1461" s="8" t="inlineStr">
        <is>
          <t>PRD-0467</t>
        </is>
      </c>
      <c r="F1461" s="8" t="n">
        <v>1</v>
      </c>
      <c r="G1461" s="9">
        <f>IFERROR(XLOOKUP(E1461, '04_Products'!$A:$A, '04_Products'!$G:$G), 976.54)</f>
        <v/>
      </c>
      <c r="H1461" s="9">
        <f>IFERROR(XLOOKUP(E1461, '04_Products'!$A:$A, '04_Products'!$F:$F), 0)</f>
        <v/>
      </c>
      <c r="I1461" s="9">
        <f>F1461*G1461</f>
        <v/>
      </c>
      <c r="J1461" s="11" t="n">
        <v>0</v>
      </c>
      <c r="K1461" s="9">
        <f>I1461*J1461</f>
        <v/>
      </c>
      <c r="L1461" s="9">
        <f>I1461-K1461</f>
        <v/>
      </c>
      <c r="M1461" s="9">
        <f>F1461*H1461</f>
        <v/>
      </c>
      <c r="N1461" s="9">
        <f>L1461-M1461</f>
        <v/>
      </c>
      <c r="O1461" s="11">
        <f>IFERROR(N1461/L1461, 0)</f>
        <v/>
      </c>
      <c r="P1461" s="8">
        <f>YEAR(C1461)</f>
        <v/>
      </c>
      <c r="Q1461" s="8">
        <f>TEXT(C1461, "yyyy-mm")</f>
        <v/>
      </c>
      <c r="R1461" s="8" t="inlineStr">
        <is>
          <t>B2B Portal</t>
        </is>
      </c>
      <c r="S1461" s="8" t="inlineStr">
        <is>
          <t>REG-EU</t>
        </is>
      </c>
    </row>
    <row r="1462">
      <c r="A1462" s="8" t="inlineStr">
        <is>
          <t>DTL-0001479</t>
        </is>
      </c>
      <c r="B1462" s="8" t="inlineStr">
        <is>
          <t>ORD-000739</t>
        </is>
      </c>
      <c r="C1462" s="10" t="inlineStr">
        <is>
          <t>2025-07-08</t>
        </is>
      </c>
      <c r="D1462" s="8" t="inlineStr">
        <is>
          <t>CUST-05659</t>
        </is>
      </c>
      <c r="E1462" s="8" t="inlineStr">
        <is>
          <t>PRD-0097</t>
        </is>
      </c>
      <c r="F1462" s="8" t="n">
        <v>1</v>
      </c>
      <c r="G1462" s="9">
        <f>IFERROR(XLOOKUP(E1462, '04_Products'!$A:$A, '04_Products'!$G:$G), 216.71)</f>
        <v/>
      </c>
      <c r="H1462" s="9">
        <f>IFERROR(XLOOKUP(E1462, '04_Products'!$A:$A, '04_Products'!$F:$F), 0)</f>
        <v/>
      </c>
      <c r="I1462" s="9">
        <f>F1462*G1462</f>
        <v/>
      </c>
      <c r="J1462" s="11" t="n">
        <v>0.05</v>
      </c>
      <c r="K1462" s="9">
        <f>I1462*J1462</f>
        <v/>
      </c>
      <c r="L1462" s="9">
        <f>I1462-K1462</f>
        <v/>
      </c>
      <c r="M1462" s="9">
        <f>F1462*H1462</f>
        <v/>
      </c>
      <c r="N1462" s="9">
        <f>L1462-M1462</f>
        <v/>
      </c>
      <c r="O1462" s="11">
        <f>IFERROR(N1462/L1462, 0)</f>
        <v/>
      </c>
      <c r="P1462" s="8">
        <f>YEAR(C1462)</f>
        <v/>
      </c>
      <c r="Q1462" s="8">
        <f>TEXT(C1462, "yyyy-mm")</f>
        <v/>
      </c>
      <c r="R1462" s="8" t="inlineStr">
        <is>
          <t>Mobile App</t>
        </is>
      </c>
      <c r="S1462" s="8" t="inlineStr">
        <is>
          <t>REG-NA</t>
        </is>
      </c>
    </row>
    <row r="1463">
      <c r="A1463" s="8" t="inlineStr">
        <is>
          <t>DTL-0001480</t>
        </is>
      </c>
      <c r="B1463" s="8" t="inlineStr">
        <is>
          <t>ORD-000739</t>
        </is>
      </c>
      <c r="C1463" s="10" t="inlineStr">
        <is>
          <t>2025-07-08</t>
        </is>
      </c>
      <c r="D1463" s="8" t="inlineStr">
        <is>
          <t>CUST-05659</t>
        </is>
      </c>
      <c r="E1463" s="8" t="inlineStr">
        <is>
          <t>PRD-0239</t>
        </is>
      </c>
      <c r="F1463" s="8" t="n">
        <v>1</v>
      </c>
      <c r="G1463" s="9">
        <f>IFERROR(XLOOKUP(E1463, '04_Products'!$A:$A, '04_Products'!$G:$G), 302.56)</f>
        <v/>
      </c>
      <c r="H1463" s="9">
        <f>IFERROR(XLOOKUP(E1463, '04_Products'!$A:$A, '04_Products'!$F:$F), 0)</f>
        <v/>
      </c>
      <c r="I1463" s="9">
        <f>F1463*G1463</f>
        <v/>
      </c>
      <c r="J1463" s="11" t="n">
        <v>0.05</v>
      </c>
      <c r="K1463" s="9">
        <f>I1463*J1463</f>
        <v/>
      </c>
      <c r="L1463" s="9">
        <f>I1463-K1463</f>
        <v/>
      </c>
      <c r="M1463" s="9">
        <f>F1463*H1463</f>
        <v/>
      </c>
      <c r="N1463" s="9">
        <f>L1463-M1463</f>
        <v/>
      </c>
      <c r="O1463" s="11">
        <f>IFERROR(N1463/L1463, 0)</f>
        <v/>
      </c>
      <c r="P1463" s="8">
        <f>YEAR(C1463)</f>
        <v/>
      </c>
      <c r="Q1463" s="8">
        <f>TEXT(C1463, "yyyy-mm")</f>
        <v/>
      </c>
      <c r="R1463" s="8" t="inlineStr">
        <is>
          <t>Mobile App</t>
        </is>
      </c>
      <c r="S1463" s="8" t="inlineStr">
        <is>
          <t>REG-NA</t>
        </is>
      </c>
    </row>
    <row r="1464">
      <c r="A1464" s="8" t="inlineStr">
        <is>
          <t>DTL-0001481</t>
        </is>
      </c>
      <c r="B1464" s="8" t="inlineStr">
        <is>
          <t>ORD-000740</t>
        </is>
      </c>
      <c r="C1464" s="10" t="inlineStr">
        <is>
          <t>2025-03-14</t>
        </is>
      </c>
      <c r="D1464" s="8" t="inlineStr">
        <is>
          <t>CUST-03958</t>
        </is>
      </c>
      <c r="E1464" s="8" t="inlineStr">
        <is>
          <t>PRD-0180</t>
        </is>
      </c>
      <c r="F1464" s="8" t="n">
        <v>1</v>
      </c>
      <c r="G1464" s="9">
        <f>IFERROR(XLOOKUP(E1464, '04_Products'!$A:$A, '04_Products'!$G:$G), 1016.03)</f>
        <v/>
      </c>
      <c r="H1464" s="9">
        <f>IFERROR(XLOOKUP(E1464, '04_Products'!$A:$A, '04_Products'!$F:$F), 0)</f>
        <v/>
      </c>
      <c r="I1464" s="9">
        <f>F1464*G1464</f>
        <v/>
      </c>
      <c r="J1464" s="11" t="n">
        <v>0.1</v>
      </c>
      <c r="K1464" s="9">
        <f>I1464*J1464</f>
        <v/>
      </c>
      <c r="L1464" s="9">
        <f>I1464-K1464</f>
        <v/>
      </c>
      <c r="M1464" s="9">
        <f>F1464*H1464</f>
        <v/>
      </c>
      <c r="N1464" s="9">
        <f>L1464-M1464</f>
        <v/>
      </c>
      <c r="O1464" s="11">
        <f>IFERROR(N1464/L1464, 0)</f>
        <v/>
      </c>
      <c r="P1464" s="8">
        <f>YEAR(C1464)</f>
        <v/>
      </c>
      <c r="Q1464" s="8">
        <f>TEXT(C1464, "yyyy-mm")</f>
        <v/>
      </c>
      <c r="R1464" s="8" t="inlineStr">
        <is>
          <t>Direct Web</t>
        </is>
      </c>
      <c r="S1464" s="8" t="inlineStr">
        <is>
          <t>REG-APAC</t>
        </is>
      </c>
    </row>
    <row r="1465">
      <c r="A1465" s="8" t="inlineStr">
        <is>
          <t>DTL-0001482</t>
        </is>
      </c>
      <c r="B1465" s="8" t="inlineStr">
        <is>
          <t>ORD-000740</t>
        </is>
      </c>
      <c r="C1465" s="10" t="inlineStr">
        <is>
          <t>2025-03-14</t>
        </is>
      </c>
      <c r="D1465" s="8" t="inlineStr">
        <is>
          <t>CUST-03958</t>
        </is>
      </c>
      <c r="E1465" s="8" t="inlineStr">
        <is>
          <t>PRD-0468</t>
        </is>
      </c>
      <c r="F1465" s="8" t="n">
        <v>1</v>
      </c>
      <c r="G1465" s="9">
        <f>IFERROR(XLOOKUP(E1465, '04_Products'!$A:$A, '04_Products'!$G:$G), 226.88)</f>
        <v/>
      </c>
      <c r="H1465" s="9">
        <f>IFERROR(XLOOKUP(E1465, '04_Products'!$A:$A, '04_Products'!$F:$F), 0)</f>
        <v/>
      </c>
      <c r="I1465" s="9">
        <f>F1465*G1465</f>
        <v/>
      </c>
      <c r="J1465" s="11" t="n">
        <v>0</v>
      </c>
      <c r="K1465" s="9">
        <f>I1465*J1465</f>
        <v/>
      </c>
      <c r="L1465" s="9">
        <f>I1465-K1465</f>
        <v/>
      </c>
      <c r="M1465" s="9">
        <f>F1465*H1465</f>
        <v/>
      </c>
      <c r="N1465" s="9">
        <f>L1465-M1465</f>
        <v/>
      </c>
      <c r="O1465" s="11">
        <f>IFERROR(N1465/L1465, 0)</f>
        <v/>
      </c>
      <c r="P1465" s="8">
        <f>YEAR(C1465)</f>
        <v/>
      </c>
      <c r="Q1465" s="8">
        <f>TEXT(C1465, "yyyy-mm")</f>
        <v/>
      </c>
      <c r="R1465" s="8" t="inlineStr">
        <is>
          <t>Direct Web</t>
        </is>
      </c>
      <c r="S1465" s="8" t="inlineStr">
        <is>
          <t>REG-APAC</t>
        </is>
      </c>
    </row>
    <row r="1466">
      <c r="A1466" s="8" t="inlineStr">
        <is>
          <t>DTL-0001483</t>
        </is>
      </c>
      <c r="B1466" s="8" t="inlineStr">
        <is>
          <t>ORD-000740</t>
        </is>
      </c>
      <c r="C1466" s="10" t="inlineStr">
        <is>
          <t>2025-03-14</t>
        </is>
      </c>
      <c r="D1466" s="8" t="inlineStr">
        <is>
          <t>CUST-03958</t>
        </is>
      </c>
      <c r="E1466" s="8" t="inlineStr">
        <is>
          <t>PRD-0022</t>
        </is>
      </c>
      <c r="F1466" s="8" t="n">
        <v>1</v>
      </c>
      <c r="G1466" s="9">
        <f>IFERROR(XLOOKUP(E1466, '04_Products'!$A:$A, '04_Products'!$G:$G), 801.74)</f>
        <v/>
      </c>
      <c r="H1466" s="9">
        <f>IFERROR(XLOOKUP(E1466, '04_Products'!$A:$A, '04_Products'!$F:$F), 0)</f>
        <v/>
      </c>
      <c r="I1466" s="9">
        <f>F1466*G1466</f>
        <v/>
      </c>
      <c r="J1466" s="11" t="n">
        <v>0.1</v>
      </c>
      <c r="K1466" s="9">
        <f>I1466*J1466</f>
        <v/>
      </c>
      <c r="L1466" s="9">
        <f>I1466-K1466</f>
        <v/>
      </c>
      <c r="M1466" s="9">
        <f>F1466*H1466</f>
        <v/>
      </c>
      <c r="N1466" s="9">
        <f>L1466-M1466</f>
        <v/>
      </c>
      <c r="O1466" s="11">
        <f>IFERROR(N1466/L1466, 0)</f>
        <v/>
      </c>
      <c r="P1466" s="8">
        <f>YEAR(C1466)</f>
        <v/>
      </c>
      <c r="Q1466" s="8">
        <f>TEXT(C1466, "yyyy-mm")</f>
        <v/>
      </c>
      <c r="R1466" s="8" t="inlineStr">
        <is>
          <t>Direct Web</t>
        </is>
      </c>
      <c r="S1466" s="8" t="inlineStr">
        <is>
          <t>REG-APAC</t>
        </is>
      </c>
    </row>
    <row r="1467">
      <c r="A1467" s="8" t="inlineStr">
        <is>
          <t>DTL-0001484</t>
        </is>
      </c>
      <c r="B1467" s="8" t="inlineStr">
        <is>
          <t>ORD-000740</t>
        </is>
      </c>
      <c r="C1467" s="10" t="inlineStr">
        <is>
          <t>2025-03-14</t>
        </is>
      </c>
      <c r="D1467" s="8" t="inlineStr">
        <is>
          <t>CUST-03958</t>
        </is>
      </c>
      <c r="E1467" s="8" t="inlineStr">
        <is>
          <t>PRD-0036</t>
        </is>
      </c>
      <c r="F1467" s="8" t="n">
        <v>3</v>
      </c>
      <c r="G1467" s="9">
        <f>IFERROR(XLOOKUP(E1467, '04_Products'!$A:$A, '04_Products'!$G:$G), 574.88)</f>
        <v/>
      </c>
      <c r="H1467" s="9">
        <f>IFERROR(XLOOKUP(E1467, '04_Products'!$A:$A, '04_Products'!$F:$F), 0)</f>
        <v/>
      </c>
      <c r="I1467" s="9">
        <f>F1467*G1467</f>
        <v/>
      </c>
      <c r="J1467" s="11" t="n">
        <v>0.05</v>
      </c>
      <c r="K1467" s="9">
        <f>I1467*J1467</f>
        <v/>
      </c>
      <c r="L1467" s="9">
        <f>I1467-K1467</f>
        <v/>
      </c>
      <c r="M1467" s="9">
        <f>F1467*H1467</f>
        <v/>
      </c>
      <c r="N1467" s="9">
        <f>L1467-M1467</f>
        <v/>
      </c>
      <c r="O1467" s="11">
        <f>IFERROR(N1467/L1467, 0)</f>
        <v/>
      </c>
      <c r="P1467" s="8">
        <f>YEAR(C1467)</f>
        <v/>
      </c>
      <c r="Q1467" s="8">
        <f>TEXT(C1467, "yyyy-mm")</f>
        <v/>
      </c>
      <c r="R1467" s="8" t="inlineStr">
        <is>
          <t>Direct Web</t>
        </is>
      </c>
      <c r="S1467" s="8" t="inlineStr">
        <is>
          <t>REG-APAC</t>
        </is>
      </c>
    </row>
    <row r="1468">
      <c r="A1468" s="8" t="inlineStr">
        <is>
          <t>DTL-0001485</t>
        </is>
      </c>
      <c r="B1468" s="8" t="inlineStr">
        <is>
          <t>ORD-000740</t>
        </is>
      </c>
      <c r="C1468" s="10" t="inlineStr">
        <is>
          <t>2025-03-14</t>
        </is>
      </c>
      <c r="D1468" s="8" t="inlineStr">
        <is>
          <t>CUST-03958</t>
        </is>
      </c>
      <c r="E1468" s="8" t="inlineStr">
        <is>
          <t>PRD-0429</t>
        </is>
      </c>
      <c r="F1468" s="8" t="n">
        <v>5</v>
      </c>
      <c r="G1468" s="9">
        <f>IFERROR(XLOOKUP(E1468, '04_Products'!$A:$A, '04_Products'!$G:$G), 790.21)</f>
        <v/>
      </c>
      <c r="H1468" s="9">
        <f>IFERROR(XLOOKUP(E1468, '04_Products'!$A:$A, '04_Products'!$F:$F), 0)</f>
        <v/>
      </c>
      <c r="I1468" s="9">
        <f>F1468*G1468</f>
        <v/>
      </c>
      <c r="J1468" s="11" t="n">
        <v>0</v>
      </c>
      <c r="K1468" s="9">
        <f>I1468*J1468</f>
        <v/>
      </c>
      <c r="L1468" s="9">
        <f>I1468-K1468</f>
        <v/>
      </c>
      <c r="M1468" s="9">
        <f>F1468*H1468</f>
        <v/>
      </c>
      <c r="N1468" s="9">
        <f>L1468-M1468</f>
        <v/>
      </c>
      <c r="O1468" s="11">
        <f>IFERROR(N1468/L1468, 0)</f>
        <v/>
      </c>
      <c r="P1468" s="8">
        <f>YEAR(C1468)</f>
        <v/>
      </c>
      <c r="Q1468" s="8">
        <f>TEXT(C1468, "yyyy-mm")</f>
        <v/>
      </c>
      <c r="R1468" s="8" t="inlineStr">
        <is>
          <t>Direct Web</t>
        </is>
      </c>
      <c r="S1468" s="8" t="inlineStr">
        <is>
          <t>REG-APAC</t>
        </is>
      </c>
    </row>
    <row r="1469">
      <c r="A1469" s="8" t="inlineStr">
        <is>
          <t>DTL-0001486</t>
        </is>
      </c>
      <c r="B1469" s="8" t="inlineStr">
        <is>
          <t>ORD-000741</t>
        </is>
      </c>
      <c r="C1469" s="10" t="inlineStr">
        <is>
          <t>2025-02-17</t>
        </is>
      </c>
      <c r="D1469" s="8" t="inlineStr">
        <is>
          <t>CUST-02753</t>
        </is>
      </c>
      <c r="E1469" s="8" t="inlineStr">
        <is>
          <t>PRD-0316</t>
        </is>
      </c>
      <c r="F1469" s="8" t="n">
        <v>2</v>
      </c>
      <c r="G1469" s="9">
        <f>IFERROR(XLOOKUP(E1469, '04_Products'!$A:$A, '04_Products'!$G:$G), 575.96)</f>
        <v/>
      </c>
      <c r="H1469" s="9">
        <f>IFERROR(XLOOKUP(E1469, '04_Products'!$A:$A, '04_Products'!$F:$F), 0)</f>
        <v/>
      </c>
      <c r="I1469" s="9">
        <f>F1469*G1469</f>
        <v/>
      </c>
      <c r="J1469" s="11" t="n">
        <v>0.05</v>
      </c>
      <c r="K1469" s="9">
        <f>I1469*J1469</f>
        <v/>
      </c>
      <c r="L1469" s="9">
        <f>I1469-K1469</f>
        <v/>
      </c>
      <c r="M1469" s="9">
        <f>F1469*H1469</f>
        <v/>
      </c>
      <c r="N1469" s="9">
        <f>L1469-M1469</f>
        <v/>
      </c>
      <c r="O1469" s="11">
        <f>IFERROR(N1469/L1469, 0)</f>
        <v/>
      </c>
      <c r="P1469" s="8">
        <f>YEAR(C1469)</f>
        <v/>
      </c>
      <c r="Q1469" s="8">
        <f>TEXT(C1469, "yyyy-mm")</f>
        <v/>
      </c>
      <c r="R1469" s="8" t="inlineStr">
        <is>
          <t>Direct Web</t>
        </is>
      </c>
      <c r="S1469" s="8" t="inlineStr">
        <is>
          <t>REG-EU</t>
        </is>
      </c>
    </row>
    <row r="1470">
      <c r="A1470" s="8" t="inlineStr">
        <is>
          <t>DTL-0001487</t>
        </is>
      </c>
      <c r="B1470" s="8" t="inlineStr">
        <is>
          <t>ORD-000741</t>
        </is>
      </c>
      <c r="C1470" s="10" t="inlineStr">
        <is>
          <t>2025-02-17</t>
        </is>
      </c>
      <c r="D1470" s="8" t="inlineStr">
        <is>
          <t>CUST-02753</t>
        </is>
      </c>
      <c r="E1470" s="8" t="inlineStr">
        <is>
          <t>PRD-0055</t>
        </is>
      </c>
      <c r="F1470" s="8" t="n">
        <v>1</v>
      </c>
      <c r="G1470" s="9">
        <f>IFERROR(XLOOKUP(E1470, '04_Products'!$A:$A, '04_Products'!$G:$G), 600.42)</f>
        <v/>
      </c>
      <c r="H1470" s="9">
        <f>IFERROR(XLOOKUP(E1470, '04_Products'!$A:$A, '04_Products'!$F:$F), 0)</f>
        <v/>
      </c>
      <c r="I1470" s="9">
        <f>F1470*G1470</f>
        <v/>
      </c>
      <c r="J1470" s="11" t="n">
        <v>0.2</v>
      </c>
      <c r="K1470" s="9">
        <f>I1470*J1470</f>
        <v/>
      </c>
      <c r="L1470" s="9">
        <f>I1470-K1470</f>
        <v/>
      </c>
      <c r="M1470" s="9">
        <f>F1470*H1470</f>
        <v/>
      </c>
      <c r="N1470" s="9">
        <f>L1470-M1470</f>
        <v/>
      </c>
      <c r="O1470" s="11">
        <f>IFERROR(N1470/L1470, 0)</f>
        <v/>
      </c>
      <c r="P1470" s="8">
        <f>YEAR(C1470)</f>
        <v/>
      </c>
      <c r="Q1470" s="8">
        <f>TEXT(C1470, "yyyy-mm")</f>
        <v/>
      </c>
      <c r="R1470" s="8" t="inlineStr">
        <is>
          <t>Direct Web</t>
        </is>
      </c>
      <c r="S1470" s="8" t="inlineStr">
        <is>
          <t>REG-EU</t>
        </is>
      </c>
    </row>
    <row r="1471">
      <c r="A1471" s="8" t="inlineStr">
        <is>
          <t>DTL-0001488</t>
        </is>
      </c>
      <c r="B1471" s="8" t="inlineStr">
        <is>
          <t>ORD-000741</t>
        </is>
      </c>
      <c r="C1471" s="10" t="inlineStr">
        <is>
          <t>2025-02-17</t>
        </is>
      </c>
      <c r="D1471" s="8" t="inlineStr">
        <is>
          <t>CUST-02753</t>
        </is>
      </c>
      <c r="E1471" s="8" t="inlineStr">
        <is>
          <t>PRD-0413</t>
        </is>
      </c>
      <c r="F1471" s="8" t="n">
        <v>1</v>
      </c>
      <c r="G1471" s="9">
        <f>IFERROR(XLOOKUP(E1471, '04_Products'!$A:$A, '04_Products'!$G:$G), 764.48)</f>
        <v/>
      </c>
      <c r="H1471" s="9">
        <f>IFERROR(XLOOKUP(E1471, '04_Products'!$A:$A, '04_Products'!$F:$F), 0)</f>
        <v/>
      </c>
      <c r="I1471" s="9">
        <f>F1471*G1471</f>
        <v/>
      </c>
      <c r="J1471" s="11" t="n">
        <v>0.05</v>
      </c>
      <c r="K1471" s="9">
        <f>I1471*J1471</f>
        <v/>
      </c>
      <c r="L1471" s="9">
        <f>I1471-K1471</f>
        <v/>
      </c>
      <c r="M1471" s="9">
        <f>F1471*H1471</f>
        <v/>
      </c>
      <c r="N1471" s="9">
        <f>L1471-M1471</f>
        <v/>
      </c>
      <c r="O1471" s="11">
        <f>IFERROR(N1471/L1471, 0)</f>
        <v/>
      </c>
      <c r="P1471" s="8">
        <f>YEAR(C1471)</f>
        <v/>
      </c>
      <c r="Q1471" s="8">
        <f>TEXT(C1471, "yyyy-mm")</f>
        <v/>
      </c>
      <c r="R1471" s="8" t="inlineStr">
        <is>
          <t>Direct Web</t>
        </is>
      </c>
      <c r="S1471" s="8" t="inlineStr">
        <is>
          <t>REG-EU</t>
        </is>
      </c>
    </row>
    <row r="1472">
      <c r="A1472" s="8" t="inlineStr">
        <is>
          <t>DTL-0001489</t>
        </is>
      </c>
      <c r="B1472" s="8" t="inlineStr">
        <is>
          <t>ORD-000741</t>
        </is>
      </c>
      <c r="C1472" s="10" t="inlineStr">
        <is>
          <t>2025-02-17</t>
        </is>
      </c>
      <c r="D1472" s="8" t="inlineStr">
        <is>
          <t>CUST-02753</t>
        </is>
      </c>
      <c r="E1472" s="8" t="inlineStr">
        <is>
          <t>PRD-0087</t>
        </is>
      </c>
      <c r="F1472" s="8" t="n">
        <v>5</v>
      </c>
      <c r="G1472" s="9">
        <f>IFERROR(XLOOKUP(E1472, '04_Products'!$A:$A, '04_Products'!$G:$G), 1103.24)</f>
        <v/>
      </c>
      <c r="H1472" s="9">
        <f>IFERROR(XLOOKUP(E1472, '04_Products'!$A:$A, '04_Products'!$F:$F), 0)</f>
        <v/>
      </c>
      <c r="I1472" s="9">
        <f>F1472*G1472</f>
        <v/>
      </c>
      <c r="J1472" s="11" t="n">
        <v>0</v>
      </c>
      <c r="K1472" s="9">
        <f>I1472*J1472</f>
        <v/>
      </c>
      <c r="L1472" s="9">
        <f>I1472-K1472</f>
        <v/>
      </c>
      <c r="M1472" s="9">
        <f>F1472*H1472</f>
        <v/>
      </c>
      <c r="N1472" s="9">
        <f>L1472-M1472</f>
        <v/>
      </c>
      <c r="O1472" s="11">
        <f>IFERROR(N1472/L1472, 0)</f>
        <v/>
      </c>
      <c r="P1472" s="8">
        <f>YEAR(C1472)</f>
        <v/>
      </c>
      <c r="Q1472" s="8">
        <f>TEXT(C1472, "yyyy-mm")</f>
        <v/>
      </c>
      <c r="R1472" s="8" t="inlineStr">
        <is>
          <t>Direct Web</t>
        </is>
      </c>
      <c r="S1472" s="8" t="inlineStr">
        <is>
          <t>REG-EU</t>
        </is>
      </c>
    </row>
    <row r="1473">
      <c r="A1473" s="8" t="inlineStr">
        <is>
          <t>DTL-0001490</t>
        </is>
      </c>
      <c r="B1473" s="8" t="inlineStr">
        <is>
          <t>ORD-000741</t>
        </is>
      </c>
      <c r="C1473" s="10" t="inlineStr">
        <is>
          <t>2025-02-17</t>
        </is>
      </c>
      <c r="D1473" s="8" t="inlineStr">
        <is>
          <t>CUST-02753</t>
        </is>
      </c>
      <c r="E1473" s="8" t="inlineStr">
        <is>
          <t>PRD-0371</t>
        </is>
      </c>
      <c r="F1473" s="8" t="n">
        <v>1</v>
      </c>
      <c r="G1473" s="9">
        <f>IFERROR(XLOOKUP(E1473, '04_Products'!$A:$A, '04_Products'!$G:$G), 41.78)</f>
        <v/>
      </c>
      <c r="H1473" s="9">
        <f>IFERROR(XLOOKUP(E1473, '04_Products'!$A:$A, '04_Products'!$F:$F), 0)</f>
        <v/>
      </c>
      <c r="I1473" s="9">
        <f>F1473*G1473</f>
        <v/>
      </c>
      <c r="J1473" s="11" t="n">
        <v>0</v>
      </c>
      <c r="K1473" s="9">
        <f>I1473*J1473</f>
        <v/>
      </c>
      <c r="L1473" s="9">
        <f>I1473-K1473</f>
        <v/>
      </c>
      <c r="M1473" s="9">
        <f>F1473*H1473</f>
        <v/>
      </c>
      <c r="N1473" s="9">
        <f>L1473-M1473</f>
        <v/>
      </c>
      <c r="O1473" s="11">
        <f>IFERROR(N1473/L1473, 0)</f>
        <v/>
      </c>
      <c r="P1473" s="8">
        <f>YEAR(C1473)</f>
        <v/>
      </c>
      <c r="Q1473" s="8">
        <f>TEXT(C1473, "yyyy-mm")</f>
        <v/>
      </c>
      <c r="R1473" s="8" t="inlineStr">
        <is>
          <t>Direct Web</t>
        </is>
      </c>
      <c r="S1473" s="8" t="inlineStr">
        <is>
          <t>REG-EU</t>
        </is>
      </c>
    </row>
    <row r="1474">
      <c r="A1474" s="8" t="inlineStr">
        <is>
          <t>DTL-0001491</t>
        </is>
      </c>
      <c r="B1474" s="8" t="inlineStr">
        <is>
          <t>ORD-000742</t>
        </is>
      </c>
      <c r="C1474" s="10" t="inlineStr">
        <is>
          <t>2024-09-04</t>
        </is>
      </c>
      <c r="D1474" s="8" t="inlineStr">
        <is>
          <t>CUST-01024</t>
        </is>
      </c>
      <c r="E1474" s="8" t="inlineStr">
        <is>
          <t>PRD-0405</t>
        </is>
      </c>
      <c r="F1474" s="8" t="n">
        <v>1</v>
      </c>
      <c r="G1474" s="9">
        <f>IFERROR(XLOOKUP(E1474, '04_Products'!$A:$A, '04_Products'!$G:$G), 29.36)</f>
        <v/>
      </c>
      <c r="H1474" s="9">
        <f>IFERROR(XLOOKUP(E1474, '04_Products'!$A:$A, '04_Products'!$F:$F), 0)</f>
        <v/>
      </c>
      <c r="I1474" s="9">
        <f>F1474*G1474</f>
        <v/>
      </c>
      <c r="J1474" s="11" t="n">
        <v>0.2</v>
      </c>
      <c r="K1474" s="9">
        <f>I1474*J1474</f>
        <v/>
      </c>
      <c r="L1474" s="9">
        <f>I1474-K1474</f>
        <v/>
      </c>
      <c r="M1474" s="9">
        <f>F1474*H1474</f>
        <v/>
      </c>
      <c r="N1474" s="9">
        <f>L1474-M1474</f>
        <v/>
      </c>
      <c r="O1474" s="11">
        <f>IFERROR(N1474/L1474, 0)</f>
        <v/>
      </c>
      <c r="P1474" s="8">
        <f>YEAR(C1474)</f>
        <v/>
      </c>
      <c r="Q1474" s="8">
        <f>TEXT(C1474, "yyyy-mm")</f>
        <v/>
      </c>
      <c r="R1474" s="8" t="inlineStr">
        <is>
          <t>Affiliate Partner</t>
        </is>
      </c>
      <c r="S1474" s="8" t="inlineStr">
        <is>
          <t>REG-NA</t>
        </is>
      </c>
    </row>
    <row r="1475">
      <c r="A1475" s="8" t="inlineStr">
        <is>
          <t>DTL-0001492</t>
        </is>
      </c>
      <c r="B1475" s="8" t="inlineStr">
        <is>
          <t>ORD-000743</t>
        </is>
      </c>
      <c r="C1475" s="10" t="inlineStr">
        <is>
          <t>2024-11-18</t>
        </is>
      </c>
      <c r="D1475" s="8" t="inlineStr">
        <is>
          <t>CUST-02070</t>
        </is>
      </c>
      <c r="E1475" s="8" t="inlineStr">
        <is>
          <t>PRD-0302</t>
        </is>
      </c>
      <c r="F1475" s="8" t="n">
        <v>2</v>
      </c>
      <c r="G1475" s="9">
        <f>IFERROR(XLOOKUP(E1475, '04_Products'!$A:$A, '04_Products'!$G:$G), 51.82)</f>
        <v/>
      </c>
      <c r="H1475" s="9">
        <f>IFERROR(XLOOKUP(E1475, '04_Products'!$A:$A, '04_Products'!$F:$F), 0)</f>
        <v/>
      </c>
      <c r="I1475" s="9">
        <f>F1475*G1475</f>
        <v/>
      </c>
      <c r="J1475" s="11" t="n">
        <v>0</v>
      </c>
      <c r="K1475" s="9">
        <f>I1475*J1475</f>
        <v/>
      </c>
      <c r="L1475" s="9">
        <f>I1475-K1475</f>
        <v/>
      </c>
      <c r="M1475" s="9">
        <f>F1475*H1475</f>
        <v/>
      </c>
      <c r="N1475" s="9">
        <f>L1475-M1475</f>
        <v/>
      </c>
      <c r="O1475" s="11">
        <f>IFERROR(N1475/L1475, 0)</f>
        <v/>
      </c>
      <c r="P1475" s="8">
        <f>YEAR(C1475)</f>
        <v/>
      </c>
      <c r="Q1475" s="8">
        <f>TEXT(C1475, "yyyy-mm")</f>
        <v/>
      </c>
      <c r="R1475" s="8" t="inlineStr">
        <is>
          <t>Mobile App</t>
        </is>
      </c>
      <c r="S1475" s="8" t="inlineStr">
        <is>
          <t>REG-EU</t>
        </is>
      </c>
    </row>
    <row r="1476">
      <c r="A1476" s="8" t="inlineStr">
        <is>
          <t>DTL-0001493</t>
        </is>
      </c>
      <c r="B1476" s="8" t="inlineStr">
        <is>
          <t>ORD-000743</t>
        </is>
      </c>
      <c r="C1476" s="10" t="inlineStr">
        <is>
          <t>2024-11-18</t>
        </is>
      </c>
      <c r="D1476" s="8" t="inlineStr">
        <is>
          <t>CUST-02070</t>
        </is>
      </c>
      <c r="E1476" s="8" t="inlineStr">
        <is>
          <t>PRD-0176</t>
        </is>
      </c>
      <c r="F1476" s="8" t="n">
        <v>3</v>
      </c>
      <c r="G1476" s="9">
        <f>IFERROR(XLOOKUP(E1476, '04_Products'!$A:$A, '04_Products'!$G:$G), 18.25)</f>
        <v/>
      </c>
      <c r="H1476" s="9">
        <f>IFERROR(XLOOKUP(E1476, '04_Products'!$A:$A, '04_Products'!$F:$F), 0)</f>
        <v/>
      </c>
      <c r="I1476" s="9">
        <f>F1476*G1476</f>
        <v/>
      </c>
      <c r="J1476" s="11" t="n">
        <v>0.2</v>
      </c>
      <c r="K1476" s="9">
        <f>I1476*J1476</f>
        <v/>
      </c>
      <c r="L1476" s="9">
        <f>I1476-K1476</f>
        <v/>
      </c>
      <c r="M1476" s="9">
        <f>F1476*H1476</f>
        <v/>
      </c>
      <c r="N1476" s="9">
        <f>L1476-M1476</f>
        <v/>
      </c>
      <c r="O1476" s="11">
        <f>IFERROR(N1476/L1476, 0)</f>
        <v/>
      </c>
      <c r="P1476" s="8">
        <f>YEAR(C1476)</f>
        <v/>
      </c>
      <c r="Q1476" s="8">
        <f>TEXT(C1476, "yyyy-mm")</f>
        <v/>
      </c>
      <c r="R1476" s="8" t="inlineStr">
        <is>
          <t>Mobile App</t>
        </is>
      </c>
      <c r="S1476" s="8" t="inlineStr">
        <is>
          <t>REG-EU</t>
        </is>
      </c>
    </row>
    <row r="1477">
      <c r="A1477" s="8" t="inlineStr">
        <is>
          <t>DTL-0001494</t>
        </is>
      </c>
      <c r="B1477" s="8" t="inlineStr">
        <is>
          <t>ORD-000744</t>
        </is>
      </c>
      <c r="C1477" s="10" t="inlineStr">
        <is>
          <t>2024-10-01</t>
        </is>
      </c>
      <c r="D1477" s="8" t="inlineStr">
        <is>
          <t>CUST-02504</t>
        </is>
      </c>
      <c r="E1477" s="8" t="inlineStr">
        <is>
          <t>PRD-0152</t>
        </is>
      </c>
      <c r="F1477" s="8" t="n">
        <v>1</v>
      </c>
      <c r="G1477" s="9">
        <f>IFERROR(XLOOKUP(E1477, '04_Products'!$A:$A, '04_Products'!$G:$G), 1157.61)</f>
        <v/>
      </c>
      <c r="H1477" s="9">
        <f>IFERROR(XLOOKUP(E1477, '04_Products'!$A:$A, '04_Products'!$F:$F), 0)</f>
        <v/>
      </c>
      <c r="I1477" s="9">
        <f>F1477*G1477</f>
        <v/>
      </c>
      <c r="J1477" s="11" t="n">
        <v>0.15</v>
      </c>
      <c r="K1477" s="9">
        <f>I1477*J1477</f>
        <v/>
      </c>
      <c r="L1477" s="9">
        <f>I1477-K1477</f>
        <v/>
      </c>
      <c r="M1477" s="9">
        <f>F1477*H1477</f>
        <v/>
      </c>
      <c r="N1477" s="9">
        <f>L1477-M1477</f>
        <v/>
      </c>
      <c r="O1477" s="11">
        <f>IFERROR(N1477/L1477, 0)</f>
        <v/>
      </c>
      <c r="P1477" s="8">
        <f>YEAR(C1477)</f>
        <v/>
      </c>
      <c r="Q1477" s="8">
        <f>TEXT(C1477, "yyyy-mm")</f>
        <v/>
      </c>
      <c r="R1477" s="8" t="inlineStr">
        <is>
          <t>Mobile App</t>
        </is>
      </c>
      <c r="S1477" s="8" t="inlineStr">
        <is>
          <t>REG-NA</t>
        </is>
      </c>
    </row>
    <row r="1478">
      <c r="A1478" s="8" t="inlineStr">
        <is>
          <t>DTL-0001495</t>
        </is>
      </c>
      <c r="B1478" s="8" t="inlineStr">
        <is>
          <t>ORD-000744</t>
        </is>
      </c>
      <c r="C1478" s="10" t="inlineStr">
        <is>
          <t>2024-10-01</t>
        </is>
      </c>
      <c r="D1478" s="8" t="inlineStr">
        <is>
          <t>CUST-02504</t>
        </is>
      </c>
      <c r="E1478" s="8" t="inlineStr">
        <is>
          <t>PRD-0092</t>
        </is>
      </c>
      <c r="F1478" s="8" t="n">
        <v>2</v>
      </c>
      <c r="G1478" s="9">
        <f>IFERROR(XLOOKUP(E1478, '04_Products'!$A:$A, '04_Products'!$G:$G), 63.90)</f>
        <v/>
      </c>
      <c r="H1478" s="9">
        <f>IFERROR(XLOOKUP(E1478, '04_Products'!$A:$A, '04_Products'!$F:$F), 0)</f>
        <v/>
      </c>
      <c r="I1478" s="9">
        <f>F1478*G1478</f>
        <v/>
      </c>
      <c r="J1478" s="11" t="n">
        <v>0.25</v>
      </c>
      <c r="K1478" s="9">
        <f>I1478*J1478</f>
        <v/>
      </c>
      <c r="L1478" s="9">
        <f>I1478-K1478</f>
        <v/>
      </c>
      <c r="M1478" s="9">
        <f>F1478*H1478</f>
        <v/>
      </c>
      <c r="N1478" s="9">
        <f>L1478-M1478</f>
        <v/>
      </c>
      <c r="O1478" s="11">
        <f>IFERROR(N1478/L1478, 0)</f>
        <v/>
      </c>
      <c r="P1478" s="8">
        <f>YEAR(C1478)</f>
        <v/>
      </c>
      <c r="Q1478" s="8">
        <f>TEXT(C1478, "yyyy-mm")</f>
        <v/>
      </c>
      <c r="R1478" s="8" t="inlineStr">
        <is>
          <t>Mobile App</t>
        </is>
      </c>
      <c r="S1478" s="8" t="inlineStr">
        <is>
          <t>REG-NA</t>
        </is>
      </c>
    </row>
    <row r="1479">
      <c r="A1479" s="8" t="inlineStr">
        <is>
          <t>DTL-0001496</t>
        </is>
      </c>
      <c r="B1479" s="8" t="inlineStr">
        <is>
          <t>ORD-000745</t>
        </is>
      </c>
      <c r="C1479" s="10" t="inlineStr">
        <is>
          <t>2025-12-17</t>
        </is>
      </c>
      <c r="D1479" s="8" t="inlineStr">
        <is>
          <t>CUST-03574</t>
        </is>
      </c>
      <c r="E1479" s="8" t="inlineStr">
        <is>
          <t>PRD-0024</t>
        </is>
      </c>
      <c r="F1479" s="8" t="n">
        <v>1</v>
      </c>
      <c r="G1479" s="9">
        <f>IFERROR(XLOOKUP(E1479, '04_Products'!$A:$A, '04_Products'!$G:$G), 45.49)</f>
        <v/>
      </c>
      <c r="H1479" s="9">
        <f>IFERROR(XLOOKUP(E1479, '04_Products'!$A:$A, '04_Products'!$F:$F), 0)</f>
        <v/>
      </c>
      <c r="I1479" s="9">
        <f>F1479*G1479</f>
        <v/>
      </c>
      <c r="J1479" s="11" t="n">
        <v>0.25</v>
      </c>
      <c r="K1479" s="9">
        <f>I1479*J1479</f>
        <v/>
      </c>
      <c r="L1479" s="9">
        <f>I1479-K1479</f>
        <v/>
      </c>
      <c r="M1479" s="9">
        <f>F1479*H1479</f>
        <v/>
      </c>
      <c r="N1479" s="9">
        <f>L1479-M1479</f>
        <v/>
      </c>
      <c r="O1479" s="11">
        <f>IFERROR(N1479/L1479, 0)</f>
        <v/>
      </c>
      <c r="P1479" s="8">
        <f>YEAR(C1479)</f>
        <v/>
      </c>
      <c r="Q1479" s="8">
        <f>TEXT(C1479, "yyyy-mm")</f>
        <v/>
      </c>
      <c r="R1479" s="8" t="inlineStr">
        <is>
          <t>Mobile App</t>
        </is>
      </c>
      <c r="S1479" s="8" t="inlineStr">
        <is>
          <t>REG-NA</t>
        </is>
      </c>
    </row>
    <row r="1480">
      <c r="A1480" s="8" t="inlineStr">
        <is>
          <t>DTL-0001497</t>
        </is>
      </c>
      <c r="B1480" s="8" t="inlineStr">
        <is>
          <t>ORD-000746</t>
        </is>
      </c>
      <c r="C1480" s="10" t="inlineStr">
        <is>
          <t>2024-12-04</t>
        </is>
      </c>
      <c r="D1480" s="8" t="inlineStr">
        <is>
          <t>CUST-00628</t>
        </is>
      </c>
      <c r="E1480" s="8" t="inlineStr">
        <is>
          <t>PRD-0371</t>
        </is>
      </c>
      <c r="F1480" s="8" t="n">
        <v>2</v>
      </c>
      <c r="G1480" s="9">
        <f>IFERROR(XLOOKUP(E1480, '04_Products'!$A:$A, '04_Products'!$G:$G), 41.78)</f>
        <v/>
      </c>
      <c r="H1480" s="9">
        <f>IFERROR(XLOOKUP(E1480, '04_Products'!$A:$A, '04_Products'!$F:$F), 0)</f>
        <v/>
      </c>
      <c r="I1480" s="9">
        <f>F1480*G1480</f>
        <v/>
      </c>
      <c r="J1480" s="11" t="n">
        <v>0.3</v>
      </c>
      <c r="K1480" s="9">
        <f>I1480*J1480</f>
        <v/>
      </c>
      <c r="L1480" s="9">
        <f>I1480-K1480</f>
        <v/>
      </c>
      <c r="M1480" s="9">
        <f>F1480*H1480</f>
        <v/>
      </c>
      <c r="N1480" s="9">
        <f>L1480-M1480</f>
        <v/>
      </c>
      <c r="O1480" s="11">
        <f>IFERROR(N1480/L1480, 0)</f>
        <v/>
      </c>
      <c r="P1480" s="8">
        <f>YEAR(C1480)</f>
        <v/>
      </c>
      <c r="Q1480" s="8">
        <f>TEXT(C1480, "yyyy-mm")</f>
        <v/>
      </c>
      <c r="R1480" s="8" t="inlineStr">
        <is>
          <t>Affiliate Partner</t>
        </is>
      </c>
      <c r="S1480" s="8" t="inlineStr">
        <is>
          <t>REG-APAC</t>
        </is>
      </c>
    </row>
    <row r="1481">
      <c r="A1481" s="8" t="inlineStr">
        <is>
          <t>DTL-0001498</t>
        </is>
      </c>
      <c r="B1481" s="8" t="inlineStr">
        <is>
          <t>ORD-000746</t>
        </is>
      </c>
      <c r="C1481" s="10" t="inlineStr">
        <is>
          <t>2024-12-04</t>
        </is>
      </c>
      <c r="D1481" s="8" t="inlineStr">
        <is>
          <t>CUST-00628</t>
        </is>
      </c>
      <c r="E1481" s="8" t="inlineStr">
        <is>
          <t>PRD-0028</t>
        </is>
      </c>
      <c r="F1481" s="8" t="n">
        <v>1</v>
      </c>
      <c r="G1481" s="9">
        <f>IFERROR(XLOOKUP(E1481, '04_Products'!$A:$A, '04_Products'!$G:$G), 832.11)</f>
        <v/>
      </c>
      <c r="H1481" s="9">
        <f>IFERROR(XLOOKUP(E1481, '04_Products'!$A:$A, '04_Products'!$F:$F), 0)</f>
        <v/>
      </c>
      <c r="I1481" s="9">
        <f>F1481*G1481</f>
        <v/>
      </c>
      <c r="J1481" s="11" t="n">
        <v>0</v>
      </c>
      <c r="K1481" s="9">
        <f>I1481*J1481</f>
        <v/>
      </c>
      <c r="L1481" s="9">
        <f>I1481-K1481</f>
        <v/>
      </c>
      <c r="M1481" s="9">
        <f>F1481*H1481</f>
        <v/>
      </c>
      <c r="N1481" s="9">
        <f>L1481-M1481</f>
        <v/>
      </c>
      <c r="O1481" s="11">
        <f>IFERROR(N1481/L1481, 0)</f>
        <v/>
      </c>
      <c r="P1481" s="8">
        <f>YEAR(C1481)</f>
        <v/>
      </c>
      <c r="Q1481" s="8">
        <f>TEXT(C1481, "yyyy-mm")</f>
        <v/>
      </c>
      <c r="R1481" s="8" t="inlineStr">
        <is>
          <t>Affiliate Partner</t>
        </is>
      </c>
      <c r="S1481" s="8" t="inlineStr">
        <is>
          <t>REG-APAC</t>
        </is>
      </c>
    </row>
    <row r="1482">
      <c r="A1482" s="8" t="inlineStr">
        <is>
          <t>DTL-0001499</t>
        </is>
      </c>
      <c r="B1482" s="8" t="inlineStr">
        <is>
          <t>ORD-000746</t>
        </is>
      </c>
      <c r="C1482" s="10" t="inlineStr">
        <is>
          <t>2024-12-04</t>
        </is>
      </c>
      <c r="D1482" s="8" t="inlineStr">
        <is>
          <t>CUST-00628</t>
        </is>
      </c>
      <c r="E1482" s="8" t="inlineStr">
        <is>
          <t>PRD-0116</t>
        </is>
      </c>
      <c r="F1482" s="8" t="n">
        <v>1</v>
      </c>
      <c r="G1482" s="9">
        <f>IFERROR(XLOOKUP(E1482, '04_Products'!$A:$A, '04_Products'!$G:$G), 177.13)</f>
        <v/>
      </c>
      <c r="H1482" s="9">
        <f>IFERROR(XLOOKUP(E1482, '04_Products'!$A:$A, '04_Products'!$F:$F), 0)</f>
        <v/>
      </c>
      <c r="I1482" s="9">
        <f>F1482*G1482</f>
        <v/>
      </c>
      <c r="J1482" s="11" t="n">
        <v>0</v>
      </c>
      <c r="K1482" s="9">
        <f>I1482*J1482</f>
        <v/>
      </c>
      <c r="L1482" s="9">
        <f>I1482-K1482</f>
        <v/>
      </c>
      <c r="M1482" s="9">
        <f>F1482*H1482</f>
        <v/>
      </c>
      <c r="N1482" s="9">
        <f>L1482-M1482</f>
        <v/>
      </c>
      <c r="O1482" s="11">
        <f>IFERROR(N1482/L1482, 0)</f>
        <v/>
      </c>
      <c r="P1482" s="8">
        <f>YEAR(C1482)</f>
        <v/>
      </c>
      <c r="Q1482" s="8">
        <f>TEXT(C1482, "yyyy-mm")</f>
        <v/>
      </c>
      <c r="R1482" s="8" t="inlineStr">
        <is>
          <t>Affiliate Partner</t>
        </is>
      </c>
      <c r="S1482" s="8" t="inlineStr">
        <is>
          <t>REG-APAC</t>
        </is>
      </c>
    </row>
    <row r="1483">
      <c r="A1483" s="8" t="inlineStr">
        <is>
          <t>DTL-0001500</t>
        </is>
      </c>
      <c r="B1483" s="8" t="inlineStr">
        <is>
          <t>ORD-000746</t>
        </is>
      </c>
      <c r="C1483" s="10" t="inlineStr">
        <is>
          <t>2024-12-04</t>
        </is>
      </c>
      <c r="D1483" s="8" t="inlineStr">
        <is>
          <t>CUST-00628</t>
        </is>
      </c>
      <c r="E1483" s="8" t="inlineStr">
        <is>
          <t>PRD-0062</t>
        </is>
      </c>
      <c r="F1483" s="8" t="n">
        <v>4</v>
      </c>
      <c r="G1483" s="9">
        <f>IFERROR(XLOOKUP(E1483, '04_Products'!$A:$A, '04_Products'!$G:$G), 829.67)</f>
        <v/>
      </c>
      <c r="H1483" s="9">
        <f>IFERROR(XLOOKUP(E1483, '04_Products'!$A:$A, '04_Products'!$F:$F), 0)</f>
        <v/>
      </c>
      <c r="I1483" s="9">
        <f>F1483*G1483</f>
        <v/>
      </c>
      <c r="J1483" s="11" t="n">
        <v>0.2</v>
      </c>
      <c r="K1483" s="9">
        <f>I1483*J1483</f>
        <v/>
      </c>
      <c r="L1483" s="9">
        <f>I1483-K1483</f>
        <v/>
      </c>
      <c r="M1483" s="9">
        <f>F1483*H1483</f>
        <v/>
      </c>
      <c r="N1483" s="9">
        <f>L1483-M1483</f>
        <v/>
      </c>
      <c r="O1483" s="11">
        <f>IFERROR(N1483/L1483, 0)</f>
        <v/>
      </c>
      <c r="P1483" s="8">
        <f>YEAR(C1483)</f>
        <v/>
      </c>
      <c r="Q1483" s="8">
        <f>TEXT(C1483, "yyyy-mm")</f>
        <v/>
      </c>
      <c r="R1483" s="8" t="inlineStr">
        <is>
          <t>Affiliate Partner</t>
        </is>
      </c>
      <c r="S1483" s="8" t="inlineStr">
        <is>
          <t>REG-APAC</t>
        </is>
      </c>
    </row>
    <row r="1484">
      <c r="A1484" s="8" t="inlineStr">
        <is>
          <t>DTL-0001501</t>
        </is>
      </c>
      <c r="B1484" s="8" t="inlineStr">
        <is>
          <t>ORD-000747</t>
        </is>
      </c>
      <c r="C1484" s="10" t="inlineStr">
        <is>
          <t>2025-05-18</t>
        </is>
      </c>
      <c r="D1484" s="8" t="inlineStr">
        <is>
          <t>CUST-02341</t>
        </is>
      </c>
      <c r="E1484" s="8" t="inlineStr">
        <is>
          <t>PRD-0125</t>
        </is>
      </c>
      <c r="F1484" s="8" t="n">
        <v>3</v>
      </c>
      <c r="G1484" s="9">
        <f>IFERROR(XLOOKUP(E1484, '04_Products'!$A:$A, '04_Products'!$G:$G), 1389.75)</f>
        <v/>
      </c>
      <c r="H1484" s="9">
        <f>IFERROR(XLOOKUP(E1484, '04_Products'!$A:$A, '04_Products'!$F:$F), 0)</f>
        <v/>
      </c>
      <c r="I1484" s="9">
        <f>F1484*G1484</f>
        <v/>
      </c>
      <c r="J1484" s="11" t="n">
        <v>0.05</v>
      </c>
      <c r="K1484" s="9">
        <f>I1484*J1484</f>
        <v/>
      </c>
      <c r="L1484" s="9">
        <f>I1484-K1484</f>
        <v/>
      </c>
      <c r="M1484" s="9">
        <f>F1484*H1484</f>
        <v/>
      </c>
      <c r="N1484" s="9">
        <f>L1484-M1484</f>
        <v/>
      </c>
      <c r="O1484" s="11">
        <f>IFERROR(N1484/L1484, 0)</f>
        <v/>
      </c>
      <c r="P1484" s="8">
        <f>YEAR(C1484)</f>
        <v/>
      </c>
      <c r="Q1484" s="8">
        <f>TEXT(C1484, "yyyy-mm")</f>
        <v/>
      </c>
      <c r="R1484" s="8" t="inlineStr">
        <is>
          <t>Affiliate Partner</t>
        </is>
      </c>
      <c r="S1484" s="8" t="inlineStr">
        <is>
          <t>REG-NA</t>
        </is>
      </c>
    </row>
    <row r="1485">
      <c r="A1485" s="8" t="inlineStr">
        <is>
          <t>DTL-0001502</t>
        </is>
      </c>
      <c r="B1485" s="8" t="inlineStr">
        <is>
          <t>ORD-000748</t>
        </is>
      </c>
      <c r="C1485" s="10" t="inlineStr">
        <is>
          <t>2025-11-12</t>
        </is>
      </c>
      <c r="D1485" s="8" t="inlineStr">
        <is>
          <t>CUST-03718</t>
        </is>
      </c>
      <c r="E1485" s="8" t="inlineStr">
        <is>
          <t>PRD-0469</t>
        </is>
      </c>
      <c r="F1485" s="8" t="n">
        <v>2</v>
      </c>
      <c r="G1485" s="9">
        <f>IFERROR(XLOOKUP(E1485, '04_Products'!$A:$A, '04_Products'!$G:$G), 892.14)</f>
        <v/>
      </c>
      <c r="H1485" s="9">
        <f>IFERROR(XLOOKUP(E1485, '04_Products'!$A:$A, '04_Products'!$F:$F), 0)</f>
        <v/>
      </c>
      <c r="I1485" s="9">
        <f>F1485*G1485</f>
        <v/>
      </c>
      <c r="J1485" s="11" t="n">
        <v>0.1</v>
      </c>
      <c r="K1485" s="9">
        <f>I1485*J1485</f>
        <v/>
      </c>
      <c r="L1485" s="9">
        <f>I1485-K1485</f>
        <v/>
      </c>
      <c r="M1485" s="9">
        <f>F1485*H1485</f>
        <v/>
      </c>
      <c r="N1485" s="9">
        <f>L1485-M1485</f>
        <v/>
      </c>
      <c r="O1485" s="11">
        <f>IFERROR(N1485/L1485, 0)</f>
        <v/>
      </c>
      <c r="P1485" s="8">
        <f>YEAR(C1485)</f>
        <v/>
      </c>
      <c r="Q1485" s="8">
        <f>TEXT(C1485, "yyyy-mm")</f>
        <v/>
      </c>
      <c r="R1485" s="8" t="inlineStr">
        <is>
          <t>Direct Web</t>
        </is>
      </c>
      <c r="S1485" s="8" t="inlineStr">
        <is>
          <t>REG-NA</t>
        </is>
      </c>
    </row>
    <row r="1486">
      <c r="A1486" s="8" t="inlineStr">
        <is>
          <t>DTL-0001503</t>
        </is>
      </c>
      <c r="B1486" s="8" t="inlineStr">
        <is>
          <t>ORD-000749</t>
        </is>
      </c>
      <c r="C1486" s="10" t="inlineStr">
        <is>
          <t>2024-11-23</t>
        </is>
      </c>
      <c r="D1486" s="8" t="inlineStr">
        <is>
          <t>CUST-03056</t>
        </is>
      </c>
      <c r="E1486" s="8" t="inlineStr">
        <is>
          <t>PRD-0348</t>
        </is>
      </c>
      <c r="F1486" s="8" t="n">
        <v>1</v>
      </c>
      <c r="G1486" s="9">
        <f>IFERROR(XLOOKUP(E1486, '04_Products'!$A:$A, '04_Products'!$G:$G), 792.82)</f>
        <v/>
      </c>
      <c r="H1486" s="9">
        <f>IFERROR(XLOOKUP(E1486, '04_Products'!$A:$A, '04_Products'!$F:$F), 0)</f>
        <v/>
      </c>
      <c r="I1486" s="9">
        <f>F1486*G1486</f>
        <v/>
      </c>
      <c r="J1486" s="11" t="n">
        <v>0</v>
      </c>
      <c r="K1486" s="9">
        <f>I1486*J1486</f>
        <v/>
      </c>
      <c r="L1486" s="9">
        <f>I1486-K1486</f>
        <v/>
      </c>
      <c r="M1486" s="9">
        <f>F1486*H1486</f>
        <v/>
      </c>
      <c r="N1486" s="9">
        <f>L1486-M1486</f>
        <v/>
      </c>
      <c r="O1486" s="11">
        <f>IFERROR(N1486/L1486, 0)</f>
        <v/>
      </c>
      <c r="P1486" s="8">
        <f>YEAR(C1486)</f>
        <v/>
      </c>
      <c r="Q1486" s="8">
        <f>TEXT(C1486, "yyyy-mm")</f>
        <v/>
      </c>
      <c r="R1486" s="8" t="inlineStr">
        <is>
          <t>Direct Web</t>
        </is>
      </c>
      <c r="S1486" s="8" t="inlineStr">
        <is>
          <t>REG-EU</t>
        </is>
      </c>
    </row>
    <row r="1487">
      <c r="A1487" s="8" t="inlineStr">
        <is>
          <t>DTL-0001504</t>
        </is>
      </c>
      <c r="B1487" s="8" t="inlineStr">
        <is>
          <t>ORD-000750</t>
        </is>
      </c>
      <c r="C1487" s="10" t="inlineStr">
        <is>
          <t>2023-03-13</t>
        </is>
      </c>
      <c r="D1487" s="8" t="inlineStr">
        <is>
          <t>CUST-01143</t>
        </is>
      </c>
      <c r="E1487" s="8" t="inlineStr">
        <is>
          <t>PRD-0040</t>
        </is>
      </c>
      <c r="F1487" s="8" t="n">
        <v>2</v>
      </c>
      <c r="G1487" s="9">
        <f>IFERROR(XLOOKUP(E1487, '04_Products'!$A:$A, '04_Products'!$G:$G), 28.56)</f>
        <v/>
      </c>
      <c r="H1487" s="9">
        <f>IFERROR(XLOOKUP(E1487, '04_Products'!$A:$A, '04_Products'!$F:$F), 0)</f>
        <v/>
      </c>
      <c r="I1487" s="9">
        <f>F1487*G1487</f>
        <v/>
      </c>
      <c r="J1487" s="11" t="n">
        <v>0.05</v>
      </c>
      <c r="K1487" s="9">
        <f>I1487*J1487</f>
        <v/>
      </c>
      <c r="L1487" s="9">
        <f>I1487-K1487</f>
        <v/>
      </c>
      <c r="M1487" s="9">
        <f>F1487*H1487</f>
        <v/>
      </c>
      <c r="N1487" s="9">
        <f>L1487-M1487</f>
        <v/>
      </c>
      <c r="O1487" s="11">
        <f>IFERROR(N1487/L1487, 0)</f>
        <v/>
      </c>
      <c r="P1487" s="8">
        <f>YEAR(C1487)</f>
        <v/>
      </c>
      <c r="Q1487" s="8">
        <f>TEXT(C1487, "yyyy-mm")</f>
        <v/>
      </c>
      <c r="R1487" s="8" t="inlineStr">
        <is>
          <t>Mobile App</t>
        </is>
      </c>
      <c r="S1487" s="8" t="inlineStr">
        <is>
          <t>REG-NA</t>
        </is>
      </c>
    </row>
    <row r="1488">
      <c r="A1488" s="8" t="inlineStr">
        <is>
          <t>DTL-0001505</t>
        </is>
      </c>
      <c r="B1488" s="8" t="inlineStr">
        <is>
          <t>ORD-000750</t>
        </is>
      </c>
      <c r="C1488" s="10" t="inlineStr">
        <is>
          <t>2023-03-13</t>
        </is>
      </c>
      <c r="D1488" s="8" t="inlineStr">
        <is>
          <t>CUST-01143</t>
        </is>
      </c>
      <c r="E1488" s="8" t="inlineStr">
        <is>
          <t>PRD-0189</t>
        </is>
      </c>
      <c r="F1488" s="8" t="n">
        <v>1</v>
      </c>
      <c r="G1488" s="9">
        <f>IFERROR(XLOOKUP(E1488, '04_Products'!$A:$A, '04_Products'!$G:$G), 526.66)</f>
        <v/>
      </c>
      <c r="H1488" s="9">
        <f>IFERROR(XLOOKUP(E1488, '04_Products'!$A:$A, '04_Products'!$F:$F), 0)</f>
        <v/>
      </c>
      <c r="I1488" s="9">
        <f>F1488*G1488</f>
        <v/>
      </c>
      <c r="J1488" s="11" t="n">
        <v>0.2</v>
      </c>
      <c r="K1488" s="9">
        <f>I1488*J1488</f>
        <v/>
      </c>
      <c r="L1488" s="9">
        <f>I1488-K1488</f>
        <v/>
      </c>
      <c r="M1488" s="9">
        <f>F1488*H1488</f>
        <v/>
      </c>
      <c r="N1488" s="9">
        <f>L1488-M1488</f>
        <v/>
      </c>
      <c r="O1488" s="11">
        <f>IFERROR(N1488/L1488, 0)</f>
        <v/>
      </c>
      <c r="P1488" s="8">
        <f>YEAR(C1488)</f>
        <v/>
      </c>
      <c r="Q1488" s="8">
        <f>TEXT(C1488, "yyyy-mm")</f>
        <v/>
      </c>
      <c r="R1488" s="8" t="inlineStr">
        <is>
          <t>Mobile App</t>
        </is>
      </c>
      <c r="S1488" s="8" t="inlineStr">
        <is>
          <t>REG-NA</t>
        </is>
      </c>
    </row>
    <row r="1489">
      <c r="A1489" s="8" t="inlineStr">
        <is>
          <t>DTL-0001506</t>
        </is>
      </c>
      <c r="B1489" s="8" t="inlineStr">
        <is>
          <t>ORD-000751</t>
        </is>
      </c>
      <c r="C1489" s="10" t="inlineStr">
        <is>
          <t>2024-08-05</t>
        </is>
      </c>
      <c r="D1489" s="8" t="inlineStr">
        <is>
          <t>CUST-02170</t>
        </is>
      </c>
      <c r="E1489" s="8" t="inlineStr">
        <is>
          <t>PRD-0291</t>
        </is>
      </c>
      <c r="F1489" s="8" t="n">
        <v>1</v>
      </c>
      <c r="G1489" s="9">
        <f>IFERROR(XLOOKUP(E1489, '04_Products'!$A:$A, '04_Products'!$G:$G), 52.44)</f>
        <v/>
      </c>
      <c r="H1489" s="9">
        <f>IFERROR(XLOOKUP(E1489, '04_Products'!$A:$A, '04_Products'!$F:$F), 0)</f>
        <v/>
      </c>
      <c r="I1489" s="9">
        <f>F1489*G1489</f>
        <v/>
      </c>
      <c r="J1489" s="11" t="n">
        <v>0</v>
      </c>
      <c r="K1489" s="9">
        <f>I1489*J1489</f>
        <v/>
      </c>
      <c r="L1489" s="9">
        <f>I1489-K1489</f>
        <v/>
      </c>
      <c r="M1489" s="9">
        <f>F1489*H1489</f>
        <v/>
      </c>
      <c r="N1489" s="9">
        <f>L1489-M1489</f>
        <v/>
      </c>
      <c r="O1489" s="11">
        <f>IFERROR(N1489/L1489, 0)</f>
        <v/>
      </c>
      <c r="P1489" s="8">
        <f>YEAR(C1489)</f>
        <v/>
      </c>
      <c r="Q1489" s="8">
        <f>TEXT(C1489, "yyyy-mm")</f>
        <v/>
      </c>
      <c r="R1489" s="8" t="inlineStr">
        <is>
          <t>Direct Web</t>
        </is>
      </c>
      <c r="S1489" s="8" t="inlineStr">
        <is>
          <t>REG-EU</t>
        </is>
      </c>
    </row>
    <row r="1490">
      <c r="A1490" s="8" t="inlineStr">
        <is>
          <t>DTL-0001507</t>
        </is>
      </c>
      <c r="B1490" s="8" t="inlineStr">
        <is>
          <t>ORD-000752</t>
        </is>
      </c>
      <c r="C1490" s="10" t="inlineStr">
        <is>
          <t>2025-08-27</t>
        </is>
      </c>
      <c r="D1490" s="8" t="inlineStr">
        <is>
          <t>CUST-06303</t>
        </is>
      </c>
      <c r="E1490" s="8" t="inlineStr">
        <is>
          <t>PRD-0088</t>
        </is>
      </c>
      <c r="F1490" s="8" t="n">
        <v>2</v>
      </c>
      <c r="G1490" s="9">
        <f>IFERROR(XLOOKUP(E1490, '04_Products'!$A:$A, '04_Products'!$G:$G), 952.03)</f>
        <v/>
      </c>
      <c r="H1490" s="9">
        <f>IFERROR(XLOOKUP(E1490, '04_Products'!$A:$A, '04_Products'!$F:$F), 0)</f>
        <v/>
      </c>
      <c r="I1490" s="9">
        <f>F1490*G1490</f>
        <v/>
      </c>
      <c r="J1490" s="11" t="n">
        <v>0</v>
      </c>
      <c r="K1490" s="9">
        <f>I1490*J1490</f>
        <v/>
      </c>
      <c r="L1490" s="9">
        <f>I1490-K1490</f>
        <v/>
      </c>
      <c r="M1490" s="9">
        <f>F1490*H1490</f>
        <v/>
      </c>
      <c r="N1490" s="9">
        <f>L1490-M1490</f>
        <v/>
      </c>
      <c r="O1490" s="11">
        <f>IFERROR(N1490/L1490, 0)</f>
        <v/>
      </c>
      <c r="P1490" s="8">
        <f>YEAR(C1490)</f>
        <v/>
      </c>
      <c r="Q1490" s="8">
        <f>TEXT(C1490, "yyyy-mm")</f>
        <v/>
      </c>
      <c r="R1490" s="8" t="inlineStr">
        <is>
          <t>Direct Web</t>
        </is>
      </c>
      <c r="S1490" s="8" t="inlineStr">
        <is>
          <t>REG-EU</t>
        </is>
      </c>
    </row>
    <row r="1491">
      <c r="A1491" s="8" t="inlineStr">
        <is>
          <t>DTL-0001508</t>
        </is>
      </c>
      <c r="B1491" s="8" t="inlineStr">
        <is>
          <t>ORD-000752</t>
        </is>
      </c>
      <c r="C1491" s="10" t="inlineStr">
        <is>
          <t>2025-08-27</t>
        </is>
      </c>
      <c r="D1491" s="8" t="inlineStr">
        <is>
          <t>CUST-06303</t>
        </is>
      </c>
      <c r="E1491" s="8" t="inlineStr">
        <is>
          <t>PRD-0382</t>
        </is>
      </c>
      <c r="F1491" s="8" t="n">
        <v>1</v>
      </c>
      <c r="G1491" s="9">
        <f>IFERROR(XLOOKUP(E1491, '04_Products'!$A:$A, '04_Products'!$G:$G), 104.39)</f>
        <v/>
      </c>
      <c r="H1491" s="9">
        <f>IFERROR(XLOOKUP(E1491, '04_Products'!$A:$A, '04_Products'!$F:$F), 0)</f>
        <v/>
      </c>
      <c r="I1491" s="9">
        <f>F1491*G1491</f>
        <v/>
      </c>
      <c r="J1491" s="11" t="n">
        <v>0.1</v>
      </c>
      <c r="K1491" s="9">
        <f>I1491*J1491</f>
        <v/>
      </c>
      <c r="L1491" s="9">
        <f>I1491-K1491</f>
        <v/>
      </c>
      <c r="M1491" s="9">
        <f>F1491*H1491</f>
        <v/>
      </c>
      <c r="N1491" s="9">
        <f>L1491-M1491</f>
        <v/>
      </c>
      <c r="O1491" s="11">
        <f>IFERROR(N1491/L1491, 0)</f>
        <v/>
      </c>
      <c r="P1491" s="8">
        <f>YEAR(C1491)</f>
        <v/>
      </c>
      <c r="Q1491" s="8">
        <f>TEXT(C1491, "yyyy-mm")</f>
        <v/>
      </c>
      <c r="R1491" s="8" t="inlineStr">
        <is>
          <t>Direct Web</t>
        </is>
      </c>
      <c r="S1491" s="8" t="inlineStr">
        <is>
          <t>REG-EU</t>
        </is>
      </c>
    </row>
    <row r="1492">
      <c r="A1492" s="8" t="inlineStr">
        <is>
          <t>DTL-0001509</t>
        </is>
      </c>
      <c r="B1492" s="8" t="inlineStr">
        <is>
          <t>ORD-000753</t>
        </is>
      </c>
      <c r="C1492" s="10" t="inlineStr">
        <is>
          <t>2025-12-25</t>
        </is>
      </c>
      <c r="D1492" s="8" t="inlineStr">
        <is>
          <t>CUST-07610</t>
        </is>
      </c>
      <c r="E1492" s="8" t="inlineStr">
        <is>
          <t>PRD-0455</t>
        </is>
      </c>
      <c r="F1492" s="8" t="n">
        <v>10</v>
      </c>
      <c r="G1492" s="9">
        <f>IFERROR(XLOOKUP(E1492, '04_Products'!$A:$A, '04_Products'!$G:$G), 63.62)</f>
        <v/>
      </c>
      <c r="H1492" s="9">
        <f>IFERROR(XLOOKUP(E1492, '04_Products'!$A:$A, '04_Products'!$F:$F), 0)</f>
        <v/>
      </c>
      <c r="I1492" s="9">
        <f>F1492*G1492</f>
        <v/>
      </c>
      <c r="J1492" s="11" t="n">
        <v>0</v>
      </c>
      <c r="K1492" s="9">
        <f>I1492*J1492</f>
        <v/>
      </c>
      <c r="L1492" s="9">
        <f>I1492-K1492</f>
        <v/>
      </c>
      <c r="M1492" s="9">
        <f>F1492*H1492</f>
        <v/>
      </c>
      <c r="N1492" s="9">
        <f>L1492-M1492</f>
        <v/>
      </c>
      <c r="O1492" s="11">
        <f>IFERROR(N1492/L1492, 0)</f>
        <v/>
      </c>
      <c r="P1492" s="8">
        <f>YEAR(C1492)</f>
        <v/>
      </c>
      <c r="Q1492" s="8">
        <f>TEXT(C1492, "yyyy-mm")</f>
        <v/>
      </c>
      <c r="R1492" s="8" t="inlineStr">
        <is>
          <t>Direct Web</t>
        </is>
      </c>
      <c r="S1492" s="8" t="inlineStr">
        <is>
          <t>REG-NA</t>
        </is>
      </c>
    </row>
    <row r="1493">
      <c r="A1493" s="8" t="inlineStr">
        <is>
          <t>DTL-0001510</t>
        </is>
      </c>
      <c r="B1493" s="8" t="inlineStr">
        <is>
          <t>ORD-000753</t>
        </is>
      </c>
      <c r="C1493" s="10" t="inlineStr">
        <is>
          <t>2025-12-25</t>
        </is>
      </c>
      <c r="D1493" s="8" t="inlineStr">
        <is>
          <t>CUST-07610</t>
        </is>
      </c>
      <c r="E1493" s="8" t="inlineStr">
        <is>
          <t>PRD-0073</t>
        </is>
      </c>
      <c r="F1493" s="8" t="n">
        <v>1</v>
      </c>
      <c r="G1493" s="9">
        <f>IFERROR(XLOOKUP(E1493, '04_Products'!$A:$A, '04_Products'!$G:$G), 508.70)</f>
        <v/>
      </c>
      <c r="H1493" s="9">
        <f>IFERROR(XLOOKUP(E1493, '04_Products'!$A:$A, '04_Products'!$F:$F), 0)</f>
        <v/>
      </c>
      <c r="I1493" s="9">
        <f>F1493*G1493</f>
        <v/>
      </c>
      <c r="J1493" s="11" t="n">
        <v>0.1</v>
      </c>
      <c r="K1493" s="9">
        <f>I1493*J1493</f>
        <v/>
      </c>
      <c r="L1493" s="9">
        <f>I1493-K1493</f>
        <v/>
      </c>
      <c r="M1493" s="9">
        <f>F1493*H1493</f>
        <v/>
      </c>
      <c r="N1493" s="9">
        <f>L1493-M1493</f>
        <v/>
      </c>
      <c r="O1493" s="11">
        <f>IFERROR(N1493/L1493, 0)</f>
        <v/>
      </c>
      <c r="P1493" s="8">
        <f>YEAR(C1493)</f>
        <v/>
      </c>
      <c r="Q1493" s="8">
        <f>TEXT(C1493, "yyyy-mm")</f>
        <v/>
      </c>
      <c r="R1493" s="8" t="inlineStr">
        <is>
          <t>Direct Web</t>
        </is>
      </c>
      <c r="S1493" s="8" t="inlineStr">
        <is>
          <t>REG-NA</t>
        </is>
      </c>
    </row>
    <row r="1494">
      <c r="A1494" s="8" t="inlineStr">
        <is>
          <t>DTL-0001511</t>
        </is>
      </c>
      <c r="B1494" s="8" t="inlineStr">
        <is>
          <t>ORD-000754</t>
        </is>
      </c>
      <c r="C1494" s="10" t="inlineStr">
        <is>
          <t>2024-01-05</t>
        </is>
      </c>
      <c r="D1494" s="8" t="inlineStr">
        <is>
          <t>CUST-06728</t>
        </is>
      </c>
      <c r="E1494" s="8" t="inlineStr">
        <is>
          <t>PRD-0375</t>
        </is>
      </c>
      <c r="F1494" s="8" t="n">
        <v>2</v>
      </c>
      <c r="G1494" s="9">
        <f>IFERROR(XLOOKUP(E1494, '04_Products'!$A:$A, '04_Products'!$G:$G), 141.42)</f>
        <v/>
      </c>
      <c r="H1494" s="9">
        <f>IFERROR(XLOOKUP(E1494, '04_Products'!$A:$A, '04_Products'!$F:$F), 0)</f>
        <v/>
      </c>
      <c r="I1494" s="9">
        <f>F1494*G1494</f>
        <v/>
      </c>
      <c r="J1494" s="11" t="n">
        <v>0.15</v>
      </c>
      <c r="K1494" s="9">
        <f>I1494*J1494</f>
        <v/>
      </c>
      <c r="L1494" s="9">
        <f>I1494-K1494</f>
        <v/>
      </c>
      <c r="M1494" s="9">
        <f>F1494*H1494</f>
        <v/>
      </c>
      <c r="N1494" s="9">
        <f>L1494-M1494</f>
        <v/>
      </c>
      <c r="O1494" s="11">
        <f>IFERROR(N1494/L1494, 0)</f>
        <v/>
      </c>
      <c r="P1494" s="8">
        <f>YEAR(C1494)</f>
        <v/>
      </c>
      <c r="Q1494" s="8">
        <f>TEXT(C1494, "yyyy-mm")</f>
        <v/>
      </c>
      <c r="R1494" s="8" t="inlineStr">
        <is>
          <t>Direct Web</t>
        </is>
      </c>
      <c r="S1494" s="8" t="inlineStr">
        <is>
          <t>REG-NA</t>
        </is>
      </c>
    </row>
    <row r="1495">
      <c r="A1495" s="8" t="inlineStr">
        <is>
          <t>DTL-0001512</t>
        </is>
      </c>
      <c r="B1495" s="8" t="inlineStr">
        <is>
          <t>ORD-000754</t>
        </is>
      </c>
      <c r="C1495" s="10" t="inlineStr">
        <is>
          <t>2024-01-05</t>
        </is>
      </c>
      <c r="D1495" s="8" t="inlineStr">
        <is>
          <t>CUST-06728</t>
        </is>
      </c>
      <c r="E1495" s="8" t="inlineStr">
        <is>
          <t>PRD-0409</t>
        </is>
      </c>
      <c r="F1495" s="8" t="n">
        <v>1</v>
      </c>
      <c r="G1495" s="9">
        <f>IFERROR(XLOOKUP(E1495, '04_Products'!$A:$A, '04_Products'!$G:$G), 60.58)</f>
        <v/>
      </c>
      <c r="H1495" s="9">
        <f>IFERROR(XLOOKUP(E1495, '04_Products'!$A:$A, '04_Products'!$F:$F), 0)</f>
        <v/>
      </c>
      <c r="I1495" s="9">
        <f>F1495*G1495</f>
        <v/>
      </c>
      <c r="J1495" s="11" t="n">
        <v>0.1</v>
      </c>
      <c r="K1495" s="9">
        <f>I1495*J1495</f>
        <v/>
      </c>
      <c r="L1495" s="9">
        <f>I1495-K1495</f>
        <v/>
      </c>
      <c r="M1495" s="9">
        <f>F1495*H1495</f>
        <v/>
      </c>
      <c r="N1495" s="9">
        <f>L1495-M1495</f>
        <v/>
      </c>
      <c r="O1495" s="11">
        <f>IFERROR(N1495/L1495, 0)</f>
        <v/>
      </c>
      <c r="P1495" s="8">
        <f>YEAR(C1495)</f>
        <v/>
      </c>
      <c r="Q1495" s="8">
        <f>TEXT(C1495, "yyyy-mm")</f>
        <v/>
      </c>
      <c r="R1495" s="8" t="inlineStr">
        <is>
          <t>Direct Web</t>
        </is>
      </c>
      <c r="S1495" s="8" t="inlineStr">
        <is>
          <t>REG-NA</t>
        </is>
      </c>
    </row>
    <row r="1496">
      <c r="A1496" s="8" t="inlineStr">
        <is>
          <t>DTL-0001513</t>
        </is>
      </c>
      <c r="B1496" s="8" t="inlineStr">
        <is>
          <t>ORD-000754</t>
        </is>
      </c>
      <c r="C1496" s="10" t="inlineStr">
        <is>
          <t>2024-01-05</t>
        </is>
      </c>
      <c r="D1496" s="8" t="inlineStr">
        <is>
          <t>CUST-06728</t>
        </is>
      </c>
      <c r="E1496" s="8" t="inlineStr">
        <is>
          <t>PRD-0013</t>
        </is>
      </c>
      <c r="F1496" s="8" t="n">
        <v>1</v>
      </c>
      <c r="G1496" s="9">
        <f>IFERROR(XLOOKUP(E1496, '04_Products'!$A:$A, '04_Products'!$G:$G), 990.85)</f>
        <v/>
      </c>
      <c r="H1496" s="9">
        <f>IFERROR(XLOOKUP(E1496, '04_Products'!$A:$A, '04_Products'!$F:$F), 0)</f>
        <v/>
      </c>
      <c r="I1496" s="9">
        <f>F1496*G1496</f>
        <v/>
      </c>
      <c r="J1496" s="11" t="n">
        <v>0.05</v>
      </c>
      <c r="K1496" s="9">
        <f>I1496*J1496</f>
        <v/>
      </c>
      <c r="L1496" s="9">
        <f>I1496-K1496</f>
        <v/>
      </c>
      <c r="M1496" s="9">
        <f>F1496*H1496</f>
        <v/>
      </c>
      <c r="N1496" s="9">
        <f>L1496-M1496</f>
        <v/>
      </c>
      <c r="O1496" s="11">
        <f>IFERROR(N1496/L1496, 0)</f>
        <v/>
      </c>
      <c r="P1496" s="8">
        <f>YEAR(C1496)</f>
        <v/>
      </c>
      <c r="Q1496" s="8">
        <f>TEXT(C1496, "yyyy-mm")</f>
        <v/>
      </c>
      <c r="R1496" s="8" t="inlineStr">
        <is>
          <t>Direct Web</t>
        </is>
      </c>
      <c r="S1496" s="8" t="inlineStr">
        <is>
          <t>REG-NA</t>
        </is>
      </c>
    </row>
    <row r="1497">
      <c r="A1497" s="8" t="inlineStr">
        <is>
          <t>DTL-0001514</t>
        </is>
      </c>
      <c r="B1497" s="8" t="inlineStr">
        <is>
          <t>ORD-000754</t>
        </is>
      </c>
      <c r="C1497" s="10" t="inlineStr">
        <is>
          <t>2024-01-05</t>
        </is>
      </c>
      <c r="D1497" s="8" t="inlineStr">
        <is>
          <t>CUST-06728</t>
        </is>
      </c>
      <c r="E1497" s="8" t="inlineStr">
        <is>
          <t>PRD-0318</t>
        </is>
      </c>
      <c r="F1497" s="8" t="n">
        <v>5</v>
      </c>
      <c r="G1497" s="9">
        <f>IFERROR(XLOOKUP(E1497, '04_Products'!$A:$A, '04_Products'!$G:$G), 130.98)</f>
        <v/>
      </c>
      <c r="H1497" s="9">
        <f>IFERROR(XLOOKUP(E1497, '04_Products'!$A:$A, '04_Products'!$F:$F), 0)</f>
        <v/>
      </c>
      <c r="I1497" s="9">
        <f>F1497*G1497</f>
        <v/>
      </c>
      <c r="J1497" s="11" t="n">
        <v>0.15</v>
      </c>
      <c r="K1497" s="9">
        <f>I1497*J1497</f>
        <v/>
      </c>
      <c r="L1497" s="9">
        <f>I1497-K1497</f>
        <v/>
      </c>
      <c r="M1497" s="9">
        <f>F1497*H1497</f>
        <v/>
      </c>
      <c r="N1497" s="9">
        <f>L1497-M1497</f>
        <v/>
      </c>
      <c r="O1497" s="11">
        <f>IFERROR(N1497/L1497, 0)</f>
        <v/>
      </c>
      <c r="P1497" s="8">
        <f>YEAR(C1497)</f>
        <v/>
      </c>
      <c r="Q1497" s="8">
        <f>TEXT(C1497, "yyyy-mm")</f>
        <v/>
      </c>
      <c r="R1497" s="8" t="inlineStr">
        <is>
          <t>Direct Web</t>
        </is>
      </c>
      <c r="S1497" s="8" t="inlineStr">
        <is>
          <t>REG-NA</t>
        </is>
      </c>
    </row>
    <row r="1498">
      <c r="A1498" s="8" t="inlineStr">
        <is>
          <t>DTL-0001515</t>
        </is>
      </c>
      <c r="B1498" s="8" t="inlineStr">
        <is>
          <t>ORD-000754</t>
        </is>
      </c>
      <c r="C1498" s="10" t="inlineStr">
        <is>
          <t>2024-01-05</t>
        </is>
      </c>
      <c r="D1498" s="8" t="inlineStr">
        <is>
          <t>CUST-06728</t>
        </is>
      </c>
      <c r="E1498" s="8" t="inlineStr">
        <is>
          <t>PRD-0187</t>
        </is>
      </c>
      <c r="F1498" s="8" t="n">
        <v>3</v>
      </c>
      <c r="G1498" s="9">
        <f>IFERROR(XLOOKUP(E1498, '04_Products'!$A:$A, '04_Products'!$G:$G), 777.18)</f>
        <v/>
      </c>
      <c r="H1498" s="9">
        <f>IFERROR(XLOOKUP(E1498, '04_Products'!$A:$A, '04_Products'!$F:$F), 0)</f>
        <v/>
      </c>
      <c r="I1498" s="9">
        <f>F1498*G1498</f>
        <v/>
      </c>
      <c r="J1498" s="11" t="n">
        <v>0.2</v>
      </c>
      <c r="K1498" s="9">
        <f>I1498*J1498</f>
        <v/>
      </c>
      <c r="L1498" s="9">
        <f>I1498-K1498</f>
        <v/>
      </c>
      <c r="M1498" s="9">
        <f>F1498*H1498</f>
        <v/>
      </c>
      <c r="N1498" s="9">
        <f>L1498-M1498</f>
        <v/>
      </c>
      <c r="O1498" s="11">
        <f>IFERROR(N1498/L1498, 0)</f>
        <v/>
      </c>
      <c r="P1498" s="8">
        <f>YEAR(C1498)</f>
        <v/>
      </c>
      <c r="Q1498" s="8">
        <f>TEXT(C1498, "yyyy-mm")</f>
        <v/>
      </c>
      <c r="R1498" s="8" t="inlineStr">
        <is>
          <t>Direct Web</t>
        </is>
      </c>
      <c r="S1498" s="8" t="inlineStr">
        <is>
          <t>REG-NA</t>
        </is>
      </c>
    </row>
    <row r="1499">
      <c r="A1499" s="8" t="inlineStr">
        <is>
          <t>DTL-0001516</t>
        </is>
      </c>
      <c r="B1499" s="8" t="inlineStr">
        <is>
          <t>ORD-000755</t>
        </is>
      </c>
      <c r="C1499" s="10" t="inlineStr">
        <is>
          <t>2023-08-22</t>
        </is>
      </c>
      <c r="D1499" s="8" t="inlineStr">
        <is>
          <t>CUST-01237</t>
        </is>
      </c>
      <c r="E1499" s="8" t="inlineStr">
        <is>
          <t>PRD-0257</t>
        </is>
      </c>
      <c r="F1499" s="8" t="n">
        <v>1</v>
      </c>
      <c r="G1499" s="9">
        <f>IFERROR(XLOOKUP(E1499, '04_Products'!$A:$A, '04_Products'!$G:$G), 31.28)</f>
        <v/>
      </c>
      <c r="H1499" s="9">
        <f>IFERROR(XLOOKUP(E1499, '04_Products'!$A:$A, '04_Products'!$F:$F), 0)</f>
        <v/>
      </c>
      <c r="I1499" s="9">
        <f>F1499*G1499</f>
        <v/>
      </c>
      <c r="J1499" s="11" t="n">
        <v>0</v>
      </c>
      <c r="K1499" s="9">
        <f>I1499*J1499</f>
        <v/>
      </c>
      <c r="L1499" s="9">
        <f>I1499-K1499</f>
        <v/>
      </c>
      <c r="M1499" s="9">
        <f>F1499*H1499</f>
        <v/>
      </c>
      <c r="N1499" s="9">
        <f>L1499-M1499</f>
        <v/>
      </c>
      <c r="O1499" s="11">
        <f>IFERROR(N1499/L1499, 0)</f>
        <v/>
      </c>
      <c r="P1499" s="8">
        <f>YEAR(C1499)</f>
        <v/>
      </c>
      <c r="Q1499" s="8">
        <f>TEXT(C1499, "yyyy-mm")</f>
        <v/>
      </c>
      <c r="R1499" s="8" t="inlineStr">
        <is>
          <t>Mobile App</t>
        </is>
      </c>
      <c r="S1499" s="8" t="inlineStr">
        <is>
          <t>REG-EU</t>
        </is>
      </c>
    </row>
    <row r="1500">
      <c r="A1500" s="8" t="inlineStr">
        <is>
          <t>DTL-0001517</t>
        </is>
      </c>
      <c r="B1500" s="8" t="inlineStr">
        <is>
          <t>ORD-000756</t>
        </is>
      </c>
      <c r="C1500" s="10" t="inlineStr">
        <is>
          <t>2025-07-20</t>
        </is>
      </c>
      <c r="D1500" s="8" t="inlineStr">
        <is>
          <t>CUST-00244</t>
        </is>
      </c>
      <c r="E1500" s="8" t="inlineStr">
        <is>
          <t>PRD-0309</t>
        </is>
      </c>
      <c r="F1500" s="8" t="n">
        <v>2</v>
      </c>
      <c r="G1500" s="9">
        <f>IFERROR(XLOOKUP(E1500, '04_Products'!$A:$A, '04_Products'!$G:$G), 632.18)</f>
        <v/>
      </c>
      <c r="H1500" s="9">
        <f>IFERROR(XLOOKUP(E1500, '04_Products'!$A:$A, '04_Products'!$F:$F), 0)</f>
        <v/>
      </c>
      <c r="I1500" s="9">
        <f>F1500*G1500</f>
        <v/>
      </c>
      <c r="J1500" s="11" t="n">
        <v>0</v>
      </c>
      <c r="K1500" s="9">
        <f>I1500*J1500</f>
        <v/>
      </c>
      <c r="L1500" s="9">
        <f>I1500-K1500</f>
        <v/>
      </c>
      <c r="M1500" s="9">
        <f>F1500*H1500</f>
        <v/>
      </c>
      <c r="N1500" s="9">
        <f>L1500-M1500</f>
        <v/>
      </c>
      <c r="O1500" s="11">
        <f>IFERROR(N1500/L1500, 0)</f>
        <v/>
      </c>
      <c r="P1500" s="8">
        <f>YEAR(C1500)</f>
        <v/>
      </c>
      <c r="Q1500" s="8">
        <f>TEXT(C1500, "yyyy-mm")</f>
        <v/>
      </c>
      <c r="R1500" s="8" t="inlineStr">
        <is>
          <t>Mobile App</t>
        </is>
      </c>
      <c r="S1500" s="8" t="inlineStr">
        <is>
          <t>REG-APAC</t>
        </is>
      </c>
    </row>
    <row r="1501">
      <c r="A1501" s="8" t="inlineStr">
        <is>
          <t>DTL-0001518</t>
        </is>
      </c>
      <c r="B1501" s="8" t="inlineStr">
        <is>
          <t>ORD-000757</t>
        </is>
      </c>
      <c r="C1501" s="10" t="inlineStr">
        <is>
          <t>2025-01-05</t>
        </is>
      </c>
      <c r="D1501" s="8" t="inlineStr">
        <is>
          <t>CUST-01814</t>
        </is>
      </c>
      <c r="E1501" s="8" t="inlineStr">
        <is>
          <t>PRD-0318</t>
        </is>
      </c>
      <c r="F1501" s="8" t="n">
        <v>1</v>
      </c>
      <c r="G1501" s="9">
        <f>IFERROR(XLOOKUP(E1501, '04_Products'!$A:$A, '04_Products'!$G:$G), 130.98)</f>
        <v/>
      </c>
      <c r="H1501" s="9">
        <f>IFERROR(XLOOKUP(E1501, '04_Products'!$A:$A, '04_Products'!$F:$F), 0)</f>
        <v/>
      </c>
      <c r="I1501" s="9">
        <f>F1501*G1501</f>
        <v/>
      </c>
      <c r="J1501" s="11" t="n">
        <v>0.05</v>
      </c>
      <c r="K1501" s="9">
        <f>I1501*J1501</f>
        <v/>
      </c>
      <c r="L1501" s="9">
        <f>I1501-K1501</f>
        <v/>
      </c>
      <c r="M1501" s="9">
        <f>F1501*H1501</f>
        <v/>
      </c>
      <c r="N1501" s="9">
        <f>L1501-M1501</f>
        <v/>
      </c>
      <c r="O1501" s="11">
        <f>IFERROR(N1501/L1501, 0)</f>
        <v/>
      </c>
      <c r="P1501" s="8">
        <f>YEAR(C1501)</f>
        <v/>
      </c>
      <c r="Q1501" s="8">
        <f>TEXT(C1501, "yyyy-mm")</f>
        <v/>
      </c>
      <c r="R1501" s="8" t="inlineStr">
        <is>
          <t>Mobile App</t>
        </is>
      </c>
      <c r="S1501" s="8" t="inlineStr">
        <is>
          <t>REG-NA</t>
        </is>
      </c>
    </row>
    <row r="1502">
      <c r="A1502" s="8" t="inlineStr">
        <is>
          <t>DTL-0001519</t>
        </is>
      </c>
      <c r="B1502" s="8" t="inlineStr">
        <is>
          <t>ORD-000757</t>
        </is>
      </c>
      <c r="C1502" s="10" t="inlineStr">
        <is>
          <t>2025-01-05</t>
        </is>
      </c>
      <c r="D1502" s="8" t="inlineStr">
        <is>
          <t>CUST-01814</t>
        </is>
      </c>
      <c r="E1502" s="8" t="inlineStr">
        <is>
          <t>PRD-0475</t>
        </is>
      </c>
      <c r="F1502" s="8" t="n">
        <v>2</v>
      </c>
      <c r="G1502" s="9">
        <f>IFERROR(XLOOKUP(E1502, '04_Products'!$A:$A, '04_Products'!$G:$G), 61.15)</f>
        <v/>
      </c>
      <c r="H1502" s="9">
        <f>IFERROR(XLOOKUP(E1502, '04_Products'!$A:$A, '04_Products'!$F:$F), 0)</f>
        <v/>
      </c>
      <c r="I1502" s="9">
        <f>F1502*G1502</f>
        <v/>
      </c>
      <c r="J1502" s="11" t="n">
        <v>0.15</v>
      </c>
      <c r="K1502" s="9">
        <f>I1502*J1502</f>
        <v/>
      </c>
      <c r="L1502" s="9">
        <f>I1502-K1502</f>
        <v/>
      </c>
      <c r="M1502" s="9">
        <f>F1502*H1502</f>
        <v/>
      </c>
      <c r="N1502" s="9">
        <f>L1502-M1502</f>
        <v/>
      </c>
      <c r="O1502" s="11">
        <f>IFERROR(N1502/L1502, 0)</f>
        <v/>
      </c>
      <c r="P1502" s="8">
        <f>YEAR(C1502)</f>
        <v/>
      </c>
      <c r="Q1502" s="8">
        <f>TEXT(C1502, "yyyy-mm")</f>
        <v/>
      </c>
      <c r="R1502" s="8" t="inlineStr">
        <is>
          <t>Mobile App</t>
        </is>
      </c>
      <c r="S1502" s="8" t="inlineStr">
        <is>
          <t>REG-NA</t>
        </is>
      </c>
    </row>
    <row r="1503">
      <c r="A1503" s="8" t="inlineStr">
        <is>
          <t>DTL-0001520</t>
        </is>
      </c>
      <c r="B1503" s="8" t="inlineStr">
        <is>
          <t>ORD-000758</t>
        </is>
      </c>
      <c r="C1503" s="10" t="inlineStr">
        <is>
          <t>2024-12-13</t>
        </is>
      </c>
      <c r="D1503" s="8" t="inlineStr">
        <is>
          <t>CUST-06560</t>
        </is>
      </c>
      <c r="E1503" s="8" t="inlineStr">
        <is>
          <t>PRD-0183</t>
        </is>
      </c>
      <c r="F1503" s="8" t="n">
        <v>1</v>
      </c>
      <c r="G1503" s="9">
        <f>IFERROR(XLOOKUP(E1503, '04_Products'!$A:$A, '04_Products'!$G:$G), 1047.62)</f>
        <v/>
      </c>
      <c r="H1503" s="9">
        <f>IFERROR(XLOOKUP(E1503, '04_Products'!$A:$A, '04_Products'!$F:$F), 0)</f>
        <v/>
      </c>
      <c r="I1503" s="9">
        <f>F1503*G1503</f>
        <v/>
      </c>
      <c r="J1503" s="11" t="n">
        <v>0</v>
      </c>
      <c r="K1503" s="9">
        <f>I1503*J1503</f>
        <v/>
      </c>
      <c r="L1503" s="9">
        <f>I1503-K1503</f>
        <v/>
      </c>
      <c r="M1503" s="9">
        <f>F1503*H1503</f>
        <v/>
      </c>
      <c r="N1503" s="9">
        <f>L1503-M1503</f>
        <v/>
      </c>
      <c r="O1503" s="11">
        <f>IFERROR(N1503/L1503, 0)</f>
        <v/>
      </c>
      <c r="P1503" s="8">
        <f>YEAR(C1503)</f>
        <v/>
      </c>
      <c r="Q1503" s="8">
        <f>TEXT(C1503, "yyyy-mm")</f>
        <v/>
      </c>
      <c r="R1503" s="8" t="inlineStr">
        <is>
          <t>Affiliate Partner</t>
        </is>
      </c>
      <c r="S1503" s="8" t="inlineStr">
        <is>
          <t>REG-EU</t>
        </is>
      </c>
    </row>
    <row r="1504">
      <c r="A1504" s="8" t="inlineStr">
        <is>
          <t>DTL-0001521</t>
        </is>
      </c>
      <c r="B1504" s="8" t="inlineStr">
        <is>
          <t>ORD-000759</t>
        </is>
      </c>
      <c r="C1504" s="10" t="inlineStr">
        <is>
          <t>2023-10-14</t>
        </is>
      </c>
      <c r="D1504" s="8" t="inlineStr">
        <is>
          <t>CUST-03860</t>
        </is>
      </c>
      <c r="E1504" s="8" t="inlineStr">
        <is>
          <t>PRD-0143</t>
        </is>
      </c>
      <c r="F1504" s="8" t="n">
        <v>1</v>
      </c>
      <c r="G1504" s="9">
        <f>IFERROR(XLOOKUP(E1504, '04_Products'!$A:$A, '04_Products'!$G:$G), 359.58)</f>
        <v/>
      </c>
      <c r="H1504" s="9">
        <f>IFERROR(XLOOKUP(E1504, '04_Products'!$A:$A, '04_Products'!$F:$F), 0)</f>
        <v/>
      </c>
      <c r="I1504" s="9">
        <f>F1504*G1504</f>
        <v/>
      </c>
      <c r="J1504" s="11" t="n">
        <v>0.05</v>
      </c>
      <c r="K1504" s="9">
        <f>I1504*J1504</f>
        <v/>
      </c>
      <c r="L1504" s="9">
        <f>I1504-K1504</f>
        <v/>
      </c>
      <c r="M1504" s="9">
        <f>F1504*H1504</f>
        <v/>
      </c>
      <c r="N1504" s="9">
        <f>L1504-M1504</f>
        <v/>
      </c>
      <c r="O1504" s="11">
        <f>IFERROR(N1504/L1504, 0)</f>
        <v/>
      </c>
      <c r="P1504" s="8">
        <f>YEAR(C1504)</f>
        <v/>
      </c>
      <c r="Q1504" s="8">
        <f>TEXT(C1504, "yyyy-mm")</f>
        <v/>
      </c>
      <c r="R1504" s="8" t="inlineStr">
        <is>
          <t>Mobile App</t>
        </is>
      </c>
      <c r="S1504" s="8" t="inlineStr">
        <is>
          <t>REG-EU</t>
        </is>
      </c>
    </row>
    <row r="1505">
      <c r="A1505" s="8" t="inlineStr">
        <is>
          <t>DTL-0001522</t>
        </is>
      </c>
      <c r="B1505" s="8" t="inlineStr">
        <is>
          <t>ORD-000760</t>
        </is>
      </c>
      <c r="C1505" s="10" t="inlineStr">
        <is>
          <t>2025-04-30</t>
        </is>
      </c>
      <c r="D1505" s="8" t="inlineStr">
        <is>
          <t>CUST-01884</t>
        </is>
      </c>
      <c r="E1505" s="8" t="inlineStr">
        <is>
          <t>PRD-0233</t>
        </is>
      </c>
      <c r="F1505" s="8" t="n">
        <v>1</v>
      </c>
      <c r="G1505" s="9">
        <f>IFERROR(XLOOKUP(E1505, '04_Products'!$A:$A, '04_Products'!$G:$G), 65.61)</f>
        <v/>
      </c>
      <c r="H1505" s="9">
        <f>IFERROR(XLOOKUP(E1505, '04_Products'!$A:$A, '04_Products'!$F:$F), 0)</f>
        <v/>
      </c>
      <c r="I1505" s="9">
        <f>F1505*G1505</f>
        <v/>
      </c>
      <c r="J1505" s="11" t="n">
        <v>0.05</v>
      </c>
      <c r="K1505" s="9">
        <f>I1505*J1505</f>
        <v/>
      </c>
      <c r="L1505" s="9">
        <f>I1505-K1505</f>
        <v/>
      </c>
      <c r="M1505" s="9">
        <f>F1505*H1505</f>
        <v/>
      </c>
      <c r="N1505" s="9">
        <f>L1505-M1505</f>
        <v/>
      </c>
      <c r="O1505" s="11">
        <f>IFERROR(N1505/L1505, 0)</f>
        <v/>
      </c>
      <c r="P1505" s="8">
        <f>YEAR(C1505)</f>
        <v/>
      </c>
      <c r="Q1505" s="8">
        <f>TEXT(C1505, "yyyy-mm")</f>
        <v/>
      </c>
      <c r="R1505" s="8" t="inlineStr">
        <is>
          <t>B2B Portal</t>
        </is>
      </c>
      <c r="S1505" s="8" t="inlineStr">
        <is>
          <t>REG-APAC</t>
        </is>
      </c>
    </row>
    <row r="1506">
      <c r="A1506" s="8" t="inlineStr">
        <is>
          <t>DTL-0001523</t>
        </is>
      </c>
      <c r="B1506" s="8" t="inlineStr">
        <is>
          <t>ORD-000760</t>
        </is>
      </c>
      <c r="C1506" s="10" t="inlineStr">
        <is>
          <t>2025-04-30</t>
        </is>
      </c>
      <c r="D1506" s="8" t="inlineStr">
        <is>
          <t>CUST-01884</t>
        </is>
      </c>
      <c r="E1506" s="8" t="inlineStr">
        <is>
          <t>PRD-0086</t>
        </is>
      </c>
      <c r="F1506" s="8" t="n">
        <v>2</v>
      </c>
      <c r="G1506" s="9">
        <f>IFERROR(XLOOKUP(E1506, '04_Products'!$A:$A, '04_Products'!$G:$G), 996.20)</f>
        <v/>
      </c>
      <c r="H1506" s="9">
        <f>IFERROR(XLOOKUP(E1506, '04_Products'!$A:$A, '04_Products'!$F:$F), 0)</f>
        <v/>
      </c>
      <c r="I1506" s="9">
        <f>F1506*G1506</f>
        <v/>
      </c>
      <c r="J1506" s="11" t="n">
        <v>0</v>
      </c>
      <c r="K1506" s="9">
        <f>I1506*J1506</f>
        <v/>
      </c>
      <c r="L1506" s="9">
        <f>I1506-K1506</f>
        <v/>
      </c>
      <c r="M1506" s="9">
        <f>F1506*H1506</f>
        <v/>
      </c>
      <c r="N1506" s="9">
        <f>L1506-M1506</f>
        <v/>
      </c>
      <c r="O1506" s="11">
        <f>IFERROR(N1506/L1506, 0)</f>
        <v/>
      </c>
      <c r="P1506" s="8">
        <f>YEAR(C1506)</f>
        <v/>
      </c>
      <c r="Q1506" s="8">
        <f>TEXT(C1506, "yyyy-mm")</f>
        <v/>
      </c>
      <c r="R1506" s="8" t="inlineStr">
        <is>
          <t>B2B Portal</t>
        </is>
      </c>
      <c r="S1506" s="8" t="inlineStr">
        <is>
          <t>REG-APAC</t>
        </is>
      </c>
    </row>
    <row r="1507">
      <c r="A1507" s="8" t="inlineStr">
        <is>
          <t>DTL-0001524</t>
        </is>
      </c>
      <c r="B1507" s="8" t="inlineStr">
        <is>
          <t>ORD-000760</t>
        </is>
      </c>
      <c r="C1507" s="10" t="inlineStr">
        <is>
          <t>2025-04-30</t>
        </is>
      </c>
      <c r="D1507" s="8" t="inlineStr">
        <is>
          <t>CUST-01884</t>
        </is>
      </c>
      <c r="E1507" s="8" t="inlineStr">
        <is>
          <t>PRD-0106</t>
        </is>
      </c>
      <c r="F1507" s="8" t="n">
        <v>1</v>
      </c>
      <c r="G1507" s="9">
        <f>IFERROR(XLOOKUP(E1507, '04_Products'!$A:$A, '04_Products'!$G:$G), 49.14)</f>
        <v/>
      </c>
      <c r="H1507" s="9">
        <f>IFERROR(XLOOKUP(E1507, '04_Products'!$A:$A, '04_Products'!$F:$F), 0)</f>
        <v/>
      </c>
      <c r="I1507" s="9">
        <f>F1507*G1507</f>
        <v/>
      </c>
      <c r="J1507" s="11" t="n">
        <v>0.2</v>
      </c>
      <c r="K1507" s="9">
        <f>I1507*J1507</f>
        <v/>
      </c>
      <c r="L1507" s="9">
        <f>I1507-K1507</f>
        <v/>
      </c>
      <c r="M1507" s="9">
        <f>F1507*H1507</f>
        <v/>
      </c>
      <c r="N1507" s="9">
        <f>L1507-M1507</f>
        <v/>
      </c>
      <c r="O1507" s="11">
        <f>IFERROR(N1507/L1507, 0)</f>
        <v/>
      </c>
      <c r="P1507" s="8">
        <f>YEAR(C1507)</f>
        <v/>
      </c>
      <c r="Q1507" s="8">
        <f>TEXT(C1507, "yyyy-mm")</f>
        <v/>
      </c>
      <c r="R1507" s="8" t="inlineStr">
        <is>
          <t>B2B Portal</t>
        </is>
      </c>
      <c r="S1507" s="8" t="inlineStr">
        <is>
          <t>REG-APAC</t>
        </is>
      </c>
    </row>
    <row r="1508">
      <c r="A1508" s="8" t="inlineStr">
        <is>
          <t>DTL-0001525</t>
        </is>
      </c>
      <c r="B1508" s="8" t="inlineStr">
        <is>
          <t>ORD-000761</t>
        </is>
      </c>
      <c r="C1508" s="10" t="inlineStr">
        <is>
          <t>2023-08-17</t>
        </is>
      </c>
      <c r="D1508" s="8" t="inlineStr">
        <is>
          <t>CUST-03360</t>
        </is>
      </c>
      <c r="E1508" s="8" t="inlineStr">
        <is>
          <t>PRD-0358</t>
        </is>
      </c>
      <c r="F1508" s="8" t="n">
        <v>1</v>
      </c>
      <c r="G1508" s="9">
        <f>IFERROR(XLOOKUP(E1508, '04_Products'!$A:$A, '04_Products'!$G:$G), 795.41)</f>
        <v/>
      </c>
      <c r="H1508" s="9">
        <f>IFERROR(XLOOKUP(E1508, '04_Products'!$A:$A, '04_Products'!$F:$F), 0)</f>
        <v/>
      </c>
      <c r="I1508" s="9">
        <f>F1508*G1508</f>
        <v/>
      </c>
      <c r="J1508" s="11" t="n">
        <v>0.25</v>
      </c>
      <c r="K1508" s="9">
        <f>I1508*J1508</f>
        <v/>
      </c>
      <c r="L1508" s="9">
        <f>I1508-K1508</f>
        <v/>
      </c>
      <c r="M1508" s="9">
        <f>F1508*H1508</f>
        <v/>
      </c>
      <c r="N1508" s="9">
        <f>L1508-M1508</f>
        <v/>
      </c>
      <c r="O1508" s="11">
        <f>IFERROR(N1508/L1508, 0)</f>
        <v/>
      </c>
      <c r="P1508" s="8">
        <f>YEAR(C1508)</f>
        <v/>
      </c>
      <c r="Q1508" s="8">
        <f>TEXT(C1508, "yyyy-mm")</f>
        <v/>
      </c>
      <c r="R1508" s="8" t="inlineStr">
        <is>
          <t>B2B Portal</t>
        </is>
      </c>
      <c r="S1508" s="8" t="inlineStr">
        <is>
          <t>REG-LATAM</t>
        </is>
      </c>
    </row>
    <row r="1509">
      <c r="A1509" s="8" t="inlineStr">
        <is>
          <t>DTL-0001526</t>
        </is>
      </c>
      <c r="B1509" s="8" t="inlineStr">
        <is>
          <t>ORD-000761</t>
        </is>
      </c>
      <c r="C1509" s="10" t="inlineStr">
        <is>
          <t>2023-08-17</t>
        </is>
      </c>
      <c r="D1509" s="8" t="inlineStr">
        <is>
          <t>CUST-03360</t>
        </is>
      </c>
      <c r="E1509" s="8" t="inlineStr">
        <is>
          <t>PRD-0473</t>
        </is>
      </c>
      <c r="F1509" s="8" t="n">
        <v>3</v>
      </c>
      <c r="G1509" s="9">
        <f>IFERROR(XLOOKUP(E1509, '04_Products'!$A:$A, '04_Products'!$G:$G), 630.36)</f>
        <v/>
      </c>
      <c r="H1509" s="9">
        <f>IFERROR(XLOOKUP(E1509, '04_Products'!$A:$A, '04_Products'!$F:$F), 0)</f>
        <v/>
      </c>
      <c r="I1509" s="9">
        <f>F1509*G1509</f>
        <v/>
      </c>
      <c r="J1509" s="11" t="n">
        <v>0</v>
      </c>
      <c r="K1509" s="9">
        <f>I1509*J1509</f>
        <v/>
      </c>
      <c r="L1509" s="9">
        <f>I1509-K1509</f>
        <v/>
      </c>
      <c r="M1509" s="9">
        <f>F1509*H1509</f>
        <v/>
      </c>
      <c r="N1509" s="9">
        <f>L1509-M1509</f>
        <v/>
      </c>
      <c r="O1509" s="11">
        <f>IFERROR(N1509/L1509, 0)</f>
        <v/>
      </c>
      <c r="P1509" s="8">
        <f>YEAR(C1509)</f>
        <v/>
      </c>
      <c r="Q1509" s="8">
        <f>TEXT(C1509, "yyyy-mm")</f>
        <v/>
      </c>
      <c r="R1509" s="8" t="inlineStr">
        <is>
          <t>B2B Portal</t>
        </is>
      </c>
      <c r="S1509" s="8" t="inlineStr">
        <is>
          <t>REG-LATAM</t>
        </is>
      </c>
    </row>
    <row r="1510">
      <c r="A1510" s="8" t="inlineStr">
        <is>
          <t>DTL-0001527</t>
        </is>
      </c>
      <c r="B1510" s="8" t="inlineStr">
        <is>
          <t>ORD-000761</t>
        </is>
      </c>
      <c r="C1510" s="10" t="inlineStr">
        <is>
          <t>2023-08-17</t>
        </is>
      </c>
      <c r="D1510" s="8" t="inlineStr">
        <is>
          <t>CUST-03360</t>
        </is>
      </c>
      <c r="E1510" s="8" t="inlineStr">
        <is>
          <t>PRD-0281</t>
        </is>
      </c>
      <c r="F1510" s="8" t="n">
        <v>1</v>
      </c>
      <c r="G1510" s="9">
        <f>IFERROR(XLOOKUP(E1510, '04_Products'!$A:$A, '04_Products'!$G:$G), 19.01)</f>
        <v/>
      </c>
      <c r="H1510" s="9">
        <f>IFERROR(XLOOKUP(E1510, '04_Products'!$A:$A, '04_Products'!$F:$F), 0)</f>
        <v/>
      </c>
      <c r="I1510" s="9">
        <f>F1510*G1510</f>
        <v/>
      </c>
      <c r="J1510" s="11" t="n">
        <v>0.05</v>
      </c>
      <c r="K1510" s="9">
        <f>I1510*J1510</f>
        <v/>
      </c>
      <c r="L1510" s="9">
        <f>I1510-K1510</f>
        <v/>
      </c>
      <c r="M1510" s="9">
        <f>F1510*H1510</f>
        <v/>
      </c>
      <c r="N1510" s="9">
        <f>L1510-M1510</f>
        <v/>
      </c>
      <c r="O1510" s="11">
        <f>IFERROR(N1510/L1510, 0)</f>
        <v/>
      </c>
      <c r="P1510" s="8">
        <f>YEAR(C1510)</f>
        <v/>
      </c>
      <c r="Q1510" s="8">
        <f>TEXT(C1510, "yyyy-mm")</f>
        <v/>
      </c>
      <c r="R1510" s="8" t="inlineStr">
        <is>
          <t>B2B Portal</t>
        </is>
      </c>
      <c r="S1510" s="8" t="inlineStr">
        <is>
          <t>REG-LATAM</t>
        </is>
      </c>
    </row>
    <row r="1511">
      <c r="A1511" s="8" t="inlineStr">
        <is>
          <t>DTL-0001528</t>
        </is>
      </c>
      <c r="B1511" s="8" t="inlineStr">
        <is>
          <t>ORD-000761</t>
        </is>
      </c>
      <c r="C1511" s="10" t="inlineStr">
        <is>
          <t>2023-08-17</t>
        </is>
      </c>
      <c r="D1511" s="8" t="inlineStr">
        <is>
          <t>CUST-03360</t>
        </is>
      </c>
      <c r="E1511" s="8" t="inlineStr">
        <is>
          <t>PRD-0051</t>
        </is>
      </c>
      <c r="F1511" s="8" t="n">
        <v>2</v>
      </c>
      <c r="G1511" s="9">
        <f>IFERROR(XLOOKUP(E1511, '04_Products'!$A:$A, '04_Products'!$G:$G), 896.46)</f>
        <v/>
      </c>
      <c r="H1511" s="9">
        <f>IFERROR(XLOOKUP(E1511, '04_Products'!$A:$A, '04_Products'!$F:$F), 0)</f>
        <v/>
      </c>
      <c r="I1511" s="9">
        <f>F1511*G1511</f>
        <v/>
      </c>
      <c r="J1511" s="11" t="n">
        <v>0</v>
      </c>
      <c r="K1511" s="9">
        <f>I1511*J1511</f>
        <v/>
      </c>
      <c r="L1511" s="9">
        <f>I1511-K1511</f>
        <v/>
      </c>
      <c r="M1511" s="9">
        <f>F1511*H1511</f>
        <v/>
      </c>
      <c r="N1511" s="9">
        <f>L1511-M1511</f>
        <v/>
      </c>
      <c r="O1511" s="11">
        <f>IFERROR(N1511/L1511, 0)</f>
        <v/>
      </c>
      <c r="P1511" s="8">
        <f>YEAR(C1511)</f>
        <v/>
      </c>
      <c r="Q1511" s="8">
        <f>TEXT(C1511, "yyyy-mm")</f>
        <v/>
      </c>
      <c r="R1511" s="8" t="inlineStr">
        <is>
          <t>B2B Portal</t>
        </is>
      </c>
      <c r="S1511" s="8" t="inlineStr">
        <is>
          <t>REG-LATAM</t>
        </is>
      </c>
    </row>
    <row r="1512">
      <c r="A1512" s="8" t="inlineStr">
        <is>
          <t>DTL-0001529</t>
        </is>
      </c>
      <c r="B1512" s="8" t="inlineStr">
        <is>
          <t>ORD-000761</t>
        </is>
      </c>
      <c r="C1512" s="10" t="inlineStr">
        <is>
          <t>2023-08-17</t>
        </is>
      </c>
      <c r="D1512" s="8" t="inlineStr">
        <is>
          <t>CUST-03360</t>
        </is>
      </c>
      <c r="E1512" s="8" t="inlineStr">
        <is>
          <t>PRD-0422</t>
        </is>
      </c>
      <c r="F1512" s="8" t="n">
        <v>1</v>
      </c>
      <c r="G1512" s="9">
        <f>IFERROR(XLOOKUP(E1512, '04_Products'!$A:$A, '04_Products'!$G:$G), 1026.96)</f>
        <v/>
      </c>
      <c r="H1512" s="9">
        <f>IFERROR(XLOOKUP(E1512, '04_Products'!$A:$A, '04_Products'!$F:$F), 0)</f>
        <v/>
      </c>
      <c r="I1512" s="9">
        <f>F1512*G1512</f>
        <v/>
      </c>
      <c r="J1512" s="11" t="n">
        <v>0.05</v>
      </c>
      <c r="K1512" s="9">
        <f>I1512*J1512</f>
        <v/>
      </c>
      <c r="L1512" s="9">
        <f>I1512-K1512</f>
        <v/>
      </c>
      <c r="M1512" s="9">
        <f>F1512*H1512</f>
        <v/>
      </c>
      <c r="N1512" s="9">
        <f>L1512-M1512</f>
        <v/>
      </c>
      <c r="O1512" s="11">
        <f>IFERROR(N1512/L1512, 0)</f>
        <v/>
      </c>
      <c r="P1512" s="8">
        <f>YEAR(C1512)</f>
        <v/>
      </c>
      <c r="Q1512" s="8">
        <f>TEXT(C1512, "yyyy-mm")</f>
        <v/>
      </c>
      <c r="R1512" s="8" t="inlineStr">
        <is>
          <t>B2B Portal</t>
        </is>
      </c>
      <c r="S1512" s="8" t="inlineStr">
        <is>
          <t>REG-LATAM</t>
        </is>
      </c>
    </row>
    <row r="1513">
      <c r="A1513" s="8" t="inlineStr">
        <is>
          <t>DTL-0001530</t>
        </is>
      </c>
      <c r="B1513" s="8" t="inlineStr">
        <is>
          <t>ORD-000762</t>
        </is>
      </c>
      <c r="C1513" s="10" t="inlineStr">
        <is>
          <t>2023-06-09</t>
        </is>
      </c>
      <c r="D1513" s="8" t="inlineStr">
        <is>
          <t>CUST-04644</t>
        </is>
      </c>
      <c r="E1513" s="8" t="inlineStr">
        <is>
          <t>PRD-0279</t>
        </is>
      </c>
      <c r="F1513" s="8" t="n">
        <v>1</v>
      </c>
      <c r="G1513" s="9">
        <f>IFERROR(XLOOKUP(E1513, '04_Products'!$A:$A, '04_Products'!$G:$G), 783.46)</f>
        <v/>
      </c>
      <c r="H1513" s="9">
        <f>IFERROR(XLOOKUP(E1513, '04_Products'!$A:$A, '04_Products'!$F:$F), 0)</f>
        <v/>
      </c>
      <c r="I1513" s="9">
        <f>F1513*G1513</f>
        <v/>
      </c>
      <c r="J1513" s="11" t="n">
        <v>0.05</v>
      </c>
      <c r="K1513" s="9">
        <f>I1513*J1513</f>
        <v/>
      </c>
      <c r="L1513" s="9">
        <f>I1513-K1513</f>
        <v/>
      </c>
      <c r="M1513" s="9">
        <f>F1513*H1513</f>
        <v/>
      </c>
      <c r="N1513" s="9">
        <f>L1513-M1513</f>
        <v/>
      </c>
      <c r="O1513" s="11">
        <f>IFERROR(N1513/L1513, 0)</f>
        <v/>
      </c>
      <c r="P1513" s="8">
        <f>YEAR(C1513)</f>
        <v/>
      </c>
      <c r="Q1513" s="8">
        <f>TEXT(C1513, "yyyy-mm")</f>
        <v/>
      </c>
      <c r="R1513" s="8" t="inlineStr">
        <is>
          <t>Affiliate Partner</t>
        </is>
      </c>
      <c r="S1513" s="8" t="inlineStr">
        <is>
          <t>REG-APAC</t>
        </is>
      </c>
    </row>
    <row r="1514">
      <c r="A1514" s="8" t="inlineStr">
        <is>
          <t>DTL-0001531</t>
        </is>
      </c>
      <c r="B1514" s="8" t="inlineStr">
        <is>
          <t>ORD-000763</t>
        </is>
      </c>
      <c r="C1514" s="10" t="inlineStr">
        <is>
          <t>2024-10-14</t>
        </is>
      </c>
      <c r="D1514" s="8" t="inlineStr">
        <is>
          <t>CUST-01814</t>
        </is>
      </c>
      <c r="E1514" s="8" t="inlineStr">
        <is>
          <t>PRD-0352</t>
        </is>
      </c>
      <c r="F1514" s="8" t="n">
        <v>1</v>
      </c>
      <c r="G1514" s="9">
        <f>IFERROR(XLOOKUP(E1514, '04_Products'!$A:$A, '04_Products'!$G:$G), 840.70)</f>
        <v/>
      </c>
      <c r="H1514" s="9">
        <f>IFERROR(XLOOKUP(E1514, '04_Products'!$A:$A, '04_Products'!$F:$F), 0)</f>
        <v/>
      </c>
      <c r="I1514" s="9">
        <f>F1514*G1514</f>
        <v/>
      </c>
      <c r="J1514" s="11" t="n">
        <v>0</v>
      </c>
      <c r="K1514" s="9">
        <f>I1514*J1514</f>
        <v/>
      </c>
      <c r="L1514" s="9">
        <f>I1514-K1514</f>
        <v/>
      </c>
      <c r="M1514" s="9">
        <f>F1514*H1514</f>
        <v/>
      </c>
      <c r="N1514" s="9">
        <f>L1514-M1514</f>
        <v/>
      </c>
      <c r="O1514" s="11">
        <f>IFERROR(N1514/L1514, 0)</f>
        <v/>
      </c>
      <c r="P1514" s="8">
        <f>YEAR(C1514)</f>
        <v/>
      </c>
      <c r="Q1514" s="8">
        <f>TEXT(C1514, "yyyy-mm")</f>
        <v/>
      </c>
      <c r="R1514" s="8" t="inlineStr">
        <is>
          <t>Direct Web</t>
        </is>
      </c>
      <c r="S1514" s="8" t="inlineStr">
        <is>
          <t>REG-NA</t>
        </is>
      </c>
    </row>
    <row r="1515">
      <c r="A1515" s="8" t="inlineStr">
        <is>
          <t>DTL-0001532</t>
        </is>
      </c>
      <c r="B1515" s="8" t="inlineStr">
        <is>
          <t>ORD-000764</t>
        </is>
      </c>
      <c r="C1515" s="10" t="inlineStr">
        <is>
          <t>2024-04-06</t>
        </is>
      </c>
      <c r="D1515" s="8" t="inlineStr">
        <is>
          <t>CUST-00710</t>
        </is>
      </c>
      <c r="E1515" s="8" t="inlineStr">
        <is>
          <t>PRD-0466</t>
        </is>
      </c>
      <c r="F1515" s="8" t="n">
        <v>1</v>
      </c>
      <c r="G1515" s="9">
        <f>IFERROR(XLOOKUP(E1515, '04_Products'!$A:$A, '04_Products'!$G:$G), 18.36)</f>
        <v/>
      </c>
      <c r="H1515" s="9">
        <f>IFERROR(XLOOKUP(E1515, '04_Products'!$A:$A, '04_Products'!$F:$F), 0)</f>
        <v/>
      </c>
      <c r="I1515" s="9">
        <f>F1515*G1515</f>
        <v/>
      </c>
      <c r="J1515" s="11" t="n">
        <v>0.1</v>
      </c>
      <c r="K1515" s="9">
        <f>I1515*J1515</f>
        <v/>
      </c>
      <c r="L1515" s="9">
        <f>I1515-K1515</f>
        <v/>
      </c>
      <c r="M1515" s="9">
        <f>F1515*H1515</f>
        <v/>
      </c>
      <c r="N1515" s="9">
        <f>L1515-M1515</f>
        <v/>
      </c>
      <c r="O1515" s="11">
        <f>IFERROR(N1515/L1515, 0)</f>
        <v/>
      </c>
      <c r="P1515" s="8">
        <f>YEAR(C1515)</f>
        <v/>
      </c>
      <c r="Q1515" s="8">
        <f>TEXT(C1515, "yyyy-mm")</f>
        <v/>
      </c>
      <c r="R1515" s="8" t="inlineStr">
        <is>
          <t>B2B Portal</t>
        </is>
      </c>
      <c r="S1515" s="8" t="inlineStr">
        <is>
          <t>REG-NA</t>
        </is>
      </c>
    </row>
    <row r="1516">
      <c r="A1516" s="8" t="inlineStr">
        <is>
          <t>DTL-0001533</t>
        </is>
      </c>
      <c r="B1516" s="8" t="inlineStr">
        <is>
          <t>ORD-000765</t>
        </is>
      </c>
      <c r="C1516" s="10" t="inlineStr">
        <is>
          <t>2023-11-21</t>
        </is>
      </c>
      <c r="D1516" s="8" t="inlineStr">
        <is>
          <t>CUST-04081</t>
        </is>
      </c>
      <c r="E1516" s="8" t="inlineStr">
        <is>
          <t>PRD-0008</t>
        </is>
      </c>
      <c r="F1516" s="8" t="n">
        <v>4</v>
      </c>
      <c r="G1516" s="9">
        <f>IFERROR(XLOOKUP(E1516, '04_Products'!$A:$A, '04_Products'!$G:$G), 323.49)</f>
        <v/>
      </c>
      <c r="H1516" s="9">
        <f>IFERROR(XLOOKUP(E1516, '04_Products'!$A:$A, '04_Products'!$F:$F), 0)</f>
        <v/>
      </c>
      <c r="I1516" s="9">
        <f>F1516*G1516</f>
        <v/>
      </c>
      <c r="J1516" s="11" t="n">
        <v>0</v>
      </c>
      <c r="K1516" s="9">
        <f>I1516*J1516</f>
        <v/>
      </c>
      <c r="L1516" s="9">
        <f>I1516-K1516</f>
        <v/>
      </c>
      <c r="M1516" s="9">
        <f>F1516*H1516</f>
        <v/>
      </c>
      <c r="N1516" s="9">
        <f>L1516-M1516</f>
        <v/>
      </c>
      <c r="O1516" s="11">
        <f>IFERROR(N1516/L1516, 0)</f>
        <v/>
      </c>
      <c r="P1516" s="8">
        <f>YEAR(C1516)</f>
        <v/>
      </c>
      <c r="Q1516" s="8">
        <f>TEXT(C1516, "yyyy-mm")</f>
        <v/>
      </c>
      <c r="R1516" s="8" t="inlineStr">
        <is>
          <t>Mobile App</t>
        </is>
      </c>
      <c r="S1516" s="8" t="inlineStr">
        <is>
          <t>REG-EU</t>
        </is>
      </c>
    </row>
    <row r="1517">
      <c r="A1517" s="8" t="inlineStr">
        <is>
          <t>DTL-0001534</t>
        </is>
      </c>
      <c r="B1517" s="8" t="inlineStr">
        <is>
          <t>ORD-000766</t>
        </is>
      </c>
      <c r="C1517" s="10" t="inlineStr">
        <is>
          <t>2025-09-26</t>
        </is>
      </c>
      <c r="D1517" s="8" t="inlineStr">
        <is>
          <t>CUST-06744</t>
        </is>
      </c>
      <c r="E1517" s="8" t="inlineStr">
        <is>
          <t>PRD-0492</t>
        </is>
      </c>
      <c r="F1517" s="8" t="n">
        <v>2</v>
      </c>
      <c r="G1517" s="9">
        <f>IFERROR(XLOOKUP(E1517, '04_Products'!$A:$A, '04_Products'!$G:$G), 16.71)</f>
        <v/>
      </c>
      <c r="H1517" s="9">
        <f>IFERROR(XLOOKUP(E1517, '04_Products'!$A:$A, '04_Products'!$F:$F), 0)</f>
        <v/>
      </c>
      <c r="I1517" s="9">
        <f>F1517*G1517</f>
        <v/>
      </c>
      <c r="J1517" s="11" t="n">
        <v>0</v>
      </c>
      <c r="K1517" s="9">
        <f>I1517*J1517</f>
        <v/>
      </c>
      <c r="L1517" s="9">
        <f>I1517-K1517</f>
        <v/>
      </c>
      <c r="M1517" s="9">
        <f>F1517*H1517</f>
        <v/>
      </c>
      <c r="N1517" s="9">
        <f>L1517-M1517</f>
        <v/>
      </c>
      <c r="O1517" s="11">
        <f>IFERROR(N1517/L1517, 0)</f>
        <v/>
      </c>
      <c r="P1517" s="8">
        <f>YEAR(C1517)</f>
        <v/>
      </c>
      <c r="Q1517" s="8">
        <f>TEXT(C1517, "yyyy-mm")</f>
        <v/>
      </c>
      <c r="R1517" s="8" t="inlineStr">
        <is>
          <t>Mobile App</t>
        </is>
      </c>
      <c r="S1517" s="8" t="inlineStr">
        <is>
          <t>REG-EU</t>
        </is>
      </c>
    </row>
    <row r="1518">
      <c r="A1518" s="8" t="inlineStr">
        <is>
          <t>DTL-0001535</t>
        </is>
      </c>
      <c r="B1518" s="8" t="inlineStr">
        <is>
          <t>ORD-000766</t>
        </is>
      </c>
      <c r="C1518" s="10" t="inlineStr">
        <is>
          <t>2025-09-26</t>
        </is>
      </c>
      <c r="D1518" s="8" t="inlineStr">
        <is>
          <t>CUST-06744</t>
        </is>
      </c>
      <c r="E1518" s="8" t="inlineStr">
        <is>
          <t>PRD-0401</t>
        </is>
      </c>
      <c r="F1518" s="8" t="n">
        <v>1</v>
      </c>
      <c r="G1518" s="9">
        <f>IFERROR(XLOOKUP(E1518, '04_Products'!$A:$A, '04_Products'!$G:$G), 57.89)</f>
        <v/>
      </c>
      <c r="H1518" s="9">
        <f>IFERROR(XLOOKUP(E1518, '04_Products'!$A:$A, '04_Products'!$F:$F), 0)</f>
        <v/>
      </c>
      <c r="I1518" s="9">
        <f>F1518*G1518</f>
        <v/>
      </c>
      <c r="J1518" s="11" t="n">
        <v>0</v>
      </c>
      <c r="K1518" s="9">
        <f>I1518*J1518</f>
        <v/>
      </c>
      <c r="L1518" s="9">
        <f>I1518-K1518</f>
        <v/>
      </c>
      <c r="M1518" s="9">
        <f>F1518*H1518</f>
        <v/>
      </c>
      <c r="N1518" s="9">
        <f>L1518-M1518</f>
        <v/>
      </c>
      <c r="O1518" s="11">
        <f>IFERROR(N1518/L1518, 0)</f>
        <v/>
      </c>
      <c r="P1518" s="8">
        <f>YEAR(C1518)</f>
        <v/>
      </c>
      <c r="Q1518" s="8">
        <f>TEXT(C1518, "yyyy-mm")</f>
        <v/>
      </c>
      <c r="R1518" s="8" t="inlineStr">
        <is>
          <t>Mobile App</t>
        </is>
      </c>
      <c r="S1518" s="8" t="inlineStr">
        <is>
          <t>REG-EU</t>
        </is>
      </c>
    </row>
    <row r="1519">
      <c r="A1519" s="8" t="inlineStr">
        <is>
          <t>DTL-0001536</t>
        </is>
      </c>
      <c r="B1519" s="8" t="inlineStr">
        <is>
          <t>ORD-000766</t>
        </is>
      </c>
      <c r="C1519" s="10" t="inlineStr">
        <is>
          <t>2025-09-26</t>
        </is>
      </c>
      <c r="D1519" s="8" t="inlineStr">
        <is>
          <t>CUST-06744</t>
        </is>
      </c>
      <c r="E1519" s="8" t="inlineStr">
        <is>
          <t>PRD-0462</t>
        </is>
      </c>
      <c r="F1519" s="8" t="n">
        <v>5</v>
      </c>
      <c r="G1519" s="9">
        <f>IFERROR(XLOOKUP(E1519, '04_Products'!$A:$A, '04_Products'!$G:$G), 643.52)</f>
        <v/>
      </c>
      <c r="H1519" s="9">
        <f>IFERROR(XLOOKUP(E1519, '04_Products'!$A:$A, '04_Products'!$F:$F), 0)</f>
        <v/>
      </c>
      <c r="I1519" s="9">
        <f>F1519*G1519</f>
        <v/>
      </c>
      <c r="J1519" s="11" t="n">
        <v>0</v>
      </c>
      <c r="K1519" s="9">
        <f>I1519*J1519</f>
        <v/>
      </c>
      <c r="L1519" s="9">
        <f>I1519-K1519</f>
        <v/>
      </c>
      <c r="M1519" s="9">
        <f>F1519*H1519</f>
        <v/>
      </c>
      <c r="N1519" s="9">
        <f>L1519-M1519</f>
        <v/>
      </c>
      <c r="O1519" s="11">
        <f>IFERROR(N1519/L1519, 0)</f>
        <v/>
      </c>
      <c r="P1519" s="8">
        <f>YEAR(C1519)</f>
        <v/>
      </c>
      <c r="Q1519" s="8">
        <f>TEXT(C1519, "yyyy-mm")</f>
        <v/>
      </c>
      <c r="R1519" s="8" t="inlineStr">
        <is>
          <t>Mobile App</t>
        </is>
      </c>
      <c r="S1519" s="8" t="inlineStr">
        <is>
          <t>REG-EU</t>
        </is>
      </c>
    </row>
    <row r="1520">
      <c r="A1520" s="8" t="inlineStr">
        <is>
          <t>DTL-0001537</t>
        </is>
      </c>
      <c r="B1520" s="8" t="inlineStr">
        <is>
          <t>ORD-000766</t>
        </is>
      </c>
      <c r="C1520" s="10" t="inlineStr">
        <is>
          <t>2025-09-26</t>
        </is>
      </c>
      <c r="D1520" s="8" t="inlineStr">
        <is>
          <t>CUST-06744</t>
        </is>
      </c>
      <c r="E1520" s="8" t="inlineStr">
        <is>
          <t>PRD-0154</t>
        </is>
      </c>
      <c r="F1520" s="8" t="n">
        <v>1</v>
      </c>
      <c r="G1520" s="9">
        <f>IFERROR(XLOOKUP(E1520, '04_Products'!$A:$A, '04_Products'!$G:$G), 168.94)</f>
        <v/>
      </c>
      <c r="H1520" s="9">
        <f>IFERROR(XLOOKUP(E1520, '04_Products'!$A:$A, '04_Products'!$F:$F), 0)</f>
        <v/>
      </c>
      <c r="I1520" s="9">
        <f>F1520*G1520</f>
        <v/>
      </c>
      <c r="J1520" s="11" t="n">
        <v>0.2</v>
      </c>
      <c r="K1520" s="9">
        <f>I1520*J1520</f>
        <v/>
      </c>
      <c r="L1520" s="9">
        <f>I1520-K1520</f>
        <v/>
      </c>
      <c r="M1520" s="9">
        <f>F1520*H1520</f>
        <v/>
      </c>
      <c r="N1520" s="9">
        <f>L1520-M1520</f>
        <v/>
      </c>
      <c r="O1520" s="11">
        <f>IFERROR(N1520/L1520, 0)</f>
        <v/>
      </c>
      <c r="P1520" s="8">
        <f>YEAR(C1520)</f>
        <v/>
      </c>
      <c r="Q1520" s="8">
        <f>TEXT(C1520, "yyyy-mm")</f>
        <v/>
      </c>
      <c r="R1520" s="8" t="inlineStr">
        <is>
          <t>Mobile App</t>
        </is>
      </c>
      <c r="S1520" s="8" t="inlineStr">
        <is>
          <t>REG-EU</t>
        </is>
      </c>
    </row>
    <row r="1521">
      <c r="A1521" s="8" t="inlineStr">
        <is>
          <t>DTL-0001538</t>
        </is>
      </c>
      <c r="B1521" s="8" t="inlineStr">
        <is>
          <t>ORD-000767</t>
        </is>
      </c>
      <c r="C1521" s="10" t="inlineStr">
        <is>
          <t>2024-08-13</t>
        </is>
      </c>
      <c r="D1521" s="8" t="inlineStr">
        <is>
          <t>CUST-02504</t>
        </is>
      </c>
      <c r="E1521" s="8" t="inlineStr">
        <is>
          <t>PRD-0075</t>
        </is>
      </c>
      <c r="F1521" s="8" t="n">
        <v>2</v>
      </c>
      <c r="G1521" s="9">
        <f>IFERROR(XLOOKUP(E1521, '04_Products'!$A:$A, '04_Products'!$G:$G), 20.47)</f>
        <v/>
      </c>
      <c r="H1521" s="9">
        <f>IFERROR(XLOOKUP(E1521, '04_Products'!$A:$A, '04_Products'!$F:$F), 0)</f>
        <v/>
      </c>
      <c r="I1521" s="9">
        <f>F1521*G1521</f>
        <v/>
      </c>
      <c r="J1521" s="11" t="n">
        <v>0</v>
      </c>
      <c r="K1521" s="9">
        <f>I1521*J1521</f>
        <v/>
      </c>
      <c r="L1521" s="9">
        <f>I1521-K1521</f>
        <v/>
      </c>
      <c r="M1521" s="9">
        <f>F1521*H1521</f>
        <v/>
      </c>
      <c r="N1521" s="9">
        <f>L1521-M1521</f>
        <v/>
      </c>
      <c r="O1521" s="11">
        <f>IFERROR(N1521/L1521, 0)</f>
        <v/>
      </c>
      <c r="P1521" s="8">
        <f>YEAR(C1521)</f>
        <v/>
      </c>
      <c r="Q1521" s="8">
        <f>TEXT(C1521, "yyyy-mm")</f>
        <v/>
      </c>
      <c r="R1521" s="8" t="inlineStr">
        <is>
          <t>Direct Web</t>
        </is>
      </c>
      <c r="S1521" s="8" t="inlineStr">
        <is>
          <t>REG-NA</t>
        </is>
      </c>
    </row>
    <row r="1522">
      <c r="A1522" s="8" t="inlineStr">
        <is>
          <t>DTL-0001539</t>
        </is>
      </c>
      <c r="B1522" s="8" t="inlineStr">
        <is>
          <t>ORD-000768</t>
        </is>
      </c>
      <c r="C1522" s="10" t="inlineStr">
        <is>
          <t>2023-10-04</t>
        </is>
      </c>
      <c r="D1522" s="8" t="inlineStr">
        <is>
          <t>CUST-02996</t>
        </is>
      </c>
      <c r="E1522" s="8" t="inlineStr">
        <is>
          <t>PRD-0386</t>
        </is>
      </c>
      <c r="F1522" s="8" t="n">
        <v>10</v>
      </c>
      <c r="G1522" s="9">
        <f>IFERROR(XLOOKUP(E1522, '04_Products'!$A:$A, '04_Products'!$G:$G), 339.98)</f>
        <v/>
      </c>
      <c r="H1522" s="9">
        <f>IFERROR(XLOOKUP(E1522, '04_Products'!$A:$A, '04_Products'!$F:$F), 0)</f>
        <v/>
      </c>
      <c r="I1522" s="9">
        <f>F1522*G1522</f>
        <v/>
      </c>
      <c r="J1522" s="11" t="n">
        <v>0.1</v>
      </c>
      <c r="K1522" s="9">
        <f>I1522*J1522</f>
        <v/>
      </c>
      <c r="L1522" s="9">
        <f>I1522-K1522</f>
        <v/>
      </c>
      <c r="M1522" s="9">
        <f>F1522*H1522</f>
        <v/>
      </c>
      <c r="N1522" s="9">
        <f>L1522-M1522</f>
        <v/>
      </c>
      <c r="O1522" s="11">
        <f>IFERROR(N1522/L1522, 0)</f>
        <v/>
      </c>
      <c r="P1522" s="8">
        <f>YEAR(C1522)</f>
        <v/>
      </c>
      <c r="Q1522" s="8">
        <f>TEXT(C1522, "yyyy-mm")</f>
        <v/>
      </c>
      <c r="R1522" s="8" t="inlineStr">
        <is>
          <t>B2B Portal</t>
        </is>
      </c>
      <c r="S1522" s="8" t="inlineStr">
        <is>
          <t>REG-NA</t>
        </is>
      </c>
    </row>
    <row r="1523">
      <c r="A1523" s="8" t="inlineStr">
        <is>
          <t>DTL-0001540</t>
        </is>
      </c>
      <c r="B1523" s="8" t="inlineStr">
        <is>
          <t>ORD-000769</t>
        </is>
      </c>
      <c r="C1523" s="10" t="inlineStr">
        <is>
          <t>2023-01-13</t>
        </is>
      </c>
      <c r="D1523" s="8" t="inlineStr">
        <is>
          <t>CUST-04849</t>
        </is>
      </c>
      <c r="E1523" s="8" t="inlineStr">
        <is>
          <t>PRD-0454</t>
        </is>
      </c>
      <c r="F1523" s="8" t="n">
        <v>1</v>
      </c>
      <c r="G1523" s="9">
        <f>IFERROR(XLOOKUP(E1523, '04_Products'!$A:$A, '04_Products'!$G:$G), 745.94)</f>
        <v/>
      </c>
      <c r="H1523" s="9">
        <f>IFERROR(XLOOKUP(E1523, '04_Products'!$A:$A, '04_Products'!$F:$F), 0)</f>
        <v/>
      </c>
      <c r="I1523" s="9">
        <f>F1523*G1523</f>
        <v/>
      </c>
      <c r="J1523" s="11" t="n">
        <v>0.05</v>
      </c>
      <c r="K1523" s="9">
        <f>I1523*J1523</f>
        <v/>
      </c>
      <c r="L1523" s="9">
        <f>I1523-K1523</f>
        <v/>
      </c>
      <c r="M1523" s="9">
        <f>F1523*H1523</f>
        <v/>
      </c>
      <c r="N1523" s="9">
        <f>L1523-M1523</f>
        <v/>
      </c>
      <c r="O1523" s="11">
        <f>IFERROR(N1523/L1523, 0)</f>
        <v/>
      </c>
      <c r="P1523" s="8">
        <f>YEAR(C1523)</f>
        <v/>
      </c>
      <c r="Q1523" s="8">
        <f>TEXT(C1523, "yyyy-mm")</f>
        <v/>
      </c>
      <c r="R1523" s="8" t="inlineStr">
        <is>
          <t>Direct Web</t>
        </is>
      </c>
      <c r="S1523" s="8" t="inlineStr">
        <is>
          <t>REG-EU</t>
        </is>
      </c>
    </row>
    <row r="1524">
      <c r="A1524" s="8" t="inlineStr">
        <is>
          <t>DTL-0001541</t>
        </is>
      </c>
      <c r="B1524" s="8" t="inlineStr">
        <is>
          <t>ORD-000769</t>
        </is>
      </c>
      <c r="C1524" s="10" t="inlineStr">
        <is>
          <t>2023-01-13</t>
        </is>
      </c>
      <c r="D1524" s="8" t="inlineStr">
        <is>
          <t>CUST-04849</t>
        </is>
      </c>
      <c r="E1524" s="8" t="inlineStr">
        <is>
          <t>PRD-0486</t>
        </is>
      </c>
      <c r="F1524" s="8" t="n">
        <v>1</v>
      </c>
      <c r="G1524" s="9">
        <f>IFERROR(XLOOKUP(E1524, '04_Products'!$A:$A, '04_Products'!$G:$G), 499.02)</f>
        <v/>
      </c>
      <c r="H1524" s="9">
        <f>IFERROR(XLOOKUP(E1524, '04_Products'!$A:$A, '04_Products'!$F:$F), 0)</f>
        <v/>
      </c>
      <c r="I1524" s="9">
        <f>F1524*G1524</f>
        <v/>
      </c>
      <c r="J1524" s="11" t="n">
        <v>0.05</v>
      </c>
      <c r="K1524" s="9">
        <f>I1524*J1524</f>
        <v/>
      </c>
      <c r="L1524" s="9">
        <f>I1524-K1524</f>
        <v/>
      </c>
      <c r="M1524" s="9">
        <f>F1524*H1524</f>
        <v/>
      </c>
      <c r="N1524" s="9">
        <f>L1524-M1524</f>
        <v/>
      </c>
      <c r="O1524" s="11">
        <f>IFERROR(N1524/L1524, 0)</f>
        <v/>
      </c>
      <c r="P1524" s="8">
        <f>YEAR(C1524)</f>
        <v/>
      </c>
      <c r="Q1524" s="8">
        <f>TEXT(C1524, "yyyy-mm")</f>
        <v/>
      </c>
      <c r="R1524" s="8" t="inlineStr">
        <is>
          <t>Direct Web</t>
        </is>
      </c>
      <c r="S1524" s="8" t="inlineStr">
        <is>
          <t>REG-EU</t>
        </is>
      </c>
    </row>
    <row r="1525">
      <c r="A1525" s="8" t="inlineStr">
        <is>
          <t>DTL-0001542</t>
        </is>
      </c>
      <c r="B1525" s="8" t="inlineStr">
        <is>
          <t>ORD-000770</t>
        </is>
      </c>
      <c r="C1525" s="10" t="inlineStr">
        <is>
          <t>2024-01-03</t>
        </is>
      </c>
      <c r="D1525" s="8" t="inlineStr">
        <is>
          <t>CUST-06185</t>
        </is>
      </c>
      <c r="E1525" s="8" t="inlineStr">
        <is>
          <t>PRD-0215</t>
        </is>
      </c>
      <c r="F1525" s="8" t="n">
        <v>8</v>
      </c>
      <c r="G1525" s="9">
        <f>IFERROR(XLOOKUP(E1525, '04_Products'!$A:$A, '04_Products'!$G:$G), 1006.33)</f>
        <v/>
      </c>
      <c r="H1525" s="9">
        <f>IFERROR(XLOOKUP(E1525, '04_Products'!$A:$A, '04_Products'!$F:$F), 0)</f>
        <v/>
      </c>
      <c r="I1525" s="9">
        <f>F1525*G1525</f>
        <v/>
      </c>
      <c r="J1525" s="11" t="n">
        <v>0.05</v>
      </c>
      <c r="K1525" s="9">
        <f>I1525*J1525</f>
        <v/>
      </c>
      <c r="L1525" s="9">
        <f>I1525-K1525</f>
        <v/>
      </c>
      <c r="M1525" s="9">
        <f>F1525*H1525</f>
        <v/>
      </c>
      <c r="N1525" s="9">
        <f>L1525-M1525</f>
        <v/>
      </c>
      <c r="O1525" s="11">
        <f>IFERROR(N1525/L1525, 0)</f>
        <v/>
      </c>
      <c r="P1525" s="8">
        <f>YEAR(C1525)</f>
        <v/>
      </c>
      <c r="Q1525" s="8">
        <f>TEXT(C1525, "yyyy-mm")</f>
        <v/>
      </c>
      <c r="R1525" s="8" t="inlineStr">
        <is>
          <t>B2B Portal</t>
        </is>
      </c>
      <c r="S1525" s="8" t="inlineStr">
        <is>
          <t>REG-NA</t>
        </is>
      </c>
    </row>
    <row r="1526">
      <c r="A1526" s="8" t="inlineStr">
        <is>
          <t>DTL-0001543</t>
        </is>
      </c>
      <c r="B1526" s="8" t="inlineStr">
        <is>
          <t>ORD-000770</t>
        </is>
      </c>
      <c r="C1526" s="10" t="inlineStr">
        <is>
          <t>2024-01-03</t>
        </is>
      </c>
      <c r="D1526" s="8" t="inlineStr">
        <is>
          <t>CUST-06185</t>
        </is>
      </c>
      <c r="E1526" s="8" t="inlineStr">
        <is>
          <t>PRD-0335</t>
        </is>
      </c>
      <c r="F1526" s="8" t="n">
        <v>1</v>
      </c>
      <c r="G1526" s="9">
        <f>IFERROR(XLOOKUP(E1526, '04_Products'!$A:$A, '04_Products'!$G:$G), 226.07)</f>
        <v/>
      </c>
      <c r="H1526" s="9">
        <f>IFERROR(XLOOKUP(E1526, '04_Products'!$A:$A, '04_Products'!$F:$F), 0)</f>
        <v/>
      </c>
      <c r="I1526" s="9">
        <f>F1526*G1526</f>
        <v/>
      </c>
      <c r="J1526" s="11" t="n">
        <v>0.1</v>
      </c>
      <c r="K1526" s="9">
        <f>I1526*J1526</f>
        <v/>
      </c>
      <c r="L1526" s="9">
        <f>I1526-K1526</f>
        <v/>
      </c>
      <c r="M1526" s="9">
        <f>F1526*H1526</f>
        <v/>
      </c>
      <c r="N1526" s="9">
        <f>L1526-M1526</f>
        <v/>
      </c>
      <c r="O1526" s="11">
        <f>IFERROR(N1526/L1526, 0)</f>
        <v/>
      </c>
      <c r="P1526" s="8">
        <f>YEAR(C1526)</f>
        <v/>
      </c>
      <c r="Q1526" s="8">
        <f>TEXT(C1526, "yyyy-mm")</f>
        <v/>
      </c>
      <c r="R1526" s="8" t="inlineStr">
        <is>
          <t>B2B Portal</t>
        </is>
      </c>
      <c r="S1526" s="8" t="inlineStr">
        <is>
          <t>REG-NA</t>
        </is>
      </c>
    </row>
    <row r="1527">
      <c r="A1527" s="8" t="inlineStr">
        <is>
          <t>DTL-0001544</t>
        </is>
      </c>
      <c r="B1527" s="8" t="inlineStr">
        <is>
          <t>ORD-000770</t>
        </is>
      </c>
      <c r="C1527" s="10" t="inlineStr">
        <is>
          <t>2024-01-03</t>
        </is>
      </c>
      <c r="D1527" s="8" t="inlineStr">
        <is>
          <t>CUST-06185</t>
        </is>
      </c>
      <c r="E1527" s="8" t="inlineStr">
        <is>
          <t>PRD-0332</t>
        </is>
      </c>
      <c r="F1527" s="8" t="n">
        <v>2</v>
      </c>
      <c r="G1527" s="9">
        <f>IFERROR(XLOOKUP(E1527, '04_Products'!$A:$A, '04_Products'!$G:$G), 82.03)</f>
        <v/>
      </c>
      <c r="H1527" s="9">
        <f>IFERROR(XLOOKUP(E1527, '04_Products'!$A:$A, '04_Products'!$F:$F), 0)</f>
        <v/>
      </c>
      <c r="I1527" s="9">
        <f>F1527*G1527</f>
        <v/>
      </c>
      <c r="J1527" s="11" t="n">
        <v>0.2</v>
      </c>
      <c r="K1527" s="9">
        <f>I1527*J1527</f>
        <v/>
      </c>
      <c r="L1527" s="9">
        <f>I1527-K1527</f>
        <v/>
      </c>
      <c r="M1527" s="9">
        <f>F1527*H1527</f>
        <v/>
      </c>
      <c r="N1527" s="9">
        <f>L1527-M1527</f>
        <v/>
      </c>
      <c r="O1527" s="11">
        <f>IFERROR(N1527/L1527, 0)</f>
        <v/>
      </c>
      <c r="P1527" s="8">
        <f>YEAR(C1527)</f>
        <v/>
      </c>
      <c r="Q1527" s="8">
        <f>TEXT(C1527, "yyyy-mm")</f>
        <v/>
      </c>
      <c r="R1527" s="8" t="inlineStr">
        <is>
          <t>B2B Portal</t>
        </is>
      </c>
      <c r="S1527" s="8" t="inlineStr">
        <is>
          <t>REG-NA</t>
        </is>
      </c>
    </row>
    <row r="1528">
      <c r="A1528" s="8" t="inlineStr">
        <is>
          <t>DTL-0001545</t>
        </is>
      </c>
      <c r="B1528" s="8" t="inlineStr">
        <is>
          <t>ORD-000771</t>
        </is>
      </c>
      <c r="C1528" s="10" t="inlineStr">
        <is>
          <t>2025-09-14</t>
        </is>
      </c>
      <c r="D1528" s="8" t="inlineStr">
        <is>
          <t>CUST-00429</t>
        </is>
      </c>
      <c r="E1528" s="8" t="inlineStr">
        <is>
          <t>PRD-0121</t>
        </is>
      </c>
      <c r="F1528" s="8" t="n">
        <v>1</v>
      </c>
      <c r="G1528" s="9">
        <f>IFERROR(XLOOKUP(E1528, '04_Products'!$A:$A, '04_Products'!$G:$G), 420.86)</f>
        <v/>
      </c>
      <c r="H1528" s="9">
        <f>IFERROR(XLOOKUP(E1528, '04_Products'!$A:$A, '04_Products'!$F:$F), 0)</f>
        <v/>
      </c>
      <c r="I1528" s="9">
        <f>F1528*G1528</f>
        <v/>
      </c>
      <c r="J1528" s="11" t="n">
        <v>0.1</v>
      </c>
      <c r="K1528" s="9">
        <f>I1528*J1528</f>
        <v/>
      </c>
      <c r="L1528" s="9">
        <f>I1528-K1528</f>
        <v/>
      </c>
      <c r="M1528" s="9">
        <f>F1528*H1528</f>
        <v/>
      </c>
      <c r="N1528" s="9">
        <f>L1528-M1528</f>
        <v/>
      </c>
      <c r="O1528" s="11">
        <f>IFERROR(N1528/L1528, 0)</f>
        <v/>
      </c>
      <c r="P1528" s="8">
        <f>YEAR(C1528)</f>
        <v/>
      </c>
      <c r="Q1528" s="8">
        <f>TEXT(C1528, "yyyy-mm")</f>
        <v/>
      </c>
      <c r="R1528" s="8" t="inlineStr">
        <is>
          <t>Direct Web</t>
        </is>
      </c>
      <c r="S1528" s="8" t="inlineStr">
        <is>
          <t>REG-NA</t>
        </is>
      </c>
    </row>
    <row r="1529">
      <c r="A1529" s="8" t="inlineStr">
        <is>
          <t>DTL-0001546</t>
        </is>
      </c>
      <c r="B1529" s="8" t="inlineStr">
        <is>
          <t>ORD-000771</t>
        </is>
      </c>
      <c r="C1529" s="10" t="inlineStr">
        <is>
          <t>2025-09-14</t>
        </is>
      </c>
      <c r="D1529" s="8" t="inlineStr">
        <is>
          <t>CUST-00429</t>
        </is>
      </c>
      <c r="E1529" s="8" t="inlineStr">
        <is>
          <t>PRD-0371</t>
        </is>
      </c>
      <c r="F1529" s="8" t="n">
        <v>1</v>
      </c>
      <c r="G1529" s="9">
        <f>IFERROR(XLOOKUP(E1529, '04_Products'!$A:$A, '04_Products'!$G:$G), 41.78)</f>
        <v/>
      </c>
      <c r="H1529" s="9">
        <f>IFERROR(XLOOKUP(E1529, '04_Products'!$A:$A, '04_Products'!$F:$F), 0)</f>
        <v/>
      </c>
      <c r="I1529" s="9">
        <f>F1529*G1529</f>
        <v/>
      </c>
      <c r="J1529" s="11" t="n">
        <v>0.3</v>
      </c>
      <c r="K1529" s="9">
        <f>I1529*J1529</f>
        <v/>
      </c>
      <c r="L1529" s="9">
        <f>I1529-K1529</f>
        <v/>
      </c>
      <c r="M1529" s="9">
        <f>F1529*H1529</f>
        <v/>
      </c>
      <c r="N1529" s="9">
        <f>L1529-M1529</f>
        <v/>
      </c>
      <c r="O1529" s="11">
        <f>IFERROR(N1529/L1529, 0)</f>
        <v/>
      </c>
      <c r="P1529" s="8">
        <f>YEAR(C1529)</f>
        <v/>
      </c>
      <c r="Q1529" s="8">
        <f>TEXT(C1529, "yyyy-mm")</f>
        <v/>
      </c>
      <c r="R1529" s="8" t="inlineStr">
        <is>
          <t>Direct Web</t>
        </is>
      </c>
      <c r="S1529" s="8" t="inlineStr">
        <is>
          <t>REG-NA</t>
        </is>
      </c>
    </row>
    <row r="1530">
      <c r="A1530" s="8" t="inlineStr">
        <is>
          <t>DTL-0001547</t>
        </is>
      </c>
      <c r="B1530" s="8" t="inlineStr">
        <is>
          <t>ORD-000771</t>
        </is>
      </c>
      <c r="C1530" s="10" t="inlineStr">
        <is>
          <t>2025-09-14</t>
        </is>
      </c>
      <c r="D1530" s="8" t="inlineStr">
        <is>
          <t>CUST-00429</t>
        </is>
      </c>
      <c r="E1530" s="8" t="inlineStr">
        <is>
          <t>PRD-0149</t>
        </is>
      </c>
      <c r="F1530" s="8" t="n">
        <v>1</v>
      </c>
      <c r="G1530" s="9">
        <f>IFERROR(XLOOKUP(E1530, '04_Products'!$A:$A, '04_Products'!$G:$G), 184.54)</f>
        <v/>
      </c>
      <c r="H1530" s="9">
        <f>IFERROR(XLOOKUP(E1530, '04_Products'!$A:$A, '04_Products'!$F:$F), 0)</f>
        <v/>
      </c>
      <c r="I1530" s="9">
        <f>F1530*G1530</f>
        <v/>
      </c>
      <c r="J1530" s="11" t="n">
        <v>0</v>
      </c>
      <c r="K1530" s="9">
        <f>I1530*J1530</f>
        <v/>
      </c>
      <c r="L1530" s="9">
        <f>I1530-K1530</f>
        <v/>
      </c>
      <c r="M1530" s="9">
        <f>F1530*H1530</f>
        <v/>
      </c>
      <c r="N1530" s="9">
        <f>L1530-M1530</f>
        <v/>
      </c>
      <c r="O1530" s="11">
        <f>IFERROR(N1530/L1530, 0)</f>
        <v/>
      </c>
      <c r="P1530" s="8">
        <f>YEAR(C1530)</f>
        <v/>
      </c>
      <c r="Q1530" s="8">
        <f>TEXT(C1530, "yyyy-mm")</f>
        <v/>
      </c>
      <c r="R1530" s="8" t="inlineStr">
        <is>
          <t>Direct Web</t>
        </is>
      </c>
      <c r="S1530" s="8" t="inlineStr">
        <is>
          <t>REG-NA</t>
        </is>
      </c>
    </row>
    <row r="1531">
      <c r="A1531" s="8" t="inlineStr">
        <is>
          <t>DTL-0001548</t>
        </is>
      </c>
      <c r="B1531" s="8" t="inlineStr">
        <is>
          <t>ORD-000772</t>
        </is>
      </c>
      <c r="C1531" s="10" t="inlineStr">
        <is>
          <t>2023-11-18</t>
        </is>
      </c>
      <c r="D1531" s="8" t="inlineStr">
        <is>
          <t>CUST-05418</t>
        </is>
      </c>
      <c r="E1531" s="8" t="inlineStr">
        <is>
          <t>PRD-0324</t>
        </is>
      </c>
      <c r="F1531" s="8" t="n">
        <v>2</v>
      </c>
      <c r="G1531" s="9">
        <f>IFERROR(XLOOKUP(E1531, '04_Products'!$A:$A, '04_Products'!$G:$G), 229.24)</f>
        <v/>
      </c>
      <c r="H1531" s="9">
        <f>IFERROR(XLOOKUP(E1531, '04_Products'!$A:$A, '04_Products'!$F:$F), 0)</f>
        <v/>
      </c>
      <c r="I1531" s="9">
        <f>F1531*G1531</f>
        <v/>
      </c>
      <c r="J1531" s="11" t="n">
        <v>0.2</v>
      </c>
      <c r="K1531" s="9">
        <f>I1531*J1531</f>
        <v/>
      </c>
      <c r="L1531" s="9">
        <f>I1531-K1531</f>
        <v/>
      </c>
      <c r="M1531" s="9">
        <f>F1531*H1531</f>
        <v/>
      </c>
      <c r="N1531" s="9">
        <f>L1531-M1531</f>
        <v/>
      </c>
      <c r="O1531" s="11">
        <f>IFERROR(N1531/L1531, 0)</f>
        <v/>
      </c>
      <c r="P1531" s="8">
        <f>YEAR(C1531)</f>
        <v/>
      </c>
      <c r="Q1531" s="8">
        <f>TEXT(C1531, "yyyy-mm")</f>
        <v/>
      </c>
      <c r="R1531" s="8" t="inlineStr">
        <is>
          <t>Direct Web</t>
        </is>
      </c>
      <c r="S1531" s="8" t="inlineStr">
        <is>
          <t>REG-NA</t>
        </is>
      </c>
    </row>
    <row r="1532">
      <c r="A1532" s="8" t="inlineStr">
        <is>
          <t>DTL-0001549</t>
        </is>
      </c>
      <c r="B1532" s="8" t="inlineStr">
        <is>
          <t>ORD-000773</t>
        </is>
      </c>
      <c r="C1532" s="10" t="inlineStr">
        <is>
          <t>2025-12-31</t>
        </is>
      </c>
      <c r="D1532" s="8" t="inlineStr">
        <is>
          <t>CUST-00225</t>
        </is>
      </c>
      <c r="E1532" s="8" t="inlineStr">
        <is>
          <t>PRD-0480</t>
        </is>
      </c>
      <c r="F1532" s="8" t="n">
        <v>2</v>
      </c>
      <c r="G1532" s="9">
        <f>IFERROR(XLOOKUP(E1532, '04_Products'!$A:$A, '04_Products'!$G:$G), 122.63)</f>
        <v/>
      </c>
      <c r="H1532" s="9">
        <f>IFERROR(XLOOKUP(E1532, '04_Products'!$A:$A, '04_Products'!$F:$F), 0)</f>
        <v/>
      </c>
      <c r="I1532" s="9">
        <f>F1532*G1532</f>
        <v/>
      </c>
      <c r="J1532" s="11" t="n">
        <v>0.05</v>
      </c>
      <c r="K1532" s="9">
        <f>I1532*J1532</f>
        <v/>
      </c>
      <c r="L1532" s="9">
        <f>I1532-K1532</f>
        <v/>
      </c>
      <c r="M1532" s="9">
        <f>F1532*H1532</f>
        <v/>
      </c>
      <c r="N1532" s="9">
        <f>L1532-M1532</f>
        <v/>
      </c>
      <c r="O1532" s="11">
        <f>IFERROR(N1532/L1532, 0)</f>
        <v/>
      </c>
      <c r="P1532" s="8">
        <f>YEAR(C1532)</f>
        <v/>
      </c>
      <c r="Q1532" s="8">
        <f>TEXT(C1532, "yyyy-mm")</f>
        <v/>
      </c>
      <c r="R1532" s="8" t="inlineStr">
        <is>
          <t>Mobile App</t>
        </is>
      </c>
      <c r="S1532" s="8" t="inlineStr">
        <is>
          <t>REG-LATAM</t>
        </is>
      </c>
    </row>
    <row r="1533">
      <c r="A1533" s="8" t="inlineStr">
        <is>
          <t>DTL-0001550</t>
        </is>
      </c>
      <c r="B1533" s="8" t="inlineStr">
        <is>
          <t>ORD-000774</t>
        </is>
      </c>
      <c r="C1533" s="10" t="inlineStr">
        <is>
          <t>2023-11-08</t>
        </is>
      </c>
      <c r="D1533" s="8" t="inlineStr">
        <is>
          <t>CUST-04862</t>
        </is>
      </c>
      <c r="E1533" s="8" t="inlineStr">
        <is>
          <t>PRD-0336</t>
        </is>
      </c>
      <c r="F1533" s="8" t="n">
        <v>1</v>
      </c>
      <c r="G1533" s="9">
        <f>IFERROR(XLOOKUP(E1533, '04_Products'!$A:$A, '04_Products'!$G:$G), 216.76)</f>
        <v/>
      </c>
      <c r="H1533" s="9">
        <f>IFERROR(XLOOKUP(E1533, '04_Products'!$A:$A, '04_Products'!$F:$F), 0)</f>
        <v/>
      </c>
      <c r="I1533" s="9">
        <f>F1533*G1533</f>
        <v/>
      </c>
      <c r="J1533" s="11" t="n">
        <v>0</v>
      </c>
      <c r="K1533" s="9">
        <f>I1533*J1533</f>
        <v/>
      </c>
      <c r="L1533" s="9">
        <f>I1533-K1533</f>
        <v/>
      </c>
      <c r="M1533" s="9">
        <f>F1533*H1533</f>
        <v/>
      </c>
      <c r="N1533" s="9">
        <f>L1533-M1533</f>
        <v/>
      </c>
      <c r="O1533" s="11">
        <f>IFERROR(N1533/L1533, 0)</f>
        <v/>
      </c>
      <c r="P1533" s="8">
        <f>YEAR(C1533)</f>
        <v/>
      </c>
      <c r="Q1533" s="8">
        <f>TEXT(C1533, "yyyy-mm")</f>
        <v/>
      </c>
      <c r="R1533" s="8" t="inlineStr">
        <is>
          <t>Direct Web</t>
        </is>
      </c>
      <c r="S1533" s="8" t="inlineStr">
        <is>
          <t>REG-EU</t>
        </is>
      </c>
    </row>
    <row r="1534">
      <c r="A1534" s="8" t="inlineStr">
        <is>
          <t>DTL-0001551</t>
        </is>
      </c>
      <c r="B1534" s="8" t="inlineStr">
        <is>
          <t>ORD-000774</t>
        </is>
      </c>
      <c r="C1534" s="10" t="inlineStr">
        <is>
          <t>2023-11-08</t>
        </is>
      </c>
      <c r="D1534" s="8" t="inlineStr">
        <is>
          <t>CUST-04862</t>
        </is>
      </c>
      <c r="E1534" s="8" t="inlineStr">
        <is>
          <t>PRD-0441</t>
        </is>
      </c>
      <c r="F1534" s="8" t="n">
        <v>2</v>
      </c>
      <c r="G1534" s="9">
        <f>IFERROR(XLOOKUP(E1534, '04_Products'!$A:$A, '04_Products'!$G:$G), 1128.16)</f>
        <v/>
      </c>
      <c r="H1534" s="9">
        <f>IFERROR(XLOOKUP(E1534, '04_Products'!$A:$A, '04_Products'!$F:$F), 0)</f>
        <v/>
      </c>
      <c r="I1534" s="9">
        <f>F1534*G1534</f>
        <v/>
      </c>
      <c r="J1534" s="11" t="n">
        <v>0</v>
      </c>
      <c r="K1534" s="9">
        <f>I1534*J1534</f>
        <v/>
      </c>
      <c r="L1534" s="9">
        <f>I1534-K1534</f>
        <v/>
      </c>
      <c r="M1534" s="9">
        <f>F1534*H1534</f>
        <v/>
      </c>
      <c r="N1534" s="9">
        <f>L1534-M1534</f>
        <v/>
      </c>
      <c r="O1534" s="11">
        <f>IFERROR(N1534/L1534, 0)</f>
        <v/>
      </c>
      <c r="P1534" s="8">
        <f>YEAR(C1534)</f>
        <v/>
      </c>
      <c r="Q1534" s="8">
        <f>TEXT(C1534, "yyyy-mm")</f>
        <v/>
      </c>
      <c r="R1534" s="8" t="inlineStr">
        <is>
          <t>Direct Web</t>
        </is>
      </c>
      <c r="S1534" s="8" t="inlineStr">
        <is>
          <t>REG-EU</t>
        </is>
      </c>
    </row>
    <row r="1535">
      <c r="A1535" s="8" t="inlineStr">
        <is>
          <t>DTL-0001552</t>
        </is>
      </c>
      <c r="B1535" s="8" t="inlineStr">
        <is>
          <t>ORD-000775</t>
        </is>
      </c>
      <c r="C1535" s="10" t="inlineStr">
        <is>
          <t>2023-06-25</t>
        </is>
      </c>
      <c r="D1535" s="8" t="inlineStr">
        <is>
          <t>CUST-02657</t>
        </is>
      </c>
      <c r="E1535" s="8" t="inlineStr">
        <is>
          <t>PRD-0085</t>
        </is>
      </c>
      <c r="F1535" s="8" t="n">
        <v>1</v>
      </c>
      <c r="G1535" s="9">
        <f>IFERROR(XLOOKUP(E1535, '04_Products'!$A:$A, '04_Products'!$G:$G), 202.10)</f>
        <v/>
      </c>
      <c r="H1535" s="9">
        <f>IFERROR(XLOOKUP(E1535, '04_Products'!$A:$A, '04_Products'!$F:$F), 0)</f>
        <v/>
      </c>
      <c r="I1535" s="9">
        <f>F1535*G1535</f>
        <v/>
      </c>
      <c r="J1535" s="11" t="n">
        <v>0</v>
      </c>
      <c r="K1535" s="9">
        <f>I1535*J1535</f>
        <v/>
      </c>
      <c r="L1535" s="9">
        <f>I1535-K1535</f>
        <v/>
      </c>
      <c r="M1535" s="9">
        <f>F1535*H1535</f>
        <v/>
      </c>
      <c r="N1535" s="9">
        <f>L1535-M1535</f>
        <v/>
      </c>
      <c r="O1535" s="11">
        <f>IFERROR(N1535/L1535, 0)</f>
        <v/>
      </c>
      <c r="P1535" s="8">
        <f>YEAR(C1535)</f>
        <v/>
      </c>
      <c r="Q1535" s="8">
        <f>TEXT(C1535, "yyyy-mm")</f>
        <v/>
      </c>
      <c r="R1535" s="8" t="inlineStr">
        <is>
          <t>Direct Web</t>
        </is>
      </c>
      <c r="S1535" s="8" t="inlineStr">
        <is>
          <t>REG-EU</t>
        </is>
      </c>
    </row>
    <row r="1536">
      <c r="A1536" s="8" t="inlineStr">
        <is>
          <t>DTL-0001553</t>
        </is>
      </c>
      <c r="B1536" s="8" t="inlineStr">
        <is>
          <t>ORD-000775</t>
        </is>
      </c>
      <c r="C1536" s="10" t="inlineStr">
        <is>
          <t>2023-06-25</t>
        </is>
      </c>
      <c r="D1536" s="8" t="inlineStr">
        <is>
          <t>CUST-02657</t>
        </is>
      </c>
      <c r="E1536" s="8" t="inlineStr">
        <is>
          <t>PRD-0498</t>
        </is>
      </c>
      <c r="F1536" s="8" t="n">
        <v>1</v>
      </c>
      <c r="G1536" s="9">
        <f>IFERROR(XLOOKUP(E1536, '04_Products'!$A:$A, '04_Products'!$G:$G), 63.17)</f>
        <v/>
      </c>
      <c r="H1536" s="9">
        <f>IFERROR(XLOOKUP(E1536, '04_Products'!$A:$A, '04_Products'!$F:$F), 0)</f>
        <v/>
      </c>
      <c r="I1536" s="9">
        <f>F1536*G1536</f>
        <v/>
      </c>
      <c r="J1536" s="11" t="n">
        <v>0</v>
      </c>
      <c r="K1536" s="9">
        <f>I1536*J1536</f>
        <v/>
      </c>
      <c r="L1536" s="9">
        <f>I1536-K1536</f>
        <v/>
      </c>
      <c r="M1536" s="9">
        <f>F1536*H1536</f>
        <v/>
      </c>
      <c r="N1536" s="9">
        <f>L1536-M1536</f>
        <v/>
      </c>
      <c r="O1536" s="11">
        <f>IFERROR(N1536/L1536, 0)</f>
        <v/>
      </c>
      <c r="P1536" s="8">
        <f>YEAR(C1536)</f>
        <v/>
      </c>
      <c r="Q1536" s="8">
        <f>TEXT(C1536, "yyyy-mm")</f>
        <v/>
      </c>
      <c r="R1536" s="8" t="inlineStr">
        <is>
          <t>Direct Web</t>
        </is>
      </c>
      <c r="S1536" s="8" t="inlineStr">
        <is>
          <t>REG-EU</t>
        </is>
      </c>
    </row>
    <row r="1537">
      <c r="A1537" s="8" t="inlineStr">
        <is>
          <t>DTL-0001554</t>
        </is>
      </c>
      <c r="B1537" s="8" t="inlineStr">
        <is>
          <t>ORD-000776</t>
        </is>
      </c>
      <c r="C1537" s="10" t="inlineStr">
        <is>
          <t>2025-04-08</t>
        </is>
      </c>
      <c r="D1537" s="8" t="inlineStr">
        <is>
          <t>CUST-05618</t>
        </is>
      </c>
      <c r="E1537" s="8" t="inlineStr">
        <is>
          <t>PRD-0080</t>
        </is>
      </c>
      <c r="F1537" s="8" t="n">
        <v>3</v>
      </c>
      <c r="G1537" s="9">
        <f>IFERROR(XLOOKUP(E1537, '04_Products'!$A:$A, '04_Products'!$G:$G), 547.36)</f>
        <v/>
      </c>
      <c r="H1537" s="9">
        <f>IFERROR(XLOOKUP(E1537, '04_Products'!$A:$A, '04_Products'!$F:$F), 0)</f>
        <v/>
      </c>
      <c r="I1537" s="9">
        <f>F1537*G1537</f>
        <v/>
      </c>
      <c r="J1537" s="11" t="n">
        <v>0</v>
      </c>
      <c r="K1537" s="9">
        <f>I1537*J1537</f>
        <v/>
      </c>
      <c r="L1537" s="9">
        <f>I1537-K1537</f>
        <v/>
      </c>
      <c r="M1537" s="9">
        <f>F1537*H1537</f>
        <v/>
      </c>
      <c r="N1537" s="9">
        <f>L1537-M1537</f>
        <v/>
      </c>
      <c r="O1537" s="11">
        <f>IFERROR(N1537/L1537, 0)</f>
        <v/>
      </c>
      <c r="P1537" s="8">
        <f>YEAR(C1537)</f>
        <v/>
      </c>
      <c r="Q1537" s="8">
        <f>TEXT(C1537, "yyyy-mm")</f>
        <v/>
      </c>
      <c r="R1537" s="8" t="inlineStr">
        <is>
          <t>Direct Web</t>
        </is>
      </c>
      <c r="S1537" s="8" t="inlineStr">
        <is>
          <t>REG-NA</t>
        </is>
      </c>
    </row>
    <row r="1538">
      <c r="A1538" s="8" t="inlineStr">
        <is>
          <t>DTL-0001555</t>
        </is>
      </c>
      <c r="B1538" s="8" t="inlineStr">
        <is>
          <t>ORD-000776</t>
        </is>
      </c>
      <c r="C1538" s="10" t="inlineStr">
        <is>
          <t>2025-04-08</t>
        </is>
      </c>
      <c r="D1538" s="8" t="inlineStr">
        <is>
          <t>CUST-05618</t>
        </is>
      </c>
      <c r="E1538" s="8" t="inlineStr">
        <is>
          <t>PRD-0146</t>
        </is>
      </c>
      <c r="F1538" s="8" t="n">
        <v>2</v>
      </c>
      <c r="G1538" s="9">
        <f>IFERROR(XLOOKUP(E1538, '04_Products'!$A:$A, '04_Products'!$G:$G), 195.73)</f>
        <v/>
      </c>
      <c r="H1538" s="9">
        <f>IFERROR(XLOOKUP(E1538, '04_Products'!$A:$A, '04_Products'!$F:$F), 0)</f>
        <v/>
      </c>
      <c r="I1538" s="9">
        <f>F1538*G1538</f>
        <v/>
      </c>
      <c r="J1538" s="11" t="n">
        <v>0</v>
      </c>
      <c r="K1538" s="9">
        <f>I1538*J1538</f>
        <v/>
      </c>
      <c r="L1538" s="9">
        <f>I1538-K1538</f>
        <v/>
      </c>
      <c r="M1538" s="9">
        <f>F1538*H1538</f>
        <v/>
      </c>
      <c r="N1538" s="9">
        <f>L1538-M1538</f>
        <v/>
      </c>
      <c r="O1538" s="11">
        <f>IFERROR(N1538/L1538, 0)</f>
        <v/>
      </c>
      <c r="P1538" s="8">
        <f>YEAR(C1538)</f>
        <v/>
      </c>
      <c r="Q1538" s="8">
        <f>TEXT(C1538, "yyyy-mm")</f>
        <v/>
      </c>
      <c r="R1538" s="8" t="inlineStr">
        <is>
          <t>Direct Web</t>
        </is>
      </c>
      <c r="S1538" s="8" t="inlineStr">
        <is>
          <t>REG-NA</t>
        </is>
      </c>
    </row>
    <row r="1539">
      <c r="A1539" s="8" t="inlineStr">
        <is>
          <t>DTL-0001556</t>
        </is>
      </c>
      <c r="B1539" s="8" t="inlineStr">
        <is>
          <t>ORD-000777</t>
        </is>
      </c>
      <c r="C1539" s="10" t="inlineStr">
        <is>
          <t>2023-09-21</t>
        </is>
      </c>
      <c r="D1539" s="8" t="inlineStr">
        <is>
          <t>CUST-03710</t>
        </is>
      </c>
      <c r="E1539" s="8" t="inlineStr">
        <is>
          <t>PRD-0054</t>
        </is>
      </c>
      <c r="F1539" s="8" t="n">
        <v>1</v>
      </c>
      <c r="G1539" s="9">
        <f>IFERROR(XLOOKUP(E1539, '04_Products'!$A:$A, '04_Products'!$G:$G), 873.80)</f>
        <v/>
      </c>
      <c r="H1539" s="9">
        <f>IFERROR(XLOOKUP(E1539, '04_Products'!$A:$A, '04_Products'!$F:$F), 0)</f>
        <v/>
      </c>
      <c r="I1539" s="9">
        <f>F1539*G1539</f>
        <v/>
      </c>
      <c r="J1539" s="11" t="n">
        <v>0</v>
      </c>
      <c r="K1539" s="9">
        <f>I1539*J1539</f>
        <v/>
      </c>
      <c r="L1539" s="9">
        <f>I1539-K1539</f>
        <v/>
      </c>
      <c r="M1539" s="9">
        <f>F1539*H1539</f>
        <v/>
      </c>
      <c r="N1539" s="9">
        <f>L1539-M1539</f>
        <v/>
      </c>
      <c r="O1539" s="11">
        <f>IFERROR(N1539/L1539, 0)</f>
        <v/>
      </c>
      <c r="P1539" s="8">
        <f>YEAR(C1539)</f>
        <v/>
      </c>
      <c r="Q1539" s="8">
        <f>TEXT(C1539, "yyyy-mm")</f>
        <v/>
      </c>
      <c r="R1539" s="8" t="inlineStr">
        <is>
          <t>Direct Web</t>
        </is>
      </c>
      <c r="S1539" s="8" t="inlineStr">
        <is>
          <t>REG-APAC</t>
        </is>
      </c>
    </row>
    <row r="1540">
      <c r="A1540" s="8" t="inlineStr">
        <is>
          <t>DTL-0001557</t>
        </is>
      </c>
      <c r="B1540" s="8" t="inlineStr">
        <is>
          <t>ORD-000777</t>
        </is>
      </c>
      <c r="C1540" s="10" t="inlineStr">
        <is>
          <t>2023-09-21</t>
        </is>
      </c>
      <c r="D1540" s="8" t="inlineStr">
        <is>
          <t>CUST-03710</t>
        </is>
      </c>
      <c r="E1540" s="8" t="inlineStr">
        <is>
          <t>PRD-0099</t>
        </is>
      </c>
      <c r="F1540" s="8" t="n">
        <v>1</v>
      </c>
      <c r="G1540" s="9">
        <f>IFERROR(XLOOKUP(E1540, '04_Products'!$A:$A, '04_Products'!$G:$G), 201.48)</f>
        <v/>
      </c>
      <c r="H1540" s="9">
        <f>IFERROR(XLOOKUP(E1540, '04_Products'!$A:$A, '04_Products'!$F:$F), 0)</f>
        <v/>
      </c>
      <c r="I1540" s="9">
        <f>F1540*G1540</f>
        <v/>
      </c>
      <c r="J1540" s="11" t="n">
        <v>0.05</v>
      </c>
      <c r="K1540" s="9">
        <f>I1540*J1540</f>
        <v/>
      </c>
      <c r="L1540" s="9">
        <f>I1540-K1540</f>
        <v/>
      </c>
      <c r="M1540" s="9">
        <f>F1540*H1540</f>
        <v/>
      </c>
      <c r="N1540" s="9">
        <f>L1540-M1540</f>
        <v/>
      </c>
      <c r="O1540" s="11">
        <f>IFERROR(N1540/L1540, 0)</f>
        <v/>
      </c>
      <c r="P1540" s="8">
        <f>YEAR(C1540)</f>
        <v/>
      </c>
      <c r="Q1540" s="8">
        <f>TEXT(C1540, "yyyy-mm")</f>
        <v/>
      </c>
      <c r="R1540" s="8" t="inlineStr">
        <is>
          <t>Direct Web</t>
        </is>
      </c>
      <c r="S1540" s="8" t="inlineStr">
        <is>
          <t>REG-APAC</t>
        </is>
      </c>
    </row>
    <row r="1541">
      <c r="A1541" s="8" t="inlineStr">
        <is>
          <t>DTL-0001558</t>
        </is>
      </c>
      <c r="B1541" s="8" t="inlineStr">
        <is>
          <t>ORD-000777</t>
        </is>
      </c>
      <c r="C1541" s="10" t="inlineStr">
        <is>
          <t>2023-09-21</t>
        </is>
      </c>
      <c r="D1541" s="8" t="inlineStr">
        <is>
          <t>CUST-03710</t>
        </is>
      </c>
      <c r="E1541" s="8" t="inlineStr">
        <is>
          <t>PRD-0235</t>
        </is>
      </c>
      <c r="F1541" s="8" t="n">
        <v>1</v>
      </c>
      <c r="G1541" s="9">
        <f>IFERROR(XLOOKUP(E1541, '04_Products'!$A:$A, '04_Products'!$G:$G), 640.49)</f>
        <v/>
      </c>
      <c r="H1541" s="9">
        <f>IFERROR(XLOOKUP(E1541, '04_Products'!$A:$A, '04_Products'!$F:$F), 0)</f>
        <v/>
      </c>
      <c r="I1541" s="9">
        <f>F1541*G1541</f>
        <v/>
      </c>
      <c r="J1541" s="11" t="n">
        <v>0.05</v>
      </c>
      <c r="K1541" s="9">
        <f>I1541*J1541</f>
        <v/>
      </c>
      <c r="L1541" s="9">
        <f>I1541-K1541</f>
        <v/>
      </c>
      <c r="M1541" s="9">
        <f>F1541*H1541</f>
        <v/>
      </c>
      <c r="N1541" s="9">
        <f>L1541-M1541</f>
        <v/>
      </c>
      <c r="O1541" s="11">
        <f>IFERROR(N1541/L1541, 0)</f>
        <v/>
      </c>
      <c r="P1541" s="8">
        <f>YEAR(C1541)</f>
        <v/>
      </c>
      <c r="Q1541" s="8">
        <f>TEXT(C1541, "yyyy-mm")</f>
        <v/>
      </c>
      <c r="R1541" s="8" t="inlineStr">
        <is>
          <t>Direct Web</t>
        </is>
      </c>
      <c r="S1541" s="8" t="inlineStr">
        <is>
          <t>REG-APAC</t>
        </is>
      </c>
    </row>
    <row r="1542">
      <c r="A1542" s="8" t="inlineStr">
        <is>
          <t>DTL-0001559</t>
        </is>
      </c>
      <c r="B1542" s="8" t="inlineStr">
        <is>
          <t>ORD-000778</t>
        </is>
      </c>
      <c r="C1542" s="10" t="inlineStr">
        <is>
          <t>2025-11-13</t>
        </is>
      </c>
      <c r="D1542" s="8" t="inlineStr">
        <is>
          <t>CUST-03528</t>
        </is>
      </c>
      <c r="E1542" s="8" t="inlineStr">
        <is>
          <t>PRD-0279</t>
        </is>
      </c>
      <c r="F1542" s="8" t="n">
        <v>1</v>
      </c>
      <c r="G1542" s="9">
        <f>IFERROR(XLOOKUP(E1542, '04_Products'!$A:$A, '04_Products'!$G:$G), 783.46)</f>
        <v/>
      </c>
      <c r="H1542" s="9">
        <f>IFERROR(XLOOKUP(E1542, '04_Products'!$A:$A, '04_Products'!$F:$F), 0)</f>
        <v/>
      </c>
      <c r="I1542" s="9">
        <f>F1542*G1542</f>
        <v/>
      </c>
      <c r="J1542" s="11" t="n">
        <v>0</v>
      </c>
      <c r="K1542" s="9">
        <f>I1542*J1542</f>
        <v/>
      </c>
      <c r="L1542" s="9">
        <f>I1542-K1542</f>
        <v/>
      </c>
      <c r="M1542" s="9">
        <f>F1542*H1542</f>
        <v/>
      </c>
      <c r="N1542" s="9">
        <f>L1542-M1542</f>
        <v/>
      </c>
      <c r="O1542" s="11">
        <f>IFERROR(N1542/L1542, 0)</f>
        <v/>
      </c>
      <c r="P1542" s="8">
        <f>YEAR(C1542)</f>
        <v/>
      </c>
      <c r="Q1542" s="8">
        <f>TEXT(C1542, "yyyy-mm")</f>
        <v/>
      </c>
      <c r="R1542" s="8" t="inlineStr">
        <is>
          <t>Direct Web</t>
        </is>
      </c>
      <c r="S1542" s="8" t="inlineStr">
        <is>
          <t>REG-LATAM</t>
        </is>
      </c>
    </row>
    <row r="1543">
      <c r="A1543" s="8" t="inlineStr">
        <is>
          <t>DTL-0001560</t>
        </is>
      </c>
      <c r="B1543" s="8" t="inlineStr">
        <is>
          <t>ORD-000778</t>
        </is>
      </c>
      <c r="C1543" s="10" t="inlineStr">
        <is>
          <t>2025-11-13</t>
        </is>
      </c>
      <c r="D1543" s="8" t="inlineStr">
        <is>
          <t>CUST-03528</t>
        </is>
      </c>
      <c r="E1543" s="8" t="inlineStr">
        <is>
          <t>PRD-0345</t>
        </is>
      </c>
      <c r="F1543" s="8" t="n">
        <v>2</v>
      </c>
      <c r="G1543" s="9">
        <f>IFERROR(XLOOKUP(E1543, '04_Products'!$A:$A, '04_Products'!$G:$G), 59.07)</f>
        <v/>
      </c>
      <c r="H1543" s="9">
        <f>IFERROR(XLOOKUP(E1543, '04_Products'!$A:$A, '04_Products'!$F:$F), 0)</f>
        <v/>
      </c>
      <c r="I1543" s="9">
        <f>F1543*G1543</f>
        <v/>
      </c>
      <c r="J1543" s="11" t="n">
        <v>0.15</v>
      </c>
      <c r="K1543" s="9">
        <f>I1543*J1543</f>
        <v/>
      </c>
      <c r="L1543" s="9">
        <f>I1543-K1543</f>
        <v/>
      </c>
      <c r="M1543" s="9">
        <f>F1543*H1543</f>
        <v/>
      </c>
      <c r="N1543" s="9">
        <f>L1543-M1543</f>
        <v/>
      </c>
      <c r="O1543" s="11">
        <f>IFERROR(N1543/L1543, 0)</f>
        <v/>
      </c>
      <c r="P1543" s="8">
        <f>YEAR(C1543)</f>
        <v/>
      </c>
      <c r="Q1543" s="8">
        <f>TEXT(C1543, "yyyy-mm")</f>
        <v/>
      </c>
      <c r="R1543" s="8" t="inlineStr">
        <is>
          <t>Direct Web</t>
        </is>
      </c>
      <c r="S1543" s="8" t="inlineStr">
        <is>
          <t>REG-LATAM</t>
        </is>
      </c>
    </row>
    <row r="1544">
      <c r="A1544" s="8" t="inlineStr">
        <is>
          <t>DTL-0001561</t>
        </is>
      </c>
      <c r="B1544" s="8" t="inlineStr">
        <is>
          <t>ORD-000779</t>
        </is>
      </c>
      <c r="C1544" s="10" t="inlineStr">
        <is>
          <t>2025-11-13</t>
        </is>
      </c>
      <c r="D1544" s="8" t="inlineStr">
        <is>
          <t>CUST-04212</t>
        </is>
      </c>
      <c r="E1544" s="8" t="inlineStr">
        <is>
          <t>PRD-0489</t>
        </is>
      </c>
      <c r="F1544" s="8" t="n">
        <v>1</v>
      </c>
      <c r="G1544" s="9">
        <f>IFERROR(XLOOKUP(E1544, '04_Products'!$A:$A, '04_Products'!$G:$G), 61.45)</f>
        <v/>
      </c>
      <c r="H1544" s="9">
        <f>IFERROR(XLOOKUP(E1544, '04_Products'!$A:$A, '04_Products'!$F:$F), 0)</f>
        <v/>
      </c>
      <c r="I1544" s="9">
        <f>F1544*G1544</f>
        <v/>
      </c>
      <c r="J1544" s="11" t="n">
        <v>0.25</v>
      </c>
      <c r="K1544" s="9">
        <f>I1544*J1544</f>
        <v/>
      </c>
      <c r="L1544" s="9">
        <f>I1544-K1544</f>
        <v/>
      </c>
      <c r="M1544" s="9">
        <f>F1544*H1544</f>
        <v/>
      </c>
      <c r="N1544" s="9">
        <f>L1544-M1544</f>
        <v/>
      </c>
      <c r="O1544" s="11">
        <f>IFERROR(N1544/L1544, 0)</f>
        <v/>
      </c>
      <c r="P1544" s="8">
        <f>YEAR(C1544)</f>
        <v/>
      </c>
      <c r="Q1544" s="8">
        <f>TEXT(C1544, "yyyy-mm")</f>
        <v/>
      </c>
      <c r="R1544" s="8" t="inlineStr">
        <is>
          <t>Mobile App</t>
        </is>
      </c>
      <c r="S1544" s="8" t="inlineStr">
        <is>
          <t>REG-NA</t>
        </is>
      </c>
    </row>
    <row r="1545">
      <c r="A1545" s="8" t="inlineStr">
        <is>
          <t>DTL-0001562</t>
        </is>
      </c>
      <c r="B1545" s="8" t="inlineStr">
        <is>
          <t>ORD-000780</t>
        </is>
      </c>
      <c r="C1545" s="10" t="inlineStr">
        <is>
          <t>2023-12-18</t>
        </is>
      </c>
      <c r="D1545" s="8" t="inlineStr">
        <is>
          <t>CUST-02488</t>
        </is>
      </c>
      <c r="E1545" s="8" t="inlineStr">
        <is>
          <t>PRD-0012</t>
        </is>
      </c>
      <c r="F1545" s="8" t="n">
        <v>3</v>
      </c>
      <c r="G1545" s="9">
        <f>IFERROR(XLOOKUP(E1545, '04_Products'!$A:$A, '04_Products'!$G:$G), 583.31)</f>
        <v/>
      </c>
      <c r="H1545" s="9">
        <f>IFERROR(XLOOKUP(E1545, '04_Products'!$A:$A, '04_Products'!$F:$F), 0)</f>
        <v/>
      </c>
      <c r="I1545" s="9">
        <f>F1545*G1545</f>
        <v/>
      </c>
      <c r="J1545" s="11" t="n">
        <v>0.05</v>
      </c>
      <c r="K1545" s="9">
        <f>I1545*J1545</f>
        <v/>
      </c>
      <c r="L1545" s="9">
        <f>I1545-K1545</f>
        <v/>
      </c>
      <c r="M1545" s="9">
        <f>F1545*H1545</f>
        <v/>
      </c>
      <c r="N1545" s="9">
        <f>L1545-M1545</f>
        <v/>
      </c>
      <c r="O1545" s="11">
        <f>IFERROR(N1545/L1545, 0)</f>
        <v/>
      </c>
      <c r="P1545" s="8">
        <f>YEAR(C1545)</f>
        <v/>
      </c>
      <c r="Q1545" s="8">
        <f>TEXT(C1545, "yyyy-mm")</f>
        <v/>
      </c>
      <c r="R1545" s="8" t="inlineStr">
        <is>
          <t>Mobile App</t>
        </is>
      </c>
      <c r="S1545" s="8" t="inlineStr">
        <is>
          <t>REG-APAC</t>
        </is>
      </c>
    </row>
    <row r="1546">
      <c r="A1546" s="8" t="inlineStr">
        <is>
          <t>DTL-0001563</t>
        </is>
      </c>
      <c r="B1546" s="8" t="inlineStr">
        <is>
          <t>ORD-000781</t>
        </is>
      </c>
      <c r="C1546" s="10" t="inlineStr">
        <is>
          <t>2023-04-18</t>
        </is>
      </c>
      <c r="D1546" s="8" t="inlineStr">
        <is>
          <t>CUST-04449</t>
        </is>
      </c>
      <c r="E1546" s="8" t="inlineStr">
        <is>
          <t>PRD-0012</t>
        </is>
      </c>
      <c r="F1546" s="8" t="n">
        <v>1</v>
      </c>
      <c r="G1546" s="9">
        <f>IFERROR(XLOOKUP(E1546, '04_Products'!$A:$A, '04_Products'!$G:$G), 583.31)</f>
        <v/>
      </c>
      <c r="H1546" s="9">
        <f>IFERROR(XLOOKUP(E1546, '04_Products'!$A:$A, '04_Products'!$F:$F), 0)</f>
        <v/>
      </c>
      <c r="I1546" s="9">
        <f>F1546*G1546</f>
        <v/>
      </c>
      <c r="J1546" s="11" t="n">
        <v>0.1</v>
      </c>
      <c r="K1546" s="9">
        <f>I1546*J1546</f>
        <v/>
      </c>
      <c r="L1546" s="9">
        <f>I1546-K1546</f>
        <v/>
      </c>
      <c r="M1546" s="9">
        <f>F1546*H1546</f>
        <v/>
      </c>
      <c r="N1546" s="9">
        <f>L1546-M1546</f>
        <v/>
      </c>
      <c r="O1546" s="11">
        <f>IFERROR(N1546/L1546, 0)</f>
        <v/>
      </c>
      <c r="P1546" s="8">
        <f>YEAR(C1546)</f>
        <v/>
      </c>
      <c r="Q1546" s="8">
        <f>TEXT(C1546, "yyyy-mm")</f>
        <v/>
      </c>
      <c r="R1546" s="8" t="inlineStr">
        <is>
          <t>Direct Web</t>
        </is>
      </c>
      <c r="S1546" s="8" t="inlineStr">
        <is>
          <t>REG-NA</t>
        </is>
      </c>
    </row>
    <row r="1547">
      <c r="A1547" s="8" t="inlineStr">
        <is>
          <t>DTL-0001564</t>
        </is>
      </c>
      <c r="B1547" s="8" t="inlineStr">
        <is>
          <t>ORD-000782</t>
        </is>
      </c>
      <c r="C1547" s="10" t="inlineStr">
        <is>
          <t>2023-05-29</t>
        </is>
      </c>
      <c r="D1547" s="8" t="inlineStr">
        <is>
          <t>CUST-06545</t>
        </is>
      </c>
      <c r="E1547" s="8" t="inlineStr">
        <is>
          <t>PRD-0161</t>
        </is>
      </c>
      <c r="F1547" s="8" t="n">
        <v>1</v>
      </c>
      <c r="G1547" s="9">
        <f>IFERROR(XLOOKUP(E1547, '04_Products'!$A:$A, '04_Products'!$G:$G), 192.49)</f>
        <v/>
      </c>
      <c r="H1547" s="9">
        <f>IFERROR(XLOOKUP(E1547, '04_Products'!$A:$A, '04_Products'!$F:$F), 0)</f>
        <v/>
      </c>
      <c r="I1547" s="9">
        <f>F1547*G1547</f>
        <v/>
      </c>
      <c r="J1547" s="11" t="n">
        <v>0.1</v>
      </c>
      <c r="K1547" s="9">
        <f>I1547*J1547</f>
        <v/>
      </c>
      <c r="L1547" s="9">
        <f>I1547-K1547</f>
        <v/>
      </c>
      <c r="M1547" s="9">
        <f>F1547*H1547</f>
        <v/>
      </c>
      <c r="N1547" s="9">
        <f>L1547-M1547</f>
        <v/>
      </c>
      <c r="O1547" s="11">
        <f>IFERROR(N1547/L1547, 0)</f>
        <v/>
      </c>
      <c r="P1547" s="8">
        <f>YEAR(C1547)</f>
        <v/>
      </c>
      <c r="Q1547" s="8">
        <f>TEXT(C1547, "yyyy-mm")</f>
        <v/>
      </c>
      <c r="R1547" s="8" t="inlineStr">
        <is>
          <t>Direct Web</t>
        </is>
      </c>
      <c r="S1547" s="8" t="inlineStr">
        <is>
          <t>REG-NA</t>
        </is>
      </c>
    </row>
    <row r="1548">
      <c r="A1548" s="8" t="inlineStr">
        <is>
          <t>DTL-0001565</t>
        </is>
      </c>
      <c r="B1548" s="8" t="inlineStr">
        <is>
          <t>ORD-000783</t>
        </is>
      </c>
      <c r="C1548" s="10" t="inlineStr">
        <is>
          <t>2023-02-28</t>
        </is>
      </c>
      <c r="D1548" s="8" t="inlineStr">
        <is>
          <t>CUST-01627</t>
        </is>
      </c>
      <c r="E1548" s="8" t="inlineStr">
        <is>
          <t>PRD-0333</t>
        </is>
      </c>
      <c r="F1548" s="8" t="n">
        <v>1</v>
      </c>
      <c r="G1548" s="9">
        <f>IFERROR(XLOOKUP(E1548, '04_Products'!$A:$A, '04_Products'!$G:$G), 71.71)</f>
        <v/>
      </c>
      <c r="H1548" s="9">
        <f>IFERROR(XLOOKUP(E1548, '04_Products'!$A:$A, '04_Products'!$F:$F), 0)</f>
        <v/>
      </c>
      <c r="I1548" s="9">
        <f>F1548*G1548</f>
        <v/>
      </c>
      <c r="J1548" s="11" t="n">
        <v>0.05</v>
      </c>
      <c r="K1548" s="9">
        <f>I1548*J1548</f>
        <v/>
      </c>
      <c r="L1548" s="9">
        <f>I1548-K1548</f>
        <v/>
      </c>
      <c r="M1548" s="9">
        <f>F1548*H1548</f>
        <v/>
      </c>
      <c r="N1548" s="9">
        <f>L1548-M1548</f>
        <v/>
      </c>
      <c r="O1548" s="11">
        <f>IFERROR(N1548/L1548, 0)</f>
        <v/>
      </c>
      <c r="P1548" s="8">
        <f>YEAR(C1548)</f>
        <v/>
      </c>
      <c r="Q1548" s="8">
        <f>TEXT(C1548, "yyyy-mm")</f>
        <v/>
      </c>
      <c r="R1548" s="8" t="inlineStr">
        <is>
          <t>Direct Web</t>
        </is>
      </c>
      <c r="S1548" s="8" t="inlineStr">
        <is>
          <t>REG-EU</t>
        </is>
      </c>
    </row>
    <row r="1549">
      <c r="A1549" s="8" t="inlineStr">
        <is>
          <t>DTL-0001566</t>
        </is>
      </c>
      <c r="B1549" s="8" t="inlineStr">
        <is>
          <t>ORD-000783</t>
        </is>
      </c>
      <c r="C1549" s="10" t="inlineStr">
        <is>
          <t>2023-02-28</t>
        </is>
      </c>
      <c r="D1549" s="8" t="inlineStr">
        <is>
          <t>CUST-01627</t>
        </is>
      </c>
      <c r="E1549" s="8" t="inlineStr">
        <is>
          <t>PRD-0354</t>
        </is>
      </c>
      <c r="F1549" s="8" t="n">
        <v>2</v>
      </c>
      <c r="G1549" s="9">
        <f>IFERROR(XLOOKUP(E1549, '04_Products'!$A:$A, '04_Products'!$G:$G), 70.99)</f>
        <v/>
      </c>
      <c r="H1549" s="9">
        <f>IFERROR(XLOOKUP(E1549, '04_Products'!$A:$A, '04_Products'!$F:$F), 0)</f>
        <v/>
      </c>
      <c r="I1549" s="9">
        <f>F1549*G1549</f>
        <v/>
      </c>
      <c r="J1549" s="11" t="n">
        <v>0</v>
      </c>
      <c r="K1549" s="9">
        <f>I1549*J1549</f>
        <v/>
      </c>
      <c r="L1549" s="9">
        <f>I1549-K1549</f>
        <v/>
      </c>
      <c r="M1549" s="9">
        <f>F1549*H1549</f>
        <v/>
      </c>
      <c r="N1549" s="9">
        <f>L1549-M1549</f>
        <v/>
      </c>
      <c r="O1549" s="11">
        <f>IFERROR(N1549/L1549, 0)</f>
        <v/>
      </c>
      <c r="P1549" s="8">
        <f>YEAR(C1549)</f>
        <v/>
      </c>
      <c r="Q1549" s="8">
        <f>TEXT(C1549, "yyyy-mm")</f>
        <v/>
      </c>
      <c r="R1549" s="8" t="inlineStr">
        <is>
          <t>Direct Web</t>
        </is>
      </c>
      <c r="S1549" s="8" t="inlineStr">
        <is>
          <t>REG-EU</t>
        </is>
      </c>
    </row>
    <row r="1550">
      <c r="A1550" s="8" t="inlineStr">
        <is>
          <t>DTL-0001567</t>
        </is>
      </c>
      <c r="B1550" s="8" t="inlineStr">
        <is>
          <t>ORD-000784</t>
        </is>
      </c>
      <c r="C1550" s="10" t="inlineStr">
        <is>
          <t>2025-12-14</t>
        </is>
      </c>
      <c r="D1550" s="8" t="inlineStr">
        <is>
          <t>CUST-06913</t>
        </is>
      </c>
      <c r="E1550" s="8" t="inlineStr">
        <is>
          <t>PRD-0277</t>
        </is>
      </c>
      <c r="F1550" s="8" t="n">
        <v>1</v>
      </c>
      <c r="G1550" s="9">
        <f>IFERROR(XLOOKUP(E1550, '04_Products'!$A:$A, '04_Products'!$G:$G), 990.61)</f>
        <v/>
      </c>
      <c r="H1550" s="9">
        <f>IFERROR(XLOOKUP(E1550, '04_Products'!$A:$A, '04_Products'!$F:$F), 0)</f>
        <v/>
      </c>
      <c r="I1550" s="9">
        <f>F1550*G1550</f>
        <v/>
      </c>
      <c r="J1550" s="11" t="n">
        <v>0.05</v>
      </c>
      <c r="K1550" s="9">
        <f>I1550*J1550</f>
        <v/>
      </c>
      <c r="L1550" s="9">
        <f>I1550-K1550</f>
        <v/>
      </c>
      <c r="M1550" s="9">
        <f>F1550*H1550</f>
        <v/>
      </c>
      <c r="N1550" s="9">
        <f>L1550-M1550</f>
        <v/>
      </c>
      <c r="O1550" s="11">
        <f>IFERROR(N1550/L1550, 0)</f>
        <v/>
      </c>
      <c r="P1550" s="8">
        <f>YEAR(C1550)</f>
        <v/>
      </c>
      <c r="Q1550" s="8">
        <f>TEXT(C1550, "yyyy-mm")</f>
        <v/>
      </c>
      <c r="R1550" s="8" t="inlineStr">
        <is>
          <t>Mobile App</t>
        </is>
      </c>
      <c r="S1550" s="8" t="inlineStr">
        <is>
          <t>REG-NA</t>
        </is>
      </c>
    </row>
    <row r="1551">
      <c r="A1551" s="8" t="inlineStr">
        <is>
          <t>DTL-0001568</t>
        </is>
      </c>
      <c r="B1551" s="8" t="inlineStr">
        <is>
          <t>ORD-000784</t>
        </is>
      </c>
      <c r="C1551" s="10" t="inlineStr">
        <is>
          <t>2025-12-14</t>
        </is>
      </c>
      <c r="D1551" s="8" t="inlineStr">
        <is>
          <t>CUST-06913</t>
        </is>
      </c>
      <c r="E1551" s="8" t="inlineStr">
        <is>
          <t>PRD-0185</t>
        </is>
      </c>
      <c r="F1551" s="8" t="n">
        <v>4</v>
      </c>
      <c r="G1551" s="9">
        <f>IFERROR(XLOOKUP(E1551, '04_Products'!$A:$A, '04_Products'!$G:$G), 1296.57)</f>
        <v/>
      </c>
      <c r="H1551" s="9">
        <f>IFERROR(XLOOKUP(E1551, '04_Products'!$A:$A, '04_Products'!$F:$F), 0)</f>
        <v/>
      </c>
      <c r="I1551" s="9">
        <f>F1551*G1551</f>
        <v/>
      </c>
      <c r="J1551" s="11" t="n">
        <v>0</v>
      </c>
      <c r="K1551" s="9">
        <f>I1551*J1551</f>
        <v/>
      </c>
      <c r="L1551" s="9">
        <f>I1551-K1551</f>
        <v/>
      </c>
      <c r="M1551" s="9">
        <f>F1551*H1551</f>
        <v/>
      </c>
      <c r="N1551" s="9">
        <f>L1551-M1551</f>
        <v/>
      </c>
      <c r="O1551" s="11">
        <f>IFERROR(N1551/L1551, 0)</f>
        <v/>
      </c>
      <c r="P1551" s="8">
        <f>YEAR(C1551)</f>
        <v/>
      </c>
      <c r="Q1551" s="8">
        <f>TEXT(C1551, "yyyy-mm")</f>
        <v/>
      </c>
      <c r="R1551" s="8" t="inlineStr">
        <is>
          <t>Mobile App</t>
        </is>
      </c>
      <c r="S1551" s="8" t="inlineStr">
        <is>
          <t>REG-NA</t>
        </is>
      </c>
    </row>
    <row r="1552">
      <c r="A1552" s="8" t="inlineStr">
        <is>
          <t>DTL-0001569</t>
        </is>
      </c>
      <c r="B1552" s="8" t="inlineStr">
        <is>
          <t>ORD-000784</t>
        </is>
      </c>
      <c r="C1552" s="10" t="inlineStr">
        <is>
          <t>2025-12-14</t>
        </is>
      </c>
      <c r="D1552" s="8" t="inlineStr">
        <is>
          <t>CUST-06913</t>
        </is>
      </c>
      <c r="E1552" s="8" t="inlineStr">
        <is>
          <t>PRD-0262</t>
        </is>
      </c>
      <c r="F1552" s="8" t="n">
        <v>4</v>
      </c>
      <c r="G1552" s="9">
        <f>IFERROR(XLOOKUP(E1552, '04_Products'!$A:$A, '04_Products'!$G:$G), 621.74)</f>
        <v/>
      </c>
      <c r="H1552" s="9">
        <f>IFERROR(XLOOKUP(E1552, '04_Products'!$A:$A, '04_Products'!$F:$F), 0)</f>
        <v/>
      </c>
      <c r="I1552" s="9">
        <f>F1552*G1552</f>
        <v/>
      </c>
      <c r="J1552" s="11" t="n">
        <v>0</v>
      </c>
      <c r="K1552" s="9">
        <f>I1552*J1552</f>
        <v/>
      </c>
      <c r="L1552" s="9">
        <f>I1552-K1552</f>
        <v/>
      </c>
      <c r="M1552" s="9">
        <f>F1552*H1552</f>
        <v/>
      </c>
      <c r="N1552" s="9">
        <f>L1552-M1552</f>
        <v/>
      </c>
      <c r="O1552" s="11">
        <f>IFERROR(N1552/L1552, 0)</f>
        <v/>
      </c>
      <c r="P1552" s="8">
        <f>YEAR(C1552)</f>
        <v/>
      </c>
      <c r="Q1552" s="8">
        <f>TEXT(C1552, "yyyy-mm")</f>
        <v/>
      </c>
      <c r="R1552" s="8" t="inlineStr">
        <is>
          <t>Mobile App</t>
        </is>
      </c>
      <c r="S1552" s="8" t="inlineStr">
        <is>
          <t>REG-NA</t>
        </is>
      </c>
    </row>
    <row r="1553">
      <c r="A1553" s="8" t="inlineStr">
        <is>
          <t>DTL-0001570</t>
        </is>
      </c>
      <c r="B1553" s="8" t="inlineStr">
        <is>
          <t>ORD-000784</t>
        </is>
      </c>
      <c r="C1553" s="10" t="inlineStr">
        <is>
          <t>2025-12-14</t>
        </is>
      </c>
      <c r="D1553" s="8" t="inlineStr">
        <is>
          <t>CUST-06913</t>
        </is>
      </c>
      <c r="E1553" s="8" t="inlineStr">
        <is>
          <t>PRD-0445</t>
        </is>
      </c>
      <c r="F1553" s="8" t="n">
        <v>1</v>
      </c>
      <c r="G1553" s="9">
        <f>IFERROR(XLOOKUP(E1553, '04_Products'!$A:$A, '04_Products'!$G:$G), 47.52)</f>
        <v/>
      </c>
      <c r="H1553" s="9">
        <f>IFERROR(XLOOKUP(E1553, '04_Products'!$A:$A, '04_Products'!$F:$F), 0)</f>
        <v/>
      </c>
      <c r="I1553" s="9">
        <f>F1553*G1553</f>
        <v/>
      </c>
      <c r="J1553" s="11" t="n">
        <v>0.1</v>
      </c>
      <c r="K1553" s="9">
        <f>I1553*J1553</f>
        <v/>
      </c>
      <c r="L1553" s="9">
        <f>I1553-K1553</f>
        <v/>
      </c>
      <c r="M1553" s="9">
        <f>F1553*H1553</f>
        <v/>
      </c>
      <c r="N1553" s="9">
        <f>L1553-M1553</f>
        <v/>
      </c>
      <c r="O1553" s="11">
        <f>IFERROR(N1553/L1553, 0)</f>
        <v/>
      </c>
      <c r="P1553" s="8">
        <f>YEAR(C1553)</f>
        <v/>
      </c>
      <c r="Q1553" s="8">
        <f>TEXT(C1553, "yyyy-mm")</f>
        <v/>
      </c>
      <c r="R1553" s="8" t="inlineStr">
        <is>
          <t>Mobile App</t>
        </is>
      </c>
      <c r="S1553" s="8" t="inlineStr">
        <is>
          <t>REG-NA</t>
        </is>
      </c>
    </row>
    <row r="1554">
      <c r="A1554" s="8" t="inlineStr">
        <is>
          <t>DTL-0001571</t>
        </is>
      </c>
      <c r="B1554" s="8" t="inlineStr">
        <is>
          <t>ORD-000784</t>
        </is>
      </c>
      <c r="C1554" s="10" t="inlineStr">
        <is>
          <t>2025-12-14</t>
        </is>
      </c>
      <c r="D1554" s="8" t="inlineStr">
        <is>
          <t>CUST-06913</t>
        </is>
      </c>
      <c r="E1554" s="8" t="inlineStr">
        <is>
          <t>PRD-0486</t>
        </is>
      </c>
      <c r="F1554" s="8" t="n">
        <v>1</v>
      </c>
      <c r="G1554" s="9">
        <f>IFERROR(XLOOKUP(E1554, '04_Products'!$A:$A, '04_Products'!$G:$G), 499.02)</f>
        <v/>
      </c>
      <c r="H1554" s="9">
        <f>IFERROR(XLOOKUP(E1554, '04_Products'!$A:$A, '04_Products'!$F:$F), 0)</f>
        <v/>
      </c>
      <c r="I1554" s="9">
        <f>F1554*G1554</f>
        <v/>
      </c>
      <c r="J1554" s="11" t="n">
        <v>0</v>
      </c>
      <c r="K1554" s="9">
        <f>I1554*J1554</f>
        <v/>
      </c>
      <c r="L1554" s="9">
        <f>I1554-K1554</f>
        <v/>
      </c>
      <c r="M1554" s="9">
        <f>F1554*H1554</f>
        <v/>
      </c>
      <c r="N1554" s="9">
        <f>L1554-M1554</f>
        <v/>
      </c>
      <c r="O1554" s="11">
        <f>IFERROR(N1554/L1554, 0)</f>
        <v/>
      </c>
      <c r="P1554" s="8">
        <f>YEAR(C1554)</f>
        <v/>
      </c>
      <c r="Q1554" s="8">
        <f>TEXT(C1554, "yyyy-mm")</f>
        <v/>
      </c>
      <c r="R1554" s="8" t="inlineStr">
        <is>
          <t>Mobile App</t>
        </is>
      </c>
      <c r="S1554" s="8" t="inlineStr">
        <is>
          <t>REG-NA</t>
        </is>
      </c>
    </row>
    <row r="1555">
      <c r="A1555" s="8" t="inlineStr">
        <is>
          <t>DTL-0001572</t>
        </is>
      </c>
      <c r="B1555" s="8" t="inlineStr">
        <is>
          <t>ORD-000785</t>
        </is>
      </c>
      <c r="C1555" s="10" t="inlineStr">
        <is>
          <t>2024-12-29</t>
        </is>
      </c>
      <c r="D1555" s="8" t="inlineStr">
        <is>
          <t>CUST-05743</t>
        </is>
      </c>
      <c r="E1555" s="8" t="inlineStr">
        <is>
          <t>PRD-0297</t>
        </is>
      </c>
      <c r="F1555" s="8" t="n">
        <v>1</v>
      </c>
      <c r="G1555" s="9">
        <f>IFERROR(XLOOKUP(E1555, '04_Products'!$A:$A, '04_Products'!$G:$G), 47.74)</f>
        <v/>
      </c>
      <c r="H1555" s="9">
        <f>IFERROR(XLOOKUP(E1555, '04_Products'!$A:$A, '04_Products'!$F:$F), 0)</f>
        <v/>
      </c>
      <c r="I1555" s="9">
        <f>F1555*G1555</f>
        <v/>
      </c>
      <c r="J1555" s="11" t="n">
        <v>0</v>
      </c>
      <c r="K1555" s="9">
        <f>I1555*J1555</f>
        <v/>
      </c>
      <c r="L1555" s="9">
        <f>I1555-K1555</f>
        <v/>
      </c>
      <c r="M1555" s="9">
        <f>F1555*H1555</f>
        <v/>
      </c>
      <c r="N1555" s="9">
        <f>L1555-M1555</f>
        <v/>
      </c>
      <c r="O1555" s="11">
        <f>IFERROR(N1555/L1555, 0)</f>
        <v/>
      </c>
      <c r="P1555" s="8">
        <f>YEAR(C1555)</f>
        <v/>
      </c>
      <c r="Q1555" s="8">
        <f>TEXT(C1555, "yyyy-mm")</f>
        <v/>
      </c>
      <c r="R1555" s="8" t="inlineStr">
        <is>
          <t>Mobile App</t>
        </is>
      </c>
      <c r="S1555" s="8" t="inlineStr">
        <is>
          <t>REG-NA</t>
        </is>
      </c>
    </row>
    <row r="1556">
      <c r="A1556" s="8" t="inlineStr">
        <is>
          <t>DTL-0001573</t>
        </is>
      </c>
      <c r="B1556" s="8" t="inlineStr">
        <is>
          <t>ORD-000786</t>
        </is>
      </c>
      <c r="C1556" s="10" t="inlineStr">
        <is>
          <t>2023-04-16</t>
        </is>
      </c>
      <c r="D1556" s="8" t="inlineStr">
        <is>
          <t>CUST-06153</t>
        </is>
      </c>
      <c r="E1556" s="8" t="inlineStr">
        <is>
          <t>PRD-0208</t>
        </is>
      </c>
      <c r="F1556" s="8" t="n">
        <v>1</v>
      </c>
      <c r="G1556" s="9">
        <f>IFERROR(XLOOKUP(E1556, '04_Products'!$A:$A, '04_Products'!$G:$G), 47.15)</f>
        <v/>
      </c>
      <c r="H1556" s="9">
        <f>IFERROR(XLOOKUP(E1556, '04_Products'!$A:$A, '04_Products'!$F:$F), 0)</f>
        <v/>
      </c>
      <c r="I1556" s="9">
        <f>F1556*G1556</f>
        <v/>
      </c>
      <c r="J1556" s="11" t="n">
        <v>0.2</v>
      </c>
      <c r="K1556" s="9">
        <f>I1556*J1556</f>
        <v/>
      </c>
      <c r="L1556" s="9">
        <f>I1556-K1556</f>
        <v/>
      </c>
      <c r="M1556" s="9">
        <f>F1556*H1556</f>
        <v/>
      </c>
      <c r="N1556" s="9">
        <f>L1556-M1556</f>
        <v/>
      </c>
      <c r="O1556" s="11">
        <f>IFERROR(N1556/L1556, 0)</f>
        <v/>
      </c>
      <c r="P1556" s="8">
        <f>YEAR(C1556)</f>
        <v/>
      </c>
      <c r="Q1556" s="8">
        <f>TEXT(C1556, "yyyy-mm")</f>
        <v/>
      </c>
      <c r="R1556" s="8" t="inlineStr">
        <is>
          <t>Direct Web</t>
        </is>
      </c>
      <c r="S1556" s="8" t="inlineStr">
        <is>
          <t>REG-NA</t>
        </is>
      </c>
    </row>
    <row r="1557">
      <c r="A1557" s="8" t="inlineStr">
        <is>
          <t>DTL-0001574</t>
        </is>
      </c>
      <c r="B1557" s="8" t="inlineStr">
        <is>
          <t>ORD-000787</t>
        </is>
      </c>
      <c r="C1557" s="10" t="inlineStr">
        <is>
          <t>2024-06-19</t>
        </is>
      </c>
      <c r="D1557" s="8" t="inlineStr">
        <is>
          <t>CUST-05794</t>
        </is>
      </c>
      <c r="E1557" s="8" t="inlineStr">
        <is>
          <t>PRD-0217</t>
        </is>
      </c>
      <c r="F1557" s="8" t="n">
        <v>2</v>
      </c>
      <c r="G1557" s="9">
        <f>IFERROR(XLOOKUP(E1557, '04_Products'!$A:$A, '04_Products'!$G:$G), 457.08)</f>
        <v/>
      </c>
      <c r="H1557" s="9">
        <f>IFERROR(XLOOKUP(E1557, '04_Products'!$A:$A, '04_Products'!$F:$F), 0)</f>
        <v/>
      </c>
      <c r="I1557" s="9">
        <f>F1557*G1557</f>
        <v/>
      </c>
      <c r="J1557" s="11" t="n">
        <v>0.2</v>
      </c>
      <c r="K1557" s="9">
        <f>I1557*J1557</f>
        <v/>
      </c>
      <c r="L1557" s="9">
        <f>I1557-K1557</f>
        <v/>
      </c>
      <c r="M1557" s="9">
        <f>F1557*H1557</f>
        <v/>
      </c>
      <c r="N1557" s="9">
        <f>L1557-M1557</f>
        <v/>
      </c>
      <c r="O1557" s="11">
        <f>IFERROR(N1557/L1557, 0)</f>
        <v/>
      </c>
      <c r="P1557" s="8">
        <f>YEAR(C1557)</f>
        <v/>
      </c>
      <c r="Q1557" s="8">
        <f>TEXT(C1557, "yyyy-mm")</f>
        <v/>
      </c>
      <c r="R1557" s="8" t="inlineStr">
        <is>
          <t>B2B Portal</t>
        </is>
      </c>
      <c r="S1557" s="8" t="inlineStr">
        <is>
          <t>REG-APAC</t>
        </is>
      </c>
    </row>
    <row r="1558">
      <c r="A1558" s="8" t="inlineStr">
        <is>
          <t>DTL-0001575</t>
        </is>
      </c>
      <c r="B1558" s="8" t="inlineStr">
        <is>
          <t>ORD-000787</t>
        </is>
      </c>
      <c r="C1558" s="10" t="inlineStr">
        <is>
          <t>2024-06-19</t>
        </is>
      </c>
      <c r="D1558" s="8" t="inlineStr">
        <is>
          <t>CUST-05794</t>
        </is>
      </c>
      <c r="E1558" s="8" t="inlineStr">
        <is>
          <t>PRD-0062</t>
        </is>
      </c>
      <c r="F1558" s="8" t="n">
        <v>3</v>
      </c>
      <c r="G1558" s="9">
        <f>IFERROR(XLOOKUP(E1558, '04_Products'!$A:$A, '04_Products'!$G:$G), 829.67)</f>
        <v/>
      </c>
      <c r="H1558" s="9">
        <f>IFERROR(XLOOKUP(E1558, '04_Products'!$A:$A, '04_Products'!$F:$F), 0)</f>
        <v/>
      </c>
      <c r="I1558" s="9">
        <f>F1558*G1558</f>
        <v/>
      </c>
      <c r="J1558" s="11" t="n">
        <v>0</v>
      </c>
      <c r="K1558" s="9">
        <f>I1558*J1558</f>
        <v/>
      </c>
      <c r="L1558" s="9">
        <f>I1558-K1558</f>
        <v/>
      </c>
      <c r="M1558" s="9">
        <f>F1558*H1558</f>
        <v/>
      </c>
      <c r="N1558" s="9">
        <f>L1558-M1558</f>
        <v/>
      </c>
      <c r="O1558" s="11">
        <f>IFERROR(N1558/L1558, 0)</f>
        <v/>
      </c>
      <c r="P1558" s="8">
        <f>YEAR(C1558)</f>
        <v/>
      </c>
      <c r="Q1558" s="8">
        <f>TEXT(C1558, "yyyy-mm")</f>
        <v/>
      </c>
      <c r="R1558" s="8" t="inlineStr">
        <is>
          <t>B2B Portal</t>
        </is>
      </c>
      <c r="S1558" s="8" t="inlineStr">
        <is>
          <t>REG-APAC</t>
        </is>
      </c>
    </row>
    <row r="1559">
      <c r="A1559" s="8" t="inlineStr">
        <is>
          <t>DTL-0001576</t>
        </is>
      </c>
      <c r="B1559" s="8" t="inlineStr">
        <is>
          <t>ORD-000787</t>
        </is>
      </c>
      <c r="C1559" s="10" t="inlineStr">
        <is>
          <t>2024-06-19</t>
        </is>
      </c>
      <c r="D1559" s="8" t="inlineStr">
        <is>
          <t>CUST-05794</t>
        </is>
      </c>
      <c r="E1559" s="8" t="inlineStr">
        <is>
          <t>PRD-0156</t>
        </is>
      </c>
      <c r="F1559" s="8" t="n">
        <v>1</v>
      </c>
      <c r="G1559" s="9">
        <f>IFERROR(XLOOKUP(E1559, '04_Products'!$A:$A, '04_Products'!$G:$G), 129.00)</f>
        <v/>
      </c>
      <c r="H1559" s="9">
        <f>IFERROR(XLOOKUP(E1559, '04_Products'!$A:$A, '04_Products'!$F:$F), 0)</f>
        <v/>
      </c>
      <c r="I1559" s="9">
        <f>F1559*G1559</f>
        <v/>
      </c>
      <c r="J1559" s="11" t="n">
        <v>0.05</v>
      </c>
      <c r="K1559" s="9">
        <f>I1559*J1559</f>
        <v/>
      </c>
      <c r="L1559" s="9">
        <f>I1559-K1559</f>
        <v/>
      </c>
      <c r="M1559" s="9">
        <f>F1559*H1559</f>
        <v/>
      </c>
      <c r="N1559" s="9">
        <f>L1559-M1559</f>
        <v/>
      </c>
      <c r="O1559" s="11">
        <f>IFERROR(N1559/L1559, 0)</f>
        <v/>
      </c>
      <c r="P1559" s="8">
        <f>YEAR(C1559)</f>
        <v/>
      </c>
      <c r="Q1559" s="8">
        <f>TEXT(C1559, "yyyy-mm")</f>
        <v/>
      </c>
      <c r="R1559" s="8" t="inlineStr">
        <is>
          <t>B2B Portal</t>
        </is>
      </c>
      <c r="S1559" s="8" t="inlineStr">
        <is>
          <t>REG-APAC</t>
        </is>
      </c>
    </row>
    <row r="1560">
      <c r="A1560" s="8" t="inlineStr">
        <is>
          <t>DTL-0001577</t>
        </is>
      </c>
      <c r="B1560" s="8" t="inlineStr">
        <is>
          <t>ORD-000788</t>
        </is>
      </c>
      <c r="C1560" s="10" t="inlineStr">
        <is>
          <t>2023-06-24</t>
        </is>
      </c>
      <c r="D1560" s="8" t="inlineStr">
        <is>
          <t>CUST-06170</t>
        </is>
      </c>
      <c r="E1560" s="8" t="inlineStr">
        <is>
          <t>PRD-0094</t>
        </is>
      </c>
      <c r="F1560" s="8" t="n">
        <v>1</v>
      </c>
      <c r="G1560" s="9">
        <f>IFERROR(XLOOKUP(E1560, '04_Products'!$A:$A, '04_Products'!$G:$G), 282.30)</f>
        <v/>
      </c>
      <c r="H1560" s="9">
        <f>IFERROR(XLOOKUP(E1560, '04_Products'!$A:$A, '04_Products'!$F:$F), 0)</f>
        <v/>
      </c>
      <c r="I1560" s="9">
        <f>F1560*G1560</f>
        <v/>
      </c>
      <c r="J1560" s="11" t="n">
        <v>0.05</v>
      </c>
      <c r="K1560" s="9">
        <f>I1560*J1560</f>
        <v/>
      </c>
      <c r="L1560" s="9">
        <f>I1560-K1560</f>
        <v/>
      </c>
      <c r="M1560" s="9">
        <f>F1560*H1560</f>
        <v/>
      </c>
      <c r="N1560" s="9">
        <f>L1560-M1560</f>
        <v/>
      </c>
      <c r="O1560" s="11">
        <f>IFERROR(N1560/L1560, 0)</f>
        <v/>
      </c>
      <c r="P1560" s="8">
        <f>YEAR(C1560)</f>
        <v/>
      </c>
      <c r="Q1560" s="8">
        <f>TEXT(C1560, "yyyy-mm")</f>
        <v/>
      </c>
      <c r="R1560" s="8" t="inlineStr">
        <is>
          <t>Mobile App</t>
        </is>
      </c>
      <c r="S1560" s="8" t="inlineStr">
        <is>
          <t>REG-NA</t>
        </is>
      </c>
    </row>
    <row r="1561">
      <c r="A1561" s="8" t="inlineStr">
        <is>
          <t>DTL-0001578</t>
        </is>
      </c>
      <c r="B1561" s="8" t="inlineStr">
        <is>
          <t>ORD-000788</t>
        </is>
      </c>
      <c r="C1561" s="10" t="inlineStr">
        <is>
          <t>2023-06-24</t>
        </is>
      </c>
      <c r="D1561" s="8" t="inlineStr">
        <is>
          <t>CUST-06170</t>
        </is>
      </c>
      <c r="E1561" s="8" t="inlineStr">
        <is>
          <t>PRD-0053</t>
        </is>
      </c>
      <c r="F1561" s="8" t="n">
        <v>1</v>
      </c>
      <c r="G1561" s="9">
        <f>IFERROR(XLOOKUP(E1561, '04_Products'!$A:$A, '04_Products'!$G:$G), 1031.53)</f>
        <v/>
      </c>
      <c r="H1561" s="9">
        <f>IFERROR(XLOOKUP(E1561, '04_Products'!$A:$A, '04_Products'!$F:$F), 0)</f>
        <v/>
      </c>
      <c r="I1561" s="9">
        <f>F1561*G1561</f>
        <v/>
      </c>
      <c r="J1561" s="11" t="n">
        <v>0</v>
      </c>
      <c r="K1561" s="9">
        <f>I1561*J1561</f>
        <v/>
      </c>
      <c r="L1561" s="9">
        <f>I1561-K1561</f>
        <v/>
      </c>
      <c r="M1561" s="9">
        <f>F1561*H1561</f>
        <v/>
      </c>
      <c r="N1561" s="9">
        <f>L1561-M1561</f>
        <v/>
      </c>
      <c r="O1561" s="11">
        <f>IFERROR(N1561/L1561, 0)</f>
        <v/>
      </c>
      <c r="P1561" s="8">
        <f>YEAR(C1561)</f>
        <v/>
      </c>
      <c r="Q1561" s="8">
        <f>TEXT(C1561, "yyyy-mm")</f>
        <v/>
      </c>
      <c r="R1561" s="8" t="inlineStr">
        <is>
          <t>Mobile App</t>
        </is>
      </c>
      <c r="S1561" s="8" t="inlineStr">
        <is>
          <t>REG-NA</t>
        </is>
      </c>
    </row>
    <row r="1562">
      <c r="A1562" s="8" t="inlineStr">
        <is>
          <t>DTL-0001579</t>
        </is>
      </c>
      <c r="B1562" s="8" t="inlineStr">
        <is>
          <t>ORD-000789</t>
        </is>
      </c>
      <c r="C1562" s="10" t="inlineStr">
        <is>
          <t>2023-01-21</t>
        </is>
      </c>
      <c r="D1562" s="8" t="inlineStr">
        <is>
          <t>CUST-00144</t>
        </is>
      </c>
      <c r="E1562" s="8" t="inlineStr">
        <is>
          <t>PRD-0139</t>
        </is>
      </c>
      <c r="F1562" s="8" t="n">
        <v>8</v>
      </c>
      <c r="G1562" s="9">
        <f>IFERROR(XLOOKUP(E1562, '04_Products'!$A:$A, '04_Products'!$G:$G), 402.87)</f>
        <v/>
      </c>
      <c r="H1562" s="9">
        <f>IFERROR(XLOOKUP(E1562, '04_Products'!$A:$A, '04_Products'!$F:$F), 0)</f>
        <v/>
      </c>
      <c r="I1562" s="9">
        <f>F1562*G1562</f>
        <v/>
      </c>
      <c r="J1562" s="11" t="n">
        <v>0.05</v>
      </c>
      <c r="K1562" s="9">
        <f>I1562*J1562</f>
        <v/>
      </c>
      <c r="L1562" s="9">
        <f>I1562-K1562</f>
        <v/>
      </c>
      <c r="M1562" s="9">
        <f>F1562*H1562</f>
        <v/>
      </c>
      <c r="N1562" s="9">
        <f>L1562-M1562</f>
        <v/>
      </c>
      <c r="O1562" s="11">
        <f>IFERROR(N1562/L1562, 0)</f>
        <v/>
      </c>
      <c r="P1562" s="8">
        <f>YEAR(C1562)</f>
        <v/>
      </c>
      <c r="Q1562" s="8">
        <f>TEXT(C1562, "yyyy-mm")</f>
        <v/>
      </c>
      <c r="R1562" s="8" t="inlineStr">
        <is>
          <t>Affiliate Partner</t>
        </is>
      </c>
      <c r="S1562" s="8" t="inlineStr">
        <is>
          <t>REG-NA</t>
        </is>
      </c>
    </row>
    <row r="1563">
      <c r="A1563" s="8" t="inlineStr">
        <is>
          <t>DTL-0001580</t>
        </is>
      </c>
      <c r="B1563" s="8" t="inlineStr">
        <is>
          <t>ORD-000789</t>
        </is>
      </c>
      <c r="C1563" s="10" t="inlineStr">
        <is>
          <t>2023-01-21</t>
        </is>
      </c>
      <c r="D1563" s="8" t="inlineStr">
        <is>
          <t>CUST-00144</t>
        </is>
      </c>
      <c r="E1563" s="8" t="inlineStr">
        <is>
          <t>PRD-0170</t>
        </is>
      </c>
      <c r="F1563" s="8" t="n">
        <v>1</v>
      </c>
      <c r="G1563" s="9">
        <f>IFERROR(XLOOKUP(E1563, '04_Products'!$A:$A, '04_Products'!$G:$G), 111.00)</f>
        <v/>
      </c>
      <c r="H1563" s="9">
        <f>IFERROR(XLOOKUP(E1563, '04_Products'!$A:$A, '04_Products'!$F:$F), 0)</f>
        <v/>
      </c>
      <c r="I1563" s="9">
        <f>F1563*G1563</f>
        <v/>
      </c>
      <c r="J1563" s="11" t="n">
        <v>0.15</v>
      </c>
      <c r="K1563" s="9">
        <f>I1563*J1563</f>
        <v/>
      </c>
      <c r="L1563" s="9">
        <f>I1563-K1563</f>
        <v/>
      </c>
      <c r="M1563" s="9">
        <f>F1563*H1563</f>
        <v/>
      </c>
      <c r="N1563" s="9">
        <f>L1563-M1563</f>
        <v/>
      </c>
      <c r="O1563" s="11">
        <f>IFERROR(N1563/L1563, 0)</f>
        <v/>
      </c>
      <c r="P1563" s="8">
        <f>YEAR(C1563)</f>
        <v/>
      </c>
      <c r="Q1563" s="8">
        <f>TEXT(C1563, "yyyy-mm")</f>
        <v/>
      </c>
      <c r="R1563" s="8" t="inlineStr">
        <is>
          <t>Affiliate Partner</t>
        </is>
      </c>
      <c r="S1563" s="8" t="inlineStr">
        <is>
          <t>REG-NA</t>
        </is>
      </c>
    </row>
    <row r="1564">
      <c r="A1564" s="8" t="inlineStr">
        <is>
          <t>DTL-0001581</t>
        </is>
      </c>
      <c r="B1564" s="8" t="inlineStr">
        <is>
          <t>ORD-000790</t>
        </is>
      </c>
      <c r="C1564" s="10" t="inlineStr">
        <is>
          <t>2023-12-22</t>
        </is>
      </c>
      <c r="D1564" s="8" t="inlineStr">
        <is>
          <t>CUST-03766</t>
        </is>
      </c>
      <c r="E1564" s="8" t="inlineStr">
        <is>
          <t>PRD-0259</t>
        </is>
      </c>
      <c r="F1564" s="8" t="n">
        <v>2</v>
      </c>
      <c r="G1564" s="9">
        <f>IFERROR(XLOOKUP(E1564, '04_Products'!$A:$A, '04_Products'!$G:$G), 427.15)</f>
        <v/>
      </c>
      <c r="H1564" s="9">
        <f>IFERROR(XLOOKUP(E1564, '04_Products'!$A:$A, '04_Products'!$F:$F), 0)</f>
        <v/>
      </c>
      <c r="I1564" s="9">
        <f>F1564*G1564</f>
        <v/>
      </c>
      <c r="J1564" s="11" t="n">
        <v>0.1</v>
      </c>
      <c r="K1564" s="9">
        <f>I1564*J1564</f>
        <v/>
      </c>
      <c r="L1564" s="9">
        <f>I1564-K1564</f>
        <v/>
      </c>
      <c r="M1564" s="9">
        <f>F1564*H1564</f>
        <v/>
      </c>
      <c r="N1564" s="9">
        <f>L1564-M1564</f>
        <v/>
      </c>
      <c r="O1564" s="11">
        <f>IFERROR(N1564/L1564, 0)</f>
        <v/>
      </c>
      <c r="P1564" s="8">
        <f>YEAR(C1564)</f>
        <v/>
      </c>
      <c r="Q1564" s="8">
        <f>TEXT(C1564, "yyyy-mm")</f>
        <v/>
      </c>
      <c r="R1564" s="8" t="inlineStr">
        <is>
          <t>Direct Web</t>
        </is>
      </c>
      <c r="S1564" s="8" t="inlineStr">
        <is>
          <t>REG-NA</t>
        </is>
      </c>
    </row>
    <row r="1565">
      <c r="A1565" s="8" t="inlineStr">
        <is>
          <t>DTL-0001582</t>
        </is>
      </c>
      <c r="B1565" s="8" t="inlineStr">
        <is>
          <t>ORD-000791</t>
        </is>
      </c>
      <c r="C1565" s="10" t="inlineStr">
        <is>
          <t>2023-08-20</t>
        </is>
      </c>
      <c r="D1565" s="8" t="inlineStr">
        <is>
          <t>CUST-07321</t>
        </is>
      </c>
      <c r="E1565" s="8" t="inlineStr">
        <is>
          <t>PRD-0214</t>
        </is>
      </c>
      <c r="F1565" s="8" t="n">
        <v>5</v>
      </c>
      <c r="G1565" s="9">
        <f>IFERROR(XLOOKUP(E1565, '04_Products'!$A:$A, '04_Products'!$G:$G), 482.72)</f>
        <v/>
      </c>
      <c r="H1565" s="9">
        <f>IFERROR(XLOOKUP(E1565, '04_Products'!$A:$A, '04_Products'!$F:$F), 0)</f>
        <v/>
      </c>
      <c r="I1565" s="9">
        <f>F1565*G1565</f>
        <v/>
      </c>
      <c r="J1565" s="11" t="n">
        <v>0.15</v>
      </c>
      <c r="K1565" s="9">
        <f>I1565*J1565</f>
        <v/>
      </c>
      <c r="L1565" s="9">
        <f>I1565-K1565</f>
        <v/>
      </c>
      <c r="M1565" s="9">
        <f>F1565*H1565</f>
        <v/>
      </c>
      <c r="N1565" s="9">
        <f>L1565-M1565</f>
        <v/>
      </c>
      <c r="O1565" s="11">
        <f>IFERROR(N1565/L1565, 0)</f>
        <v/>
      </c>
      <c r="P1565" s="8">
        <f>YEAR(C1565)</f>
        <v/>
      </c>
      <c r="Q1565" s="8">
        <f>TEXT(C1565, "yyyy-mm")</f>
        <v/>
      </c>
      <c r="R1565" s="8" t="inlineStr">
        <is>
          <t>B2B Portal</t>
        </is>
      </c>
      <c r="S1565" s="8" t="inlineStr">
        <is>
          <t>REG-NA</t>
        </is>
      </c>
    </row>
    <row r="1566">
      <c r="A1566" s="8" t="inlineStr">
        <is>
          <t>DTL-0001583</t>
        </is>
      </c>
      <c r="B1566" s="8" t="inlineStr">
        <is>
          <t>ORD-000791</t>
        </is>
      </c>
      <c r="C1566" s="10" t="inlineStr">
        <is>
          <t>2023-08-20</t>
        </is>
      </c>
      <c r="D1566" s="8" t="inlineStr">
        <is>
          <t>CUST-07321</t>
        </is>
      </c>
      <c r="E1566" s="8" t="inlineStr">
        <is>
          <t>PRD-0093</t>
        </is>
      </c>
      <c r="F1566" s="8" t="n">
        <v>1</v>
      </c>
      <c r="G1566" s="9">
        <f>IFERROR(XLOOKUP(E1566, '04_Products'!$A:$A, '04_Products'!$G:$G), 1324.37)</f>
        <v/>
      </c>
      <c r="H1566" s="9">
        <f>IFERROR(XLOOKUP(E1566, '04_Products'!$A:$A, '04_Products'!$F:$F), 0)</f>
        <v/>
      </c>
      <c r="I1566" s="9">
        <f>F1566*G1566</f>
        <v/>
      </c>
      <c r="J1566" s="11" t="n">
        <v>0.05</v>
      </c>
      <c r="K1566" s="9">
        <f>I1566*J1566</f>
        <v/>
      </c>
      <c r="L1566" s="9">
        <f>I1566-K1566</f>
        <v/>
      </c>
      <c r="M1566" s="9">
        <f>F1566*H1566</f>
        <v/>
      </c>
      <c r="N1566" s="9">
        <f>L1566-M1566</f>
        <v/>
      </c>
      <c r="O1566" s="11">
        <f>IFERROR(N1566/L1566, 0)</f>
        <v/>
      </c>
      <c r="P1566" s="8">
        <f>YEAR(C1566)</f>
        <v/>
      </c>
      <c r="Q1566" s="8">
        <f>TEXT(C1566, "yyyy-mm")</f>
        <v/>
      </c>
      <c r="R1566" s="8" t="inlineStr">
        <is>
          <t>B2B Portal</t>
        </is>
      </c>
      <c r="S1566" s="8" t="inlineStr">
        <is>
          <t>REG-NA</t>
        </is>
      </c>
    </row>
    <row r="1567">
      <c r="A1567" s="8" t="inlineStr">
        <is>
          <t>DTL-0001584</t>
        </is>
      </c>
      <c r="B1567" s="8" t="inlineStr">
        <is>
          <t>ORD-000792</t>
        </is>
      </c>
      <c r="C1567" s="10" t="inlineStr">
        <is>
          <t>2025-08-17</t>
        </is>
      </c>
      <c r="D1567" s="8" t="inlineStr">
        <is>
          <t>CUST-07029</t>
        </is>
      </c>
      <c r="E1567" s="8" t="inlineStr">
        <is>
          <t>PRD-0220</t>
        </is>
      </c>
      <c r="F1567" s="8" t="n">
        <v>1</v>
      </c>
      <c r="G1567" s="9">
        <f>IFERROR(XLOOKUP(E1567, '04_Products'!$A:$A, '04_Products'!$G:$G), 472.50)</f>
        <v/>
      </c>
      <c r="H1567" s="9">
        <f>IFERROR(XLOOKUP(E1567, '04_Products'!$A:$A, '04_Products'!$F:$F), 0)</f>
        <v/>
      </c>
      <c r="I1567" s="9">
        <f>F1567*G1567</f>
        <v/>
      </c>
      <c r="J1567" s="11" t="n">
        <v>0</v>
      </c>
      <c r="K1567" s="9">
        <f>I1567*J1567</f>
        <v/>
      </c>
      <c r="L1567" s="9">
        <f>I1567-K1567</f>
        <v/>
      </c>
      <c r="M1567" s="9">
        <f>F1567*H1567</f>
        <v/>
      </c>
      <c r="N1567" s="9">
        <f>L1567-M1567</f>
        <v/>
      </c>
      <c r="O1567" s="11">
        <f>IFERROR(N1567/L1567, 0)</f>
        <v/>
      </c>
      <c r="P1567" s="8">
        <f>YEAR(C1567)</f>
        <v/>
      </c>
      <c r="Q1567" s="8">
        <f>TEXT(C1567, "yyyy-mm")</f>
        <v/>
      </c>
      <c r="R1567" s="8" t="inlineStr">
        <is>
          <t>B2B Portal</t>
        </is>
      </c>
      <c r="S1567" s="8" t="inlineStr">
        <is>
          <t>REG-NA</t>
        </is>
      </c>
    </row>
    <row r="1568">
      <c r="A1568" s="8" t="inlineStr">
        <is>
          <t>DTL-0001585</t>
        </is>
      </c>
      <c r="B1568" s="8" t="inlineStr">
        <is>
          <t>ORD-000792</t>
        </is>
      </c>
      <c r="C1568" s="10" t="inlineStr">
        <is>
          <t>2025-08-17</t>
        </is>
      </c>
      <c r="D1568" s="8" t="inlineStr">
        <is>
          <t>CUST-07029</t>
        </is>
      </c>
      <c r="E1568" s="8" t="inlineStr">
        <is>
          <t>PRD-0334</t>
        </is>
      </c>
      <c r="F1568" s="8" t="n">
        <v>1</v>
      </c>
      <c r="G1568" s="9">
        <f>IFERROR(XLOOKUP(E1568, '04_Products'!$A:$A, '04_Products'!$G:$G), 874.67)</f>
        <v/>
      </c>
      <c r="H1568" s="9">
        <f>IFERROR(XLOOKUP(E1568, '04_Products'!$A:$A, '04_Products'!$F:$F), 0)</f>
        <v/>
      </c>
      <c r="I1568" s="9">
        <f>F1568*G1568</f>
        <v/>
      </c>
      <c r="J1568" s="11" t="n">
        <v>0.05</v>
      </c>
      <c r="K1568" s="9">
        <f>I1568*J1568</f>
        <v/>
      </c>
      <c r="L1568" s="9">
        <f>I1568-K1568</f>
        <v/>
      </c>
      <c r="M1568" s="9">
        <f>F1568*H1568</f>
        <v/>
      </c>
      <c r="N1568" s="9">
        <f>L1568-M1568</f>
        <v/>
      </c>
      <c r="O1568" s="11">
        <f>IFERROR(N1568/L1568, 0)</f>
        <v/>
      </c>
      <c r="P1568" s="8">
        <f>YEAR(C1568)</f>
        <v/>
      </c>
      <c r="Q1568" s="8">
        <f>TEXT(C1568, "yyyy-mm")</f>
        <v/>
      </c>
      <c r="R1568" s="8" t="inlineStr">
        <is>
          <t>B2B Portal</t>
        </is>
      </c>
      <c r="S1568" s="8" t="inlineStr">
        <is>
          <t>REG-NA</t>
        </is>
      </c>
    </row>
    <row r="1569">
      <c r="A1569" s="8" t="inlineStr">
        <is>
          <t>DTL-0001586</t>
        </is>
      </c>
      <c r="B1569" s="8" t="inlineStr">
        <is>
          <t>ORD-000793</t>
        </is>
      </c>
      <c r="C1569" s="10" t="inlineStr">
        <is>
          <t>2023-12-20</t>
        </is>
      </c>
      <c r="D1569" s="8" t="inlineStr">
        <is>
          <t>CUST-03879</t>
        </is>
      </c>
      <c r="E1569" s="8" t="inlineStr">
        <is>
          <t>PRD-0082</t>
        </is>
      </c>
      <c r="F1569" s="8" t="n">
        <v>1</v>
      </c>
      <c r="G1569" s="9">
        <f>IFERROR(XLOOKUP(E1569, '04_Products'!$A:$A, '04_Products'!$G:$G), 629.04)</f>
        <v/>
      </c>
      <c r="H1569" s="9">
        <f>IFERROR(XLOOKUP(E1569, '04_Products'!$A:$A, '04_Products'!$F:$F), 0)</f>
        <v/>
      </c>
      <c r="I1569" s="9">
        <f>F1569*G1569</f>
        <v/>
      </c>
      <c r="J1569" s="11" t="n">
        <v>0.1</v>
      </c>
      <c r="K1569" s="9">
        <f>I1569*J1569</f>
        <v/>
      </c>
      <c r="L1569" s="9">
        <f>I1569-K1569</f>
        <v/>
      </c>
      <c r="M1569" s="9">
        <f>F1569*H1569</f>
        <v/>
      </c>
      <c r="N1569" s="9">
        <f>L1569-M1569</f>
        <v/>
      </c>
      <c r="O1569" s="11">
        <f>IFERROR(N1569/L1569, 0)</f>
        <v/>
      </c>
      <c r="P1569" s="8">
        <f>YEAR(C1569)</f>
        <v/>
      </c>
      <c r="Q1569" s="8">
        <f>TEXT(C1569, "yyyy-mm")</f>
        <v/>
      </c>
      <c r="R1569" s="8" t="inlineStr">
        <is>
          <t>Mobile App</t>
        </is>
      </c>
      <c r="S1569" s="8" t="inlineStr">
        <is>
          <t>REG-APAC</t>
        </is>
      </c>
    </row>
    <row r="1570">
      <c r="A1570" s="8" t="inlineStr">
        <is>
          <t>DTL-0001587</t>
        </is>
      </c>
      <c r="B1570" s="8" t="inlineStr">
        <is>
          <t>ORD-000793</t>
        </is>
      </c>
      <c r="C1570" s="10" t="inlineStr">
        <is>
          <t>2023-12-20</t>
        </is>
      </c>
      <c r="D1570" s="8" t="inlineStr">
        <is>
          <t>CUST-03879</t>
        </is>
      </c>
      <c r="E1570" s="8" t="inlineStr">
        <is>
          <t>PRD-0122</t>
        </is>
      </c>
      <c r="F1570" s="8" t="n">
        <v>2</v>
      </c>
      <c r="G1570" s="9">
        <f>IFERROR(XLOOKUP(E1570, '04_Products'!$A:$A, '04_Products'!$G:$G), 15.21)</f>
        <v/>
      </c>
      <c r="H1570" s="9">
        <f>IFERROR(XLOOKUP(E1570, '04_Products'!$A:$A, '04_Products'!$F:$F), 0)</f>
        <v/>
      </c>
      <c r="I1570" s="9">
        <f>F1570*G1570</f>
        <v/>
      </c>
      <c r="J1570" s="11" t="n">
        <v>0</v>
      </c>
      <c r="K1570" s="9">
        <f>I1570*J1570</f>
        <v/>
      </c>
      <c r="L1570" s="9">
        <f>I1570-K1570</f>
        <v/>
      </c>
      <c r="M1570" s="9">
        <f>F1570*H1570</f>
        <v/>
      </c>
      <c r="N1570" s="9">
        <f>L1570-M1570</f>
        <v/>
      </c>
      <c r="O1570" s="11">
        <f>IFERROR(N1570/L1570, 0)</f>
        <v/>
      </c>
      <c r="P1570" s="8">
        <f>YEAR(C1570)</f>
        <v/>
      </c>
      <c r="Q1570" s="8">
        <f>TEXT(C1570, "yyyy-mm")</f>
        <v/>
      </c>
      <c r="R1570" s="8" t="inlineStr">
        <is>
          <t>Mobile App</t>
        </is>
      </c>
      <c r="S1570" s="8" t="inlineStr">
        <is>
          <t>REG-APAC</t>
        </is>
      </c>
    </row>
    <row r="1571">
      <c r="A1571" s="8" t="inlineStr">
        <is>
          <t>DTL-0001588</t>
        </is>
      </c>
      <c r="B1571" s="8" t="inlineStr">
        <is>
          <t>ORD-000793</t>
        </is>
      </c>
      <c r="C1571" s="10" t="inlineStr">
        <is>
          <t>2023-12-20</t>
        </is>
      </c>
      <c r="D1571" s="8" t="inlineStr">
        <is>
          <t>CUST-03879</t>
        </is>
      </c>
      <c r="E1571" s="8" t="inlineStr">
        <is>
          <t>PRD-0277</t>
        </is>
      </c>
      <c r="F1571" s="8" t="n">
        <v>1</v>
      </c>
      <c r="G1571" s="9">
        <f>IFERROR(XLOOKUP(E1571, '04_Products'!$A:$A, '04_Products'!$G:$G), 990.61)</f>
        <v/>
      </c>
      <c r="H1571" s="9">
        <f>IFERROR(XLOOKUP(E1571, '04_Products'!$A:$A, '04_Products'!$F:$F), 0)</f>
        <v/>
      </c>
      <c r="I1571" s="9">
        <f>F1571*G1571</f>
        <v/>
      </c>
      <c r="J1571" s="11" t="n">
        <v>0.15</v>
      </c>
      <c r="K1571" s="9">
        <f>I1571*J1571</f>
        <v/>
      </c>
      <c r="L1571" s="9">
        <f>I1571-K1571</f>
        <v/>
      </c>
      <c r="M1571" s="9">
        <f>F1571*H1571</f>
        <v/>
      </c>
      <c r="N1571" s="9">
        <f>L1571-M1571</f>
        <v/>
      </c>
      <c r="O1571" s="11">
        <f>IFERROR(N1571/L1571, 0)</f>
        <v/>
      </c>
      <c r="P1571" s="8">
        <f>YEAR(C1571)</f>
        <v/>
      </c>
      <c r="Q1571" s="8">
        <f>TEXT(C1571, "yyyy-mm")</f>
        <v/>
      </c>
      <c r="R1571" s="8" t="inlineStr">
        <is>
          <t>Mobile App</t>
        </is>
      </c>
      <c r="S1571" s="8" t="inlineStr">
        <is>
          <t>REG-APAC</t>
        </is>
      </c>
    </row>
    <row r="1572">
      <c r="A1572" s="8" t="inlineStr">
        <is>
          <t>DTL-0001589</t>
        </is>
      </c>
      <c r="B1572" s="8" t="inlineStr">
        <is>
          <t>ORD-000794</t>
        </is>
      </c>
      <c r="C1572" s="10" t="inlineStr">
        <is>
          <t>2023-07-14</t>
        </is>
      </c>
      <c r="D1572" s="8" t="inlineStr">
        <is>
          <t>CUST-02465</t>
        </is>
      </c>
      <c r="E1572" s="8" t="inlineStr">
        <is>
          <t>PRD-0033</t>
        </is>
      </c>
      <c r="F1572" s="8" t="n">
        <v>1</v>
      </c>
      <c r="G1572" s="9">
        <f>IFERROR(XLOOKUP(E1572, '04_Products'!$A:$A, '04_Products'!$G:$G), 87.68)</f>
        <v/>
      </c>
      <c r="H1572" s="9">
        <f>IFERROR(XLOOKUP(E1572, '04_Products'!$A:$A, '04_Products'!$F:$F), 0)</f>
        <v/>
      </c>
      <c r="I1572" s="9">
        <f>F1572*G1572</f>
        <v/>
      </c>
      <c r="J1572" s="11" t="n">
        <v>0.1</v>
      </c>
      <c r="K1572" s="9">
        <f>I1572*J1572</f>
        <v/>
      </c>
      <c r="L1572" s="9">
        <f>I1572-K1572</f>
        <v/>
      </c>
      <c r="M1572" s="9">
        <f>F1572*H1572</f>
        <v/>
      </c>
      <c r="N1572" s="9">
        <f>L1572-M1572</f>
        <v/>
      </c>
      <c r="O1572" s="11">
        <f>IFERROR(N1572/L1572, 0)</f>
        <v/>
      </c>
      <c r="P1572" s="8">
        <f>YEAR(C1572)</f>
        <v/>
      </c>
      <c r="Q1572" s="8">
        <f>TEXT(C1572, "yyyy-mm")</f>
        <v/>
      </c>
      <c r="R1572" s="8" t="inlineStr">
        <is>
          <t>Mobile App</t>
        </is>
      </c>
      <c r="S1572" s="8" t="inlineStr">
        <is>
          <t>REG-APAC</t>
        </is>
      </c>
    </row>
    <row r="1573">
      <c r="A1573" s="8" t="inlineStr">
        <is>
          <t>DTL-0001590</t>
        </is>
      </c>
      <c r="B1573" s="8" t="inlineStr">
        <is>
          <t>ORD-000794</t>
        </is>
      </c>
      <c r="C1573" s="10" t="inlineStr">
        <is>
          <t>2023-07-14</t>
        </is>
      </c>
      <c r="D1573" s="8" t="inlineStr">
        <is>
          <t>CUST-02465</t>
        </is>
      </c>
      <c r="E1573" s="8" t="inlineStr">
        <is>
          <t>PRD-0438</t>
        </is>
      </c>
      <c r="F1573" s="8" t="n">
        <v>1</v>
      </c>
      <c r="G1573" s="9">
        <f>IFERROR(XLOOKUP(E1573, '04_Products'!$A:$A, '04_Products'!$G:$G), 981.00)</f>
        <v/>
      </c>
      <c r="H1573" s="9">
        <f>IFERROR(XLOOKUP(E1573, '04_Products'!$A:$A, '04_Products'!$F:$F), 0)</f>
        <v/>
      </c>
      <c r="I1573" s="9">
        <f>F1573*G1573</f>
        <v/>
      </c>
      <c r="J1573" s="11" t="n">
        <v>0.05</v>
      </c>
      <c r="K1573" s="9">
        <f>I1573*J1573</f>
        <v/>
      </c>
      <c r="L1573" s="9">
        <f>I1573-K1573</f>
        <v/>
      </c>
      <c r="M1573" s="9">
        <f>F1573*H1573</f>
        <v/>
      </c>
      <c r="N1573" s="9">
        <f>L1573-M1573</f>
        <v/>
      </c>
      <c r="O1573" s="11">
        <f>IFERROR(N1573/L1573, 0)</f>
        <v/>
      </c>
      <c r="P1573" s="8">
        <f>YEAR(C1573)</f>
        <v/>
      </c>
      <c r="Q1573" s="8">
        <f>TEXT(C1573, "yyyy-mm")</f>
        <v/>
      </c>
      <c r="R1573" s="8" t="inlineStr">
        <is>
          <t>Mobile App</t>
        </is>
      </c>
      <c r="S1573" s="8" t="inlineStr">
        <is>
          <t>REG-APAC</t>
        </is>
      </c>
    </row>
    <row r="1574">
      <c r="A1574" s="8" t="inlineStr">
        <is>
          <t>DTL-0001591</t>
        </is>
      </c>
      <c r="B1574" s="8" t="inlineStr">
        <is>
          <t>ORD-000795</t>
        </is>
      </c>
      <c r="C1574" s="10" t="inlineStr">
        <is>
          <t>2023-10-01</t>
        </is>
      </c>
      <c r="D1574" s="8" t="inlineStr">
        <is>
          <t>CUST-02794</t>
        </is>
      </c>
      <c r="E1574" s="8" t="inlineStr">
        <is>
          <t>PRD-0388</t>
        </is>
      </c>
      <c r="F1574" s="8" t="n">
        <v>1</v>
      </c>
      <c r="G1574" s="9">
        <f>IFERROR(XLOOKUP(E1574, '04_Products'!$A:$A, '04_Products'!$G:$G), 318.52)</f>
        <v/>
      </c>
      <c r="H1574" s="9">
        <f>IFERROR(XLOOKUP(E1574, '04_Products'!$A:$A, '04_Products'!$F:$F), 0)</f>
        <v/>
      </c>
      <c r="I1574" s="9">
        <f>F1574*G1574</f>
        <v/>
      </c>
      <c r="J1574" s="11" t="n">
        <v>0.05</v>
      </c>
      <c r="K1574" s="9">
        <f>I1574*J1574</f>
        <v/>
      </c>
      <c r="L1574" s="9">
        <f>I1574-K1574</f>
        <v/>
      </c>
      <c r="M1574" s="9">
        <f>F1574*H1574</f>
        <v/>
      </c>
      <c r="N1574" s="9">
        <f>L1574-M1574</f>
        <v/>
      </c>
      <c r="O1574" s="11">
        <f>IFERROR(N1574/L1574, 0)</f>
        <v/>
      </c>
      <c r="P1574" s="8">
        <f>YEAR(C1574)</f>
        <v/>
      </c>
      <c r="Q1574" s="8">
        <f>TEXT(C1574, "yyyy-mm")</f>
        <v/>
      </c>
      <c r="R1574" s="8" t="inlineStr">
        <is>
          <t>Direct Web</t>
        </is>
      </c>
      <c r="S1574" s="8" t="inlineStr">
        <is>
          <t>REG-NA</t>
        </is>
      </c>
    </row>
    <row r="1575">
      <c r="A1575" s="8" t="inlineStr">
        <is>
          <t>DTL-0001592</t>
        </is>
      </c>
      <c r="B1575" s="8" t="inlineStr">
        <is>
          <t>ORD-000795</t>
        </is>
      </c>
      <c r="C1575" s="10" t="inlineStr">
        <is>
          <t>2023-10-01</t>
        </is>
      </c>
      <c r="D1575" s="8" t="inlineStr">
        <is>
          <t>CUST-02794</t>
        </is>
      </c>
      <c r="E1575" s="8" t="inlineStr">
        <is>
          <t>PRD-0177</t>
        </is>
      </c>
      <c r="F1575" s="8" t="n">
        <v>4</v>
      </c>
      <c r="G1575" s="9">
        <f>IFERROR(XLOOKUP(E1575, '04_Products'!$A:$A, '04_Products'!$G:$G), 12.94)</f>
        <v/>
      </c>
      <c r="H1575" s="9">
        <f>IFERROR(XLOOKUP(E1575, '04_Products'!$A:$A, '04_Products'!$F:$F), 0)</f>
        <v/>
      </c>
      <c r="I1575" s="9">
        <f>F1575*G1575</f>
        <v/>
      </c>
      <c r="J1575" s="11" t="n">
        <v>0.1</v>
      </c>
      <c r="K1575" s="9">
        <f>I1575*J1575</f>
        <v/>
      </c>
      <c r="L1575" s="9">
        <f>I1575-K1575</f>
        <v/>
      </c>
      <c r="M1575" s="9">
        <f>F1575*H1575</f>
        <v/>
      </c>
      <c r="N1575" s="9">
        <f>L1575-M1575</f>
        <v/>
      </c>
      <c r="O1575" s="11">
        <f>IFERROR(N1575/L1575, 0)</f>
        <v/>
      </c>
      <c r="P1575" s="8">
        <f>YEAR(C1575)</f>
        <v/>
      </c>
      <c r="Q1575" s="8">
        <f>TEXT(C1575, "yyyy-mm")</f>
        <v/>
      </c>
      <c r="R1575" s="8" t="inlineStr">
        <is>
          <t>Direct Web</t>
        </is>
      </c>
      <c r="S1575" s="8" t="inlineStr">
        <is>
          <t>REG-NA</t>
        </is>
      </c>
    </row>
    <row r="1576">
      <c r="A1576" s="8" t="inlineStr">
        <is>
          <t>DTL-0001593</t>
        </is>
      </c>
      <c r="B1576" s="8" t="inlineStr">
        <is>
          <t>ORD-000796</t>
        </is>
      </c>
      <c r="C1576" s="10" t="inlineStr">
        <is>
          <t>2024-10-06</t>
        </is>
      </c>
      <c r="D1576" s="8" t="inlineStr">
        <is>
          <t>CUST-07066</t>
        </is>
      </c>
      <c r="E1576" s="8" t="inlineStr">
        <is>
          <t>PRD-0432</t>
        </is>
      </c>
      <c r="F1576" s="8" t="n">
        <v>1</v>
      </c>
      <c r="G1576" s="9">
        <f>IFERROR(XLOOKUP(E1576, '04_Products'!$A:$A, '04_Products'!$G:$G), 25.28)</f>
        <v/>
      </c>
      <c r="H1576" s="9">
        <f>IFERROR(XLOOKUP(E1576, '04_Products'!$A:$A, '04_Products'!$F:$F), 0)</f>
        <v/>
      </c>
      <c r="I1576" s="9">
        <f>F1576*G1576</f>
        <v/>
      </c>
      <c r="J1576" s="11" t="n">
        <v>0</v>
      </c>
      <c r="K1576" s="9">
        <f>I1576*J1576</f>
        <v/>
      </c>
      <c r="L1576" s="9">
        <f>I1576-K1576</f>
        <v/>
      </c>
      <c r="M1576" s="9">
        <f>F1576*H1576</f>
        <v/>
      </c>
      <c r="N1576" s="9">
        <f>L1576-M1576</f>
        <v/>
      </c>
      <c r="O1576" s="11">
        <f>IFERROR(N1576/L1576, 0)</f>
        <v/>
      </c>
      <c r="P1576" s="8">
        <f>YEAR(C1576)</f>
        <v/>
      </c>
      <c r="Q1576" s="8">
        <f>TEXT(C1576, "yyyy-mm")</f>
        <v/>
      </c>
      <c r="R1576" s="8" t="inlineStr">
        <is>
          <t>Direct Web</t>
        </is>
      </c>
      <c r="S1576" s="8" t="inlineStr">
        <is>
          <t>REG-NA</t>
        </is>
      </c>
    </row>
    <row r="1577">
      <c r="A1577" s="8" t="inlineStr">
        <is>
          <t>DTL-0001594</t>
        </is>
      </c>
      <c r="B1577" s="8" t="inlineStr">
        <is>
          <t>ORD-000797</t>
        </is>
      </c>
      <c r="C1577" s="10" t="inlineStr">
        <is>
          <t>2023-03-07</t>
        </is>
      </c>
      <c r="D1577" s="8" t="inlineStr">
        <is>
          <t>CUST-05517</t>
        </is>
      </c>
      <c r="E1577" s="8" t="inlineStr">
        <is>
          <t>PRD-0434</t>
        </is>
      </c>
      <c r="F1577" s="8" t="n">
        <v>1</v>
      </c>
      <c r="G1577" s="9">
        <f>IFERROR(XLOOKUP(E1577, '04_Products'!$A:$A, '04_Products'!$G:$G), 899.59)</f>
        <v/>
      </c>
      <c r="H1577" s="9">
        <f>IFERROR(XLOOKUP(E1577, '04_Products'!$A:$A, '04_Products'!$F:$F), 0)</f>
        <v/>
      </c>
      <c r="I1577" s="9">
        <f>F1577*G1577</f>
        <v/>
      </c>
      <c r="J1577" s="11" t="n">
        <v>0</v>
      </c>
      <c r="K1577" s="9">
        <f>I1577*J1577</f>
        <v/>
      </c>
      <c r="L1577" s="9">
        <f>I1577-K1577</f>
        <v/>
      </c>
      <c r="M1577" s="9">
        <f>F1577*H1577</f>
        <v/>
      </c>
      <c r="N1577" s="9">
        <f>L1577-M1577</f>
        <v/>
      </c>
      <c r="O1577" s="11">
        <f>IFERROR(N1577/L1577, 0)</f>
        <v/>
      </c>
      <c r="P1577" s="8">
        <f>YEAR(C1577)</f>
        <v/>
      </c>
      <c r="Q1577" s="8">
        <f>TEXT(C1577, "yyyy-mm")</f>
        <v/>
      </c>
      <c r="R1577" s="8" t="inlineStr">
        <is>
          <t>Mobile App</t>
        </is>
      </c>
      <c r="S1577" s="8" t="inlineStr">
        <is>
          <t>REG-NA</t>
        </is>
      </c>
    </row>
    <row r="1578">
      <c r="A1578" s="8" t="inlineStr">
        <is>
          <t>DTL-0001595</t>
        </is>
      </c>
      <c r="B1578" s="8" t="inlineStr">
        <is>
          <t>ORD-000798</t>
        </is>
      </c>
      <c r="C1578" s="10" t="inlineStr">
        <is>
          <t>2025-08-31</t>
        </is>
      </c>
      <c r="D1578" s="8" t="inlineStr">
        <is>
          <t>CUST-01302</t>
        </is>
      </c>
      <c r="E1578" s="8" t="inlineStr">
        <is>
          <t>PRD-0029</t>
        </is>
      </c>
      <c r="F1578" s="8" t="n">
        <v>3</v>
      </c>
      <c r="G1578" s="9">
        <f>IFERROR(XLOOKUP(E1578, '04_Products'!$A:$A, '04_Products'!$G:$G), 9.40)</f>
        <v/>
      </c>
      <c r="H1578" s="9">
        <f>IFERROR(XLOOKUP(E1578, '04_Products'!$A:$A, '04_Products'!$F:$F), 0)</f>
        <v/>
      </c>
      <c r="I1578" s="9">
        <f>F1578*G1578</f>
        <v/>
      </c>
      <c r="J1578" s="11" t="n">
        <v>0</v>
      </c>
      <c r="K1578" s="9">
        <f>I1578*J1578</f>
        <v/>
      </c>
      <c r="L1578" s="9">
        <f>I1578-K1578</f>
        <v/>
      </c>
      <c r="M1578" s="9">
        <f>F1578*H1578</f>
        <v/>
      </c>
      <c r="N1578" s="9">
        <f>L1578-M1578</f>
        <v/>
      </c>
      <c r="O1578" s="11">
        <f>IFERROR(N1578/L1578, 0)</f>
        <v/>
      </c>
      <c r="P1578" s="8">
        <f>YEAR(C1578)</f>
        <v/>
      </c>
      <c r="Q1578" s="8">
        <f>TEXT(C1578, "yyyy-mm")</f>
        <v/>
      </c>
      <c r="R1578" s="8" t="inlineStr">
        <is>
          <t>B2B Portal</t>
        </is>
      </c>
      <c r="S1578" s="8" t="inlineStr">
        <is>
          <t>REG-LATAM</t>
        </is>
      </c>
    </row>
    <row r="1579">
      <c r="A1579" s="8" t="inlineStr">
        <is>
          <t>DTL-0001596</t>
        </is>
      </c>
      <c r="B1579" s="8" t="inlineStr">
        <is>
          <t>ORD-000799</t>
        </is>
      </c>
      <c r="C1579" s="10" t="inlineStr">
        <is>
          <t>2024-03-23</t>
        </is>
      </c>
      <c r="D1579" s="8" t="inlineStr">
        <is>
          <t>CUST-04142</t>
        </is>
      </c>
      <c r="E1579" s="8" t="inlineStr">
        <is>
          <t>PRD-0294</t>
        </is>
      </c>
      <c r="F1579" s="8" t="n">
        <v>1</v>
      </c>
      <c r="G1579" s="9">
        <f>IFERROR(XLOOKUP(E1579, '04_Products'!$A:$A, '04_Products'!$G:$G), 159.21)</f>
        <v/>
      </c>
      <c r="H1579" s="9">
        <f>IFERROR(XLOOKUP(E1579, '04_Products'!$A:$A, '04_Products'!$F:$F), 0)</f>
        <v/>
      </c>
      <c r="I1579" s="9">
        <f>F1579*G1579</f>
        <v/>
      </c>
      <c r="J1579" s="11" t="n">
        <v>0.2</v>
      </c>
      <c r="K1579" s="9">
        <f>I1579*J1579</f>
        <v/>
      </c>
      <c r="L1579" s="9">
        <f>I1579-K1579</f>
        <v/>
      </c>
      <c r="M1579" s="9">
        <f>F1579*H1579</f>
        <v/>
      </c>
      <c r="N1579" s="9">
        <f>L1579-M1579</f>
        <v/>
      </c>
      <c r="O1579" s="11">
        <f>IFERROR(N1579/L1579, 0)</f>
        <v/>
      </c>
      <c r="P1579" s="8">
        <f>YEAR(C1579)</f>
        <v/>
      </c>
      <c r="Q1579" s="8">
        <f>TEXT(C1579, "yyyy-mm")</f>
        <v/>
      </c>
      <c r="R1579" s="8" t="inlineStr">
        <is>
          <t>Affiliate Partner</t>
        </is>
      </c>
      <c r="S1579" s="8" t="inlineStr">
        <is>
          <t>REG-EU</t>
        </is>
      </c>
    </row>
    <row r="1580">
      <c r="A1580" s="8" t="inlineStr">
        <is>
          <t>DTL-0001597</t>
        </is>
      </c>
      <c r="B1580" s="8" t="inlineStr">
        <is>
          <t>ORD-000800</t>
        </is>
      </c>
      <c r="C1580" s="10" t="inlineStr">
        <is>
          <t>2025-04-25</t>
        </is>
      </c>
      <c r="D1580" s="8" t="inlineStr">
        <is>
          <t>CUST-02212</t>
        </is>
      </c>
      <c r="E1580" s="8" t="inlineStr">
        <is>
          <t>PRD-0044</t>
        </is>
      </c>
      <c r="F1580" s="8" t="n">
        <v>1</v>
      </c>
      <c r="G1580" s="9">
        <f>IFERROR(XLOOKUP(E1580, '04_Products'!$A:$A, '04_Products'!$G:$G), 24.94)</f>
        <v/>
      </c>
      <c r="H1580" s="9">
        <f>IFERROR(XLOOKUP(E1580, '04_Products'!$A:$A, '04_Products'!$F:$F), 0)</f>
        <v/>
      </c>
      <c r="I1580" s="9">
        <f>F1580*G1580</f>
        <v/>
      </c>
      <c r="J1580" s="11" t="n">
        <v>0.05</v>
      </c>
      <c r="K1580" s="9">
        <f>I1580*J1580</f>
        <v/>
      </c>
      <c r="L1580" s="9">
        <f>I1580-K1580</f>
        <v/>
      </c>
      <c r="M1580" s="9">
        <f>F1580*H1580</f>
        <v/>
      </c>
      <c r="N1580" s="9">
        <f>L1580-M1580</f>
        <v/>
      </c>
      <c r="O1580" s="11">
        <f>IFERROR(N1580/L1580, 0)</f>
        <v/>
      </c>
      <c r="P1580" s="8">
        <f>YEAR(C1580)</f>
        <v/>
      </c>
      <c r="Q1580" s="8">
        <f>TEXT(C1580, "yyyy-mm")</f>
        <v/>
      </c>
      <c r="R1580" s="8" t="inlineStr">
        <is>
          <t>Mobile App</t>
        </is>
      </c>
      <c r="S1580" s="8" t="inlineStr">
        <is>
          <t>REG-EU</t>
        </is>
      </c>
    </row>
    <row r="1581">
      <c r="A1581" s="8" t="inlineStr">
        <is>
          <t>DTL-0001598</t>
        </is>
      </c>
      <c r="B1581" s="8" t="inlineStr">
        <is>
          <t>ORD-000801</t>
        </is>
      </c>
      <c r="C1581" s="10" t="inlineStr">
        <is>
          <t>2023-01-21</t>
        </is>
      </c>
      <c r="D1581" s="8" t="inlineStr">
        <is>
          <t>CUST-06445</t>
        </is>
      </c>
      <c r="E1581" s="8" t="inlineStr">
        <is>
          <t>PRD-0279</t>
        </is>
      </c>
      <c r="F1581" s="8" t="n">
        <v>3</v>
      </c>
      <c r="G1581" s="9">
        <f>IFERROR(XLOOKUP(E1581, '04_Products'!$A:$A, '04_Products'!$G:$G), 783.46)</f>
        <v/>
      </c>
      <c r="H1581" s="9">
        <f>IFERROR(XLOOKUP(E1581, '04_Products'!$A:$A, '04_Products'!$F:$F), 0)</f>
        <v/>
      </c>
      <c r="I1581" s="9">
        <f>F1581*G1581</f>
        <v/>
      </c>
      <c r="J1581" s="11" t="n">
        <v>0.25</v>
      </c>
      <c r="K1581" s="9">
        <f>I1581*J1581</f>
        <v/>
      </c>
      <c r="L1581" s="9">
        <f>I1581-K1581</f>
        <v/>
      </c>
      <c r="M1581" s="9">
        <f>F1581*H1581</f>
        <v/>
      </c>
      <c r="N1581" s="9">
        <f>L1581-M1581</f>
        <v/>
      </c>
      <c r="O1581" s="11">
        <f>IFERROR(N1581/L1581, 0)</f>
        <v/>
      </c>
      <c r="P1581" s="8">
        <f>YEAR(C1581)</f>
        <v/>
      </c>
      <c r="Q1581" s="8">
        <f>TEXT(C1581, "yyyy-mm")</f>
        <v/>
      </c>
      <c r="R1581" s="8" t="inlineStr">
        <is>
          <t>Mobile App</t>
        </is>
      </c>
      <c r="S1581" s="8" t="inlineStr">
        <is>
          <t>REG-EU</t>
        </is>
      </c>
    </row>
    <row r="1582">
      <c r="A1582" s="8" t="inlineStr">
        <is>
          <t>DTL-0001599</t>
        </is>
      </c>
      <c r="B1582" s="8" t="inlineStr">
        <is>
          <t>ORD-000801</t>
        </is>
      </c>
      <c r="C1582" s="10" t="inlineStr">
        <is>
          <t>2023-01-21</t>
        </is>
      </c>
      <c r="D1582" s="8" t="inlineStr">
        <is>
          <t>CUST-06445</t>
        </is>
      </c>
      <c r="E1582" s="8" t="inlineStr">
        <is>
          <t>PRD-0232</t>
        </is>
      </c>
      <c r="F1582" s="8" t="n">
        <v>1</v>
      </c>
      <c r="G1582" s="9">
        <f>IFERROR(XLOOKUP(E1582, '04_Products'!$A:$A, '04_Products'!$G:$G), 192.08)</f>
        <v/>
      </c>
      <c r="H1582" s="9">
        <f>IFERROR(XLOOKUP(E1582, '04_Products'!$A:$A, '04_Products'!$F:$F), 0)</f>
        <v/>
      </c>
      <c r="I1582" s="9">
        <f>F1582*G1582</f>
        <v/>
      </c>
      <c r="J1582" s="11" t="n">
        <v>0.05</v>
      </c>
      <c r="K1582" s="9">
        <f>I1582*J1582</f>
        <v/>
      </c>
      <c r="L1582" s="9">
        <f>I1582-K1582</f>
        <v/>
      </c>
      <c r="M1582" s="9">
        <f>F1582*H1582</f>
        <v/>
      </c>
      <c r="N1582" s="9">
        <f>L1582-M1582</f>
        <v/>
      </c>
      <c r="O1582" s="11">
        <f>IFERROR(N1582/L1582, 0)</f>
        <v/>
      </c>
      <c r="P1582" s="8">
        <f>YEAR(C1582)</f>
        <v/>
      </c>
      <c r="Q1582" s="8">
        <f>TEXT(C1582, "yyyy-mm")</f>
        <v/>
      </c>
      <c r="R1582" s="8" t="inlineStr">
        <is>
          <t>Mobile App</t>
        </is>
      </c>
      <c r="S1582" s="8" t="inlineStr">
        <is>
          <t>REG-EU</t>
        </is>
      </c>
    </row>
    <row r="1583">
      <c r="A1583" s="8" t="inlineStr">
        <is>
          <t>DTL-0001600</t>
        </is>
      </c>
      <c r="B1583" s="8" t="inlineStr">
        <is>
          <t>ORD-000802</t>
        </is>
      </c>
      <c r="C1583" s="10" t="inlineStr">
        <is>
          <t>2025-11-08</t>
        </is>
      </c>
      <c r="D1583" s="8" t="inlineStr">
        <is>
          <t>CUST-07513</t>
        </is>
      </c>
      <c r="E1583" s="8" t="inlineStr">
        <is>
          <t>PRD-0280</t>
        </is>
      </c>
      <c r="F1583" s="8" t="n">
        <v>1</v>
      </c>
      <c r="G1583" s="9">
        <f>IFERROR(XLOOKUP(E1583, '04_Products'!$A:$A, '04_Products'!$G:$G), 408.85)</f>
        <v/>
      </c>
      <c r="H1583" s="9">
        <f>IFERROR(XLOOKUP(E1583, '04_Products'!$A:$A, '04_Products'!$F:$F), 0)</f>
        <v/>
      </c>
      <c r="I1583" s="9">
        <f>F1583*G1583</f>
        <v/>
      </c>
      <c r="J1583" s="11" t="n">
        <v>0.05</v>
      </c>
      <c r="K1583" s="9">
        <f>I1583*J1583</f>
        <v/>
      </c>
      <c r="L1583" s="9">
        <f>I1583-K1583</f>
        <v/>
      </c>
      <c r="M1583" s="9">
        <f>F1583*H1583</f>
        <v/>
      </c>
      <c r="N1583" s="9">
        <f>L1583-M1583</f>
        <v/>
      </c>
      <c r="O1583" s="11">
        <f>IFERROR(N1583/L1583, 0)</f>
        <v/>
      </c>
      <c r="P1583" s="8">
        <f>YEAR(C1583)</f>
        <v/>
      </c>
      <c r="Q1583" s="8">
        <f>TEXT(C1583, "yyyy-mm")</f>
        <v/>
      </c>
      <c r="R1583" s="8" t="inlineStr">
        <is>
          <t>B2B Portal</t>
        </is>
      </c>
      <c r="S1583" s="8" t="inlineStr">
        <is>
          <t>REG-NA</t>
        </is>
      </c>
    </row>
    <row r="1584">
      <c r="A1584" s="8" t="inlineStr">
        <is>
          <t>DTL-0001601</t>
        </is>
      </c>
      <c r="B1584" s="8" t="inlineStr">
        <is>
          <t>ORD-000802</t>
        </is>
      </c>
      <c r="C1584" s="10" t="inlineStr">
        <is>
          <t>2025-11-08</t>
        </is>
      </c>
      <c r="D1584" s="8" t="inlineStr">
        <is>
          <t>CUST-07513</t>
        </is>
      </c>
      <c r="E1584" s="8" t="inlineStr">
        <is>
          <t>PRD-0133</t>
        </is>
      </c>
      <c r="F1584" s="8" t="n">
        <v>1</v>
      </c>
      <c r="G1584" s="9">
        <f>IFERROR(XLOOKUP(E1584, '04_Products'!$A:$A, '04_Products'!$G:$G), 673.35)</f>
        <v/>
      </c>
      <c r="H1584" s="9">
        <f>IFERROR(XLOOKUP(E1584, '04_Products'!$A:$A, '04_Products'!$F:$F), 0)</f>
        <v/>
      </c>
      <c r="I1584" s="9">
        <f>F1584*G1584</f>
        <v/>
      </c>
      <c r="J1584" s="11" t="n">
        <v>0.1</v>
      </c>
      <c r="K1584" s="9">
        <f>I1584*J1584</f>
        <v/>
      </c>
      <c r="L1584" s="9">
        <f>I1584-K1584</f>
        <v/>
      </c>
      <c r="M1584" s="9">
        <f>F1584*H1584</f>
        <v/>
      </c>
      <c r="N1584" s="9">
        <f>L1584-M1584</f>
        <v/>
      </c>
      <c r="O1584" s="11">
        <f>IFERROR(N1584/L1584, 0)</f>
        <v/>
      </c>
      <c r="P1584" s="8">
        <f>YEAR(C1584)</f>
        <v/>
      </c>
      <c r="Q1584" s="8">
        <f>TEXT(C1584, "yyyy-mm")</f>
        <v/>
      </c>
      <c r="R1584" s="8" t="inlineStr">
        <is>
          <t>B2B Portal</t>
        </is>
      </c>
      <c r="S1584" s="8" t="inlineStr">
        <is>
          <t>REG-NA</t>
        </is>
      </c>
    </row>
    <row r="1585">
      <c r="A1585" s="8" t="inlineStr">
        <is>
          <t>DTL-0001602</t>
        </is>
      </c>
      <c r="B1585" s="8" t="inlineStr">
        <is>
          <t>ORD-000803</t>
        </is>
      </c>
      <c r="C1585" s="10" t="inlineStr">
        <is>
          <t>2025-07-08</t>
        </is>
      </c>
      <c r="D1585" s="8" t="inlineStr">
        <is>
          <t>CUST-04112</t>
        </is>
      </c>
      <c r="E1585" s="8" t="inlineStr">
        <is>
          <t>PRD-0335</t>
        </is>
      </c>
      <c r="F1585" s="8" t="n">
        <v>2</v>
      </c>
      <c r="G1585" s="9">
        <f>IFERROR(XLOOKUP(E1585, '04_Products'!$A:$A, '04_Products'!$G:$G), 226.07)</f>
        <v/>
      </c>
      <c r="H1585" s="9">
        <f>IFERROR(XLOOKUP(E1585, '04_Products'!$A:$A, '04_Products'!$F:$F), 0)</f>
        <v/>
      </c>
      <c r="I1585" s="9">
        <f>F1585*G1585</f>
        <v/>
      </c>
      <c r="J1585" s="11" t="n">
        <v>0.2</v>
      </c>
      <c r="K1585" s="9">
        <f>I1585*J1585</f>
        <v/>
      </c>
      <c r="L1585" s="9">
        <f>I1585-K1585</f>
        <v/>
      </c>
      <c r="M1585" s="9">
        <f>F1585*H1585</f>
        <v/>
      </c>
      <c r="N1585" s="9">
        <f>L1585-M1585</f>
        <v/>
      </c>
      <c r="O1585" s="11">
        <f>IFERROR(N1585/L1585, 0)</f>
        <v/>
      </c>
      <c r="P1585" s="8">
        <f>YEAR(C1585)</f>
        <v/>
      </c>
      <c r="Q1585" s="8">
        <f>TEXT(C1585, "yyyy-mm")</f>
        <v/>
      </c>
      <c r="R1585" s="8" t="inlineStr">
        <is>
          <t>Mobile App</t>
        </is>
      </c>
      <c r="S1585" s="8" t="inlineStr">
        <is>
          <t>REG-NA</t>
        </is>
      </c>
    </row>
    <row r="1586">
      <c r="A1586" s="8" t="inlineStr">
        <is>
          <t>DTL-0001603</t>
        </is>
      </c>
      <c r="B1586" s="8" t="inlineStr">
        <is>
          <t>ORD-000803</t>
        </is>
      </c>
      <c r="C1586" s="10" t="inlineStr">
        <is>
          <t>2025-07-08</t>
        </is>
      </c>
      <c r="D1586" s="8" t="inlineStr">
        <is>
          <t>CUST-04112</t>
        </is>
      </c>
      <c r="E1586" s="8" t="inlineStr">
        <is>
          <t>PRD-0478</t>
        </is>
      </c>
      <c r="F1586" s="8" t="n">
        <v>1</v>
      </c>
      <c r="G1586" s="9">
        <f>IFERROR(XLOOKUP(E1586, '04_Products'!$A:$A, '04_Products'!$G:$G), 61.50)</f>
        <v/>
      </c>
      <c r="H1586" s="9">
        <f>IFERROR(XLOOKUP(E1586, '04_Products'!$A:$A, '04_Products'!$F:$F), 0)</f>
        <v/>
      </c>
      <c r="I1586" s="9">
        <f>F1586*G1586</f>
        <v/>
      </c>
      <c r="J1586" s="11" t="n">
        <v>0.05</v>
      </c>
      <c r="K1586" s="9">
        <f>I1586*J1586</f>
        <v/>
      </c>
      <c r="L1586" s="9">
        <f>I1586-K1586</f>
        <v/>
      </c>
      <c r="M1586" s="9">
        <f>F1586*H1586</f>
        <v/>
      </c>
      <c r="N1586" s="9">
        <f>L1586-M1586</f>
        <v/>
      </c>
      <c r="O1586" s="11">
        <f>IFERROR(N1586/L1586, 0)</f>
        <v/>
      </c>
      <c r="P1586" s="8">
        <f>YEAR(C1586)</f>
        <v/>
      </c>
      <c r="Q1586" s="8">
        <f>TEXT(C1586, "yyyy-mm")</f>
        <v/>
      </c>
      <c r="R1586" s="8" t="inlineStr">
        <is>
          <t>Mobile App</t>
        </is>
      </c>
      <c r="S1586" s="8" t="inlineStr">
        <is>
          <t>REG-NA</t>
        </is>
      </c>
    </row>
    <row r="1587">
      <c r="A1587" s="8" t="inlineStr">
        <is>
          <t>DTL-0001604</t>
        </is>
      </c>
      <c r="B1587" s="8" t="inlineStr">
        <is>
          <t>ORD-000804</t>
        </is>
      </c>
      <c r="C1587" s="10" t="inlineStr">
        <is>
          <t>2025-06-14</t>
        </is>
      </c>
      <c r="D1587" s="8" t="inlineStr">
        <is>
          <t>CUST-02591</t>
        </is>
      </c>
      <c r="E1587" s="8" t="inlineStr">
        <is>
          <t>PRD-0162</t>
        </is>
      </c>
      <c r="F1587" s="8" t="n">
        <v>2</v>
      </c>
      <c r="G1587" s="9">
        <f>IFERROR(XLOOKUP(E1587, '04_Products'!$A:$A, '04_Products'!$G:$G), 192.43)</f>
        <v/>
      </c>
      <c r="H1587" s="9">
        <f>IFERROR(XLOOKUP(E1587, '04_Products'!$A:$A, '04_Products'!$F:$F), 0)</f>
        <v/>
      </c>
      <c r="I1587" s="9">
        <f>F1587*G1587</f>
        <v/>
      </c>
      <c r="J1587" s="11" t="n">
        <v>0</v>
      </c>
      <c r="K1587" s="9">
        <f>I1587*J1587</f>
        <v/>
      </c>
      <c r="L1587" s="9">
        <f>I1587-K1587</f>
        <v/>
      </c>
      <c r="M1587" s="9">
        <f>F1587*H1587</f>
        <v/>
      </c>
      <c r="N1587" s="9">
        <f>L1587-M1587</f>
        <v/>
      </c>
      <c r="O1587" s="11">
        <f>IFERROR(N1587/L1587, 0)</f>
        <v/>
      </c>
      <c r="P1587" s="8">
        <f>YEAR(C1587)</f>
        <v/>
      </c>
      <c r="Q1587" s="8">
        <f>TEXT(C1587, "yyyy-mm")</f>
        <v/>
      </c>
      <c r="R1587" s="8" t="inlineStr">
        <is>
          <t>Mobile App</t>
        </is>
      </c>
      <c r="S1587" s="8" t="inlineStr">
        <is>
          <t>REG-LATAM</t>
        </is>
      </c>
    </row>
    <row r="1588">
      <c r="A1588" s="8" t="inlineStr">
        <is>
          <t>DTL-0001605</t>
        </is>
      </c>
      <c r="B1588" s="8" t="inlineStr">
        <is>
          <t>ORD-000804</t>
        </is>
      </c>
      <c r="C1588" s="10" t="inlineStr">
        <is>
          <t>2025-06-14</t>
        </is>
      </c>
      <c r="D1588" s="8" t="inlineStr">
        <is>
          <t>CUST-02591</t>
        </is>
      </c>
      <c r="E1588" s="8" t="inlineStr">
        <is>
          <t>PRD-0350</t>
        </is>
      </c>
      <c r="F1588" s="8" t="n">
        <v>2</v>
      </c>
      <c r="G1588" s="9">
        <f>IFERROR(XLOOKUP(E1588, '04_Products'!$A:$A, '04_Products'!$G:$G), 66.90)</f>
        <v/>
      </c>
      <c r="H1588" s="9">
        <f>IFERROR(XLOOKUP(E1588, '04_Products'!$A:$A, '04_Products'!$F:$F), 0)</f>
        <v/>
      </c>
      <c r="I1588" s="9">
        <f>F1588*G1588</f>
        <v/>
      </c>
      <c r="J1588" s="11" t="n">
        <v>0.1</v>
      </c>
      <c r="K1588" s="9">
        <f>I1588*J1588</f>
        <v/>
      </c>
      <c r="L1588" s="9">
        <f>I1588-K1588</f>
        <v/>
      </c>
      <c r="M1588" s="9">
        <f>F1588*H1588</f>
        <v/>
      </c>
      <c r="N1588" s="9">
        <f>L1588-M1588</f>
        <v/>
      </c>
      <c r="O1588" s="11">
        <f>IFERROR(N1588/L1588, 0)</f>
        <v/>
      </c>
      <c r="P1588" s="8">
        <f>YEAR(C1588)</f>
        <v/>
      </c>
      <c r="Q1588" s="8">
        <f>TEXT(C1588, "yyyy-mm")</f>
        <v/>
      </c>
      <c r="R1588" s="8" t="inlineStr">
        <is>
          <t>Mobile App</t>
        </is>
      </c>
      <c r="S1588" s="8" t="inlineStr">
        <is>
          <t>REG-LATAM</t>
        </is>
      </c>
    </row>
    <row r="1589">
      <c r="A1589" s="8" t="inlineStr">
        <is>
          <t>DTL-0001606</t>
        </is>
      </c>
      <c r="B1589" s="8" t="inlineStr">
        <is>
          <t>ORD-000804</t>
        </is>
      </c>
      <c r="C1589" s="10" t="inlineStr">
        <is>
          <t>2025-06-14</t>
        </is>
      </c>
      <c r="D1589" s="8" t="inlineStr">
        <is>
          <t>CUST-02591</t>
        </is>
      </c>
      <c r="E1589" s="8" t="inlineStr">
        <is>
          <t>PRD-0337</t>
        </is>
      </c>
      <c r="F1589" s="8" t="n">
        <v>1</v>
      </c>
      <c r="G1589" s="9">
        <f>IFERROR(XLOOKUP(E1589, '04_Products'!$A:$A, '04_Products'!$G:$G), 401.03)</f>
        <v/>
      </c>
      <c r="H1589" s="9">
        <f>IFERROR(XLOOKUP(E1589, '04_Products'!$A:$A, '04_Products'!$F:$F), 0)</f>
        <v/>
      </c>
      <c r="I1589" s="9">
        <f>F1589*G1589</f>
        <v/>
      </c>
      <c r="J1589" s="11" t="n">
        <v>0</v>
      </c>
      <c r="K1589" s="9">
        <f>I1589*J1589</f>
        <v/>
      </c>
      <c r="L1589" s="9">
        <f>I1589-K1589</f>
        <v/>
      </c>
      <c r="M1589" s="9">
        <f>F1589*H1589</f>
        <v/>
      </c>
      <c r="N1589" s="9">
        <f>L1589-M1589</f>
        <v/>
      </c>
      <c r="O1589" s="11">
        <f>IFERROR(N1589/L1589, 0)</f>
        <v/>
      </c>
      <c r="P1589" s="8">
        <f>YEAR(C1589)</f>
        <v/>
      </c>
      <c r="Q1589" s="8">
        <f>TEXT(C1589, "yyyy-mm")</f>
        <v/>
      </c>
      <c r="R1589" s="8" t="inlineStr">
        <is>
          <t>Mobile App</t>
        </is>
      </c>
      <c r="S1589" s="8" t="inlineStr">
        <is>
          <t>REG-LATAM</t>
        </is>
      </c>
    </row>
    <row r="1590">
      <c r="A1590" s="8" t="inlineStr">
        <is>
          <t>DTL-0001607</t>
        </is>
      </c>
      <c r="B1590" s="8" t="inlineStr">
        <is>
          <t>ORD-000804</t>
        </is>
      </c>
      <c r="C1590" s="10" t="inlineStr">
        <is>
          <t>2025-06-14</t>
        </is>
      </c>
      <c r="D1590" s="8" t="inlineStr">
        <is>
          <t>CUST-02591</t>
        </is>
      </c>
      <c r="E1590" s="8" t="inlineStr">
        <is>
          <t>PRD-0210</t>
        </is>
      </c>
      <c r="F1590" s="8" t="n">
        <v>5</v>
      </c>
      <c r="G1590" s="9">
        <f>IFERROR(XLOOKUP(E1590, '04_Products'!$A:$A, '04_Products'!$G:$G), 920.55)</f>
        <v/>
      </c>
      <c r="H1590" s="9">
        <f>IFERROR(XLOOKUP(E1590, '04_Products'!$A:$A, '04_Products'!$F:$F), 0)</f>
        <v/>
      </c>
      <c r="I1590" s="9">
        <f>F1590*G1590</f>
        <v/>
      </c>
      <c r="J1590" s="11" t="n">
        <v>0.1</v>
      </c>
      <c r="K1590" s="9">
        <f>I1590*J1590</f>
        <v/>
      </c>
      <c r="L1590" s="9">
        <f>I1590-K1590</f>
        <v/>
      </c>
      <c r="M1590" s="9">
        <f>F1590*H1590</f>
        <v/>
      </c>
      <c r="N1590" s="9">
        <f>L1590-M1590</f>
        <v/>
      </c>
      <c r="O1590" s="11">
        <f>IFERROR(N1590/L1590, 0)</f>
        <v/>
      </c>
      <c r="P1590" s="8">
        <f>YEAR(C1590)</f>
        <v/>
      </c>
      <c r="Q1590" s="8">
        <f>TEXT(C1590, "yyyy-mm")</f>
        <v/>
      </c>
      <c r="R1590" s="8" t="inlineStr">
        <is>
          <t>Mobile App</t>
        </is>
      </c>
      <c r="S1590" s="8" t="inlineStr">
        <is>
          <t>REG-LATAM</t>
        </is>
      </c>
    </row>
    <row r="1591">
      <c r="A1591" s="8" t="inlineStr">
        <is>
          <t>DTL-0001608</t>
        </is>
      </c>
      <c r="B1591" s="8" t="inlineStr">
        <is>
          <t>ORD-000805</t>
        </is>
      </c>
      <c r="C1591" s="10" t="inlineStr">
        <is>
          <t>2025-09-10</t>
        </is>
      </c>
      <c r="D1591" s="8" t="inlineStr">
        <is>
          <t>CUST-02805</t>
        </is>
      </c>
      <c r="E1591" s="8" t="inlineStr">
        <is>
          <t>PRD-0213</t>
        </is>
      </c>
      <c r="F1591" s="8" t="n">
        <v>1</v>
      </c>
      <c r="G1591" s="9">
        <f>IFERROR(XLOOKUP(E1591, '04_Products'!$A:$A, '04_Products'!$G:$G), 592.90)</f>
        <v/>
      </c>
      <c r="H1591" s="9">
        <f>IFERROR(XLOOKUP(E1591, '04_Products'!$A:$A, '04_Products'!$F:$F), 0)</f>
        <v/>
      </c>
      <c r="I1591" s="9">
        <f>F1591*G1591</f>
        <v/>
      </c>
      <c r="J1591" s="11" t="n">
        <v>0.05</v>
      </c>
      <c r="K1591" s="9">
        <f>I1591*J1591</f>
        <v/>
      </c>
      <c r="L1591" s="9">
        <f>I1591-K1591</f>
        <v/>
      </c>
      <c r="M1591" s="9">
        <f>F1591*H1591</f>
        <v/>
      </c>
      <c r="N1591" s="9">
        <f>L1591-M1591</f>
        <v/>
      </c>
      <c r="O1591" s="11">
        <f>IFERROR(N1591/L1591, 0)</f>
        <v/>
      </c>
      <c r="P1591" s="8">
        <f>YEAR(C1591)</f>
        <v/>
      </c>
      <c r="Q1591" s="8">
        <f>TEXT(C1591, "yyyy-mm")</f>
        <v/>
      </c>
      <c r="R1591" s="8" t="inlineStr">
        <is>
          <t>Mobile App</t>
        </is>
      </c>
      <c r="S1591" s="8" t="inlineStr">
        <is>
          <t>REG-APAC</t>
        </is>
      </c>
    </row>
    <row r="1592">
      <c r="A1592" s="8" t="inlineStr">
        <is>
          <t>DTL-0001609</t>
        </is>
      </c>
      <c r="B1592" s="8" t="inlineStr">
        <is>
          <t>ORD-000805</t>
        </is>
      </c>
      <c r="C1592" s="10" t="inlineStr">
        <is>
          <t>2025-09-10</t>
        </is>
      </c>
      <c r="D1592" s="8" t="inlineStr">
        <is>
          <t>CUST-02805</t>
        </is>
      </c>
      <c r="E1592" s="8" t="inlineStr">
        <is>
          <t>PRD-0440</t>
        </is>
      </c>
      <c r="F1592" s="8" t="n">
        <v>1</v>
      </c>
      <c r="G1592" s="9">
        <f>IFERROR(XLOOKUP(E1592, '04_Products'!$A:$A, '04_Products'!$G:$G), 791.74)</f>
        <v/>
      </c>
      <c r="H1592" s="9">
        <f>IFERROR(XLOOKUP(E1592, '04_Products'!$A:$A, '04_Products'!$F:$F), 0)</f>
        <v/>
      </c>
      <c r="I1592" s="9">
        <f>F1592*G1592</f>
        <v/>
      </c>
      <c r="J1592" s="11" t="n">
        <v>0</v>
      </c>
      <c r="K1592" s="9">
        <f>I1592*J1592</f>
        <v/>
      </c>
      <c r="L1592" s="9">
        <f>I1592-K1592</f>
        <v/>
      </c>
      <c r="M1592" s="9">
        <f>F1592*H1592</f>
        <v/>
      </c>
      <c r="N1592" s="9">
        <f>L1592-M1592</f>
        <v/>
      </c>
      <c r="O1592" s="11">
        <f>IFERROR(N1592/L1592, 0)</f>
        <v/>
      </c>
      <c r="P1592" s="8">
        <f>YEAR(C1592)</f>
        <v/>
      </c>
      <c r="Q1592" s="8">
        <f>TEXT(C1592, "yyyy-mm")</f>
        <v/>
      </c>
      <c r="R1592" s="8" t="inlineStr">
        <is>
          <t>Mobile App</t>
        </is>
      </c>
      <c r="S1592" s="8" t="inlineStr">
        <is>
          <t>REG-APAC</t>
        </is>
      </c>
    </row>
    <row r="1593">
      <c r="A1593" s="8" t="inlineStr">
        <is>
          <t>DTL-0001610</t>
        </is>
      </c>
      <c r="B1593" s="8" t="inlineStr">
        <is>
          <t>ORD-000806</t>
        </is>
      </c>
      <c r="C1593" s="10" t="inlineStr">
        <is>
          <t>2023-02-21</t>
        </is>
      </c>
      <c r="D1593" s="8" t="inlineStr">
        <is>
          <t>CUST-04567</t>
        </is>
      </c>
      <c r="E1593" s="8" t="inlineStr">
        <is>
          <t>PRD-0195</t>
        </is>
      </c>
      <c r="F1593" s="8" t="n">
        <v>1</v>
      </c>
      <c r="G1593" s="9">
        <f>IFERROR(XLOOKUP(E1593, '04_Products'!$A:$A, '04_Products'!$G:$G), 193.08)</f>
        <v/>
      </c>
      <c r="H1593" s="9">
        <f>IFERROR(XLOOKUP(E1593, '04_Products'!$A:$A, '04_Products'!$F:$F), 0)</f>
        <v/>
      </c>
      <c r="I1593" s="9">
        <f>F1593*G1593</f>
        <v/>
      </c>
      <c r="J1593" s="11" t="n">
        <v>0</v>
      </c>
      <c r="K1593" s="9">
        <f>I1593*J1593</f>
        <v/>
      </c>
      <c r="L1593" s="9">
        <f>I1593-K1593</f>
        <v/>
      </c>
      <c r="M1593" s="9">
        <f>F1593*H1593</f>
        <v/>
      </c>
      <c r="N1593" s="9">
        <f>L1593-M1593</f>
        <v/>
      </c>
      <c r="O1593" s="11">
        <f>IFERROR(N1593/L1593, 0)</f>
        <v/>
      </c>
      <c r="P1593" s="8">
        <f>YEAR(C1593)</f>
        <v/>
      </c>
      <c r="Q1593" s="8">
        <f>TEXT(C1593, "yyyy-mm")</f>
        <v/>
      </c>
      <c r="R1593" s="8" t="inlineStr">
        <is>
          <t>Direct Web</t>
        </is>
      </c>
      <c r="S1593" s="8" t="inlineStr">
        <is>
          <t>REG-NA</t>
        </is>
      </c>
    </row>
    <row r="1594">
      <c r="A1594" s="8" t="inlineStr">
        <is>
          <t>DTL-0001611</t>
        </is>
      </c>
      <c r="B1594" s="8" t="inlineStr">
        <is>
          <t>ORD-000806</t>
        </is>
      </c>
      <c r="C1594" s="10" t="inlineStr">
        <is>
          <t>2023-02-21</t>
        </is>
      </c>
      <c r="D1594" s="8" t="inlineStr">
        <is>
          <t>CUST-04567</t>
        </is>
      </c>
      <c r="E1594" s="8" t="inlineStr">
        <is>
          <t>PRD-0049</t>
        </is>
      </c>
      <c r="F1594" s="8" t="n">
        <v>3</v>
      </c>
      <c r="G1594" s="9">
        <f>IFERROR(XLOOKUP(E1594, '04_Products'!$A:$A, '04_Products'!$G:$G), 742.52)</f>
        <v/>
      </c>
      <c r="H1594" s="9">
        <f>IFERROR(XLOOKUP(E1594, '04_Products'!$A:$A, '04_Products'!$F:$F), 0)</f>
        <v/>
      </c>
      <c r="I1594" s="9">
        <f>F1594*G1594</f>
        <v/>
      </c>
      <c r="J1594" s="11" t="n">
        <v>0</v>
      </c>
      <c r="K1594" s="9">
        <f>I1594*J1594</f>
        <v/>
      </c>
      <c r="L1594" s="9">
        <f>I1594-K1594</f>
        <v/>
      </c>
      <c r="M1594" s="9">
        <f>F1594*H1594</f>
        <v/>
      </c>
      <c r="N1594" s="9">
        <f>L1594-M1594</f>
        <v/>
      </c>
      <c r="O1594" s="11">
        <f>IFERROR(N1594/L1594, 0)</f>
        <v/>
      </c>
      <c r="P1594" s="8">
        <f>YEAR(C1594)</f>
        <v/>
      </c>
      <c r="Q1594" s="8">
        <f>TEXT(C1594, "yyyy-mm")</f>
        <v/>
      </c>
      <c r="R1594" s="8" t="inlineStr">
        <is>
          <t>Direct Web</t>
        </is>
      </c>
      <c r="S1594" s="8" t="inlineStr">
        <is>
          <t>REG-NA</t>
        </is>
      </c>
    </row>
    <row r="1595">
      <c r="A1595" s="8" t="inlineStr">
        <is>
          <t>DTL-0001612</t>
        </is>
      </c>
      <c r="B1595" s="8" t="inlineStr">
        <is>
          <t>ORD-000806</t>
        </is>
      </c>
      <c r="C1595" s="10" t="inlineStr">
        <is>
          <t>2023-02-21</t>
        </is>
      </c>
      <c r="D1595" s="8" t="inlineStr">
        <is>
          <t>CUST-04567</t>
        </is>
      </c>
      <c r="E1595" s="8" t="inlineStr">
        <is>
          <t>PRD-0208</t>
        </is>
      </c>
      <c r="F1595" s="8" t="n">
        <v>1</v>
      </c>
      <c r="G1595" s="9">
        <f>IFERROR(XLOOKUP(E1595, '04_Products'!$A:$A, '04_Products'!$G:$G), 47.15)</f>
        <v/>
      </c>
      <c r="H1595" s="9">
        <f>IFERROR(XLOOKUP(E1595, '04_Products'!$A:$A, '04_Products'!$F:$F), 0)</f>
        <v/>
      </c>
      <c r="I1595" s="9">
        <f>F1595*G1595</f>
        <v/>
      </c>
      <c r="J1595" s="11" t="n">
        <v>0</v>
      </c>
      <c r="K1595" s="9">
        <f>I1595*J1595</f>
        <v/>
      </c>
      <c r="L1595" s="9">
        <f>I1595-K1595</f>
        <v/>
      </c>
      <c r="M1595" s="9">
        <f>F1595*H1595</f>
        <v/>
      </c>
      <c r="N1595" s="9">
        <f>L1595-M1595</f>
        <v/>
      </c>
      <c r="O1595" s="11">
        <f>IFERROR(N1595/L1595, 0)</f>
        <v/>
      </c>
      <c r="P1595" s="8">
        <f>YEAR(C1595)</f>
        <v/>
      </c>
      <c r="Q1595" s="8">
        <f>TEXT(C1595, "yyyy-mm")</f>
        <v/>
      </c>
      <c r="R1595" s="8" t="inlineStr">
        <is>
          <t>Direct Web</t>
        </is>
      </c>
      <c r="S1595" s="8" t="inlineStr">
        <is>
          <t>REG-NA</t>
        </is>
      </c>
    </row>
    <row r="1596">
      <c r="A1596" s="8" t="inlineStr">
        <is>
          <t>DTL-0001613</t>
        </is>
      </c>
      <c r="B1596" s="8" t="inlineStr">
        <is>
          <t>ORD-000806</t>
        </is>
      </c>
      <c r="C1596" s="10" t="inlineStr">
        <is>
          <t>2023-02-21</t>
        </is>
      </c>
      <c r="D1596" s="8" t="inlineStr">
        <is>
          <t>CUST-04567</t>
        </is>
      </c>
      <c r="E1596" s="8" t="inlineStr">
        <is>
          <t>PRD-0290</t>
        </is>
      </c>
      <c r="F1596" s="8" t="n">
        <v>1</v>
      </c>
      <c r="G1596" s="9">
        <f>IFERROR(XLOOKUP(E1596, '04_Products'!$A:$A, '04_Products'!$G:$G), 404.49)</f>
        <v/>
      </c>
      <c r="H1596" s="9">
        <f>IFERROR(XLOOKUP(E1596, '04_Products'!$A:$A, '04_Products'!$F:$F), 0)</f>
        <v/>
      </c>
      <c r="I1596" s="9">
        <f>F1596*G1596</f>
        <v/>
      </c>
      <c r="J1596" s="11" t="n">
        <v>0.05</v>
      </c>
      <c r="K1596" s="9">
        <f>I1596*J1596</f>
        <v/>
      </c>
      <c r="L1596" s="9">
        <f>I1596-K1596</f>
        <v/>
      </c>
      <c r="M1596" s="9">
        <f>F1596*H1596</f>
        <v/>
      </c>
      <c r="N1596" s="9">
        <f>L1596-M1596</f>
        <v/>
      </c>
      <c r="O1596" s="11">
        <f>IFERROR(N1596/L1596, 0)</f>
        <v/>
      </c>
      <c r="P1596" s="8">
        <f>YEAR(C1596)</f>
        <v/>
      </c>
      <c r="Q1596" s="8">
        <f>TEXT(C1596, "yyyy-mm")</f>
        <v/>
      </c>
      <c r="R1596" s="8" t="inlineStr">
        <is>
          <t>Direct Web</t>
        </is>
      </c>
      <c r="S1596" s="8" t="inlineStr">
        <is>
          <t>REG-NA</t>
        </is>
      </c>
    </row>
    <row r="1597">
      <c r="A1597" s="8" t="inlineStr">
        <is>
          <t>DTL-0001614</t>
        </is>
      </c>
      <c r="B1597" s="8" t="inlineStr">
        <is>
          <t>ORD-000806</t>
        </is>
      </c>
      <c r="C1597" s="10" t="inlineStr">
        <is>
          <t>2023-02-21</t>
        </is>
      </c>
      <c r="D1597" s="8" t="inlineStr">
        <is>
          <t>CUST-04567</t>
        </is>
      </c>
      <c r="E1597" s="8" t="inlineStr">
        <is>
          <t>PRD-0015</t>
        </is>
      </c>
      <c r="F1597" s="8" t="n">
        <v>10</v>
      </c>
      <c r="G1597" s="9">
        <f>IFERROR(XLOOKUP(E1597, '04_Products'!$A:$A, '04_Products'!$G:$G), 141.71)</f>
        <v/>
      </c>
      <c r="H1597" s="9">
        <f>IFERROR(XLOOKUP(E1597, '04_Products'!$A:$A, '04_Products'!$F:$F), 0)</f>
        <v/>
      </c>
      <c r="I1597" s="9">
        <f>F1597*G1597</f>
        <v/>
      </c>
      <c r="J1597" s="11" t="n">
        <v>0.25</v>
      </c>
      <c r="K1597" s="9">
        <f>I1597*J1597</f>
        <v/>
      </c>
      <c r="L1597" s="9">
        <f>I1597-K1597</f>
        <v/>
      </c>
      <c r="M1597" s="9">
        <f>F1597*H1597</f>
        <v/>
      </c>
      <c r="N1597" s="9">
        <f>L1597-M1597</f>
        <v/>
      </c>
      <c r="O1597" s="11">
        <f>IFERROR(N1597/L1597, 0)</f>
        <v/>
      </c>
      <c r="P1597" s="8">
        <f>YEAR(C1597)</f>
        <v/>
      </c>
      <c r="Q1597" s="8">
        <f>TEXT(C1597, "yyyy-mm")</f>
        <v/>
      </c>
      <c r="R1597" s="8" t="inlineStr">
        <is>
          <t>Direct Web</t>
        </is>
      </c>
      <c r="S1597" s="8" t="inlineStr">
        <is>
          <t>REG-NA</t>
        </is>
      </c>
    </row>
    <row r="1598">
      <c r="A1598" s="8" t="inlineStr">
        <is>
          <t>DTL-0001615</t>
        </is>
      </c>
      <c r="B1598" s="8" t="inlineStr">
        <is>
          <t>ORD-000807</t>
        </is>
      </c>
      <c r="C1598" s="10" t="inlineStr">
        <is>
          <t>2025-12-02</t>
        </is>
      </c>
      <c r="D1598" s="8" t="inlineStr">
        <is>
          <t>CUST-05864</t>
        </is>
      </c>
      <c r="E1598" s="8" t="inlineStr">
        <is>
          <t>PRD-0172</t>
        </is>
      </c>
      <c r="F1598" s="8" t="n">
        <v>1</v>
      </c>
      <c r="G1598" s="9">
        <f>IFERROR(XLOOKUP(E1598, '04_Products'!$A:$A, '04_Products'!$G:$G), 132.43)</f>
        <v/>
      </c>
      <c r="H1598" s="9">
        <f>IFERROR(XLOOKUP(E1598, '04_Products'!$A:$A, '04_Products'!$F:$F), 0)</f>
        <v/>
      </c>
      <c r="I1598" s="9">
        <f>F1598*G1598</f>
        <v/>
      </c>
      <c r="J1598" s="11" t="n">
        <v>0.3</v>
      </c>
      <c r="K1598" s="9">
        <f>I1598*J1598</f>
        <v/>
      </c>
      <c r="L1598" s="9">
        <f>I1598-K1598</f>
        <v/>
      </c>
      <c r="M1598" s="9">
        <f>F1598*H1598</f>
        <v/>
      </c>
      <c r="N1598" s="9">
        <f>L1598-M1598</f>
        <v/>
      </c>
      <c r="O1598" s="11">
        <f>IFERROR(N1598/L1598, 0)</f>
        <v/>
      </c>
      <c r="P1598" s="8">
        <f>YEAR(C1598)</f>
        <v/>
      </c>
      <c r="Q1598" s="8">
        <f>TEXT(C1598, "yyyy-mm")</f>
        <v/>
      </c>
      <c r="R1598" s="8" t="inlineStr">
        <is>
          <t>Direct Web</t>
        </is>
      </c>
      <c r="S1598" s="8" t="inlineStr">
        <is>
          <t>REG-APAC</t>
        </is>
      </c>
    </row>
    <row r="1599">
      <c r="A1599" s="8" t="inlineStr">
        <is>
          <t>DTL-0001616</t>
        </is>
      </c>
      <c r="B1599" s="8" t="inlineStr">
        <is>
          <t>ORD-000807</t>
        </is>
      </c>
      <c r="C1599" s="10" t="inlineStr">
        <is>
          <t>2025-12-02</t>
        </is>
      </c>
      <c r="D1599" s="8" t="inlineStr">
        <is>
          <t>CUST-05864</t>
        </is>
      </c>
      <c r="E1599" s="8" t="inlineStr">
        <is>
          <t>PRD-0349</t>
        </is>
      </c>
      <c r="F1599" s="8" t="n">
        <v>1</v>
      </c>
      <c r="G1599" s="9">
        <f>IFERROR(XLOOKUP(E1599, '04_Products'!$A:$A, '04_Products'!$G:$G), 70.33)</f>
        <v/>
      </c>
      <c r="H1599" s="9">
        <f>IFERROR(XLOOKUP(E1599, '04_Products'!$A:$A, '04_Products'!$F:$F), 0)</f>
        <v/>
      </c>
      <c r="I1599" s="9">
        <f>F1599*G1599</f>
        <v/>
      </c>
      <c r="J1599" s="11" t="n">
        <v>0</v>
      </c>
      <c r="K1599" s="9">
        <f>I1599*J1599</f>
        <v/>
      </c>
      <c r="L1599" s="9">
        <f>I1599-K1599</f>
        <v/>
      </c>
      <c r="M1599" s="9">
        <f>F1599*H1599</f>
        <v/>
      </c>
      <c r="N1599" s="9">
        <f>L1599-M1599</f>
        <v/>
      </c>
      <c r="O1599" s="11">
        <f>IFERROR(N1599/L1599, 0)</f>
        <v/>
      </c>
      <c r="P1599" s="8">
        <f>YEAR(C1599)</f>
        <v/>
      </c>
      <c r="Q1599" s="8">
        <f>TEXT(C1599, "yyyy-mm")</f>
        <v/>
      </c>
      <c r="R1599" s="8" t="inlineStr">
        <is>
          <t>Direct Web</t>
        </is>
      </c>
      <c r="S1599" s="8" t="inlineStr">
        <is>
          <t>REG-APAC</t>
        </is>
      </c>
    </row>
    <row r="1600">
      <c r="A1600" s="8" t="inlineStr">
        <is>
          <t>DTL-0001617</t>
        </is>
      </c>
      <c r="B1600" s="8" t="inlineStr">
        <is>
          <t>ORD-000808</t>
        </is>
      </c>
      <c r="C1600" s="10" t="inlineStr">
        <is>
          <t>2025-04-30</t>
        </is>
      </c>
      <c r="D1600" s="8" t="inlineStr">
        <is>
          <t>CUST-06277</t>
        </is>
      </c>
      <c r="E1600" s="8" t="inlineStr">
        <is>
          <t>PRD-0020</t>
        </is>
      </c>
      <c r="F1600" s="8" t="n">
        <v>1</v>
      </c>
      <c r="G1600" s="9">
        <f>IFERROR(XLOOKUP(E1600, '04_Products'!$A:$A, '04_Products'!$G:$G), 22.42)</f>
        <v/>
      </c>
      <c r="H1600" s="9">
        <f>IFERROR(XLOOKUP(E1600, '04_Products'!$A:$A, '04_Products'!$F:$F), 0)</f>
        <v/>
      </c>
      <c r="I1600" s="9">
        <f>F1600*G1600</f>
        <v/>
      </c>
      <c r="J1600" s="11" t="n">
        <v>0</v>
      </c>
      <c r="K1600" s="9">
        <f>I1600*J1600</f>
        <v/>
      </c>
      <c r="L1600" s="9">
        <f>I1600-K1600</f>
        <v/>
      </c>
      <c r="M1600" s="9">
        <f>F1600*H1600</f>
        <v/>
      </c>
      <c r="N1600" s="9">
        <f>L1600-M1600</f>
        <v/>
      </c>
      <c r="O1600" s="11">
        <f>IFERROR(N1600/L1600, 0)</f>
        <v/>
      </c>
      <c r="P1600" s="8">
        <f>YEAR(C1600)</f>
        <v/>
      </c>
      <c r="Q1600" s="8">
        <f>TEXT(C1600, "yyyy-mm")</f>
        <v/>
      </c>
      <c r="R1600" s="8" t="inlineStr">
        <is>
          <t>Affiliate Partner</t>
        </is>
      </c>
      <c r="S1600" s="8" t="inlineStr">
        <is>
          <t>REG-EU</t>
        </is>
      </c>
    </row>
    <row r="1601">
      <c r="A1601" s="8" t="inlineStr">
        <is>
          <t>DTL-0001618</t>
        </is>
      </c>
      <c r="B1601" s="8" t="inlineStr">
        <is>
          <t>ORD-000808</t>
        </is>
      </c>
      <c r="C1601" s="10" t="inlineStr">
        <is>
          <t>2025-04-30</t>
        </is>
      </c>
      <c r="D1601" s="8" t="inlineStr">
        <is>
          <t>CUST-06277</t>
        </is>
      </c>
      <c r="E1601" s="8" t="inlineStr">
        <is>
          <t>PRD-0241</t>
        </is>
      </c>
      <c r="F1601" s="8" t="n">
        <v>1</v>
      </c>
      <c r="G1601" s="9">
        <f>IFERROR(XLOOKUP(E1601, '04_Products'!$A:$A, '04_Products'!$G:$G), 91.47)</f>
        <v/>
      </c>
      <c r="H1601" s="9">
        <f>IFERROR(XLOOKUP(E1601, '04_Products'!$A:$A, '04_Products'!$F:$F), 0)</f>
        <v/>
      </c>
      <c r="I1601" s="9">
        <f>F1601*G1601</f>
        <v/>
      </c>
      <c r="J1601" s="11" t="n">
        <v>0.1</v>
      </c>
      <c r="K1601" s="9">
        <f>I1601*J1601</f>
        <v/>
      </c>
      <c r="L1601" s="9">
        <f>I1601-K1601</f>
        <v/>
      </c>
      <c r="M1601" s="9">
        <f>F1601*H1601</f>
        <v/>
      </c>
      <c r="N1601" s="9">
        <f>L1601-M1601</f>
        <v/>
      </c>
      <c r="O1601" s="11">
        <f>IFERROR(N1601/L1601, 0)</f>
        <v/>
      </c>
      <c r="P1601" s="8">
        <f>YEAR(C1601)</f>
        <v/>
      </c>
      <c r="Q1601" s="8">
        <f>TEXT(C1601, "yyyy-mm")</f>
        <v/>
      </c>
      <c r="R1601" s="8" t="inlineStr">
        <is>
          <t>Affiliate Partner</t>
        </is>
      </c>
      <c r="S1601" s="8" t="inlineStr">
        <is>
          <t>REG-EU</t>
        </is>
      </c>
    </row>
    <row r="1602">
      <c r="A1602" s="8" t="inlineStr">
        <is>
          <t>DTL-0001619</t>
        </is>
      </c>
      <c r="B1602" s="8" t="inlineStr">
        <is>
          <t>ORD-000809</t>
        </is>
      </c>
      <c r="C1602" s="10" t="inlineStr">
        <is>
          <t>2023-03-27</t>
        </is>
      </c>
      <c r="D1602" s="8" t="inlineStr">
        <is>
          <t>CUST-02847</t>
        </is>
      </c>
      <c r="E1602" s="8" t="inlineStr">
        <is>
          <t>PRD-0022</t>
        </is>
      </c>
      <c r="F1602" s="8" t="n">
        <v>1</v>
      </c>
      <c r="G1602" s="9">
        <f>IFERROR(XLOOKUP(E1602, '04_Products'!$A:$A, '04_Products'!$G:$G), 801.74)</f>
        <v/>
      </c>
      <c r="H1602" s="9">
        <f>IFERROR(XLOOKUP(E1602, '04_Products'!$A:$A, '04_Products'!$F:$F), 0)</f>
        <v/>
      </c>
      <c r="I1602" s="9">
        <f>F1602*G1602</f>
        <v/>
      </c>
      <c r="J1602" s="11" t="n">
        <v>0</v>
      </c>
      <c r="K1602" s="9">
        <f>I1602*J1602</f>
        <v/>
      </c>
      <c r="L1602" s="9">
        <f>I1602-K1602</f>
        <v/>
      </c>
      <c r="M1602" s="9">
        <f>F1602*H1602</f>
        <v/>
      </c>
      <c r="N1602" s="9">
        <f>L1602-M1602</f>
        <v/>
      </c>
      <c r="O1602" s="11">
        <f>IFERROR(N1602/L1602, 0)</f>
        <v/>
      </c>
      <c r="P1602" s="8">
        <f>YEAR(C1602)</f>
        <v/>
      </c>
      <c r="Q1602" s="8">
        <f>TEXT(C1602, "yyyy-mm")</f>
        <v/>
      </c>
      <c r="R1602" s="8" t="inlineStr">
        <is>
          <t>Mobile App</t>
        </is>
      </c>
      <c r="S1602" s="8" t="inlineStr">
        <is>
          <t>REG-EU</t>
        </is>
      </c>
    </row>
    <row r="1603">
      <c r="A1603" s="8" t="inlineStr">
        <is>
          <t>DTL-0001620</t>
        </is>
      </c>
      <c r="B1603" s="8" t="inlineStr">
        <is>
          <t>ORD-000810</t>
        </is>
      </c>
      <c r="C1603" s="10" t="inlineStr">
        <is>
          <t>2025-09-06</t>
        </is>
      </c>
      <c r="D1603" s="8" t="inlineStr">
        <is>
          <t>CUST-06893</t>
        </is>
      </c>
      <c r="E1603" s="8" t="inlineStr">
        <is>
          <t>PRD-0088</t>
        </is>
      </c>
      <c r="F1603" s="8" t="n">
        <v>1</v>
      </c>
      <c r="G1603" s="9">
        <f>IFERROR(XLOOKUP(E1603, '04_Products'!$A:$A, '04_Products'!$G:$G), 952.03)</f>
        <v/>
      </c>
      <c r="H1603" s="9">
        <f>IFERROR(XLOOKUP(E1603, '04_Products'!$A:$A, '04_Products'!$F:$F), 0)</f>
        <v/>
      </c>
      <c r="I1603" s="9">
        <f>F1603*G1603</f>
        <v/>
      </c>
      <c r="J1603" s="11" t="n">
        <v>0.05</v>
      </c>
      <c r="K1603" s="9">
        <f>I1603*J1603</f>
        <v/>
      </c>
      <c r="L1603" s="9">
        <f>I1603-K1603</f>
        <v/>
      </c>
      <c r="M1603" s="9">
        <f>F1603*H1603</f>
        <v/>
      </c>
      <c r="N1603" s="9">
        <f>L1603-M1603</f>
        <v/>
      </c>
      <c r="O1603" s="11">
        <f>IFERROR(N1603/L1603, 0)</f>
        <v/>
      </c>
      <c r="P1603" s="8">
        <f>YEAR(C1603)</f>
        <v/>
      </c>
      <c r="Q1603" s="8">
        <f>TEXT(C1603, "yyyy-mm")</f>
        <v/>
      </c>
      <c r="R1603" s="8" t="inlineStr">
        <is>
          <t>Direct Web</t>
        </is>
      </c>
      <c r="S1603" s="8" t="inlineStr">
        <is>
          <t>REG-NA</t>
        </is>
      </c>
    </row>
    <row r="1604">
      <c r="A1604" s="8" t="inlineStr">
        <is>
          <t>DTL-0001621</t>
        </is>
      </c>
      <c r="B1604" s="8" t="inlineStr">
        <is>
          <t>ORD-000810</t>
        </is>
      </c>
      <c r="C1604" s="10" t="inlineStr">
        <is>
          <t>2025-09-06</t>
        </is>
      </c>
      <c r="D1604" s="8" t="inlineStr">
        <is>
          <t>CUST-06893</t>
        </is>
      </c>
      <c r="E1604" s="8" t="inlineStr">
        <is>
          <t>PRD-0231</t>
        </is>
      </c>
      <c r="F1604" s="8" t="n">
        <v>2</v>
      </c>
      <c r="G1604" s="9">
        <f>IFERROR(XLOOKUP(E1604, '04_Products'!$A:$A, '04_Products'!$G:$G), 191.12)</f>
        <v/>
      </c>
      <c r="H1604" s="9">
        <f>IFERROR(XLOOKUP(E1604, '04_Products'!$A:$A, '04_Products'!$F:$F), 0)</f>
        <v/>
      </c>
      <c r="I1604" s="9">
        <f>F1604*G1604</f>
        <v/>
      </c>
      <c r="J1604" s="11" t="n">
        <v>0</v>
      </c>
      <c r="K1604" s="9">
        <f>I1604*J1604</f>
        <v/>
      </c>
      <c r="L1604" s="9">
        <f>I1604-K1604</f>
        <v/>
      </c>
      <c r="M1604" s="9">
        <f>F1604*H1604</f>
        <v/>
      </c>
      <c r="N1604" s="9">
        <f>L1604-M1604</f>
        <v/>
      </c>
      <c r="O1604" s="11">
        <f>IFERROR(N1604/L1604, 0)</f>
        <v/>
      </c>
      <c r="P1604" s="8">
        <f>YEAR(C1604)</f>
        <v/>
      </c>
      <c r="Q1604" s="8">
        <f>TEXT(C1604, "yyyy-mm")</f>
        <v/>
      </c>
      <c r="R1604" s="8" t="inlineStr">
        <is>
          <t>Direct Web</t>
        </is>
      </c>
      <c r="S1604" s="8" t="inlineStr">
        <is>
          <t>REG-NA</t>
        </is>
      </c>
    </row>
    <row r="1605">
      <c r="A1605" s="8" t="inlineStr">
        <is>
          <t>DTL-0001622</t>
        </is>
      </c>
      <c r="B1605" s="8" t="inlineStr">
        <is>
          <t>ORD-000811</t>
        </is>
      </c>
      <c r="C1605" s="10" t="inlineStr">
        <is>
          <t>2025-03-15</t>
        </is>
      </c>
      <c r="D1605" s="8" t="inlineStr">
        <is>
          <t>CUST-00107</t>
        </is>
      </c>
      <c r="E1605" s="8" t="inlineStr">
        <is>
          <t>PRD-0386</t>
        </is>
      </c>
      <c r="F1605" s="8" t="n">
        <v>1</v>
      </c>
      <c r="G1605" s="9">
        <f>IFERROR(XLOOKUP(E1605, '04_Products'!$A:$A, '04_Products'!$G:$G), 339.98)</f>
        <v/>
      </c>
      <c r="H1605" s="9">
        <f>IFERROR(XLOOKUP(E1605, '04_Products'!$A:$A, '04_Products'!$F:$F), 0)</f>
        <v/>
      </c>
      <c r="I1605" s="9">
        <f>F1605*G1605</f>
        <v/>
      </c>
      <c r="J1605" s="11" t="n">
        <v>0</v>
      </c>
      <c r="K1605" s="9">
        <f>I1605*J1605</f>
        <v/>
      </c>
      <c r="L1605" s="9">
        <f>I1605-K1605</f>
        <v/>
      </c>
      <c r="M1605" s="9">
        <f>F1605*H1605</f>
        <v/>
      </c>
      <c r="N1605" s="9">
        <f>L1605-M1605</f>
        <v/>
      </c>
      <c r="O1605" s="11">
        <f>IFERROR(N1605/L1605, 0)</f>
        <v/>
      </c>
      <c r="P1605" s="8">
        <f>YEAR(C1605)</f>
        <v/>
      </c>
      <c r="Q1605" s="8">
        <f>TEXT(C1605, "yyyy-mm")</f>
        <v/>
      </c>
      <c r="R1605" s="8" t="inlineStr">
        <is>
          <t>Direct Web</t>
        </is>
      </c>
      <c r="S1605" s="8" t="inlineStr">
        <is>
          <t>REG-APAC</t>
        </is>
      </c>
    </row>
    <row r="1606">
      <c r="A1606" s="8" t="inlineStr">
        <is>
          <t>DTL-0001623</t>
        </is>
      </c>
      <c r="B1606" s="8" t="inlineStr">
        <is>
          <t>ORD-000811</t>
        </is>
      </c>
      <c r="C1606" s="10" t="inlineStr">
        <is>
          <t>2025-03-15</t>
        </is>
      </c>
      <c r="D1606" s="8" t="inlineStr">
        <is>
          <t>CUST-00107</t>
        </is>
      </c>
      <c r="E1606" s="8" t="inlineStr">
        <is>
          <t>PRD-0079</t>
        </is>
      </c>
      <c r="F1606" s="8" t="n">
        <v>1</v>
      </c>
      <c r="G1606" s="9">
        <f>IFERROR(XLOOKUP(E1606, '04_Products'!$A:$A, '04_Products'!$G:$G), 1234.41)</f>
        <v/>
      </c>
      <c r="H1606" s="9">
        <f>IFERROR(XLOOKUP(E1606, '04_Products'!$A:$A, '04_Products'!$F:$F), 0)</f>
        <v/>
      </c>
      <c r="I1606" s="9">
        <f>F1606*G1606</f>
        <v/>
      </c>
      <c r="J1606" s="11" t="n">
        <v>0.1</v>
      </c>
      <c r="K1606" s="9">
        <f>I1606*J1606</f>
        <v/>
      </c>
      <c r="L1606" s="9">
        <f>I1606-K1606</f>
        <v/>
      </c>
      <c r="M1606" s="9">
        <f>F1606*H1606</f>
        <v/>
      </c>
      <c r="N1606" s="9">
        <f>L1606-M1606</f>
        <v/>
      </c>
      <c r="O1606" s="11">
        <f>IFERROR(N1606/L1606, 0)</f>
        <v/>
      </c>
      <c r="P1606" s="8">
        <f>YEAR(C1606)</f>
        <v/>
      </c>
      <c r="Q1606" s="8">
        <f>TEXT(C1606, "yyyy-mm")</f>
        <v/>
      </c>
      <c r="R1606" s="8" t="inlineStr">
        <is>
          <t>Direct Web</t>
        </is>
      </c>
      <c r="S1606" s="8" t="inlineStr">
        <is>
          <t>REG-APAC</t>
        </is>
      </c>
    </row>
    <row r="1607">
      <c r="A1607" s="8" t="inlineStr">
        <is>
          <t>DTL-0001624</t>
        </is>
      </c>
      <c r="B1607" s="8" t="inlineStr">
        <is>
          <t>ORD-000812</t>
        </is>
      </c>
      <c r="C1607" s="10" t="inlineStr">
        <is>
          <t>2025-05-04</t>
        </is>
      </c>
      <c r="D1607" s="8" t="inlineStr">
        <is>
          <t>CUST-04362</t>
        </is>
      </c>
      <c r="E1607" s="8" t="inlineStr">
        <is>
          <t>PRD-0369</t>
        </is>
      </c>
      <c r="F1607" s="8" t="n">
        <v>2</v>
      </c>
      <c r="G1607" s="9">
        <f>IFERROR(XLOOKUP(E1607, '04_Products'!$A:$A, '04_Products'!$G:$G), 653.11)</f>
        <v/>
      </c>
      <c r="H1607" s="9">
        <f>IFERROR(XLOOKUP(E1607, '04_Products'!$A:$A, '04_Products'!$F:$F), 0)</f>
        <v/>
      </c>
      <c r="I1607" s="9">
        <f>F1607*G1607</f>
        <v/>
      </c>
      <c r="J1607" s="11" t="n">
        <v>0.05</v>
      </c>
      <c r="K1607" s="9">
        <f>I1607*J1607</f>
        <v/>
      </c>
      <c r="L1607" s="9">
        <f>I1607-K1607</f>
        <v/>
      </c>
      <c r="M1607" s="9">
        <f>F1607*H1607</f>
        <v/>
      </c>
      <c r="N1607" s="9">
        <f>L1607-M1607</f>
        <v/>
      </c>
      <c r="O1607" s="11">
        <f>IFERROR(N1607/L1607, 0)</f>
        <v/>
      </c>
      <c r="P1607" s="8">
        <f>YEAR(C1607)</f>
        <v/>
      </c>
      <c r="Q1607" s="8">
        <f>TEXT(C1607, "yyyy-mm")</f>
        <v/>
      </c>
      <c r="R1607" s="8" t="inlineStr">
        <is>
          <t>Direct Web</t>
        </is>
      </c>
      <c r="S1607" s="8" t="inlineStr">
        <is>
          <t>REG-NA</t>
        </is>
      </c>
    </row>
    <row r="1608">
      <c r="A1608" s="8" t="inlineStr">
        <is>
          <t>DTL-0001625</t>
        </is>
      </c>
      <c r="B1608" s="8" t="inlineStr">
        <is>
          <t>ORD-000812</t>
        </is>
      </c>
      <c r="C1608" s="10" t="inlineStr">
        <is>
          <t>2025-05-04</t>
        </is>
      </c>
      <c r="D1608" s="8" t="inlineStr">
        <is>
          <t>CUST-04362</t>
        </is>
      </c>
      <c r="E1608" s="8" t="inlineStr">
        <is>
          <t>PRD-0057</t>
        </is>
      </c>
      <c r="F1608" s="8" t="n">
        <v>1</v>
      </c>
      <c r="G1608" s="9">
        <f>IFERROR(XLOOKUP(E1608, '04_Products'!$A:$A, '04_Products'!$G:$G), 1083.72)</f>
        <v/>
      </c>
      <c r="H1608" s="9">
        <f>IFERROR(XLOOKUP(E1608, '04_Products'!$A:$A, '04_Products'!$F:$F), 0)</f>
        <v/>
      </c>
      <c r="I1608" s="9">
        <f>F1608*G1608</f>
        <v/>
      </c>
      <c r="J1608" s="11" t="n">
        <v>0.05</v>
      </c>
      <c r="K1608" s="9">
        <f>I1608*J1608</f>
        <v/>
      </c>
      <c r="L1608" s="9">
        <f>I1608-K1608</f>
        <v/>
      </c>
      <c r="M1608" s="9">
        <f>F1608*H1608</f>
        <v/>
      </c>
      <c r="N1608" s="9">
        <f>L1608-M1608</f>
        <v/>
      </c>
      <c r="O1608" s="11">
        <f>IFERROR(N1608/L1608, 0)</f>
        <v/>
      </c>
      <c r="P1608" s="8">
        <f>YEAR(C1608)</f>
        <v/>
      </c>
      <c r="Q1608" s="8">
        <f>TEXT(C1608, "yyyy-mm")</f>
        <v/>
      </c>
      <c r="R1608" s="8" t="inlineStr">
        <is>
          <t>Direct Web</t>
        </is>
      </c>
      <c r="S1608" s="8" t="inlineStr">
        <is>
          <t>REG-NA</t>
        </is>
      </c>
    </row>
    <row r="1609">
      <c r="A1609" s="8" t="inlineStr">
        <is>
          <t>DTL-0001626</t>
        </is>
      </c>
      <c r="B1609" s="8" t="inlineStr">
        <is>
          <t>ORD-000812</t>
        </is>
      </c>
      <c r="C1609" s="10" t="inlineStr">
        <is>
          <t>2025-05-04</t>
        </is>
      </c>
      <c r="D1609" s="8" t="inlineStr">
        <is>
          <t>CUST-04362</t>
        </is>
      </c>
      <c r="E1609" s="8" t="inlineStr">
        <is>
          <t>PRD-0181</t>
        </is>
      </c>
      <c r="F1609" s="8" t="n">
        <v>1</v>
      </c>
      <c r="G1609" s="9">
        <f>IFERROR(XLOOKUP(E1609, '04_Products'!$A:$A, '04_Products'!$G:$G), 57.06)</f>
        <v/>
      </c>
      <c r="H1609" s="9">
        <f>IFERROR(XLOOKUP(E1609, '04_Products'!$A:$A, '04_Products'!$F:$F), 0)</f>
        <v/>
      </c>
      <c r="I1609" s="9">
        <f>F1609*G1609</f>
        <v/>
      </c>
      <c r="J1609" s="11" t="n">
        <v>0</v>
      </c>
      <c r="K1609" s="9">
        <f>I1609*J1609</f>
        <v/>
      </c>
      <c r="L1609" s="9">
        <f>I1609-K1609</f>
        <v/>
      </c>
      <c r="M1609" s="9">
        <f>F1609*H1609</f>
        <v/>
      </c>
      <c r="N1609" s="9">
        <f>L1609-M1609</f>
        <v/>
      </c>
      <c r="O1609" s="11">
        <f>IFERROR(N1609/L1609, 0)</f>
        <v/>
      </c>
      <c r="P1609" s="8">
        <f>YEAR(C1609)</f>
        <v/>
      </c>
      <c r="Q1609" s="8">
        <f>TEXT(C1609, "yyyy-mm")</f>
        <v/>
      </c>
      <c r="R1609" s="8" t="inlineStr">
        <is>
          <t>Direct Web</t>
        </is>
      </c>
      <c r="S1609" s="8" t="inlineStr">
        <is>
          <t>REG-NA</t>
        </is>
      </c>
    </row>
    <row r="1610">
      <c r="A1610" s="8" t="inlineStr">
        <is>
          <t>DTL-0001627</t>
        </is>
      </c>
      <c r="B1610" s="8" t="inlineStr">
        <is>
          <t>ORD-000812</t>
        </is>
      </c>
      <c r="C1610" s="10" t="inlineStr">
        <is>
          <t>2025-05-04</t>
        </is>
      </c>
      <c r="D1610" s="8" t="inlineStr">
        <is>
          <t>CUST-04362</t>
        </is>
      </c>
      <c r="E1610" s="8" t="inlineStr">
        <is>
          <t>PRD-0349</t>
        </is>
      </c>
      <c r="F1610" s="8" t="n">
        <v>1</v>
      </c>
      <c r="G1610" s="9">
        <f>IFERROR(XLOOKUP(E1610, '04_Products'!$A:$A, '04_Products'!$G:$G), 70.33)</f>
        <v/>
      </c>
      <c r="H1610" s="9">
        <f>IFERROR(XLOOKUP(E1610, '04_Products'!$A:$A, '04_Products'!$F:$F), 0)</f>
        <v/>
      </c>
      <c r="I1610" s="9">
        <f>F1610*G1610</f>
        <v/>
      </c>
      <c r="J1610" s="11" t="n">
        <v>0.05</v>
      </c>
      <c r="K1610" s="9">
        <f>I1610*J1610</f>
        <v/>
      </c>
      <c r="L1610" s="9">
        <f>I1610-K1610</f>
        <v/>
      </c>
      <c r="M1610" s="9">
        <f>F1610*H1610</f>
        <v/>
      </c>
      <c r="N1610" s="9">
        <f>L1610-M1610</f>
        <v/>
      </c>
      <c r="O1610" s="11">
        <f>IFERROR(N1610/L1610, 0)</f>
        <v/>
      </c>
      <c r="P1610" s="8">
        <f>YEAR(C1610)</f>
        <v/>
      </c>
      <c r="Q1610" s="8">
        <f>TEXT(C1610, "yyyy-mm")</f>
        <v/>
      </c>
      <c r="R1610" s="8" t="inlineStr">
        <is>
          <t>Direct Web</t>
        </is>
      </c>
      <c r="S1610" s="8" t="inlineStr">
        <is>
          <t>REG-NA</t>
        </is>
      </c>
    </row>
    <row r="1611">
      <c r="A1611" s="8" t="inlineStr">
        <is>
          <t>DTL-0001628</t>
        </is>
      </c>
      <c r="B1611" s="8" t="inlineStr">
        <is>
          <t>ORD-000813</t>
        </is>
      </c>
      <c r="C1611" s="10" t="inlineStr">
        <is>
          <t>2023-08-07</t>
        </is>
      </c>
      <c r="D1611" s="8" t="inlineStr">
        <is>
          <t>CUST-03002</t>
        </is>
      </c>
      <c r="E1611" s="8" t="inlineStr">
        <is>
          <t>PRD-0139</t>
        </is>
      </c>
      <c r="F1611" s="8" t="n">
        <v>5</v>
      </c>
      <c r="G1611" s="9">
        <f>IFERROR(XLOOKUP(E1611, '04_Products'!$A:$A, '04_Products'!$G:$G), 402.87)</f>
        <v/>
      </c>
      <c r="H1611" s="9">
        <f>IFERROR(XLOOKUP(E1611, '04_Products'!$A:$A, '04_Products'!$F:$F), 0)</f>
        <v/>
      </c>
      <c r="I1611" s="9">
        <f>F1611*G1611</f>
        <v/>
      </c>
      <c r="J1611" s="11" t="n">
        <v>0.05</v>
      </c>
      <c r="K1611" s="9">
        <f>I1611*J1611</f>
        <v/>
      </c>
      <c r="L1611" s="9">
        <f>I1611-K1611</f>
        <v/>
      </c>
      <c r="M1611" s="9">
        <f>F1611*H1611</f>
        <v/>
      </c>
      <c r="N1611" s="9">
        <f>L1611-M1611</f>
        <v/>
      </c>
      <c r="O1611" s="11">
        <f>IFERROR(N1611/L1611, 0)</f>
        <v/>
      </c>
      <c r="P1611" s="8">
        <f>YEAR(C1611)</f>
        <v/>
      </c>
      <c r="Q1611" s="8">
        <f>TEXT(C1611, "yyyy-mm")</f>
        <v/>
      </c>
      <c r="R1611" s="8" t="inlineStr">
        <is>
          <t>Direct Web</t>
        </is>
      </c>
      <c r="S1611" s="8" t="inlineStr">
        <is>
          <t>REG-NA</t>
        </is>
      </c>
    </row>
    <row r="1612">
      <c r="A1612" s="8" t="inlineStr">
        <is>
          <t>DTL-0001632</t>
        </is>
      </c>
      <c r="B1612" s="8" t="inlineStr">
        <is>
          <t>ORD-000815</t>
        </is>
      </c>
      <c r="C1612" s="10" t="inlineStr">
        <is>
          <t>2024-04-24</t>
        </is>
      </c>
      <c r="D1612" s="8" t="inlineStr">
        <is>
          <t>CUST-03859</t>
        </is>
      </c>
      <c r="E1612" s="8" t="inlineStr">
        <is>
          <t>PRD-0208</t>
        </is>
      </c>
      <c r="F1612" s="8" t="n">
        <v>1</v>
      </c>
      <c r="G1612" s="9">
        <f>IFERROR(XLOOKUP(E1612, '04_Products'!$A:$A, '04_Products'!$G:$G), 47.15)</f>
        <v/>
      </c>
      <c r="H1612" s="9">
        <f>IFERROR(XLOOKUP(E1612, '04_Products'!$A:$A, '04_Products'!$F:$F), 0)</f>
        <v/>
      </c>
      <c r="I1612" s="9">
        <f>F1612*G1612</f>
        <v/>
      </c>
      <c r="J1612" s="11" t="n">
        <v>0.05</v>
      </c>
      <c r="K1612" s="9">
        <f>I1612*J1612</f>
        <v/>
      </c>
      <c r="L1612" s="9">
        <f>I1612-K1612</f>
        <v/>
      </c>
      <c r="M1612" s="9">
        <f>F1612*H1612</f>
        <v/>
      </c>
      <c r="N1612" s="9">
        <f>L1612-M1612</f>
        <v/>
      </c>
      <c r="O1612" s="11">
        <f>IFERROR(N1612/L1612, 0)</f>
        <v/>
      </c>
      <c r="P1612" s="8">
        <f>YEAR(C1612)</f>
        <v/>
      </c>
      <c r="Q1612" s="8">
        <f>TEXT(C1612, "yyyy-mm")</f>
        <v/>
      </c>
      <c r="R1612" s="8" t="inlineStr">
        <is>
          <t>Direct Web</t>
        </is>
      </c>
      <c r="S1612" s="8" t="inlineStr">
        <is>
          <t>REG-EU</t>
        </is>
      </c>
    </row>
    <row r="1613">
      <c r="A1613" s="8" t="inlineStr">
        <is>
          <t>DTL-0001633</t>
        </is>
      </c>
      <c r="B1613" s="8" t="inlineStr">
        <is>
          <t>ORD-000816</t>
        </is>
      </c>
      <c r="C1613" s="10" t="inlineStr">
        <is>
          <t>2025-02-22</t>
        </is>
      </c>
      <c r="D1613" s="8" t="inlineStr">
        <is>
          <t>CUST-01118</t>
        </is>
      </c>
      <c r="E1613" s="8" t="inlineStr">
        <is>
          <t>PRD-0417</t>
        </is>
      </c>
      <c r="F1613" s="8" t="n">
        <v>2</v>
      </c>
      <c r="G1613" s="9">
        <f>IFERROR(XLOOKUP(E1613, '04_Products'!$A:$A, '04_Products'!$G:$G), 134.04)</f>
        <v/>
      </c>
      <c r="H1613" s="9">
        <f>IFERROR(XLOOKUP(E1613, '04_Products'!$A:$A, '04_Products'!$F:$F), 0)</f>
        <v/>
      </c>
      <c r="I1613" s="9">
        <f>F1613*G1613</f>
        <v/>
      </c>
      <c r="J1613" s="11" t="n">
        <v>0</v>
      </c>
      <c r="K1613" s="9">
        <f>I1613*J1613</f>
        <v/>
      </c>
      <c r="L1613" s="9">
        <f>I1613-K1613</f>
        <v/>
      </c>
      <c r="M1613" s="9">
        <f>F1613*H1613</f>
        <v/>
      </c>
      <c r="N1613" s="9">
        <f>L1613-M1613</f>
        <v/>
      </c>
      <c r="O1613" s="11">
        <f>IFERROR(N1613/L1613, 0)</f>
        <v/>
      </c>
      <c r="P1613" s="8">
        <f>YEAR(C1613)</f>
        <v/>
      </c>
      <c r="Q1613" s="8">
        <f>TEXT(C1613, "yyyy-mm")</f>
        <v/>
      </c>
      <c r="R1613" s="8" t="inlineStr">
        <is>
          <t>Mobile App</t>
        </is>
      </c>
      <c r="S1613" s="8" t="inlineStr">
        <is>
          <t>REG-NA</t>
        </is>
      </c>
    </row>
    <row r="1614">
      <c r="A1614" s="8" t="inlineStr">
        <is>
          <t>DTL-0001634</t>
        </is>
      </c>
      <c r="B1614" s="8" t="inlineStr">
        <is>
          <t>ORD-000817</t>
        </is>
      </c>
      <c r="C1614" s="10" t="inlineStr">
        <is>
          <t>2025-11-30</t>
        </is>
      </c>
      <c r="D1614" s="8" t="inlineStr">
        <is>
          <t>CUST-01795</t>
        </is>
      </c>
      <c r="E1614" s="8" t="inlineStr">
        <is>
          <t>PRD-0348</t>
        </is>
      </c>
      <c r="F1614" s="8" t="n">
        <v>1</v>
      </c>
      <c r="G1614" s="9">
        <f>IFERROR(XLOOKUP(E1614, '04_Products'!$A:$A, '04_Products'!$G:$G), 792.82)</f>
        <v/>
      </c>
      <c r="H1614" s="9">
        <f>IFERROR(XLOOKUP(E1614, '04_Products'!$A:$A, '04_Products'!$F:$F), 0)</f>
        <v/>
      </c>
      <c r="I1614" s="9">
        <f>F1614*G1614</f>
        <v/>
      </c>
      <c r="J1614" s="11" t="n">
        <v>0</v>
      </c>
      <c r="K1614" s="9">
        <f>I1614*J1614</f>
        <v/>
      </c>
      <c r="L1614" s="9">
        <f>I1614-K1614</f>
        <v/>
      </c>
      <c r="M1614" s="9">
        <f>F1614*H1614</f>
        <v/>
      </c>
      <c r="N1614" s="9">
        <f>L1614-M1614</f>
        <v/>
      </c>
      <c r="O1614" s="11">
        <f>IFERROR(N1614/L1614, 0)</f>
        <v/>
      </c>
      <c r="P1614" s="8">
        <f>YEAR(C1614)</f>
        <v/>
      </c>
      <c r="Q1614" s="8">
        <f>TEXT(C1614, "yyyy-mm")</f>
        <v/>
      </c>
      <c r="R1614" s="8" t="inlineStr">
        <is>
          <t>Direct Web</t>
        </is>
      </c>
      <c r="S1614" s="8" t="inlineStr">
        <is>
          <t>REG-APAC</t>
        </is>
      </c>
    </row>
    <row r="1615">
      <c r="A1615" s="8" t="inlineStr">
        <is>
          <t>DTL-0001635</t>
        </is>
      </c>
      <c r="B1615" s="8" t="inlineStr">
        <is>
          <t>ORD-000817</t>
        </is>
      </c>
      <c r="C1615" s="10" t="inlineStr">
        <is>
          <t>2025-11-30</t>
        </is>
      </c>
      <c r="D1615" s="8" t="inlineStr">
        <is>
          <t>CUST-01795</t>
        </is>
      </c>
      <c r="E1615" s="8" t="inlineStr">
        <is>
          <t>PRD-0297</t>
        </is>
      </c>
      <c r="F1615" s="8" t="n">
        <v>2</v>
      </c>
      <c r="G1615" s="9">
        <f>IFERROR(XLOOKUP(E1615, '04_Products'!$A:$A, '04_Products'!$G:$G), 47.74)</f>
        <v/>
      </c>
      <c r="H1615" s="9">
        <f>IFERROR(XLOOKUP(E1615, '04_Products'!$A:$A, '04_Products'!$F:$F), 0)</f>
        <v/>
      </c>
      <c r="I1615" s="9">
        <f>F1615*G1615</f>
        <v/>
      </c>
      <c r="J1615" s="11" t="n">
        <v>0.05</v>
      </c>
      <c r="K1615" s="9">
        <f>I1615*J1615</f>
        <v/>
      </c>
      <c r="L1615" s="9">
        <f>I1615-K1615</f>
        <v/>
      </c>
      <c r="M1615" s="9">
        <f>F1615*H1615</f>
        <v/>
      </c>
      <c r="N1615" s="9">
        <f>L1615-M1615</f>
        <v/>
      </c>
      <c r="O1615" s="11">
        <f>IFERROR(N1615/L1615, 0)</f>
        <v/>
      </c>
      <c r="P1615" s="8">
        <f>YEAR(C1615)</f>
        <v/>
      </c>
      <c r="Q1615" s="8">
        <f>TEXT(C1615, "yyyy-mm")</f>
        <v/>
      </c>
      <c r="R1615" s="8" t="inlineStr">
        <is>
          <t>Direct Web</t>
        </is>
      </c>
      <c r="S1615" s="8" t="inlineStr">
        <is>
          <t>REG-APAC</t>
        </is>
      </c>
    </row>
    <row r="1616">
      <c r="A1616" s="8" t="inlineStr">
        <is>
          <t>DTL-0001636</t>
        </is>
      </c>
      <c r="B1616" s="8" t="inlineStr">
        <is>
          <t>ORD-000817</t>
        </is>
      </c>
      <c r="C1616" s="10" t="inlineStr">
        <is>
          <t>2025-11-30</t>
        </is>
      </c>
      <c r="D1616" s="8" t="inlineStr">
        <is>
          <t>CUST-01795</t>
        </is>
      </c>
      <c r="E1616" s="8" t="inlineStr">
        <is>
          <t>PRD-0477</t>
        </is>
      </c>
      <c r="F1616" s="8" t="n">
        <v>2</v>
      </c>
      <c r="G1616" s="9">
        <f>IFERROR(XLOOKUP(E1616, '04_Products'!$A:$A, '04_Products'!$G:$G), 38.11)</f>
        <v/>
      </c>
      <c r="H1616" s="9">
        <f>IFERROR(XLOOKUP(E1616, '04_Products'!$A:$A, '04_Products'!$F:$F), 0)</f>
        <v/>
      </c>
      <c r="I1616" s="9">
        <f>F1616*G1616</f>
        <v/>
      </c>
      <c r="J1616" s="11" t="n">
        <v>0</v>
      </c>
      <c r="K1616" s="9">
        <f>I1616*J1616</f>
        <v/>
      </c>
      <c r="L1616" s="9">
        <f>I1616-K1616</f>
        <v/>
      </c>
      <c r="M1616" s="9">
        <f>F1616*H1616</f>
        <v/>
      </c>
      <c r="N1616" s="9">
        <f>L1616-M1616</f>
        <v/>
      </c>
      <c r="O1616" s="11">
        <f>IFERROR(N1616/L1616, 0)</f>
        <v/>
      </c>
      <c r="P1616" s="8">
        <f>YEAR(C1616)</f>
        <v/>
      </c>
      <c r="Q1616" s="8">
        <f>TEXT(C1616, "yyyy-mm")</f>
        <v/>
      </c>
      <c r="R1616" s="8" t="inlineStr">
        <is>
          <t>Direct Web</t>
        </is>
      </c>
      <c r="S1616" s="8" t="inlineStr">
        <is>
          <t>REG-APAC</t>
        </is>
      </c>
    </row>
    <row r="1617">
      <c r="A1617" s="8" t="inlineStr">
        <is>
          <t>DTL-0001637</t>
        </is>
      </c>
      <c r="B1617" s="8" t="inlineStr">
        <is>
          <t>ORD-000818</t>
        </is>
      </c>
      <c r="C1617" s="10" t="inlineStr">
        <is>
          <t>2025-12-16</t>
        </is>
      </c>
      <c r="D1617" s="8" t="inlineStr">
        <is>
          <t>CUST-00885</t>
        </is>
      </c>
      <c r="E1617" s="8" t="inlineStr">
        <is>
          <t>PRD-0111</t>
        </is>
      </c>
      <c r="F1617" s="8" t="n">
        <v>4</v>
      </c>
      <c r="G1617" s="9">
        <f>IFERROR(XLOOKUP(E1617, '04_Products'!$A:$A, '04_Products'!$G:$G), 63.37)</f>
        <v/>
      </c>
      <c r="H1617" s="9">
        <f>IFERROR(XLOOKUP(E1617, '04_Products'!$A:$A, '04_Products'!$F:$F), 0)</f>
        <v/>
      </c>
      <c r="I1617" s="9">
        <f>F1617*G1617</f>
        <v/>
      </c>
      <c r="J1617" s="11" t="n">
        <v>0.3</v>
      </c>
      <c r="K1617" s="9">
        <f>I1617*J1617</f>
        <v/>
      </c>
      <c r="L1617" s="9">
        <f>I1617-K1617</f>
        <v/>
      </c>
      <c r="M1617" s="9">
        <f>F1617*H1617</f>
        <v/>
      </c>
      <c r="N1617" s="9">
        <f>L1617-M1617</f>
        <v/>
      </c>
      <c r="O1617" s="11">
        <f>IFERROR(N1617/L1617, 0)</f>
        <v/>
      </c>
      <c r="P1617" s="8">
        <f>YEAR(C1617)</f>
        <v/>
      </c>
      <c r="Q1617" s="8">
        <f>TEXT(C1617, "yyyy-mm")</f>
        <v/>
      </c>
      <c r="R1617" s="8" t="inlineStr">
        <is>
          <t>Mobile App</t>
        </is>
      </c>
      <c r="S1617" s="8" t="inlineStr">
        <is>
          <t>REG-NA</t>
        </is>
      </c>
    </row>
    <row r="1618">
      <c r="A1618" s="8" t="inlineStr">
        <is>
          <t>DTL-0001638</t>
        </is>
      </c>
      <c r="B1618" s="8" t="inlineStr">
        <is>
          <t>ORD-000818</t>
        </is>
      </c>
      <c r="C1618" s="10" t="inlineStr">
        <is>
          <t>2025-12-16</t>
        </is>
      </c>
      <c r="D1618" s="8" t="inlineStr">
        <is>
          <t>CUST-00885</t>
        </is>
      </c>
      <c r="E1618" s="8" t="inlineStr">
        <is>
          <t>PRD-0314</t>
        </is>
      </c>
      <c r="F1618" s="8" t="n">
        <v>1</v>
      </c>
      <c r="G1618" s="9">
        <f>IFERROR(XLOOKUP(E1618, '04_Products'!$A:$A, '04_Products'!$G:$G), 28.50)</f>
        <v/>
      </c>
      <c r="H1618" s="9">
        <f>IFERROR(XLOOKUP(E1618, '04_Products'!$A:$A, '04_Products'!$F:$F), 0)</f>
        <v/>
      </c>
      <c r="I1618" s="9">
        <f>F1618*G1618</f>
        <v/>
      </c>
      <c r="J1618" s="11" t="n">
        <v>0.2</v>
      </c>
      <c r="K1618" s="9">
        <f>I1618*J1618</f>
        <v/>
      </c>
      <c r="L1618" s="9">
        <f>I1618-K1618</f>
        <v/>
      </c>
      <c r="M1618" s="9">
        <f>F1618*H1618</f>
        <v/>
      </c>
      <c r="N1618" s="9">
        <f>L1618-M1618</f>
        <v/>
      </c>
      <c r="O1618" s="11">
        <f>IFERROR(N1618/L1618, 0)</f>
        <v/>
      </c>
      <c r="P1618" s="8">
        <f>YEAR(C1618)</f>
        <v/>
      </c>
      <c r="Q1618" s="8">
        <f>TEXT(C1618, "yyyy-mm")</f>
        <v/>
      </c>
      <c r="R1618" s="8" t="inlineStr">
        <is>
          <t>Mobile App</t>
        </is>
      </c>
      <c r="S1618" s="8" t="inlineStr">
        <is>
          <t>REG-NA</t>
        </is>
      </c>
    </row>
    <row r="1619">
      <c r="A1619" s="8" t="inlineStr">
        <is>
          <t>DTL-0001639</t>
        </is>
      </c>
      <c r="B1619" s="8" t="inlineStr">
        <is>
          <t>ORD-000818</t>
        </is>
      </c>
      <c r="C1619" s="10" t="inlineStr">
        <is>
          <t>2025-12-16</t>
        </is>
      </c>
      <c r="D1619" s="8" t="inlineStr">
        <is>
          <t>CUST-00885</t>
        </is>
      </c>
      <c r="E1619" s="8" t="inlineStr">
        <is>
          <t>PRD-0050</t>
        </is>
      </c>
      <c r="F1619" s="8" t="n">
        <v>1</v>
      </c>
      <c r="G1619" s="9">
        <f>IFERROR(XLOOKUP(E1619, '04_Products'!$A:$A, '04_Products'!$G:$G), 73.20)</f>
        <v/>
      </c>
      <c r="H1619" s="9">
        <f>IFERROR(XLOOKUP(E1619, '04_Products'!$A:$A, '04_Products'!$F:$F), 0)</f>
        <v/>
      </c>
      <c r="I1619" s="9">
        <f>F1619*G1619</f>
        <v/>
      </c>
      <c r="J1619" s="11" t="n">
        <v>0.25</v>
      </c>
      <c r="K1619" s="9">
        <f>I1619*J1619</f>
        <v/>
      </c>
      <c r="L1619" s="9">
        <f>I1619-K1619</f>
        <v/>
      </c>
      <c r="M1619" s="9">
        <f>F1619*H1619</f>
        <v/>
      </c>
      <c r="N1619" s="9">
        <f>L1619-M1619</f>
        <v/>
      </c>
      <c r="O1619" s="11">
        <f>IFERROR(N1619/L1619, 0)</f>
        <v/>
      </c>
      <c r="P1619" s="8">
        <f>YEAR(C1619)</f>
        <v/>
      </c>
      <c r="Q1619" s="8">
        <f>TEXT(C1619, "yyyy-mm")</f>
        <v/>
      </c>
      <c r="R1619" s="8" t="inlineStr">
        <is>
          <t>Mobile App</t>
        </is>
      </c>
      <c r="S1619" s="8" t="inlineStr">
        <is>
          <t>REG-NA</t>
        </is>
      </c>
    </row>
    <row r="1620">
      <c r="A1620" s="8" t="inlineStr">
        <is>
          <t>DTL-0001640</t>
        </is>
      </c>
      <c r="B1620" s="8" t="inlineStr">
        <is>
          <t>ORD-000819</t>
        </is>
      </c>
      <c r="C1620" s="10" t="inlineStr">
        <is>
          <t>2023-07-20</t>
        </is>
      </c>
      <c r="D1620" s="8" t="inlineStr">
        <is>
          <t>CUST-01495</t>
        </is>
      </c>
      <c r="E1620" s="8" t="inlineStr">
        <is>
          <t>PRD-0307</t>
        </is>
      </c>
      <c r="F1620" s="8" t="n">
        <v>1</v>
      </c>
      <c r="G1620" s="9">
        <f>IFERROR(XLOOKUP(E1620, '04_Products'!$A:$A, '04_Products'!$G:$G), 762.88)</f>
        <v/>
      </c>
      <c r="H1620" s="9">
        <f>IFERROR(XLOOKUP(E1620, '04_Products'!$A:$A, '04_Products'!$F:$F), 0)</f>
        <v/>
      </c>
      <c r="I1620" s="9">
        <f>F1620*G1620</f>
        <v/>
      </c>
      <c r="J1620" s="11" t="n">
        <v>0</v>
      </c>
      <c r="K1620" s="9">
        <f>I1620*J1620</f>
        <v/>
      </c>
      <c r="L1620" s="9">
        <f>I1620-K1620</f>
        <v/>
      </c>
      <c r="M1620" s="9">
        <f>F1620*H1620</f>
        <v/>
      </c>
      <c r="N1620" s="9">
        <f>L1620-M1620</f>
        <v/>
      </c>
      <c r="O1620" s="11">
        <f>IFERROR(N1620/L1620, 0)</f>
        <v/>
      </c>
      <c r="P1620" s="8">
        <f>YEAR(C1620)</f>
        <v/>
      </c>
      <c r="Q1620" s="8">
        <f>TEXT(C1620, "yyyy-mm")</f>
        <v/>
      </c>
      <c r="R1620" s="8" t="inlineStr">
        <is>
          <t>Mobile App</t>
        </is>
      </c>
      <c r="S1620" s="8" t="inlineStr">
        <is>
          <t>REG-APAC</t>
        </is>
      </c>
    </row>
    <row r="1621">
      <c r="A1621" s="8" t="inlineStr">
        <is>
          <t>DTL-0001641</t>
        </is>
      </c>
      <c r="B1621" s="8" t="inlineStr">
        <is>
          <t>ORD-000819</t>
        </is>
      </c>
      <c r="C1621" s="10" t="inlineStr">
        <is>
          <t>2023-07-20</t>
        </is>
      </c>
      <c r="D1621" s="8" t="inlineStr">
        <is>
          <t>CUST-01495</t>
        </is>
      </c>
      <c r="E1621" s="8" t="inlineStr">
        <is>
          <t>PRD-0246</t>
        </is>
      </c>
      <c r="F1621" s="8" t="n">
        <v>1</v>
      </c>
      <c r="G1621" s="9">
        <f>IFERROR(XLOOKUP(E1621, '04_Products'!$A:$A, '04_Products'!$G:$G), 1238.92)</f>
        <v/>
      </c>
      <c r="H1621" s="9">
        <f>IFERROR(XLOOKUP(E1621, '04_Products'!$A:$A, '04_Products'!$F:$F), 0)</f>
        <v/>
      </c>
      <c r="I1621" s="9">
        <f>F1621*G1621</f>
        <v/>
      </c>
      <c r="J1621" s="11" t="n">
        <v>0.05</v>
      </c>
      <c r="K1621" s="9">
        <f>I1621*J1621</f>
        <v/>
      </c>
      <c r="L1621" s="9">
        <f>I1621-K1621</f>
        <v/>
      </c>
      <c r="M1621" s="9">
        <f>F1621*H1621</f>
        <v/>
      </c>
      <c r="N1621" s="9">
        <f>L1621-M1621</f>
        <v/>
      </c>
      <c r="O1621" s="11">
        <f>IFERROR(N1621/L1621, 0)</f>
        <v/>
      </c>
      <c r="P1621" s="8">
        <f>YEAR(C1621)</f>
        <v/>
      </c>
      <c r="Q1621" s="8">
        <f>TEXT(C1621, "yyyy-mm")</f>
        <v/>
      </c>
      <c r="R1621" s="8" t="inlineStr">
        <is>
          <t>Mobile App</t>
        </is>
      </c>
      <c r="S1621" s="8" t="inlineStr">
        <is>
          <t>REG-APAC</t>
        </is>
      </c>
    </row>
    <row r="1622">
      <c r="A1622" s="8" t="inlineStr">
        <is>
          <t>DTL-0001642</t>
        </is>
      </c>
      <c r="B1622" s="8" t="inlineStr">
        <is>
          <t>ORD-000819</t>
        </is>
      </c>
      <c r="C1622" s="10" t="inlineStr">
        <is>
          <t>2023-07-20</t>
        </is>
      </c>
      <c r="D1622" s="8" t="inlineStr">
        <is>
          <t>CUST-01495</t>
        </is>
      </c>
      <c r="E1622" s="8" t="inlineStr">
        <is>
          <t>PRD-0053</t>
        </is>
      </c>
      <c r="F1622" s="8" t="n">
        <v>2</v>
      </c>
      <c r="G1622" s="9">
        <f>IFERROR(XLOOKUP(E1622, '04_Products'!$A:$A, '04_Products'!$G:$G), 1031.53)</f>
        <v/>
      </c>
      <c r="H1622" s="9">
        <f>IFERROR(XLOOKUP(E1622, '04_Products'!$A:$A, '04_Products'!$F:$F), 0)</f>
        <v/>
      </c>
      <c r="I1622" s="9">
        <f>F1622*G1622</f>
        <v/>
      </c>
      <c r="J1622" s="11" t="n">
        <v>0</v>
      </c>
      <c r="K1622" s="9">
        <f>I1622*J1622</f>
        <v/>
      </c>
      <c r="L1622" s="9">
        <f>I1622-K1622</f>
        <v/>
      </c>
      <c r="M1622" s="9">
        <f>F1622*H1622</f>
        <v/>
      </c>
      <c r="N1622" s="9">
        <f>L1622-M1622</f>
        <v/>
      </c>
      <c r="O1622" s="11">
        <f>IFERROR(N1622/L1622, 0)</f>
        <v/>
      </c>
      <c r="P1622" s="8">
        <f>YEAR(C1622)</f>
        <v/>
      </c>
      <c r="Q1622" s="8">
        <f>TEXT(C1622, "yyyy-mm")</f>
        <v/>
      </c>
      <c r="R1622" s="8" t="inlineStr">
        <is>
          <t>Mobile App</t>
        </is>
      </c>
      <c r="S1622" s="8" t="inlineStr">
        <is>
          <t>REG-APAC</t>
        </is>
      </c>
    </row>
    <row r="1623">
      <c r="A1623" s="8" t="inlineStr">
        <is>
          <t>DTL-0001643</t>
        </is>
      </c>
      <c r="B1623" s="8" t="inlineStr">
        <is>
          <t>ORD-000819</t>
        </is>
      </c>
      <c r="C1623" s="10" t="inlineStr">
        <is>
          <t>2023-07-20</t>
        </is>
      </c>
      <c r="D1623" s="8" t="inlineStr">
        <is>
          <t>CUST-01495</t>
        </is>
      </c>
      <c r="E1623" s="8" t="inlineStr">
        <is>
          <t>PRD-0237</t>
        </is>
      </c>
      <c r="F1623" s="8" t="n">
        <v>2</v>
      </c>
      <c r="G1623" s="9">
        <f>IFERROR(XLOOKUP(E1623, '04_Products'!$A:$A, '04_Products'!$G:$G), 59.70)</f>
        <v/>
      </c>
      <c r="H1623" s="9">
        <f>IFERROR(XLOOKUP(E1623, '04_Products'!$A:$A, '04_Products'!$F:$F), 0)</f>
        <v/>
      </c>
      <c r="I1623" s="9">
        <f>F1623*G1623</f>
        <v/>
      </c>
      <c r="J1623" s="11" t="n">
        <v>0.25</v>
      </c>
      <c r="K1623" s="9">
        <f>I1623*J1623</f>
        <v/>
      </c>
      <c r="L1623" s="9">
        <f>I1623-K1623</f>
        <v/>
      </c>
      <c r="M1623" s="9">
        <f>F1623*H1623</f>
        <v/>
      </c>
      <c r="N1623" s="9">
        <f>L1623-M1623</f>
        <v/>
      </c>
      <c r="O1623" s="11">
        <f>IFERROR(N1623/L1623, 0)</f>
        <v/>
      </c>
      <c r="P1623" s="8">
        <f>YEAR(C1623)</f>
        <v/>
      </c>
      <c r="Q1623" s="8">
        <f>TEXT(C1623, "yyyy-mm")</f>
        <v/>
      </c>
      <c r="R1623" s="8" t="inlineStr">
        <is>
          <t>Mobile App</t>
        </is>
      </c>
      <c r="S1623" s="8" t="inlineStr">
        <is>
          <t>REG-APAC</t>
        </is>
      </c>
    </row>
    <row r="1624">
      <c r="A1624" s="8" t="inlineStr">
        <is>
          <t>DTL-0001644</t>
        </is>
      </c>
      <c r="B1624" s="8" t="inlineStr">
        <is>
          <t>ORD-000819</t>
        </is>
      </c>
      <c r="C1624" s="10" t="inlineStr">
        <is>
          <t>2023-07-20</t>
        </is>
      </c>
      <c r="D1624" s="8" t="inlineStr">
        <is>
          <t>CUST-01495</t>
        </is>
      </c>
      <c r="E1624" s="8" t="inlineStr">
        <is>
          <t>PRD-0064</t>
        </is>
      </c>
      <c r="F1624" s="8" t="n">
        <v>1</v>
      </c>
      <c r="G1624" s="9">
        <f>IFERROR(XLOOKUP(E1624, '04_Products'!$A:$A, '04_Products'!$G:$G), 36.84)</f>
        <v/>
      </c>
      <c r="H1624" s="9">
        <f>IFERROR(XLOOKUP(E1624, '04_Products'!$A:$A, '04_Products'!$F:$F), 0)</f>
        <v/>
      </c>
      <c r="I1624" s="9">
        <f>F1624*G1624</f>
        <v/>
      </c>
      <c r="J1624" s="11" t="n">
        <v>0</v>
      </c>
      <c r="K1624" s="9">
        <f>I1624*J1624</f>
        <v/>
      </c>
      <c r="L1624" s="9">
        <f>I1624-K1624</f>
        <v/>
      </c>
      <c r="M1624" s="9">
        <f>F1624*H1624</f>
        <v/>
      </c>
      <c r="N1624" s="9">
        <f>L1624-M1624</f>
        <v/>
      </c>
      <c r="O1624" s="11">
        <f>IFERROR(N1624/L1624, 0)</f>
        <v/>
      </c>
      <c r="P1624" s="8">
        <f>YEAR(C1624)</f>
        <v/>
      </c>
      <c r="Q1624" s="8">
        <f>TEXT(C1624, "yyyy-mm")</f>
        <v/>
      </c>
      <c r="R1624" s="8" t="inlineStr">
        <is>
          <t>Mobile App</t>
        </is>
      </c>
      <c r="S1624" s="8" t="inlineStr">
        <is>
          <t>REG-APAC</t>
        </is>
      </c>
    </row>
    <row r="1625">
      <c r="A1625" s="8" t="inlineStr">
        <is>
          <t>DTL-0001645</t>
        </is>
      </c>
      <c r="B1625" s="8" t="inlineStr">
        <is>
          <t>ORD-000820</t>
        </is>
      </c>
      <c r="C1625" s="10" t="inlineStr">
        <is>
          <t>2024-03-26</t>
        </is>
      </c>
      <c r="D1625" s="8" t="inlineStr">
        <is>
          <t>CUST-03536</t>
        </is>
      </c>
      <c r="E1625" s="8" t="inlineStr">
        <is>
          <t>PRD-0263</t>
        </is>
      </c>
      <c r="F1625" s="8" t="n">
        <v>2</v>
      </c>
      <c r="G1625" s="9">
        <f>IFERROR(XLOOKUP(E1625, '04_Products'!$A:$A, '04_Products'!$G:$G), 59.33)</f>
        <v/>
      </c>
      <c r="H1625" s="9">
        <f>IFERROR(XLOOKUP(E1625, '04_Products'!$A:$A, '04_Products'!$F:$F), 0)</f>
        <v/>
      </c>
      <c r="I1625" s="9">
        <f>F1625*G1625</f>
        <v/>
      </c>
      <c r="J1625" s="11" t="n">
        <v>0.05</v>
      </c>
      <c r="K1625" s="9">
        <f>I1625*J1625</f>
        <v/>
      </c>
      <c r="L1625" s="9">
        <f>I1625-K1625</f>
        <v/>
      </c>
      <c r="M1625" s="9">
        <f>F1625*H1625</f>
        <v/>
      </c>
      <c r="N1625" s="9">
        <f>L1625-M1625</f>
        <v/>
      </c>
      <c r="O1625" s="11">
        <f>IFERROR(N1625/L1625, 0)</f>
        <v/>
      </c>
      <c r="P1625" s="8">
        <f>YEAR(C1625)</f>
        <v/>
      </c>
      <c r="Q1625" s="8">
        <f>TEXT(C1625, "yyyy-mm")</f>
        <v/>
      </c>
      <c r="R1625" s="8" t="inlineStr">
        <is>
          <t>Direct Web</t>
        </is>
      </c>
      <c r="S1625" s="8" t="inlineStr">
        <is>
          <t>REG-EU</t>
        </is>
      </c>
    </row>
    <row r="1626">
      <c r="A1626" s="8" t="inlineStr">
        <is>
          <t>DTL-0001646</t>
        </is>
      </c>
      <c r="B1626" s="8" t="inlineStr">
        <is>
          <t>ORD-000821</t>
        </is>
      </c>
      <c r="C1626" s="10" t="inlineStr">
        <is>
          <t>2023-08-11</t>
        </is>
      </c>
      <c r="D1626" s="8" t="inlineStr">
        <is>
          <t>CUST-00671</t>
        </is>
      </c>
      <c r="E1626" s="8" t="inlineStr">
        <is>
          <t>PRD-0470</t>
        </is>
      </c>
      <c r="F1626" s="8" t="n">
        <v>2</v>
      </c>
      <c r="G1626" s="9">
        <f>IFERROR(XLOOKUP(E1626, '04_Products'!$A:$A, '04_Products'!$G:$G), 1097.57)</f>
        <v/>
      </c>
      <c r="H1626" s="9">
        <f>IFERROR(XLOOKUP(E1626, '04_Products'!$A:$A, '04_Products'!$F:$F), 0)</f>
        <v/>
      </c>
      <c r="I1626" s="9">
        <f>F1626*G1626</f>
        <v/>
      </c>
      <c r="J1626" s="11" t="n">
        <v>0.1</v>
      </c>
      <c r="K1626" s="9">
        <f>I1626*J1626</f>
        <v/>
      </c>
      <c r="L1626" s="9">
        <f>I1626-K1626</f>
        <v/>
      </c>
      <c r="M1626" s="9">
        <f>F1626*H1626</f>
        <v/>
      </c>
      <c r="N1626" s="9">
        <f>L1626-M1626</f>
        <v/>
      </c>
      <c r="O1626" s="11">
        <f>IFERROR(N1626/L1626, 0)</f>
        <v/>
      </c>
      <c r="P1626" s="8">
        <f>YEAR(C1626)</f>
        <v/>
      </c>
      <c r="Q1626" s="8">
        <f>TEXT(C1626, "yyyy-mm")</f>
        <v/>
      </c>
      <c r="R1626" s="8" t="inlineStr">
        <is>
          <t>Mobile App</t>
        </is>
      </c>
      <c r="S1626" s="8" t="inlineStr">
        <is>
          <t>REG-EU</t>
        </is>
      </c>
    </row>
    <row r="1627">
      <c r="A1627" s="8" t="inlineStr">
        <is>
          <t>DTL-0001647</t>
        </is>
      </c>
      <c r="B1627" s="8" t="inlineStr">
        <is>
          <t>ORD-000822</t>
        </is>
      </c>
      <c r="C1627" s="10" t="inlineStr">
        <is>
          <t>2025-09-06</t>
        </is>
      </c>
      <c r="D1627" s="8" t="inlineStr">
        <is>
          <t>CUST-01774</t>
        </is>
      </c>
      <c r="E1627" s="8" t="inlineStr">
        <is>
          <t>PRD-0350</t>
        </is>
      </c>
      <c r="F1627" s="8" t="n">
        <v>4</v>
      </c>
      <c r="G1627" s="9">
        <f>IFERROR(XLOOKUP(E1627, '04_Products'!$A:$A, '04_Products'!$G:$G), 66.90)</f>
        <v/>
      </c>
      <c r="H1627" s="9">
        <f>IFERROR(XLOOKUP(E1627, '04_Products'!$A:$A, '04_Products'!$F:$F), 0)</f>
        <v/>
      </c>
      <c r="I1627" s="9">
        <f>F1627*G1627</f>
        <v/>
      </c>
      <c r="J1627" s="11" t="n">
        <v>0.15</v>
      </c>
      <c r="K1627" s="9">
        <f>I1627*J1627</f>
        <v/>
      </c>
      <c r="L1627" s="9">
        <f>I1627-K1627</f>
        <v/>
      </c>
      <c r="M1627" s="9">
        <f>F1627*H1627</f>
        <v/>
      </c>
      <c r="N1627" s="9">
        <f>L1627-M1627</f>
        <v/>
      </c>
      <c r="O1627" s="11">
        <f>IFERROR(N1627/L1627, 0)</f>
        <v/>
      </c>
      <c r="P1627" s="8">
        <f>YEAR(C1627)</f>
        <v/>
      </c>
      <c r="Q1627" s="8">
        <f>TEXT(C1627, "yyyy-mm")</f>
        <v/>
      </c>
      <c r="R1627" s="8" t="inlineStr">
        <is>
          <t>Direct Web</t>
        </is>
      </c>
      <c r="S1627" s="8" t="inlineStr">
        <is>
          <t>REG-APAC</t>
        </is>
      </c>
    </row>
    <row r="1628">
      <c r="A1628" s="8" t="inlineStr">
        <is>
          <t>DTL-0001648</t>
        </is>
      </c>
      <c r="B1628" s="8" t="inlineStr">
        <is>
          <t>ORD-000823</t>
        </is>
      </c>
      <c r="C1628" s="10" t="inlineStr">
        <is>
          <t>2023-08-31</t>
        </is>
      </c>
      <c r="D1628" s="8" t="inlineStr">
        <is>
          <t>CUST-02530</t>
        </is>
      </c>
      <c r="E1628" s="8" t="inlineStr">
        <is>
          <t>PRD-0008</t>
        </is>
      </c>
      <c r="F1628" s="8" t="n">
        <v>2</v>
      </c>
      <c r="G1628" s="9">
        <f>IFERROR(XLOOKUP(E1628, '04_Products'!$A:$A, '04_Products'!$G:$G), 323.49)</f>
        <v/>
      </c>
      <c r="H1628" s="9">
        <f>IFERROR(XLOOKUP(E1628, '04_Products'!$A:$A, '04_Products'!$F:$F), 0)</f>
        <v/>
      </c>
      <c r="I1628" s="9">
        <f>F1628*G1628</f>
        <v/>
      </c>
      <c r="J1628" s="11" t="n">
        <v>0.1</v>
      </c>
      <c r="K1628" s="9">
        <f>I1628*J1628</f>
        <v/>
      </c>
      <c r="L1628" s="9">
        <f>I1628-K1628</f>
        <v/>
      </c>
      <c r="M1628" s="9">
        <f>F1628*H1628</f>
        <v/>
      </c>
      <c r="N1628" s="9">
        <f>L1628-M1628</f>
        <v/>
      </c>
      <c r="O1628" s="11">
        <f>IFERROR(N1628/L1628, 0)</f>
        <v/>
      </c>
      <c r="P1628" s="8">
        <f>YEAR(C1628)</f>
        <v/>
      </c>
      <c r="Q1628" s="8">
        <f>TEXT(C1628, "yyyy-mm")</f>
        <v/>
      </c>
      <c r="R1628" s="8" t="inlineStr">
        <is>
          <t>Direct Web</t>
        </is>
      </c>
      <c r="S1628" s="8" t="inlineStr">
        <is>
          <t>REG-NA</t>
        </is>
      </c>
    </row>
    <row r="1629">
      <c r="A1629" s="8" t="inlineStr">
        <is>
          <t>DTL-0001649</t>
        </is>
      </c>
      <c r="B1629" s="8" t="inlineStr">
        <is>
          <t>ORD-000824</t>
        </is>
      </c>
      <c r="C1629" s="10" t="inlineStr">
        <is>
          <t>2023-07-27</t>
        </is>
      </c>
      <c r="D1629" s="8" t="inlineStr">
        <is>
          <t>CUST-03414</t>
        </is>
      </c>
      <c r="E1629" s="8" t="inlineStr">
        <is>
          <t>PRD-0106</t>
        </is>
      </c>
      <c r="F1629" s="8" t="n">
        <v>1</v>
      </c>
      <c r="G1629" s="9">
        <f>IFERROR(XLOOKUP(E1629, '04_Products'!$A:$A, '04_Products'!$G:$G), 49.14)</f>
        <v/>
      </c>
      <c r="H1629" s="9">
        <f>IFERROR(XLOOKUP(E1629, '04_Products'!$A:$A, '04_Products'!$F:$F), 0)</f>
        <v/>
      </c>
      <c r="I1629" s="9">
        <f>F1629*G1629</f>
        <v/>
      </c>
      <c r="J1629" s="11" t="n">
        <v>0</v>
      </c>
      <c r="K1629" s="9">
        <f>I1629*J1629</f>
        <v/>
      </c>
      <c r="L1629" s="9">
        <f>I1629-K1629</f>
        <v/>
      </c>
      <c r="M1629" s="9">
        <f>F1629*H1629</f>
        <v/>
      </c>
      <c r="N1629" s="9">
        <f>L1629-M1629</f>
        <v/>
      </c>
      <c r="O1629" s="11">
        <f>IFERROR(N1629/L1629, 0)</f>
        <v/>
      </c>
      <c r="P1629" s="8">
        <f>YEAR(C1629)</f>
        <v/>
      </c>
      <c r="Q1629" s="8">
        <f>TEXT(C1629, "yyyy-mm")</f>
        <v/>
      </c>
      <c r="R1629" s="8" t="inlineStr">
        <is>
          <t>Direct Web</t>
        </is>
      </c>
      <c r="S1629" s="8" t="inlineStr">
        <is>
          <t>REG-EU</t>
        </is>
      </c>
    </row>
    <row r="1630">
      <c r="A1630" s="8" t="inlineStr">
        <is>
          <t>DTL-0001650</t>
        </is>
      </c>
      <c r="B1630" s="8" t="inlineStr">
        <is>
          <t>ORD-000824</t>
        </is>
      </c>
      <c r="C1630" s="10" t="inlineStr">
        <is>
          <t>2023-07-27</t>
        </is>
      </c>
      <c r="D1630" s="8" t="inlineStr">
        <is>
          <t>CUST-03414</t>
        </is>
      </c>
      <c r="E1630" s="8" t="inlineStr">
        <is>
          <t>PRD-0488</t>
        </is>
      </c>
      <c r="F1630" s="8" t="n">
        <v>2</v>
      </c>
      <c r="G1630" s="9">
        <f>IFERROR(XLOOKUP(E1630, '04_Products'!$A:$A, '04_Products'!$G:$G), 54.77)</f>
        <v/>
      </c>
      <c r="H1630" s="9">
        <f>IFERROR(XLOOKUP(E1630, '04_Products'!$A:$A, '04_Products'!$F:$F), 0)</f>
        <v/>
      </c>
      <c r="I1630" s="9">
        <f>F1630*G1630</f>
        <v/>
      </c>
      <c r="J1630" s="11" t="n">
        <v>0.1</v>
      </c>
      <c r="K1630" s="9">
        <f>I1630*J1630</f>
        <v/>
      </c>
      <c r="L1630" s="9">
        <f>I1630-K1630</f>
        <v/>
      </c>
      <c r="M1630" s="9">
        <f>F1630*H1630</f>
        <v/>
      </c>
      <c r="N1630" s="9">
        <f>L1630-M1630</f>
        <v/>
      </c>
      <c r="O1630" s="11">
        <f>IFERROR(N1630/L1630, 0)</f>
        <v/>
      </c>
      <c r="P1630" s="8">
        <f>YEAR(C1630)</f>
        <v/>
      </c>
      <c r="Q1630" s="8">
        <f>TEXT(C1630, "yyyy-mm")</f>
        <v/>
      </c>
      <c r="R1630" s="8" t="inlineStr">
        <is>
          <t>Direct Web</t>
        </is>
      </c>
      <c r="S1630" s="8" t="inlineStr">
        <is>
          <t>REG-EU</t>
        </is>
      </c>
    </row>
    <row r="1631">
      <c r="A1631" s="8" t="inlineStr">
        <is>
          <t>DTL-0001651</t>
        </is>
      </c>
      <c r="B1631" s="8" t="inlineStr">
        <is>
          <t>ORD-000824</t>
        </is>
      </c>
      <c r="C1631" s="10" t="inlineStr">
        <is>
          <t>2023-07-27</t>
        </is>
      </c>
      <c r="D1631" s="8" t="inlineStr">
        <is>
          <t>CUST-03414</t>
        </is>
      </c>
      <c r="E1631" s="8" t="inlineStr">
        <is>
          <t>PRD-0343</t>
        </is>
      </c>
      <c r="F1631" s="8" t="n">
        <v>1</v>
      </c>
      <c r="G1631" s="9">
        <f>IFERROR(XLOOKUP(E1631, '04_Products'!$A:$A, '04_Products'!$G:$G), 52.81)</f>
        <v/>
      </c>
      <c r="H1631" s="9">
        <f>IFERROR(XLOOKUP(E1631, '04_Products'!$A:$A, '04_Products'!$F:$F), 0)</f>
        <v/>
      </c>
      <c r="I1631" s="9">
        <f>F1631*G1631</f>
        <v/>
      </c>
      <c r="J1631" s="11" t="n">
        <v>0.05</v>
      </c>
      <c r="K1631" s="9">
        <f>I1631*J1631</f>
        <v/>
      </c>
      <c r="L1631" s="9">
        <f>I1631-K1631</f>
        <v/>
      </c>
      <c r="M1631" s="9">
        <f>F1631*H1631</f>
        <v/>
      </c>
      <c r="N1631" s="9">
        <f>L1631-M1631</f>
        <v/>
      </c>
      <c r="O1631" s="11">
        <f>IFERROR(N1631/L1631, 0)</f>
        <v/>
      </c>
      <c r="P1631" s="8">
        <f>YEAR(C1631)</f>
        <v/>
      </c>
      <c r="Q1631" s="8">
        <f>TEXT(C1631, "yyyy-mm")</f>
        <v/>
      </c>
      <c r="R1631" s="8" t="inlineStr">
        <is>
          <t>Direct Web</t>
        </is>
      </c>
      <c r="S1631" s="8" t="inlineStr">
        <is>
          <t>REG-EU</t>
        </is>
      </c>
    </row>
    <row r="1632">
      <c r="A1632" s="8" t="inlineStr">
        <is>
          <t>DTL-0001652</t>
        </is>
      </c>
      <c r="B1632" s="8" t="inlineStr">
        <is>
          <t>ORD-000824</t>
        </is>
      </c>
      <c r="C1632" s="10" t="inlineStr">
        <is>
          <t>2023-07-27</t>
        </is>
      </c>
      <c r="D1632" s="8" t="inlineStr">
        <is>
          <t>CUST-03414</t>
        </is>
      </c>
      <c r="E1632" s="8" t="inlineStr">
        <is>
          <t>PRD-0331</t>
        </is>
      </c>
      <c r="F1632" s="8" t="n">
        <v>1</v>
      </c>
      <c r="G1632" s="9">
        <f>IFERROR(XLOOKUP(E1632, '04_Products'!$A:$A, '04_Products'!$G:$G), 1076.14)</f>
        <v/>
      </c>
      <c r="H1632" s="9">
        <f>IFERROR(XLOOKUP(E1632, '04_Products'!$A:$A, '04_Products'!$F:$F), 0)</f>
        <v/>
      </c>
      <c r="I1632" s="9">
        <f>F1632*G1632</f>
        <v/>
      </c>
      <c r="J1632" s="11" t="n">
        <v>0</v>
      </c>
      <c r="K1632" s="9">
        <f>I1632*J1632</f>
        <v/>
      </c>
      <c r="L1632" s="9">
        <f>I1632-K1632</f>
        <v/>
      </c>
      <c r="M1632" s="9">
        <f>F1632*H1632</f>
        <v/>
      </c>
      <c r="N1632" s="9">
        <f>L1632-M1632</f>
        <v/>
      </c>
      <c r="O1632" s="11">
        <f>IFERROR(N1632/L1632, 0)</f>
        <v/>
      </c>
      <c r="P1632" s="8">
        <f>YEAR(C1632)</f>
        <v/>
      </c>
      <c r="Q1632" s="8">
        <f>TEXT(C1632, "yyyy-mm")</f>
        <v/>
      </c>
      <c r="R1632" s="8" t="inlineStr">
        <is>
          <t>Direct Web</t>
        </is>
      </c>
      <c r="S1632" s="8" t="inlineStr">
        <is>
          <t>REG-EU</t>
        </is>
      </c>
    </row>
    <row r="1633">
      <c r="A1633" s="8" t="inlineStr">
        <is>
          <t>DTL-0001653</t>
        </is>
      </c>
      <c r="B1633" s="8" t="inlineStr">
        <is>
          <t>ORD-000824</t>
        </is>
      </c>
      <c r="C1633" s="10" t="inlineStr">
        <is>
          <t>2023-07-27</t>
        </is>
      </c>
      <c r="D1633" s="8" t="inlineStr">
        <is>
          <t>CUST-03414</t>
        </is>
      </c>
      <c r="E1633" s="8" t="inlineStr">
        <is>
          <t>PRD-0217</t>
        </is>
      </c>
      <c r="F1633" s="8" t="n">
        <v>1</v>
      </c>
      <c r="G1633" s="9">
        <f>IFERROR(XLOOKUP(E1633, '04_Products'!$A:$A, '04_Products'!$G:$G), 457.08)</f>
        <v/>
      </c>
      <c r="H1633" s="9">
        <f>IFERROR(XLOOKUP(E1633, '04_Products'!$A:$A, '04_Products'!$F:$F), 0)</f>
        <v/>
      </c>
      <c r="I1633" s="9">
        <f>F1633*G1633</f>
        <v/>
      </c>
      <c r="J1633" s="11" t="n">
        <v>0</v>
      </c>
      <c r="K1633" s="9">
        <f>I1633*J1633</f>
        <v/>
      </c>
      <c r="L1633" s="9">
        <f>I1633-K1633</f>
        <v/>
      </c>
      <c r="M1633" s="9">
        <f>F1633*H1633</f>
        <v/>
      </c>
      <c r="N1633" s="9">
        <f>L1633-M1633</f>
        <v/>
      </c>
      <c r="O1633" s="11">
        <f>IFERROR(N1633/L1633, 0)</f>
        <v/>
      </c>
      <c r="P1633" s="8">
        <f>YEAR(C1633)</f>
        <v/>
      </c>
      <c r="Q1633" s="8">
        <f>TEXT(C1633, "yyyy-mm")</f>
        <v/>
      </c>
      <c r="R1633" s="8" t="inlineStr">
        <is>
          <t>Direct Web</t>
        </is>
      </c>
      <c r="S1633" s="8" t="inlineStr">
        <is>
          <t>REG-EU</t>
        </is>
      </c>
    </row>
    <row r="1634">
      <c r="A1634" s="8" t="inlineStr">
        <is>
          <t>DTL-0001654</t>
        </is>
      </c>
      <c r="B1634" s="8" t="inlineStr">
        <is>
          <t>ORD-000825</t>
        </is>
      </c>
      <c r="C1634" s="10" t="inlineStr">
        <is>
          <t>2023-10-23</t>
        </is>
      </c>
      <c r="D1634" s="8" t="inlineStr">
        <is>
          <t>CUST-06520</t>
        </is>
      </c>
      <c r="E1634" s="8" t="inlineStr">
        <is>
          <t>PRD-0265</t>
        </is>
      </c>
      <c r="F1634" s="8" t="n">
        <v>1</v>
      </c>
      <c r="G1634" s="9">
        <f>IFERROR(XLOOKUP(E1634, '04_Products'!$A:$A, '04_Products'!$G:$G), 426.80)</f>
        <v/>
      </c>
      <c r="H1634" s="9">
        <f>IFERROR(XLOOKUP(E1634, '04_Products'!$A:$A, '04_Products'!$F:$F), 0)</f>
        <v/>
      </c>
      <c r="I1634" s="9">
        <f>F1634*G1634</f>
        <v/>
      </c>
      <c r="J1634" s="11" t="n">
        <v>0.15</v>
      </c>
      <c r="K1634" s="9">
        <f>I1634*J1634</f>
        <v/>
      </c>
      <c r="L1634" s="9">
        <f>I1634-K1634</f>
        <v/>
      </c>
      <c r="M1634" s="9">
        <f>F1634*H1634</f>
        <v/>
      </c>
      <c r="N1634" s="9">
        <f>L1634-M1634</f>
        <v/>
      </c>
      <c r="O1634" s="11">
        <f>IFERROR(N1634/L1634, 0)</f>
        <v/>
      </c>
      <c r="P1634" s="8">
        <f>YEAR(C1634)</f>
        <v/>
      </c>
      <c r="Q1634" s="8">
        <f>TEXT(C1634, "yyyy-mm")</f>
        <v/>
      </c>
      <c r="R1634" s="8" t="inlineStr">
        <is>
          <t>Direct Web</t>
        </is>
      </c>
      <c r="S1634" s="8" t="inlineStr">
        <is>
          <t>REG-NA</t>
        </is>
      </c>
    </row>
    <row r="1635">
      <c r="A1635" s="8" t="inlineStr">
        <is>
          <t>DTL-0001655</t>
        </is>
      </c>
      <c r="B1635" s="8" t="inlineStr">
        <is>
          <t>ORD-000825</t>
        </is>
      </c>
      <c r="C1635" s="10" t="inlineStr">
        <is>
          <t>2023-10-23</t>
        </is>
      </c>
      <c r="D1635" s="8" t="inlineStr">
        <is>
          <t>CUST-06520</t>
        </is>
      </c>
      <c r="E1635" s="8" t="inlineStr">
        <is>
          <t>PRD-0026</t>
        </is>
      </c>
      <c r="F1635" s="8" t="n">
        <v>1</v>
      </c>
      <c r="G1635" s="9">
        <f>IFERROR(XLOOKUP(E1635, '04_Products'!$A:$A, '04_Products'!$G:$G), 469.49)</f>
        <v/>
      </c>
      <c r="H1635" s="9">
        <f>IFERROR(XLOOKUP(E1635, '04_Products'!$A:$A, '04_Products'!$F:$F), 0)</f>
        <v/>
      </c>
      <c r="I1635" s="9">
        <f>F1635*G1635</f>
        <v/>
      </c>
      <c r="J1635" s="11" t="n">
        <v>0.05</v>
      </c>
      <c r="K1635" s="9">
        <f>I1635*J1635</f>
        <v/>
      </c>
      <c r="L1635" s="9">
        <f>I1635-K1635</f>
        <v/>
      </c>
      <c r="M1635" s="9">
        <f>F1635*H1635</f>
        <v/>
      </c>
      <c r="N1635" s="9">
        <f>L1635-M1635</f>
        <v/>
      </c>
      <c r="O1635" s="11">
        <f>IFERROR(N1635/L1635, 0)</f>
        <v/>
      </c>
      <c r="P1635" s="8">
        <f>YEAR(C1635)</f>
        <v/>
      </c>
      <c r="Q1635" s="8">
        <f>TEXT(C1635, "yyyy-mm")</f>
        <v/>
      </c>
      <c r="R1635" s="8" t="inlineStr">
        <is>
          <t>Direct Web</t>
        </is>
      </c>
      <c r="S1635" s="8" t="inlineStr">
        <is>
          <t>REG-NA</t>
        </is>
      </c>
    </row>
    <row r="1636">
      <c r="A1636" s="8" t="inlineStr">
        <is>
          <t>DTL-0001656</t>
        </is>
      </c>
      <c r="B1636" s="8" t="inlineStr">
        <is>
          <t>ORD-000825</t>
        </is>
      </c>
      <c r="C1636" s="10" t="inlineStr">
        <is>
          <t>2023-10-23</t>
        </is>
      </c>
      <c r="D1636" s="8" t="inlineStr">
        <is>
          <t>CUST-06520</t>
        </is>
      </c>
      <c r="E1636" s="8" t="inlineStr">
        <is>
          <t>PRD-0009</t>
        </is>
      </c>
      <c r="F1636" s="8" t="n">
        <v>1</v>
      </c>
      <c r="G1636" s="9">
        <f>IFERROR(XLOOKUP(E1636, '04_Products'!$A:$A, '04_Products'!$G:$G), 186.43)</f>
        <v/>
      </c>
      <c r="H1636" s="9">
        <f>IFERROR(XLOOKUP(E1636, '04_Products'!$A:$A, '04_Products'!$F:$F), 0)</f>
        <v/>
      </c>
      <c r="I1636" s="9">
        <f>F1636*G1636</f>
        <v/>
      </c>
      <c r="J1636" s="11" t="n">
        <v>0.05</v>
      </c>
      <c r="K1636" s="9">
        <f>I1636*J1636</f>
        <v/>
      </c>
      <c r="L1636" s="9">
        <f>I1636-K1636</f>
        <v/>
      </c>
      <c r="M1636" s="9">
        <f>F1636*H1636</f>
        <v/>
      </c>
      <c r="N1636" s="9">
        <f>L1636-M1636</f>
        <v/>
      </c>
      <c r="O1636" s="11">
        <f>IFERROR(N1636/L1636, 0)</f>
        <v/>
      </c>
      <c r="P1636" s="8">
        <f>YEAR(C1636)</f>
        <v/>
      </c>
      <c r="Q1636" s="8">
        <f>TEXT(C1636, "yyyy-mm")</f>
        <v/>
      </c>
      <c r="R1636" s="8" t="inlineStr">
        <is>
          <t>Direct Web</t>
        </is>
      </c>
      <c r="S1636" s="8" t="inlineStr">
        <is>
          <t>REG-NA</t>
        </is>
      </c>
    </row>
    <row r="1637">
      <c r="A1637" s="8" t="inlineStr">
        <is>
          <t>DTL-0001657</t>
        </is>
      </c>
      <c r="B1637" s="8" t="inlineStr">
        <is>
          <t>ORD-000826</t>
        </is>
      </c>
      <c r="C1637" s="10" t="inlineStr">
        <is>
          <t>2023-12-01</t>
        </is>
      </c>
      <c r="D1637" s="8" t="inlineStr">
        <is>
          <t>CUST-07217</t>
        </is>
      </c>
      <c r="E1637" s="8" t="inlineStr">
        <is>
          <t>PRD-0327</t>
        </is>
      </c>
      <c r="F1637" s="8" t="n">
        <v>1</v>
      </c>
      <c r="G1637" s="9">
        <f>IFERROR(XLOOKUP(E1637, '04_Products'!$A:$A, '04_Products'!$G:$G), 165.39)</f>
        <v/>
      </c>
      <c r="H1637" s="9">
        <f>IFERROR(XLOOKUP(E1637, '04_Products'!$A:$A, '04_Products'!$F:$F), 0)</f>
        <v/>
      </c>
      <c r="I1637" s="9">
        <f>F1637*G1637</f>
        <v/>
      </c>
      <c r="J1637" s="11" t="n">
        <v>0</v>
      </c>
      <c r="K1637" s="9">
        <f>I1637*J1637</f>
        <v/>
      </c>
      <c r="L1637" s="9">
        <f>I1637-K1637</f>
        <v/>
      </c>
      <c r="M1637" s="9">
        <f>F1637*H1637</f>
        <v/>
      </c>
      <c r="N1637" s="9">
        <f>L1637-M1637</f>
        <v/>
      </c>
      <c r="O1637" s="11">
        <f>IFERROR(N1637/L1637, 0)</f>
        <v/>
      </c>
      <c r="P1637" s="8">
        <f>YEAR(C1637)</f>
        <v/>
      </c>
      <c r="Q1637" s="8">
        <f>TEXT(C1637, "yyyy-mm")</f>
        <v/>
      </c>
      <c r="R1637" s="8" t="inlineStr">
        <is>
          <t>Direct Web</t>
        </is>
      </c>
      <c r="S1637" s="8" t="inlineStr">
        <is>
          <t>REG-EU</t>
        </is>
      </c>
    </row>
    <row r="1638">
      <c r="A1638" s="8" t="inlineStr">
        <is>
          <t>DTL-0001658</t>
        </is>
      </c>
      <c r="B1638" s="8" t="inlineStr">
        <is>
          <t>ORD-000826</t>
        </is>
      </c>
      <c r="C1638" s="10" t="inlineStr">
        <is>
          <t>2023-12-01</t>
        </is>
      </c>
      <c r="D1638" s="8" t="inlineStr">
        <is>
          <t>CUST-07217</t>
        </is>
      </c>
      <c r="E1638" s="8" t="inlineStr">
        <is>
          <t>PRD-0420</t>
        </is>
      </c>
      <c r="F1638" s="8" t="n">
        <v>1</v>
      </c>
      <c r="G1638" s="9">
        <f>IFERROR(XLOOKUP(E1638, '04_Products'!$A:$A, '04_Products'!$G:$G), 923.98)</f>
        <v/>
      </c>
      <c r="H1638" s="9">
        <f>IFERROR(XLOOKUP(E1638, '04_Products'!$A:$A, '04_Products'!$F:$F), 0)</f>
        <v/>
      </c>
      <c r="I1638" s="9">
        <f>F1638*G1638</f>
        <v/>
      </c>
      <c r="J1638" s="11" t="n">
        <v>0</v>
      </c>
      <c r="K1638" s="9">
        <f>I1638*J1638</f>
        <v/>
      </c>
      <c r="L1638" s="9">
        <f>I1638-K1638</f>
        <v/>
      </c>
      <c r="M1638" s="9">
        <f>F1638*H1638</f>
        <v/>
      </c>
      <c r="N1638" s="9">
        <f>L1638-M1638</f>
        <v/>
      </c>
      <c r="O1638" s="11">
        <f>IFERROR(N1638/L1638, 0)</f>
        <v/>
      </c>
      <c r="P1638" s="8">
        <f>YEAR(C1638)</f>
        <v/>
      </c>
      <c r="Q1638" s="8">
        <f>TEXT(C1638, "yyyy-mm")</f>
        <v/>
      </c>
      <c r="R1638" s="8" t="inlineStr">
        <is>
          <t>Direct Web</t>
        </is>
      </c>
      <c r="S1638" s="8" t="inlineStr">
        <is>
          <t>REG-EU</t>
        </is>
      </c>
    </row>
    <row r="1639">
      <c r="A1639" s="8" t="inlineStr">
        <is>
          <t>DTL-0001659</t>
        </is>
      </c>
      <c r="B1639" s="8" t="inlineStr">
        <is>
          <t>ORD-000826</t>
        </is>
      </c>
      <c r="C1639" s="10" t="inlineStr">
        <is>
          <t>2023-12-01</t>
        </is>
      </c>
      <c r="D1639" s="8" t="inlineStr">
        <is>
          <t>CUST-07217</t>
        </is>
      </c>
      <c r="E1639" s="8" t="inlineStr">
        <is>
          <t>PRD-0230</t>
        </is>
      </c>
      <c r="F1639" s="8" t="n">
        <v>1</v>
      </c>
      <c r="G1639" s="9">
        <f>IFERROR(XLOOKUP(E1639, '04_Products'!$A:$A, '04_Products'!$G:$G), 54.32)</f>
        <v/>
      </c>
      <c r="H1639" s="9">
        <f>IFERROR(XLOOKUP(E1639, '04_Products'!$A:$A, '04_Products'!$F:$F), 0)</f>
        <v/>
      </c>
      <c r="I1639" s="9">
        <f>F1639*G1639</f>
        <v/>
      </c>
      <c r="J1639" s="11" t="n">
        <v>0.1</v>
      </c>
      <c r="K1639" s="9">
        <f>I1639*J1639</f>
        <v/>
      </c>
      <c r="L1639" s="9">
        <f>I1639-K1639</f>
        <v/>
      </c>
      <c r="M1639" s="9">
        <f>F1639*H1639</f>
        <v/>
      </c>
      <c r="N1639" s="9">
        <f>L1639-M1639</f>
        <v/>
      </c>
      <c r="O1639" s="11">
        <f>IFERROR(N1639/L1639, 0)</f>
        <v/>
      </c>
      <c r="P1639" s="8">
        <f>YEAR(C1639)</f>
        <v/>
      </c>
      <c r="Q1639" s="8">
        <f>TEXT(C1639, "yyyy-mm")</f>
        <v/>
      </c>
      <c r="R1639" s="8" t="inlineStr">
        <is>
          <t>Direct Web</t>
        </is>
      </c>
      <c r="S1639" s="8" t="inlineStr">
        <is>
          <t>REG-EU</t>
        </is>
      </c>
    </row>
    <row r="1640">
      <c r="A1640" s="8" t="inlineStr">
        <is>
          <t>DTL-0001660</t>
        </is>
      </c>
      <c r="B1640" s="8" t="inlineStr">
        <is>
          <t>ORD-000827</t>
        </is>
      </c>
      <c r="C1640" s="10" t="inlineStr">
        <is>
          <t>2024-10-12</t>
        </is>
      </c>
      <c r="D1640" s="8" t="inlineStr">
        <is>
          <t>CUST-03906</t>
        </is>
      </c>
      <c r="E1640" s="8" t="inlineStr">
        <is>
          <t>PRD-0156</t>
        </is>
      </c>
      <c r="F1640" s="8" t="n">
        <v>2</v>
      </c>
      <c r="G1640" s="9">
        <f>IFERROR(XLOOKUP(E1640, '04_Products'!$A:$A, '04_Products'!$G:$G), 129.00)</f>
        <v/>
      </c>
      <c r="H1640" s="9">
        <f>IFERROR(XLOOKUP(E1640, '04_Products'!$A:$A, '04_Products'!$F:$F), 0)</f>
        <v/>
      </c>
      <c r="I1640" s="9">
        <f>F1640*G1640</f>
        <v/>
      </c>
      <c r="J1640" s="11" t="n">
        <v>0.2</v>
      </c>
      <c r="K1640" s="9">
        <f>I1640*J1640</f>
        <v/>
      </c>
      <c r="L1640" s="9">
        <f>I1640-K1640</f>
        <v/>
      </c>
      <c r="M1640" s="9">
        <f>F1640*H1640</f>
        <v/>
      </c>
      <c r="N1640" s="9">
        <f>L1640-M1640</f>
        <v/>
      </c>
      <c r="O1640" s="11">
        <f>IFERROR(N1640/L1640, 0)</f>
        <v/>
      </c>
      <c r="P1640" s="8">
        <f>YEAR(C1640)</f>
        <v/>
      </c>
      <c r="Q1640" s="8">
        <f>TEXT(C1640, "yyyy-mm")</f>
        <v/>
      </c>
      <c r="R1640" s="8" t="inlineStr">
        <is>
          <t>Direct Web</t>
        </is>
      </c>
      <c r="S1640" s="8" t="inlineStr">
        <is>
          <t>REG-NA</t>
        </is>
      </c>
    </row>
    <row r="1641">
      <c r="A1641" s="8" t="inlineStr">
        <is>
          <t>DTL-0001661</t>
        </is>
      </c>
      <c r="B1641" s="8" t="inlineStr">
        <is>
          <t>ORD-000827</t>
        </is>
      </c>
      <c r="C1641" s="10" t="inlineStr">
        <is>
          <t>2024-10-12</t>
        </is>
      </c>
      <c r="D1641" s="8" t="inlineStr">
        <is>
          <t>CUST-03906</t>
        </is>
      </c>
      <c r="E1641" s="8" t="inlineStr">
        <is>
          <t>PRD-0164</t>
        </is>
      </c>
      <c r="F1641" s="8" t="n">
        <v>1</v>
      </c>
      <c r="G1641" s="9">
        <f>IFERROR(XLOOKUP(E1641, '04_Products'!$A:$A, '04_Products'!$G:$G), 729.88)</f>
        <v/>
      </c>
      <c r="H1641" s="9">
        <f>IFERROR(XLOOKUP(E1641, '04_Products'!$A:$A, '04_Products'!$F:$F), 0)</f>
        <v/>
      </c>
      <c r="I1641" s="9">
        <f>F1641*G1641</f>
        <v/>
      </c>
      <c r="J1641" s="11" t="n">
        <v>0.05</v>
      </c>
      <c r="K1641" s="9">
        <f>I1641*J1641</f>
        <v/>
      </c>
      <c r="L1641" s="9">
        <f>I1641-K1641</f>
        <v/>
      </c>
      <c r="M1641" s="9">
        <f>F1641*H1641</f>
        <v/>
      </c>
      <c r="N1641" s="9">
        <f>L1641-M1641</f>
        <v/>
      </c>
      <c r="O1641" s="11">
        <f>IFERROR(N1641/L1641, 0)</f>
        <v/>
      </c>
      <c r="P1641" s="8">
        <f>YEAR(C1641)</f>
        <v/>
      </c>
      <c r="Q1641" s="8">
        <f>TEXT(C1641, "yyyy-mm")</f>
        <v/>
      </c>
      <c r="R1641" s="8" t="inlineStr">
        <is>
          <t>Direct Web</t>
        </is>
      </c>
      <c r="S1641" s="8" t="inlineStr">
        <is>
          <t>REG-NA</t>
        </is>
      </c>
    </row>
    <row r="1642">
      <c r="A1642" s="8" t="inlineStr">
        <is>
          <t>DTL-0001662</t>
        </is>
      </c>
      <c r="B1642" s="8" t="inlineStr">
        <is>
          <t>ORD-000827</t>
        </is>
      </c>
      <c r="C1642" s="10" t="inlineStr">
        <is>
          <t>2024-10-12</t>
        </is>
      </c>
      <c r="D1642" s="8" t="inlineStr">
        <is>
          <t>CUST-03906</t>
        </is>
      </c>
      <c r="E1642" s="8" t="inlineStr">
        <is>
          <t>PRD-0222</t>
        </is>
      </c>
      <c r="F1642" s="8" t="n">
        <v>2</v>
      </c>
      <c r="G1642" s="9">
        <f>IFERROR(XLOOKUP(E1642, '04_Products'!$A:$A, '04_Products'!$G:$G), 748.03)</f>
        <v/>
      </c>
      <c r="H1642" s="9">
        <f>IFERROR(XLOOKUP(E1642, '04_Products'!$A:$A, '04_Products'!$F:$F), 0)</f>
        <v/>
      </c>
      <c r="I1642" s="9">
        <f>F1642*G1642</f>
        <v/>
      </c>
      <c r="J1642" s="11" t="n">
        <v>0.15</v>
      </c>
      <c r="K1642" s="9">
        <f>I1642*J1642</f>
        <v/>
      </c>
      <c r="L1642" s="9">
        <f>I1642-K1642</f>
        <v/>
      </c>
      <c r="M1642" s="9">
        <f>F1642*H1642</f>
        <v/>
      </c>
      <c r="N1642" s="9">
        <f>L1642-M1642</f>
        <v/>
      </c>
      <c r="O1642" s="11">
        <f>IFERROR(N1642/L1642, 0)</f>
        <v/>
      </c>
      <c r="P1642" s="8">
        <f>YEAR(C1642)</f>
        <v/>
      </c>
      <c r="Q1642" s="8">
        <f>TEXT(C1642, "yyyy-mm")</f>
        <v/>
      </c>
      <c r="R1642" s="8" t="inlineStr">
        <is>
          <t>Direct Web</t>
        </is>
      </c>
      <c r="S1642" s="8" t="inlineStr">
        <is>
          <t>REG-NA</t>
        </is>
      </c>
    </row>
    <row r="1643">
      <c r="A1643" s="8" t="inlineStr">
        <is>
          <t>DTL-0001663</t>
        </is>
      </c>
      <c r="B1643" s="8" t="inlineStr">
        <is>
          <t>ORD-000828</t>
        </is>
      </c>
      <c r="C1643" s="10" t="inlineStr">
        <is>
          <t>2025-11-24</t>
        </is>
      </c>
      <c r="D1643" s="8" t="inlineStr">
        <is>
          <t>CUST-00086</t>
        </is>
      </c>
      <c r="E1643" s="8" t="inlineStr">
        <is>
          <t>PRD-0334</t>
        </is>
      </c>
      <c r="F1643" s="8" t="n">
        <v>2</v>
      </c>
      <c r="G1643" s="9">
        <f>IFERROR(XLOOKUP(E1643, '04_Products'!$A:$A, '04_Products'!$G:$G), 874.67)</f>
        <v/>
      </c>
      <c r="H1643" s="9">
        <f>IFERROR(XLOOKUP(E1643, '04_Products'!$A:$A, '04_Products'!$F:$F), 0)</f>
        <v/>
      </c>
      <c r="I1643" s="9">
        <f>F1643*G1643</f>
        <v/>
      </c>
      <c r="J1643" s="11" t="n">
        <v>0</v>
      </c>
      <c r="K1643" s="9">
        <f>I1643*J1643</f>
        <v/>
      </c>
      <c r="L1643" s="9">
        <f>I1643-K1643</f>
        <v/>
      </c>
      <c r="M1643" s="9">
        <f>F1643*H1643</f>
        <v/>
      </c>
      <c r="N1643" s="9">
        <f>L1643-M1643</f>
        <v/>
      </c>
      <c r="O1643" s="11">
        <f>IFERROR(N1643/L1643, 0)</f>
        <v/>
      </c>
      <c r="P1643" s="8">
        <f>YEAR(C1643)</f>
        <v/>
      </c>
      <c r="Q1643" s="8">
        <f>TEXT(C1643, "yyyy-mm")</f>
        <v/>
      </c>
      <c r="R1643" s="8" t="inlineStr">
        <is>
          <t>Mobile App</t>
        </is>
      </c>
      <c r="S1643" s="8" t="inlineStr">
        <is>
          <t>REG-APAC</t>
        </is>
      </c>
    </row>
    <row r="1644">
      <c r="A1644" s="8" t="inlineStr">
        <is>
          <t>DTL-0001664</t>
        </is>
      </c>
      <c r="B1644" s="8" t="inlineStr">
        <is>
          <t>ORD-000828</t>
        </is>
      </c>
      <c r="C1644" s="10" t="inlineStr">
        <is>
          <t>2025-11-24</t>
        </is>
      </c>
      <c r="D1644" s="8" t="inlineStr">
        <is>
          <t>CUST-00086</t>
        </is>
      </c>
      <c r="E1644" s="8" t="inlineStr">
        <is>
          <t>PRD-0362</t>
        </is>
      </c>
      <c r="F1644" s="8" t="n">
        <v>1</v>
      </c>
      <c r="G1644" s="9">
        <f>IFERROR(XLOOKUP(E1644, '04_Products'!$A:$A, '04_Products'!$G:$G), 110.63)</f>
        <v/>
      </c>
      <c r="H1644" s="9">
        <f>IFERROR(XLOOKUP(E1644, '04_Products'!$A:$A, '04_Products'!$F:$F), 0)</f>
        <v/>
      </c>
      <c r="I1644" s="9">
        <f>F1644*G1644</f>
        <v/>
      </c>
      <c r="J1644" s="11" t="n">
        <v>0</v>
      </c>
      <c r="K1644" s="9">
        <f>I1644*J1644</f>
        <v/>
      </c>
      <c r="L1644" s="9">
        <f>I1644-K1644</f>
        <v/>
      </c>
      <c r="M1644" s="9">
        <f>F1644*H1644</f>
        <v/>
      </c>
      <c r="N1644" s="9">
        <f>L1644-M1644</f>
        <v/>
      </c>
      <c r="O1644" s="11">
        <f>IFERROR(N1644/L1644, 0)</f>
        <v/>
      </c>
      <c r="P1644" s="8">
        <f>YEAR(C1644)</f>
        <v/>
      </c>
      <c r="Q1644" s="8">
        <f>TEXT(C1644, "yyyy-mm")</f>
        <v/>
      </c>
      <c r="R1644" s="8" t="inlineStr">
        <is>
          <t>Mobile App</t>
        </is>
      </c>
      <c r="S1644" s="8" t="inlineStr">
        <is>
          <t>REG-APAC</t>
        </is>
      </c>
    </row>
    <row r="1645">
      <c r="A1645" s="8" t="inlineStr">
        <is>
          <t>DTL-0001665</t>
        </is>
      </c>
      <c r="B1645" s="8" t="inlineStr">
        <is>
          <t>ORD-000829</t>
        </is>
      </c>
      <c r="C1645" s="10" t="inlineStr">
        <is>
          <t>2023-10-29</t>
        </is>
      </c>
      <c r="D1645" s="8" t="inlineStr">
        <is>
          <t>CUST-02307</t>
        </is>
      </c>
      <c r="E1645" s="8" t="inlineStr">
        <is>
          <t>PRD-0233</t>
        </is>
      </c>
      <c r="F1645" s="8" t="n">
        <v>4</v>
      </c>
      <c r="G1645" s="9">
        <f>IFERROR(XLOOKUP(E1645, '04_Products'!$A:$A, '04_Products'!$G:$G), 65.61)</f>
        <v/>
      </c>
      <c r="H1645" s="9">
        <f>IFERROR(XLOOKUP(E1645, '04_Products'!$A:$A, '04_Products'!$F:$F), 0)</f>
        <v/>
      </c>
      <c r="I1645" s="9">
        <f>F1645*G1645</f>
        <v/>
      </c>
      <c r="J1645" s="11" t="n">
        <v>0.05</v>
      </c>
      <c r="K1645" s="9">
        <f>I1645*J1645</f>
        <v/>
      </c>
      <c r="L1645" s="9">
        <f>I1645-K1645</f>
        <v/>
      </c>
      <c r="M1645" s="9">
        <f>F1645*H1645</f>
        <v/>
      </c>
      <c r="N1645" s="9">
        <f>L1645-M1645</f>
        <v/>
      </c>
      <c r="O1645" s="11">
        <f>IFERROR(N1645/L1645, 0)</f>
        <v/>
      </c>
      <c r="P1645" s="8">
        <f>YEAR(C1645)</f>
        <v/>
      </c>
      <c r="Q1645" s="8">
        <f>TEXT(C1645, "yyyy-mm")</f>
        <v/>
      </c>
      <c r="R1645" s="8" t="inlineStr">
        <is>
          <t>Mobile App</t>
        </is>
      </c>
      <c r="S1645" s="8" t="inlineStr">
        <is>
          <t>REG-NA</t>
        </is>
      </c>
    </row>
    <row r="1646">
      <c r="A1646" s="8" t="inlineStr">
        <is>
          <t>DTL-0001666</t>
        </is>
      </c>
      <c r="B1646" s="8" t="inlineStr">
        <is>
          <t>ORD-000830</t>
        </is>
      </c>
      <c r="C1646" s="10" t="inlineStr">
        <is>
          <t>2025-01-02</t>
        </is>
      </c>
      <c r="D1646" s="8" t="inlineStr">
        <is>
          <t>CUST-07630</t>
        </is>
      </c>
      <c r="E1646" s="8" t="inlineStr">
        <is>
          <t>PRD-0478</t>
        </is>
      </c>
      <c r="F1646" s="8" t="n">
        <v>1</v>
      </c>
      <c r="G1646" s="9">
        <f>IFERROR(XLOOKUP(E1646, '04_Products'!$A:$A, '04_Products'!$G:$G), 61.50)</f>
        <v/>
      </c>
      <c r="H1646" s="9">
        <f>IFERROR(XLOOKUP(E1646, '04_Products'!$A:$A, '04_Products'!$F:$F), 0)</f>
        <v/>
      </c>
      <c r="I1646" s="9">
        <f>F1646*G1646</f>
        <v/>
      </c>
      <c r="J1646" s="11" t="n">
        <v>0</v>
      </c>
      <c r="K1646" s="9">
        <f>I1646*J1646</f>
        <v/>
      </c>
      <c r="L1646" s="9">
        <f>I1646-K1646</f>
        <v/>
      </c>
      <c r="M1646" s="9">
        <f>F1646*H1646</f>
        <v/>
      </c>
      <c r="N1646" s="9">
        <f>L1646-M1646</f>
        <v/>
      </c>
      <c r="O1646" s="11">
        <f>IFERROR(N1646/L1646, 0)</f>
        <v/>
      </c>
      <c r="P1646" s="8">
        <f>YEAR(C1646)</f>
        <v/>
      </c>
      <c r="Q1646" s="8">
        <f>TEXT(C1646, "yyyy-mm")</f>
        <v/>
      </c>
      <c r="R1646" s="8" t="inlineStr">
        <is>
          <t>Mobile App</t>
        </is>
      </c>
      <c r="S1646" s="8" t="inlineStr">
        <is>
          <t>REG-EU</t>
        </is>
      </c>
    </row>
    <row r="1647">
      <c r="A1647" s="8" t="inlineStr">
        <is>
          <t>DTL-0001667</t>
        </is>
      </c>
      <c r="B1647" s="8" t="inlineStr">
        <is>
          <t>ORD-000831</t>
        </is>
      </c>
      <c r="C1647" s="10" t="inlineStr">
        <is>
          <t>2024-07-19</t>
        </is>
      </c>
      <c r="D1647" s="8" t="inlineStr">
        <is>
          <t>CUST-05512</t>
        </is>
      </c>
      <c r="E1647" s="8" t="inlineStr">
        <is>
          <t>PRD-0157</t>
        </is>
      </c>
      <c r="F1647" s="8" t="n">
        <v>1</v>
      </c>
      <c r="G1647" s="9">
        <f>IFERROR(XLOOKUP(E1647, '04_Products'!$A:$A, '04_Products'!$G:$G), 227.80)</f>
        <v/>
      </c>
      <c r="H1647" s="9">
        <f>IFERROR(XLOOKUP(E1647, '04_Products'!$A:$A, '04_Products'!$F:$F), 0)</f>
        <v/>
      </c>
      <c r="I1647" s="9">
        <f>F1647*G1647</f>
        <v/>
      </c>
      <c r="J1647" s="11" t="n">
        <v>0</v>
      </c>
      <c r="K1647" s="9">
        <f>I1647*J1647</f>
        <v/>
      </c>
      <c r="L1647" s="9">
        <f>I1647-K1647</f>
        <v/>
      </c>
      <c r="M1647" s="9">
        <f>F1647*H1647</f>
        <v/>
      </c>
      <c r="N1647" s="9">
        <f>L1647-M1647</f>
        <v/>
      </c>
      <c r="O1647" s="11">
        <f>IFERROR(N1647/L1647, 0)</f>
        <v/>
      </c>
      <c r="P1647" s="8">
        <f>YEAR(C1647)</f>
        <v/>
      </c>
      <c r="Q1647" s="8">
        <f>TEXT(C1647, "yyyy-mm")</f>
        <v/>
      </c>
      <c r="R1647" s="8" t="inlineStr">
        <is>
          <t>Direct Web</t>
        </is>
      </c>
      <c r="S1647" s="8" t="inlineStr">
        <is>
          <t>REG-EU</t>
        </is>
      </c>
    </row>
    <row r="1648">
      <c r="A1648" s="8" t="inlineStr">
        <is>
          <t>DTL-0001668</t>
        </is>
      </c>
      <c r="B1648" s="8" t="inlineStr">
        <is>
          <t>ORD-000832</t>
        </is>
      </c>
      <c r="C1648" s="10" t="inlineStr">
        <is>
          <t>2025-01-25</t>
        </is>
      </c>
      <c r="D1648" s="8" t="inlineStr">
        <is>
          <t>CUST-04711</t>
        </is>
      </c>
      <c r="E1648" s="8" t="inlineStr">
        <is>
          <t>PRD-0067</t>
        </is>
      </c>
      <c r="F1648" s="8" t="n">
        <v>1</v>
      </c>
      <c r="G1648" s="9">
        <f>IFERROR(XLOOKUP(E1648, '04_Products'!$A:$A, '04_Products'!$G:$G), 30.04)</f>
        <v/>
      </c>
      <c r="H1648" s="9">
        <f>IFERROR(XLOOKUP(E1648, '04_Products'!$A:$A, '04_Products'!$F:$F), 0)</f>
        <v/>
      </c>
      <c r="I1648" s="9">
        <f>F1648*G1648</f>
        <v/>
      </c>
      <c r="J1648" s="11" t="n">
        <v>0.2</v>
      </c>
      <c r="K1648" s="9">
        <f>I1648*J1648</f>
        <v/>
      </c>
      <c r="L1648" s="9">
        <f>I1648-K1648</f>
        <v/>
      </c>
      <c r="M1648" s="9">
        <f>F1648*H1648</f>
        <v/>
      </c>
      <c r="N1648" s="9">
        <f>L1648-M1648</f>
        <v/>
      </c>
      <c r="O1648" s="11">
        <f>IFERROR(N1648/L1648, 0)</f>
        <v/>
      </c>
      <c r="P1648" s="8">
        <f>YEAR(C1648)</f>
        <v/>
      </c>
      <c r="Q1648" s="8">
        <f>TEXT(C1648, "yyyy-mm")</f>
        <v/>
      </c>
      <c r="R1648" s="8" t="inlineStr">
        <is>
          <t>Mobile App</t>
        </is>
      </c>
      <c r="S1648" s="8" t="inlineStr">
        <is>
          <t>REG-NA</t>
        </is>
      </c>
    </row>
    <row r="1649">
      <c r="A1649" s="8" t="inlineStr">
        <is>
          <t>DTL-0001669</t>
        </is>
      </c>
      <c r="B1649" s="8" t="inlineStr">
        <is>
          <t>ORD-000832</t>
        </is>
      </c>
      <c r="C1649" s="10" t="inlineStr">
        <is>
          <t>2025-01-25</t>
        </is>
      </c>
      <c r="D1649" s="8" t="inlineStr">
        <is>
          <t>CUST-04711</t>
        </is>
      </c>
      <c r="E1649" s="8" t="inlineStr">
        <is>
          <t>PRD-0016</t>
        </is>
      </c>
      <c r="F1649" s="8" t="n">
        <v>1</v>
      </c>
      <c r="G1649" s="9">
        <f>IFERROR(XLOOKUP(E1649, '04_Products'!$A:$A, '04_Products'!$G:$G), 160.40)</f>
        <v/>
      </c>
      <c r="H1649" s="9">
        <f>IFERROR(XLOOKUP(E1649, '04_Products'!$A:$A, '04_Products'!$F:$F), 0)</f>
        <v/>
      </c>
      <c r="I1649" s="9">
        <f>F1649*G1649</f>
        <v/>
      </c>
      <c r="J1649" s="11" t="n">
        <v>0.1</v>
      </c>
      <c r="K1649" s="9">
        <f>I1649*J1649</f>
        <v/>
      </c>
      <c r="L1649" s="9">
        <f>I1649-K1649</f>
        <v/>
      </c>
      <c r="M1649" s="9">
        <f>F1649*H1649</f>
        <v/>
      </c>
      <c r="N1649" s="9">
        <f>L1649-M1649</f>
        <v/>
      </c>
      <c r="O1649" s="11">
        <f>IFERROR(N1649/L1649, 0)</f>
        <v/>
      </c>
      <c r="P1649" s="8">
        <f>YEAR(C1649)</f>
        <v/>
      </c>
      <c r="Q1649" s="8">
        <f>TEXT(C1649, "yyyy-mm")</f>
        <v/>
      </c>
      <c r="R1649" s="8" t="inlineStr">
        <is>
          <t>Mobile App</t>
        </is>
      </c>
      <c r="S1649" s="8" t="inlineStr">
        <is>
          <t>REG-NA</t>
        </is>
      </c>
    </row>
    <row r="1650">
      <c r="A1650" s="8" t="inlineStr">
        <is>
          <t>DTL-0001670</t>
        </is>
      </c>
      <c r="B1650" s="8" t="inlineStr">
        <is>
          <t>ORD-000832</t>
        </is>
      </c>
      <c r="C1650" s="10" t="inlineStr">
        <is>
          <t>2025-01-25</t>
        </is>
      </c>
      <c r="D1650" s="8" t="inlineStr">
        <is>
          <t>CUST-04711</t>
        </is>
      </c>
      <c r="E1650" s="8" t="inlineStr">
        <is>
          <t>PRD-0478</t>
        </is>
      </c>
      <c r="F1650" s="8" t="n">
        <v>1</v>
      </c>
      <c r="G1650" s="9">
        <f>IFERROR(XLOOKUP(E1650, '04_Products'!$A:$A, '04_Products'!$G:$G), 61.50)</f>
        <v/>
      </c>
      <c r="H1650" s="9">
        <f>IFERROR(XLOOKUP(E1650, '04_Products'!$A:$A, '04_Products'!$F:$F), 0)</f>
        <v/>
      </c>
      <c r="I1650" s="9">
        <f>F1650*G1650</f>
        <v/>
      </c>
      <c r="J1650" s="11" t="n">
        <v>0</v>
      </c>
      <c r="K1650" s="9">
        <f>I1650*J1650</f>
        <v/>
      </c>
      <c r="L1650" s="9">
        <f>I1650-K1650</f>
        <v/>
      </c>
      <c r="M1650" s="9">
        <f>F1650*H1650</f>
        <v/>
      </c>
      <c r="N1650" s="9">
        <f>L1650-M1650</f>
        <v/>
      </c>
      <c r="O1650" s="11">
        <f>IFERROR(N1650/L1650, 0)</f>
        <v/>
      </c>
      <c r="P1650" s="8">
        <f>YEAR(C1650)</f>
        <v/>
      </c>
      <c r="Q1650" s="8">
        <f>TEXT(C1650, "yyyy-mm")</f>
        <v/>
      </c>
      <c r="R1650" s="8" t="inlineStr">
        <is>
          <t>Mobile App</t>
        </is>
      </c>
      <c r="S1650" s="8" t="inlineStr">
        <is>
          <t>REG-NA</t>
        </is>
      </c>
    </row>
    <row r="1651">
      <c r="A1651" s="8" t="inlineStr">
        <is>
          <t>DTL-0001671</t>
        </is>
      </c>
      <c r="B1651" s="8" t="inlineStr">
        <is>
          <t>ORD-000832</t>
        </is>
      </c>
      <c r="C1651" s="10" t="inlineStr">
        <is>
          <t>2025-01-25</t>
        </is>
      </c>
      <c r="D1651" s="8" t="inlineStr">
        <is>
          <t>CUST-04711</t>
        </is>
      </c>
      <c r="E1651" s="8" t="inlineStr">
        <is>
          <t>PRD-0029</t>
        </is>
      </c>
      <c r="F1651" s="8" t="n">
        <v>3</v>
      </c>
      <c r="G1651" s="9">
        <f>IFERROR(XLOOKUP(E1651, '04_Products'!$A:$A, '04_Products'!$G:$G), 9.40)</f>
        <v/>
      </c>
      <c r="H1651" s="9">
        <f>IFERROR(XLOOKUP(E1651, '04_Products'!$A:$A, '04_Products'!$F:$F), 0)</f>
        <v/>
      </c>
      <c r="I1651" s="9">
        <f>F1651*G1651</f>
        <v/>
      </c>
      <c r="J1651" s="11" t="n">
        <v>0.1</v>
      </c>
      <c r="K1651" s="9">
        <f>I1651*J1651</f>
        <v/>
      </c>
      <c r="L1651" s="9">
        <f>I1651-K1651</f>
        <v/>
      </c>
      <c r="M1651" s="9">
        <f>F1651*H1651</f>
        <v/>
      </c>
      <c r="N1651" s="9">
        <f>L1651-M1651</f>
        <v/>
      </c>
      <c r="O1651" s="11">
        <f>IFERROR(N1651/L1651, 0)</f>
        <v/>
      </c>
      <c r="P1651" s="8">
        <f>YEAR(C1651)</f>
        <v/>
      </c>
      <c r="Q1651" s="8">
        <f>TEXT(C1651, "yyyy-mm")</f>
        <v/>
      </c>
      <c r="R1651" s="8" t="inlineStr">
        <is>
          <t>Mobile App</t>
        </is>
      </c>
      <c r="S1651" s="8" t="inlineStr">
        <is>
          <t>REG-NA</t>
        </is>
      </c>
    </row>
    <row r="1652">
      <c r="A1652" s="8" t="inlineStr">
        <is>
          <t>DTL-0001672</t>
        </is>
      </c>
      <c r="B1652" s="8" t="inlineStr">
        <is>
          <t>ORD-000833</t>
        </is>
      </c>
      <c r="C1652" s="10" t="inlineStr">
        <is>
          <t>2024-02-25</t>
        </is>
      </c>
      <c r="D1652" s="8" t="inlineStr">
        <is>
          <t>CUST-07435</t>
        </is>
      </c>
      <c r="E1652" s="8" t="inlineStr">
        <is>
          <t>PRD-0460</t>
        </is>
      </c>
      <c r="F1652" s="8" t="n">
        <v>1</v>
      </c>
      <c r="G1652" s="9">
        <f>IFERROR(XLOOKUP(E1652, '04_Products'!$A:$A, '04_Products'!$G:$G), 331.54)</f>
        <v/>
      </c>
      <c r="H1652" s="9">
        <f>IFERROR(XLOOKUP(E1652, '04_Products'!$A:$A, '04_Products'!$F:$F), 0)</f>
        <v/>
      </c>
      <c r="I1652" s="9">
        <f>F1652*G1652</f>
        <v/>
      </c>
      <c r="J1652" s="11" t="n">
        <v>0</v>
      </c>
      <c r="K1652" s="9">
        <f>I1652*J1652</f>
        <v/>
      </c>
      <c r="L1652" s="9">
        <f>I1652-K1652</f>
        <v/>
      </c>
      <c r="M1652" s="9">
        <f>F1652*H1652</f>
        <v/>
      </c>
      <c r="N1652" s="9">
        <f>L1652-M1652</f>
        <v/>
      </c>
      <c r="O1652" s="11">
        <f>IFERROR(N1652/L1652, 0)</f>
        <v/>
      </c>
      <c r="P1652" s="8">
        <f>YEAR(C1652)</f>
        <v/>
      </c>
      <c r="Q1652" s="8">
        <f>TEXT(C1652, "yyyy-mm")</f>
        <v/>
      </c>
      <c r="R1652" s="8" t="inlineStr">
        <is>
          <t>Direct Web</t>
        </is>
      </c>
      <c r="S1652" s="8" t="inlineStr">
        <is>
          <t>REG-EU</t>
        </is>
      </c>
    </row>
    <row r="1653">
      <c r="A1653" s="8" t="inlineStr">
        <is>
          <t>DTL-0001673</t>
        </is>
      </c>
      <c r="B1653" s="8" t="inlineStr">
        <is>
          <t>ORD-000834</t>
        </is>
      </c>
      <c r="C1653" s="10" t="inlineStr">
        <is>
          <t>2025-09-06</t>
        </is>
      </c>
      <c r="D1653" s="8" t="inlineStr">
        <is>
          <t>CUST-07834</t>
        </is>
      </c>
      <c r="E1653" s="8" t="inlineStr">
        <is>
          <t>PRD-0118</t>
        </is>
      </c>
      <c r="F1653" s="8" t="n">
        <v>1</v>
      </c>
      <c r="G1653" s="9">
        <f>IFERROR(XLOOKUP(E1653, '04_Products'!$A:$A, '04_Products'!$G:$G), 513.16)</f>
        <v/>
      </c>
      <c r="H1653" s="9">
        <f>IFERROR(XLOOKUP(E1653, '04_Products'!$A:$A, '04_Products'!$F:$F), 0)</f>
        <v/>
      </c>
      <c r="I1653" s="9">
        <f>F1653*G1653</f>
        <v/>
      </c>
      <c r="J1653" s="11" t="n">
        <v>0.15</v>
      </c>
      <c r="K1653" s="9">
        <f>I1653*J1653</f>
        <v/>
      </c>
      <c r="L1653" s="9">
        <f>I1653-K1653</f>
        <v/>
      </c>
      <c r="M1653" s="9">
        <f>F1653*H1653</f>
        <v/>
      </c>
      <c r="N1653" s="9">
        <f>L1653-M1653</f>
        <v/>
      </c>
      <c r="O1653" s="11">
        <f>IFERROR(N1653/L1653, 0)</f>
        <v/>
      </c>
      <c r="P1653" s="8">
        <f>YEAR(C1653)</f>
        <v/>
      </c>
      <c r="Q1653" s="8">
        <f>TEXT(C1653, "yyyy-mm")</f>
        <v/>
      </c>
      <c r="R1653" s="8" t="inlineStr">
        <is>
          <t>Mobile App</t>
        </is>
      </c>
      <c r="S1653" s="8" t="inlineStr">
        <is>
          <t>REG-LATAM</t>
        </is>
      </c>
    </row>
    <row r="1654">
      <c r="A1654" s="8" t="inlineStr">
        <is>
          <t>DTL-0001674</t>
        </is>
      </c>
      <c r="B1654" s="8" t="inlineStr">
        <is>
          <t>ORD-000835</t>
        </is>
      </c>
      <c r="C1654" s="10" t="inlineStr">
        <is>
          <t>2024-09-03</t>
        </is>
      </c>
      <c r="D1654" s="8" t="inlineStr">
        <is>
          <t>CUST-02653</t>
        </is>
      </c>
      <c r="E1654" s="8" t="inlineStr">
        <is>
          <t>PRD-0425</t>
        </is>
      </c>
      <c r="F1654" s="8" t="n">
        <v>1</v>
      </c>
      <c r="G1654" s="9">
        <f>IFERROR(XLOOKUP(E1654, '04_Products'!$A:$A, '04_Products'!$G:$G), 805.83)</f>
        <v/>
      </c>
      <c r="H1654" s="9">
        <f>IFERROR(XLOOKUP(E1654, '04_Products'!$A:$A, '04_Products'!$F:$F), 0)</f>
        <v/>
      </c>
      <c r="I1654" s="9">
        <f>F1654*G1654</f>
        <v/>
      </c>
      <c r="J1654" s="11" t="n">
        <v>0.05</v>
      </c>
      <c r="K1654" s="9">
        <f>I1654*J1654</f>
        <v/>
      </c>
      <c r="L1654" s="9">
        <f>I1654-K1654</f>
        <v/>
      </c>
      <c r="M1654" s="9">
        <f>F1654*H1654</f>
        <v/>
      </c>
      <c r="N1654" s="9">
        <f>L1654-M1654</f>
        <v/>
      </c>
      <c r="O1654" s="11">
        <f>IFERROR(N1654/L1654, 0)</f>
        <v/>
      </c>
      <c r="P1654" s="8">
        <f>YEAR(C1654)</f>
        <v/>
      </c>
      <c r="Q1654" s="8">
        <f>TEXT(C1654, "yyyy-mm")</f>
        <v/>
      </c>
      <c r="R1654" s="8" t="inlineStr">
        <is>
          <t>B2B Portal</t>
        </is>
      </c>
      <c r="S1654" s="8" t="inlineStr">
        <is>
          <t>REG-APAC</t>
        </is>
      </c>
    </row>
    <row r="1655">
      <c r="A1655" s="8" t="inlineStr">
        <is>
          <t>DTL-0001675</t>
        </is>
      </c>
      <c r="B1655" s="8" t="inlineStr">
        <is>
          <t>ORD-000835</t>
        </is>
      </c>
      <c r="C1655" s="10" t="inlineStr">
        <is>
          <t>2024-09-03</t>
        </is>
      </c>
      <c r="D1655" s="8" t="inlineStr">
        <is>
          <t>CUST-02653</t>
        </is>
      </c>
      <c r="E1655" s="8" t="inlineStr">
        <is>
          <t>PRD-0498</t>
        </is>
      </c>
      <c r="F1655" s="8" t="n">
        <v>1</v>
      </c>
      <c r="G1655" s="9">
        <f>IFERROR(XLOOKUP(E1655, '04_Products'!$A:$A, '04_Products'!$G:$G), 63.17)</f>
        <v/>
      </c>
      <c r="H1655" s="9">
        <f>IFERROR(XLOOKUP(E1655, '04_Products'!$A:$A, '04_Products'!$F:$F), 0)</f>
        <v/>
      </c>
      <c r="I1655" s="9">
        <f>F1655*G1655</f>
        <v/>
      </c>
      <c r="J1655" s="11" t="n">
        <v>0</v>
      </c>
      <c r="K1655" s="9">
        <f>I1655*J1655</f>
        <v/>
      </c>
      <c r="L1655" s="9">
        <f>I1655-K1655</f>
        <v/>
      </c>
      <c r="M1655" s="9">
        <f>F1655*H1655</f>
        <v/>
      </c>
      <c r="N1655" s="9">
        <f>L1655-M1655</f>
        <v/>
      </c>
      <c r="O1655" s="11">
        <f>IFERROR(N1655/L1655, 0)</f>
        <v/>
      </c>
      <c r="P1655" s="8">
        <f>YEAR(C1655)</f>
        <v/>
      </c>
      <c r="Q1655" s="8">
        <f>TEXT(C1655, "yyyy-mm")</f>
        <v/>
      </c>
      <c r="R1655" s="8" t="inlineStr">
        <is>
          <t>B2B Portal</t>
        </is>
      </c>
      <c r="S1655" s="8" t="inlineStr">
        <is>
          <t>REG-APAC</t>
        </is>
      </c>
    </row>
    <row r="1656">
      <c r="A1656" s="8" t="inlineStr">
        <is>
          <t>DTL-0001676</t>
        </is>
      </c>
      <c r="B1656" s="8" t="inlineStr">
        <is>
          <t>ORD-000836</t>
        </is>
      </c>
      <c r="C1656" s="10" t="inlineStr">
        <is>
          <t>2024-11-23</t>
        </is>
      </c>
      <c r="D1656" s="8" t="inlineStr">
        <is>
          <t>CUST-04611</t>
        </is>
      </c>
      <c r="E1656" s="8" t="inlineStr">
        <is>
          <t>PRD-0377</t>
        </is>
      </c>
      <c r="F1656" s="8" t="n">
        <v>3</v>
      </c>
      <c r="G1656" s="9">
        <f>IFERROR(XLOOKUP(E1656, '04_Products'!$A:$A, '04_Products'!$G:$G), 961.48)</f>
        <v/>
      </c>
      <c r="H1656" s="9">
        <f>IFERROR(XLOOKUP(E1656, '04_Products'!$A:$A, '04_Products'!$F:$F), 0)</f>
        <v/>
      </c>
      <c r="I1656" s="9">
        <f>F1656*G1656</f>
        <v/>
      </c>
      <c r="J1656" s="11" t="n">
        <v>0</v>
      </c>
      <c r="K1656" s="9">
        <f>I1656*J1656</f>
        <v/>
      </c>
      <c r="L1656" s="9">
        <f>I1656-K1656</f>
        <v/>
      </c>
      <c r="M1656" s="9">
        <f>F1656*H1656</f>
        <v/>
      </c>
      <c r="N1656" s="9">
        <f>L1656-M1656</f>
        <v/>
      </c>
      <c r="O1656" s="11">
        <f>IFERROR(N1656/L1656, 0)</f>
        <v/>
      </c>
      <c r="P1656" s="8">
        <f>YEAR(C1656)</f>
        <v/>
      </c>
      <c r="Q1656" s="8">
        <f>TEXT(C1656, "yyyy-mm")</f>
        <v/>
      </c>
      <c r="R1656" s="8" t="inlineStr">
        <is>
          <t>Mobile App</t>
        </is>
      </c>
      <c r="S1656" s="8" t="inlineStr">
        <is>
          <t>REG-NA</t>
        </is>
      </c>
    </row>
    <row r="1657">
      <c r="A1657" s="8" t="inlineStr">
        <is>
          <t>DTL-0001677</t>
        </is>
      </c>
      <c r="B1657" s="8" t="inlineStr">
        <is>
          <t>ORD-000837</t>
        </is>
      </c>
      <c r="C1657" s="10" t="inlineStr">
        <is>
          <t>2024-04-17</t>
        </is>
      </c>
      <c r="D1657" s="8" t="inlineStr">
        <is>
          <t>CUST-07355</t>
        </is>
      </c>
      <c r="E1657" s="8" t="inlineStr">
        <is>
          <t>PRD-0448</t>
        </is>
      </c>
      <c r="F1657" s="8" t="n">
        <v>2</v>
      </c>
      <c r="G1657" s="9">
        <f>IFERROR(XLOOKUP(E1657, '04_Products'!$A:$A, '04_Products'!$G:$G), 338.65)</f>
        <v/>
      </c>
      <c r="H1657" s="9">
        <f>IFERROR(XLOOKUP(E1657, '04_Products'!$A:$A, '04_Products'!$F:$F), 0)</f>
        <v/>
      </c>
      <c r="I1657" s="9">
        <f>F1657*G1657</f>
        <v/>
      </c>
      <c r="J1657" s="11" t="n">
        <v>0.1</v>
      </c>
      <c r="K1657" s="9">
        <f>I1657*J1657</f>
        <v/>
      </c>
      <c r="L1657" s="9">
        <f>I1657-K1657</f>
        <v/>
      </c>
      <c r="M1657" s="9">
        <f>F1657*H1657</f>
        <v/>
      </c>
      <c r="N1657" s="9">
        <f>L1657-M1657</f>
        <v/>
      </c>
      <c r="O1657" s="11">
        <f>IFERROR(N1657/L1657, 0)</f>
        <v/>
      </c>
      <c r="P1657" s="8">
        <f>YEAR(C1657)</f>
        <v/>
      </c>
      <c r="Q1657" s="8">
        <f>TEXT(C1657, "yyyy-mm")</f>
        <v/>
      </c>
      <c r="R1657" s="8" t="inlineStr">
        <is>
          <t>Mobile App</t>
        </is>
      </c>
      <c r="S1657" s="8" t="inlineStr">
        <is>
          <t>REG-NA</t>
        </is>
      </c>
    </row>
    <row r="1658">
      <c r="A1658" s="8" t="inlineStr">
        <is>
          <t>DTL-0001678</t>
        </is>
      </c>
      <c r="B1658" s="8" t="inlineStr">
        <is>
          <t>ORD-000837</t>
        </is>
      </c>
      <c r="C1658" s="10" t="inlineStr">
        <is>
          <t>2024-04-17</t>
        </is>
      </c>
      <c r="D1658" s="8" t="inlineStr">
        <is>
          <t>CUST-07355</t>
        </is>
      </c>
      <c r="E1658" s="8" t="inlineStr">
        <is>
          <t>PRD-0114</t>
        </is>
      </c>
      <c r="F1658" s="8" t="n">
        <v>2</v>
      </c>
      <c r="G1658" s="9">
        <f>IFERROR(XLOOKUP(E1658, '04_Products'!$A:$A, '04_Products'!$G:$G), 49.56)</f>
        <v/>
      </c>
      <c r="H1658" s="9">
        <f>IFERROR(XLOOKUP(E1658, '04_Products'!$A:$A, '04_Products'!$F:$F), 0)</f>
        <v/>
      </c>
      <c r="I1658" s="9">
        <f>F1658*G1658</f>
        <v/>
      </c>
      <c r="J1658" s="11" t="n">
        <v>0.2</v>
      </c>
      <c r="K1658" s="9">
        <f>I1658*J1658</f>
        <v/>
      </c>
      <c r="L1658" s="9">
        <f>I1658-K1658</f>
        <v/>
      </c>
      <c r="M1658" s="9">
        <f>F1658*H1658</f>
        <v/>
      </c>
      <c r="N1658" s="9">
        <f>L1658-M1658</f>
        <v/>
      </c>
      <c r="O1658" s="11">
        <f>IFERROR(N1658/L1658, 0)</f>
        <v/>
      </c>
      <c r="P1658" s="8">
        <f>YEAR(C1658)</f>
        <v/>
      </c>
      <c r="Q1658" s="8">
        <f>TEXT(C1658, "yyyy-mm")</f>
        <v/>
      </c>
      <c r="R1658" s="8" t="inlineStr">
        <is>
          <t>Mobile App</t>
        </is>
      </c>
      <c r="S1658" s="8" t="inlineStr">
        <is>
          <t>REG-NA</t>
        </is>
      </c>
    </row>
    <row r="1659">
      <c r="A1659" s="8" t="inlineStr">
        <is>
          <t>DTL-0001679</t>
        </is>
      </c>
      <c r="B1659" s="8" t="inlineStr">
        <is>
          <t>ORD-000838</t>
        </is>
      </c>
      <c r="C1659" s="10" t="inlineStr">
        <is>
          <t>2024-12-28</t>
        </is>
      </c>
      <c r="D1659" s="8" t="inlineStr">
        <is>
          <t>CUST-04029</t>
        </is>
      </c>
      <c r="E1659" s="8" t="inlineStr">
        <is>
          <t>PRD-0042</t>
        </is>
      </c>
      <c r="F1659" s="8" t="n">
        <v>1</v>
      </c>
      <c r="G1659" s="9">
        <f>IFERROR(XLOOKUP(E1659, '04_Products'!$A:$A, '04_Products'!$G:$G), 758.99)</f>
        <v/>
      </c>
      <c r="H1659" s="9">
        <f>IFERROR(XLOOKUP(E1659, '04_Products'!$A:$A, '04_Products'!$F:$F), 0)</f>
        <v/>
      </c>
      <c r="I1659" s="9">
        <f>F1659*G1659</f>
        <v/>
      </c>
      <c r="J1659" s="11" t="n">
        <v>0.2</v>
      </c>
      <c r="K1659" s="9">
        <f>I1659*J1659</f>
        <v/>
      </c>
      <c r="L1659" s="9">
        <f>I1659-K1659</f>
        <v/>
      </c>
      <c r="M1659" s="9">
        <f>F1659*H1659</f>
        <v/>
      </c>
      <c r="N1659" s="9">
        <f>L1659-M1659</f>
        <v/>
      </c>
      <c r="O1659" s="11">
        <f>IFERROR(N1659/L1659, 0)</f>
        <v/>
      </c>
      <c r="P1659" s="8">
        <f>YEAR(C1659)</f>
        <v/>
      </c>
      <c r="Q1659" s="8">
        <f>TEXT(C1659, "yyyy-mm")</f>
        <v/>
      </c>
      <c r="R1659" s="8" t="inlineStr">
        <is>
          <t>Direct Web</t>
        </is>
      </c>
      <c r="S1659" s="8" t="inlineStr">
        <is>
          <t>REG-NA</t>
        </is>
      </c>
    </row>
    <row r="1660">
      <c r="A1660" s="8" t="inlineStr">
        <is>
          <t>DTL-0001680</t>
        </is>
      </c>
      <c r="B1660" s="8" t="inlineStr">
        <is>
          <t>ORD-000839</t>
        </is>
      </c>
      <c r="C1660" s="10" t="inlineStr">
        <is>
          <t>2024-11-14</t>
        </is>
      </c>
      <c r="D1660" s="8" t="inlineStr">
        <is>
          <t>CUST-00046</t>
        </is>
      </c>
      <c r="E1660" s="8" t="inlineStr">
        <is>
          <t>PRD-0012</t>
        </is>
      </c>
      <c r="F1660" s="8" t="n">
        <v>1</v>
      </c>
      <c r="G1660" s="9">
        <f>IFERROR(XLOOKUP(E1660, '04_Products'!$A:$A, '04_Products'!$G:$G), 583.31)</f>
        <v/>
      </c>
      <c r="H1660" s="9">
        <f>IFERROR(XLOOKUP(E1660, '04_Products'!$A:$A, '04_Products'!$F:$F), 0)</f>
        <v/>
      </c>
      <c r="I1660" s="9">
        <f>F1660*G1660</f>
        <v/>
      </c>
      <c r="J1660" s="11" t="n">
        <v>0</v>
      </c>
      <c r="K1660" s="9">
        <f>I1660*J1660</f>
        <v/>
      </c>
      <c r="L1660" s="9">
        <f>I1660-K1660</f>
        <v/>
      </c>
      <c r="M1660" s="9">
        <f>F1660*H1660</f>
        <v/>
      </c>
      <c r="N1660" s="9">
        <f>L1660-M1660</f>
        <v/>
      </c>
      <c r="O1660" s="11">
        <f>IFERROR(N1660/L1660, 0)</f>
        <v/>
      </c>
      <c r="P1660" s="8">
        <f>YEAR(C1660)</f>
        <v/>
      </c>
      <c r="Q1660" s="8">
        <f>TEXT(C1660, "yyyy-mm")</f>
        <v/>
      </c>
      <c r="R1660" s="8" t="inlineStr">
        <is>
          <t>Direct Web</t>
        </is>
      </c>
      <c r="S1660" s="8" t="inlineStr">
        <is>
          <t>REG-NA</t>
        </is>
      </c>
    </row>
    <row r="1661">
      <c r="A1661" s="8" t="inlineStr">
        <is>
          <t>DTL-0001681</t>
        </is>
      </c>
      <c r="B1661" s="8" t="inlineStr">
        <is>
          <t>ORD-000840</t>
        </is>
      </c>
      <c r="C1661" s="10" t="inlineStr">
        <is>
          <t>2025-03-24</t>
        </is>
      </c>
      <c r="D1661" s="8" t="inlineStr">
        <is>
          <t>CUST-05481</t>
        </is>
      </c>
      <c r="E1661" s="8" t="inlineStr">
        <is>
          <t>PRD-0030</t>
        </is>
      </c>
      <c r="F1661" s="8" t="n">
        <v>8</v>
      </c>
      <c r="G1661" s="9">
        <f>IFERROR(XLOOKUP(E1661, '04_Products'!$A:$A, '04_Products'!$G:$G), 298.29)</f>
        <v/>
      </c>
      <c r="H1661" s="9">
        <f>IFERROR(XLOOKUP(E1661, '04_Products'!$A:$A, '04_Products'!$F:$F), 0)</f>
        <v/>
      </c>
      <c r="I1661" s="9">
        <f>F1661*G1661</f>
        <v/>
      </c>
      <c r="J1661" s="11" t="n">
        <v>0.05</v>
      </c>
      <c r="K1661" s="9">
        <f>I1661*J1661</f>
        <v/>
      </c>
      <c r="L1661" s="9">
        <f>I1661-K1661</f>
        <v/>
      </c>
      <c r="M1661" s="9">
        <f>F1661*H1661</f>
        <v/>
      </c>
      <c r="N1661" s="9">
        <f>L1661-M1661</f>
        <v/>
      </c>
      <c r="O1661" s="11">
        <f>IFERROR(N1661/L1661, 0)</f>
        <v/>
      </c>
      <c r="P1661" s="8">
        <f>YEAR(C1661)</f>
        <v/>
      </c>
      <c r="Q1661" s="8">
        <f>TEXT(C1661, "yyyy-mm")</f>
        <v/>
      </c>
      <c r="R1661" s="8" t="inlineStr">
        <is>
          <t>Mobile App</t>
        </is>
      </c>
      <c r="S1661" s="8" t="inlineStr">
        <is>
          <t>REG-EU</t>
        </is>
      </c>
    </row>
    <row r="1662">
      <c r="A1662" s="8" t="inlineStr">
        <is>
          <t>DTL-0001682</t>
        </is>
      </c>
      <c r="B1662" s="8" t="inlineStr">
        <is>
          <t>ORD-000841</t>
        </is>
      </c>
      <c r="C1662" s="10" t="inlineStr">
        <is>
          <t>2023-11-19</t>
        </is>
      </c>
      <c r="D1662" s="8" t="inlineStr">
        <is>
          <t>CUST-04599</t>
        </is>
      </c>
      <c r="E1662" s="8" t="inlineStr">
        <is>
          <t>PRD-0458</t>
        </is>
      </c>
      <c r="F1662" s="8" t="n">
        <v>1</v>
      </c>
      <c r="G1662" s="9">
        <f>IFERROR(XLOOKUP(E1662, '04_Products'!$A:$A, '04_Products'!$G:$G), 75.83)</f>
        <v/>
      </c>
      <c r="H1662" s="9">
        <f>IFERROR(XLOOKUP(E1662, '04_Products'!$A:$A, '04_Products'!$F:$F), 0)</f>
        <v/>
      </c>
      <c r="I1662" s="9">
        <f>F1662*G1662</f>
        <v/>
      </c>
      <c r="J1662" s="11" t="n">
        <v>0</v>
      </c>
      <c r="K1662" s="9">
        <f>I1662*J1662</f>
        <v/>
      </c>
      <c r="L1662" s="9">
        <f>I1662-K1662</f>
        <v/>
      </c>
      <c r="M1662" s="9">
        <f>F1662*H1662</f>
        <v/>
      </c>
      <c r="N1662" s="9">
        <f>L1662-M1662</f>
        <v/>
      </c>
      <c r="O1662" s="11">
        <f>IFERROR(N1662/L1662, 0)</f>
        <v/>
      </c>
      <c r="P1662" s="8">
        <f>YEAR(C1662)</f>
        <v/>
      </c>
      <c r="Q1662" s="8">
        <f>TEXT(C1662, "yyyy-mm")</f>
        <v/>
      </c>
      <c r="R1662" s="8" t="inlineStr">
        <is>
          <t>B2B Portal</t>
        </is>
      </c>
      <c r="S1662" s="8" t="inlineStr">
        <is>
          <t>REG-NA</t>
        </is>
      </c>
    </row>
    <row r="1663">
      <c r="A1663" s="8" t="inlineStr">
        <is>
          <t>DTL-0001683</t>
        </is>
      </c>
      <c r="B1663" s="8" t="inlineStr">
        <is>
          <t>ORD-000841</t>
        </is>
      </c>
      <c r="C1663" s="10" t="inlineStr">
        <is>
          <t>2023-11-19</t>
        </is>
      </c>
      <c r="D1663" s="8" t="inlineStr">
        <is>
          <t>CUST-04599</t>
        </is>
      </c>
      <c r="E1663" s="8" t="inlineStr">
        <is>
          <t>PRD-0339</t>
        </is>
      </c>
      <c r="F1663" s="8" t="n">
        <v>1</v>
      </c>
      <c r="G1663" s="9">
        <f>IFERROR(XLOOKUP(E1663, '04_Products'!$A:$A, '04_Products'!$G:$G), 30.04)</f>
        <v/>
      </c>
      <c r="H1663" s="9">
        <f>IFERROR(XLOOKUP(E1663, '04_Products'!$A:$A, '04_Products'!$F:$F), 0)</f>
        <v/>
      </c>
      <c r="I1663" s="9">
        <f>F1663*G1663</f>
        <v/>
      </c>
      <c r="J1663" s="11" t="n">
        <v>0.1</v>
      </c>
      <c r="K1663" s="9">
        <f>I1663*J1663</f>
        <v/>
      </c>
      <c r="L1663" s="9">
        <f>I1663-K1663</f>
        <v/>
      </c>
      <c r="M1663" s="9">
        <f>F1663*H1663</f>
        <v/>
      </c>
      <c r="N1663" s="9">
        <f>L1663-M1663</f>
        <v/>
      </c>
      <c r="O1663" s="11">
        <f>IFERROR(N1663/L1663, 0)</f>
        <v/>
      </c>
      <c r="P1663" s="8">
        <f>YEAR(C1663)</f>
        <v/>
      </c>
      <c r="Q1663" s="8">
        <f>TEXT(C1663, "yyyy-mm")</f>
        <v/>
      </c>
      <c r="R1663" s="8" t="inlineStr">
        <is>
          <t>B2B Portal</t>
        </is>
      </c>
      <c r="S1663" s="8" t="inlineStr">
        <is>
          <t>REG-NA</t>
        </is>
      </c>
    </row>
    <row r="1664">
      <c r="A1664" s="8" t="inlineStr">
        <is>
          <t>DTL-0001684</t>
        </is>
      </c>
      <c r="B1664" s="8" t="inlineStr">
        <is>
          <t>ORD-000842</t>
        </is>
      </c>
      <c r="C1664" s="10" t="inlineStr">
        <is>
          <t>2024-06-23</t>
        </is>
      </c>
      <c r="D1664" s="8" t="inlineStr">
        <is>
          <t>CUST-00541</t>
        </is>
      </c>
      <c r="E1664" s="8" t="inlineStr">
        <is>
          <t>PRD-0020</t>
        </is>
      </c>
      <c r="F1664" s="8" t="n">
        <v>1</v>
      </c>
      <c r="G1664" s="9">
        <f>IFERROR(XLOOKUP(E1664, '04_Products'!$A:$A, '04_Products'!$G:$G), 22.42)</f>
        <v/>
      </c>
      <c r="H1664" s="9">
        <f>IFERROR(XLOOKUP(E1664, '04_Products'!$A:$A, '04_Products'!$F:$F), 0)</f>
        <v/>
      </c>
      <c r="I1664" s="9">
        <f>F1664*G1664</f>
        <v/>
      </c>
      <c r="J1664" s="11" t="n">
        <v>0.05</v>
      </c>
      <c r="K1664" s="9">
        <f>I1664*J1664</f>
        <v/>
      </c>
      <c r="L1664" s="9">
        <f>I1664-K1664</f>
        <v/>
      </c>
      <c r="M1664" s="9">
        <f>F1664*H1664</f>
        <v/>
      </c>
      <c r="N1664" s="9">
        <f>L1664-M1664</f>
        <v/>
      </c>
      <c r="O1664" s="11">
        <f>IFERROR(N1664/L1664, 0)</f>
        <v/>
      </c>
      <c r="P1664" s="8">
        <f>YEAR(C1664)</f>
        <v/>
      </c>
      <c r="Q1664" s="8">
        <f>TEXT(C1664, "yyyy-mm")</f>
        <v/>
      </c>
      <c r="R1664" s="8" t="inlineStr">
        <is>
          <t>Direct Web</t>
        </is>
      </c>
      <c r="S1664" s="8" t="inlineStr">
        <is>
          <t>REG-NA</t>
        </is>
      </c>
    </row>
    <row r="1665">
      <c r="A1665" s="8" t="inlineStr">
        <is>
          <t>DTL-0001685</t>
        </is>
      </c>
      <c r="B1665" s="8" t="inlineStr">
        <is>
          <t>ORD-000843</t>
        </is>
      </c>
      <c r="C1665" s="10" t="inlineStr">
        <is>
          <t>2024-11-03</t>
        </is>
      </c>
      <c r="D1665" s="8" t="inlineStr">
        <is>
          <t>CUST-06485</t>
        </is>
      </c>
      <c r="E1665" s="8" t="inlineStr">
        <is>
          <t>PRD-0181</t>
        </is>
      </c>
      <c r="F1665" s="8" t="n">
        <v>1</v>
      </c>
      <c r="G1665" s="9">
        <f>IFERROR(XLOOKUP(E1665, '04_Products'!$A:$A, '04_Products'!$G:$G), 57.06)</f>
        <v/>
      </c>
      <c r="H1665" s="9">
        <f>IFERROR(XLOOKUP(E1665, '04_Products'!$A:$A, '04_Products'!$F:$F), 0)</f>
        <v/>
      </c>
      <c r="I1665" s="9">
        <f>F1665*G1665</f>
        <v/>
      </c>
      <c r="J1665" s="11" t="n">
        <v>0.1</v>
      </c>
      <c r="K1665" s="9">
        <f>I1665*J1665</f>
        <v/>
      </c>
      <c r="L1665" s="9">
        <f>I1665-K1665</f>
        <v/>
      </c>
      <c r="M1665" s="9">
        <f>F1665*H1665</f>
        <v/>
      </c>
      <c r="N1665" s="9">
        <f>L1665-M1665</f>
        <v/>
      </c>
      <c r="O1665" s="11">
        <f>IFERROR(N1665/L1665, 0)</f>
        <v/>
      </c>
      <c r="P1665" s="8">
        <f>YEAR(C1665)</f>
        <v/>
      </c>
      <c r="Q1665" s="8">
        <f>TEXT(C1665, "yyyy-mm")</f>
        <v/>
      </c>
      <c r="R1665" s="8" t="inlineStr">
        <is>
          <t>Affiliate Partner</t>
        </is>
      </c>
      <c r="S1665" s="8" t="inlineStr">
        <is>
          <t>REG-APAC</t>
        </is>
      </c>
    </row>
    <row r="1666">
      <c r="A1666" s="8" t="inlineStr">
        <is>
          <t>DTL-0001686</t>
        </is>
      </c>
      <c r="B1666" s="8" t="inlineStr">
        <is>
          <t>ORD-000844</t>
        </is>
      </c>
      <c r="C1666" s="10" t="inlineStr">
        <is>
          <t>2025-04-09</t>
        </is>
      </c>
      <c r="D1666" s="8" t="inlineStr">
        <is>
          <t>CUST-03899</t>
        </is>
      </c>
      <c r="E1666" s="8" t="inlineStr">
        <is>
          <t>PRD-0370</t>
        </is>
      </c>
      <c r="F1666" s="8" t="n">
        <v>2</v>
      </c>
      <c r="G1666" s="9">
        <f>IFERROR(XLOOKUP(E1666, '04_Products'!$A:$A, '04_Products'!$G:$G), 1113.54)</f>
        <v/>
      </c>
      <c r="H1666" s="9">
        <f>IFERROR(XLOOKUP(E1666, '04_Products'!$A:$A, '04_Products'!$F:$F), 0)</f>
        <v/>
      </c>
      <c r="I1666" s="9">
        <f>F1666*G1666</f>
        <v/>
      </c>
      <c r="J1666" s="11" t="n">
        <v>0.25</v>
      </c>
      <c r="K1666" s="9">
        <f>I1666*J1666</f>
        <v/>
      </c>
      <c r="L1666" s="9">
        <f>I1666-K1666</f>
        <v/>
      </c>
      <c r="M1666" s="9">
        <f>F1666*H1666</f>
        <v/>
      </c>
      <c r="N1666" s="9">
        <f>L1666-M1666</f>
        <v/>
      </c>
      <c r="O1666" s="11">
        <f>IFERROR(N1666/L1666, 0)</f>
        <v/>
      </c>
      <c r="P1666" s="8">
        <f>YEAR(C1666)</f>
        <v/>
      </c>
      <c r="Q1666" s="8">
        <f>TEXT(C1666, "yyyy-mm")</f>
        <v/>
      </c>
      <c r="R1666" s="8" t="inlineStr">
        <is>
          <t>Direct Web</t>
        </is>
      </c>
      <c r="S1666" s="8" t="inlineStr">
        <is>
          <t>REG-NA</t>
        </is>
      </c>
    </row>
    <row r="1667">
      <c r="A1667" s="8" t="inlineStr">
        <is>
          <t>DTL-0001687</t>
        </is>
      </c>
      <c r="B1667" s="8" t="inlineStr">
        <is>
          <t>ORD-000845</t>
        </is>
      </c>
      <c r="C1667" s="10" t="inlineStr">
        <is>
          <t>2024-05-08</t>
        </is>
      </c>
      <c r="D1667" s="8" t="inlineStr">
        <is>
          <t>CUST-01446</t>
        </is>
      </c>
      <c r="E1667" s="8" t="inlineStr">
        <is>
          <t>PRD-0080</t>
        </is>
      </c>
      <c r="F1667" s="8" t="n">
        <v>2</v>
      </c>
      <c r="G1667" s="9">
        <f>IFERROR(XLOOKUP(E1667, '04_Products'!$A:$A, '04_Products'!$G:$G), 547.36)</f>
        <v/>
      </c>
      <c r="H1667" s="9">
        <f>IFERROR(XLOOKUP(E1667, '04_Products'!$A:$A, '04_Products'!$F:$F), 0)</f>
        <v/>
      </c>
      <c r="I1667" s="9">
        <f>F1667*G1667</f>
        <v/>
      </c>
      <c r="J1667" s="11" t="n">
        <v>0.1</v>
      </c>
      <c r="K1667" s="9">
        <f>I1667*J1667</f>
        <v/>
      </c>
      <c r="L1667" s="9">
        <f>I1667-K1667</f>
        <v/>
      </c>
      <c r="M1667" s="9">
        <f>F1667*H1667</f>
        <v/>
      </c>
      <c r="N1667" s="9">
        <f>L1667-M1667</f>
        <v/>
      </c>
      <c r="O1667" s="11">
        <f>IFERROR(N1667/L1667, 0)</f>
        <v/>
      </c>
      <c r="P1667" s="8">
        <f>YEAR(C1667)</f>
        <v/>
      </c>
      <c r="Q1667" s="8">
        <f>TEXT(C1667, "yyyy-mm")</f>
        <v/>
      </c>
      <c r="R1667" s="8" t="inlineStr">
        <is>
          <t>Mobile App</t>
        </is>
      </c>
      <c r="S1667" s="8" t="inlineStr">
        <is>
          <t>REG-APAC</t>
        </is>
      </c>
    </row>
    <row r="1668">
      <c r="A1668" s="8" t="inlineStr">
        <is>
          <t>DTL-0001688</t>
        </is>
      </c>
      <c r="B1668" s="8" t="inlineStr">
        <is>
          <t>ORD-000845</t>
        </is>
      </c>
      <c r="C1668" s="10" t="inlineStr">
        <is>
          <t>2024-05-08</t>
        </is>
      </c>
      <c r="D1668" s="8" t="inlineStr">
        <is>
          <t>CUST-01446</t>
        </is>
      </c>
      <c r="E1668" s="8" t="inlineStr">
        <is>
          <t>PRD-0096</t>
        </is>
      </c>
      <c r="F1668" s="8" t="n">
        <v>1</v>
      </c>
      <c r="G1668" s="9">
        <f>IFERROR(XLOOKUP(E1668, '04_Products'!$A:$A, '04_Products'!$G:$G), 66.14)</f>
        <v/>
      </c>
      <c r="H1668" s="9">
        <f>IFERROR(XLOOKUP(E1668, '04_Products'!$A:$A, '04_Products'!$F:$F), 0)</f>
        <v/>
      </c>
      <c r="I1668" s="9">
        <f>F1668*G1668</f>
        <v/>
      </c>
      <c r="J1668" s="11" t="n">
        <v>0.15</v>
      </c>
      <c r="K1668" s="9">
        <f>I1668*J1668</f>
        <v/>
      </c>
      <c r="L1668" s="9">
        <f>I1668-K1668</f>
        <v/>
      </c>
      <c r="M1668" s="9">
        <f>F1668*H1668</f>
        <v/>
      </c>
      <c r="N1668" s="9">
        <f>L1668-M1668</f>
        <v/>
      </c>
      <c r="O1668" s="11">
        <f>IFERROR(N1668/L1668, 0)</f>
        <v/>
      </c>
      <c r="P1668" s="8">
        <f>YEAR(C1668)</f>
        <v/>
      </c>
      <c r="Q1668" s="8">
        <f>TEXT(C1668, "yyyy-mm")</f>
        <v/>
      </c>
      <c r="R1668" s="8" t="inlineStr">
        <is>
          <t>Mobile App</t>
        </is>
      </c>
      <c r="S1668" s="8" t="inlineStr">
        <is>
          <t>REG-APAC</t>
        </is>
      </c>
    </row>
    <row r="1669">
      <c r="A1669" s="8" t="inlineStr">
        <is>
          <t>DTL-0001689</t>
        </is>
      </c>
      <c r="B1669" s="8" t="inlineStr">
        <is>
          <t>ORD-000846</t>
        </is>
      </c>
      <c r="C1669" s="10" t="inlineStr">
        <is>
          <t>2023-06-19</t>
        </is>
      </c>
      <c r="D1669" s="8" t="inlineStr">
        <is>
          <t>CUST-02190</t>
        </is>
      </c>
      <c r="E1669" s="8" t="inlineStr">
        <is>
          <t>PRD-0092</t>
        </is>
      </c>
      <c r="F1669" s="8" t="n">
        <v>1</v>
      </c>
      <c r="G1669" s="9">
        <f>IFERROR(XLOOKUP(E1669, '04_Products'!$A:$A, '04_Products'!$G:$G), 63.90)</f>
        <v/>
      </c>
      <c r="H1669" s="9">
        <f>IFERROR(XLOOKUP(E1669, '04_Products'!$A:$A, '04_Products'!$F:$F), 0)</f>
        <v/>
      </c>
      <c r="I1669" s="9">
        <f>F1669*G1669</f>
        <v/>
      </c>
      <c r="J1669" s="11" t="n">
        <v>0</v>
      </c>
      <c r="K1669" s="9">
        <f>I1669*J1669</f>
        <v/>
      </c>
      <c r="L1669" s="9">
        <f>I1669-K1669</f>
        <v/>
      </c>
      <c r="M1669" s="9">
        <f>F1669*H1669</f>
        <v/>
      </c>
      <c r="N1669" s="9">
        <f>L1669-M1669</f>
        <v/>
      </c>
      <c r="O1669" s="11">
        <f>IFERROR(N1669/L1669, 0)</f>
        <v/>
      </c>
      <c r="P1669" s="8">
        <f>YEAR(C1669)</f>
        <v/>
      </c>
      <c r="Q1669" s="8">
        <f>TEXT(C1669, "yyyy-mm")</f>
        <v/>
      </c>
      <c r="R1669" s="8" t="inlineStr">
        <is>
          <t>Direct Web</t>
        </is>
      </c>
      <c r="S1669" s="8" t="inlineStr">
        <is>
          <t>REG-NA</t>
        </is>
      </c>
    </row>
    <row r="1670">
      <c r="A1670" s="8" t="inlineStr">
        <is>
          <t>DTL-0001690</t>
        </is>
      </c>
      <c r="B1670" s="8" t="inlineStr">
        <is>
          <t>ORD-000847</t>
        </is>
      </c>
      <c r="C1670" s="10" t="inlineStr">
        <is>
          <t>2025-09-16</t>
        </is>
      </c>
      <c r="D1670" s="8" t="inlineStr">
        <is>
          <t>CUST-06232</t>
        </is>
      </c>
      <c r="E1670" s="8" t="inlineStr">
        <is>
          <t>PRD-0051</t>
        </is>
      </c>
      <c r="F1670" s="8" t="n">
        <v>2</v>
      </c>
      <c r="G1670" s="9">
        <f>IFERROR(XLOOKUP(E1670, '04_Products'!$A:$A, '04_Products'!$G:$G), 896.46)</f>
        <v/>
      </c>
      <c r="H1670" s="9">
        <f>IFERROR(XLOOKUP(E1670, '04_Products'!$A:$A, '04_Products'!$F:$F), 0)</f>
        <v/>
      </c>
      <c r="I1670" s="9">
        <f>F1670*G1670</f>
        <v/>
      </c>
      <c r="J1670" s="11" t="n">
        <v>0.1</v>
      </c>
      <c r="K1670" s="9">
        <f>I1670*J1670</f>
        <v/>
      </c>
      <c r="L1670" s="9">
        <f>I1670-K1670</f>
        <v/>
      </c>
      <c r="M1670" s="9">
        <f>F1670*H1670</f>
        <v/>
      </c>
      <c r="N1670" s="9">
        <f>L1670-M1670</f>
        <v/>
      </c>
      <c r="O1670" s="11">
        <f>IFERROR(N1670/L1670, 0)</f>
        <v/>
      </c>
      <c r="P1670" s="8">
        <f>YEAR(C1670)</f>
        <v/>
      </c>
      <c r="Q1670" s="8">
        <f>TEXT(C1670, "yyyy-mm")</f>
        <v/>
      </c>
      <c r="R1670" s="8" t="inlineStr">
        <is>
          <t>Direct Web</t>
        </is>
      </c>
      <c r="S1670" s="8" t="inlineStr">
        <is>
          <t>REG-NA</t>
        </is>
      </c>
    </row>
    <row r="1671">
      <c r="A1671" s="8" t="inlineStr">
        <is>
          <t>DTL-0001691</t>
        </is>
      </c>
      <c r="B1671" s="8" t="inlineStr">
        <is>
          <t>ORD-000847</t>
        </is>
      </c>
      <c r="C1671" s="10" t="inlineStr">
        <is>
          <t>2025-09-16</t>
        </is>
      </c>
      <c r="D1671" s="8" t="inlineStr">
        <is>
          <t>CUST-06232</t>
        </is>
      </c>
      <c r="E1671" s="8" t="inlineStr">
        <is>
          <t>PRD-0145</t>
        </is>
      </c>
      <c r="F1671" s="8" t="n">
        <v>1</v>
      </c>
      <c r="G1671" s="9">
        <f>IFERROR(XLOOKUP(E1671, '04_Products'!$A:$A, '04_Products'!$G:$G), 37.95)</f>
        <v/>
      </c>
      <c r="H1671" s="9">
        <f>IFERROR(XLOOKUP(E1671, '04_Products'!$A:$A, '04_Products'!$F:$F), 0)</f>
        <v/>
      </c>
      <c r="I1671" s="9">
        <f>F1671*G1671</f>
        <v/>
      </c>
      <c r="J1671" s="11" t="n">
        <v>0.05</v>
      </c>
      <c r="K1671" s="9">
        <f>I1671*J1671</f>
        <v/>
      </c>
      <c r="L1671" s="9">
        <f>I1671-K1671</f>
        <v/>
      </c>
      <c r="M1671" s="9">
        <f>F1671*H1671</f>
        <v/>
      </c>
      <c r="N1671" s="9">
        <f>L1671-M1671</f>
        <v/>
      </c>
      <c r="O1671" s="11">
        <f>IFERROR(N1671/L1671, 0)</f>
        <v/>
      </c>
      <c r="P1671" s="8">
        <f>YEAR(C1671)</f>
        <v/>
      </c>
      <c r="Q1671" s="8">
        <f>TEXT(C1671, "yyyy-mm")</f>
        <v/>
      </c>
      <c r="R1671" s="8" t="inlineStr">
        <is>
          <t>Direct Web</t>
        </is>
      </c>
      <c r="S1671" s="8" t="inlineStr">
        <is>
          <t>REG-NA</t>
        </is>
      </c>
    </row>
    <row r="1672">
      <c r="A1672" s="8" t="inlineStr">
        <is>
          <t>DTL-0001692</t>
        </is>
      </c>
      <c r="B1672" s="8" t="inlineStr">
        <is>
          <t>ORD-000848</t>
        </is>
      </c>
      <c r="C1672" s="10" t="inlineStr">
        <is>
          <t>2025-03-11</t>
        </is>
      </c>
      <c r="D1672" s="8" t="inlineStr">
        <is>
          <t>CUST-07054</t>
        </is>
      </c>
      <c r="E1672" s="8" t="inlineStr">
        <is>
          <t>PRD-0449</t>
        </is>
      </c>
      <c r="F1672" s="8" t="n">
        <v>2</v>
      </c>
      <c r="G1672" s="9">
        <f>IFERROR(XLOOKUP(E1672, '04_Products'!$A:$A, '04_Products'!$G:$G), 856.09)</f>
        <v/>
      </c>
      <c r="H1672" s="9">
        <f>IFERROR(XLOOKUP(E1672, '04_Products'!$A:$A, '04_Products'!$F:$F), 0)</f>
        <v/>
      </c>
      <c r="I1672" s="9">
        <f>F1672*G1672</f>
        <v/>
      </c>
      <c r="J1672" s="11" t="n">
        <v>0.05</v>
      </c>
      <c r="K1672" s="9">
        <f>I1672*J1672</f>
        <v/>
      </c>
      <c r="L1672" s="9">
        <f>I1672-K1672</f>
        <v/>
      </c>
      <c r="M1672" s="9">
        <f>F1672*H1672</f>
        <v/>
      </c>
      <c r="N1672" s="9">
        <f>L1672-M1672</f>
        <v/>
      </c>
      <c r="O1672" s="11">
        <f>IFERROR(N1672/L1672, 0)</f>
        <v/>
      </c>
      <c r="P1672" s="8">
        <f>YEAR(C1672)</f>
        <v/>
      </c>
      <c r="Q1672" s="8">
        <f>TEXT(C1672, "yyyy-mm")</f>
        <v/>
      </c>
      <c r="R1672" s="8" t="inlineStr">
        <is>
          <t>B2B Portal</t>
        </is>
      </c>
      <c r="S1672" s="8" t="inlineStr">
        <is>
          <t>REG-EU</t>
        </is>
      </c>
    </row>
    <row r="1673">
      <c r="A1673" s="8" t="inlineStr">
        <is>
          <t>DTL-0001693</t>
        </is>
      </c>
      <c r="B1673" s="8" t="inlineStr">
        <is>
          <t>ORD-000849</t>
        </is>
      </c>
      <c r="C1673" s="10" t="inlineStr">
        <is>
          <t>2024-02-15</t>
        </is>
      </c>
      <c r="D1673" s="8" t="inlineStr">
        <is>
          <t>CUST-00116</t>
        </is>
      </c>
      <c r="E1673" s="8" t="inlineStr">
        <is>
          <t>PRD-0346</t>
        </is>
      </c>
      <c r="F1673" s="8" t="n">
        <v>1</v>
      </c>
      <c r="G1673" s="9">
        <f>IFERROR(XLOOKUP(E1673, '04_Products'!$A:$A, '04_Products'!$G:$G), 61.49)</f>
        <v/>
      </c>
      <c r="H1673" s="9">
        <f>IFERROR(XLOOKUP(E1673, '04_Products'!$A:$A, '04_Products'!$F:$F), 0)</f>
        <v/>
      </c>
      <c r="I1673" s="9">
        <f>F1673*G1673</f>
        <v/>
      </c>
      <c r="J1673" s="11" t="n">
        <v>0.1</v>
      </c>
      <c r="K1673" s="9">
        <f>I1673*J1673</f>
        <v/>
      </c>
      <c r="L1673" s="9">
        <f>I1673-K1673</f>
        <v/>
      </c>
      <c r="M1673" s="9">
        <f>F1673*H1673</f>
        <v/>
      </c>
      <c r="N1673" s="9">
        <f>L1673-M1673</f>
        <v/>
      </c>
      <c r="O1673" s="11">
        <f>IFERROR(N1673/L1673, 0)</f>
        <v/>
      </c>
      <c r="P1673" s="8">
        <f>YEAR(C1673)</f>
        <v/>
      </c>
      <c r="Q1673" s="8">
        <f>TEXT(C1673, "yyyy-mm")</f>
        <v/>
      </c>
      <c r="R1673" s="8" t="inlineStr">
        <is>
          <t>B2B Portal</t>
        </is>
      </c>
      <c r="S1673" s="8" t="inlineStr">
        <is>
          <t>REG-EU</t>
        </is>
      </c>
    </row>
    <row r="1674">
      <c r="A1674" s="8" t="inlineStr">
        <is>
          <t>DTL-0001694</t>
        </is>
      </c>
      <c r="B1674" s="8" t="inlineStr">
        <is>
          <t>ORD-000850</t>
        </is>
      </c>
      <c r="C1674" s="10" t="inlineStr">
        <is>
          <t>2025-07-27</t>
        </is>
      </c>
      <c r="D1674" s="8" t="inlineStr">
        <is>
          <t>CUST-07196</t>
        </is>
      </c>
      <c r="E1674" s="8" t="inlineStr">
        <is>
          <t>PRD-0134</t>
        </is>
      </c>
      <c r="F1674" s="8" t="n">
        <v>10</v>
      </c>
      <c r="G1674" s="9">
        <f>IFERROR(XLOOKUP(E1674, '04_Products'!$A:$A, '04_Products'!$G:$G), 62.76)</f>
        <v/>
      </c>
      <c r="H1674" s="9">
        <f>IFERROR(XLOOKUP(E1674, '04_Products'!$A:$A, '04_Products'!$F:$F), 0)</f>
        <v/>
      </c>
      <c r="I1674" s="9">
        <f>F1674*G1674</f>
        <v/>
      </c>
      <c r="J1674" s="11" t="n">
        <v>0.15</v>
      </c>
      <c r="K1674" s="9">
        <f>I1674*J1674</f>
        <v/>
      </c>
      <c r="L1674" s="9">
        <f>I1674-K1674</f>
        <v/>
      </c>
      <c r="M1674" s="9">
        <f>F1674*H1674</f>
        <v/>
      </c>
      <c r="N1674" s="9">
        <f>L1674-M1674</f>
        <v/>
      </c>
      <c r="O1674" s="11">
        <f>IFERROR(N1674/L1674, 0)</f>
        <v/>
      </c>
      <c r="P1674" s="8">
        <f>YEAR(C1674)</f>
        <v/>
      </c>
      <c r="Q1674" s="8">
        <f>TEXT(C1674, "yyyy-mm")</f>
        <v/>
      </c>
      <c r="R1674" s="8" t="inlineStr">
        <is>
          <t>Mobile App</t>
        </is>
      </c>
      <c r="S1674" s="8" t="inlineStr">
        <is>
          <t>REG-APAC</t>
        </is>
      </c>
    </row>
    <row r="1675">
      <c r="A1675" s="8" t="inlineStr">
        <is>
          <t>DTL-0001695</t>
        </is>
      </c>
      <c r="B1675" s="8" t="inlineStr">
        <is>
          <t>ORD-000850</t>
        </is>
      </c>
      <c r="C1675" s="10" t="inlineStr">
        <is>
          <t>2025-07-27</t>
        </is>
      </c>
      <c r="D1675" s="8" t="inlineStr">
        <is>
          <t>CUST-07196</t>
        </is>
      </c>
      <c r="E1675" s="8" t="inlineStr">
        <is>
          <t>PRD-0140</t>
        </is>
      </c>
      <c r="F1675" s="8" t="n">
        <v>1</v>
      </c>
      <c r="G1675" s="9">
        <f>IFERROR(XLOOKUP(E1675, '04_Products'!$A:$A, '04_Products'!$G:$G), 41.25)</f>
        <v/>
      </c>
      <c r="H1675" s="9">
        <f>IFERROR(XLOOKUP(E1675, '04_Products'!$A:$A, '04_Products'!$F:$F), 0)</f>
        <v/>
      </c>
      <c r="I1675" s="9">
        <f>F1675*G1675</f>
        <v/>
      </c>
      <c r="J1675" s="11" t="n">
        <v>0.1</v>
      </c>
      <c r="K1675" s="9">
        <f>I1675*J1675</f>
        <v/>
      </c>
      <c r="L1675" s="9">
        <f>I1675-K1675</f>
        <v/>
      </c>
      <c r="M1675" s="9">
        <f>F1675*H1675</f>
        <v/>
      </c>
      <c r="N1675" s="9">
        <f>L1675-M1675</f>
        <v/>
      </c>
      <c r="O1675" s="11">
        <f>IFERROR(N1675/L1675, 0)</f>
        <v/>
      </c>
      <c r="P1675" s="8">
        <f>YEAR(C1675)</f>
        <v/>
      </c>
      <c r="Q1675" s="8">
        <f>TEXT(C1675, "yyyy-mm")</f>
        <v/>
      </c>
      <c r="R1675" s="8" t="inlineStr">
        <is>
          <t>Mobile App</t>
        </is>
      </c>
      <c r="S1675" s="8" t="inlineStr">
        <is>
          <t>REG-APAC</t>
        </is>
      </c>
    </row>
    <row r="1676">
      <c r="A1676" s="8" t="inlineStr">
        <is>
          <t>DTL-0001696</t>
        </is>
      </c>
      <c r="B1676" s="8" t="inlineStr">
        <is>
          <t>ORD-000851</t>
        </is>
      </c>
      <c r="C1676" s="10" t="inlineStr">
        <is>
          <t>2023-05-29</t>
        </is>
      </c>
      <c r="D1676" s="8" t="inlineStr">
        <is>
          <t>CUST-04303</t>
        </is>
      </c>
      <c r="E1676" s="8" t="inlineStr">
        <is>
          <t>PRD-0309</t>
        </is>
      </c>
      <c r="F1676" s="8" t="n">
        <v>2</v>
      </c>
      <c r="G1676" s="9">
        <f>IFERROR(XLOOKUP(E1676, '04_Products'!$A:$A, '04_Products'!$G:$G), 632.18)</f>
        <v/>
      </c>
      <c r="H1676" s="9">
        <f>IFERROR(XLOOKUP(E1676, '04_Products'!$A:$A, '04_Products'!$F:$F), 0)</f>
        <v/>
      </c>
      <c r="I1676" s="9">
        <f>F1676*G1676</f>
        <v/>
      </c>
      <c r="J1676" s="11" t="n">
        <v>0.05</v>
      </c>
      <c r="K1676" s="9">
        <f>I1676*J1676</f>
        <v/>
      </c>
      <c r="L1676" s="9">
        <f>I1676-K1676</f>
        <v/>
      </c>
      <c r="M1676" s="9">
        <f>F1676*H1676</f>
        <v/>
      </c>
      <c r="N1676" s="9">
        <f>L1676-M1676</f>
        <v/>
      </c>
      <c r="O1676" s="11">
        <f>IFERROR(N1676/L1676, 0)</f>
        <v/>
      </c>
      <c r="P1676" s="8">
        <f>YEAR(C1676)</f>
        <v/>
      </c>
      <c r="Q1676" s="8">
        <f>TEXT(C1676, "yyyy-mm")</f>
        <v/>
      </c>
      <c r="R1676" s="8" t="inlineStr">
        <is>
          <t>Direct Web</t>
        </is>
      </c>
      <c r="S1676" s="8" t="inlineStr">
        <is>
          <t>REG-NA</t>
        </is>
      </c>
    </row>
    <row r="1677">
      <c r="A1677" s="8" t="inlineStr">
        <is>
          <t>DTL-0001697</t>
        </is>
      </c>
      <c r="B1677" s="8" t="inlineStr">
        <is>
          <t>ORD-000852</t>
        </is>
      </c>
      <c r="C1677" s="10" t="inlineStr">
        <is>
          <t>2023-12-28</t>
        </is>
      </c>
      <c r="D1677" s="8" t="inlineStr">
        <is>
          <t>CUST-05892</t>
        </is>
      </c>
      <c r="E1677" s="8" t="inlineStr">
        <is>
          <t>PRD-0373</t>
        </is>
      </c>
      <c r="F1677" s="8" t="n">
        <v>1</v>
      </c>
      <c r="G1677" s="9">
        <f>IFERROR(XLOOKUP(E1677, '04_Products'!$A:$A, '04_Products'!$G:$G), 308.95)</f>
        <v/>
      </c>
      <c r="H1677" s="9">
        <f>IFERROR(XLOOKUP(E1677, '04_Products'!$A:$A, '04_Products'!$F:$F), 0)</f>
        <v/>
      </c>
      <c r="I1677" s="9">
        <f>F1677*G1677</f>
        <v/>
      </c>
      <c r="J1677" s="11" t="n">
        <v>0</v>
      </c>
      <c r="K1677" s="9">
        <f>I1677*J1677</f>
        <v/>
      </c>
      <c r="L1677" s="9">
        <f>I1677-K1677</f>
        <v/>
      </c>
      <c r="M1677" s="9">
        <f>F1677*H1677</f>
        <v/>
      </c>
      <c r="N1677" s="9">
        <f>L1677-M1677</f>
        <v/>
      </c>
      <c r="O1677" s="11">
        <f>IFERROR(N1677/L1677, 0)</f>
        <v/>
      </c>
      <c r="P1677" s="8">
        <f>YEAR(C1677)</f>
        <v/>
      </c>
      <c r="Q1677" s="8">
        <f>TEXT(C1677, "yyyy-mm")</f>
        <v/>
      </c>
      <c r="R1677" s="8" t="inlineStr">
        <is>
          <t>Mobile App</t>
        </is>
      </c>
      <c r="S1677" s="8" t="inlineStr">
        <is>
          <t>REG-NA</t>
        </is>
      </c>
    </row>
    <row r="1678">
      <c r="A1678" s="8" t="inlineStr">
        <is>
          <t>DTL-0001698</t>
        </is>
      </c>
      <c r="B1678" s="8" t="inlineStr">
        <is>
          <t>ORD-000852</t>
        </is>
      </c>
      <c r="C1678" s="10" t="inlineStr">
        <is>
          <t>2023-12-28</t>
        </is>
      </c>
      <c r="D1678" s="8" t="inlineStr">
        <is>
          <t>CUST-05892</t>
        </is>
      </c>
      <c r="E1678" s="8" t="inlineStr">
        <is>
          <t>PRD-0092</t>
        </is>
      </c>
      <c r="F1678" s="8" t="n">
        <v>1</v>
      </c>
      <c r="G1678" s="9">
        <f>IFERROR(XLOOKUP(E1678, '04_Products'!$A:$A, '04_Products'!$G:$G), 63.90)</f>
        <v/>
      </c>
      <c r="H1678" s="9">
        <f>IFERROR(XLOOKUP(E1678, '04_Products'!$A:$A, '04_Products'!$F:$F), 0)</f>
        <v/>
      </c>
      <c r="I1678" s="9">
        <f>F1678*G1678</f>
        <v/>
      </c>
      <c r="J1678" s="11" t="n">
        <v>0.05</v>
      </c>
      <c r="K1678" s="9">
        <f>I1678*J1678</f>
        <v/>
      </c>
      <c r="L1678" s="9">
        <f>I1678-K1678</f>
        <v/>
      </c>
      <c r="M1678" s="9">
        <f>F1678*H1678</f>
        <v/>
      </c>
      <c r="N1678" s="9">
        <f>L1678-M1678</f>
        <v/>
      </c>
      <c r="O1678" s="11">
        <f>IFERROR(N1678/L1678, 0)</f>
        <v/>
      </c>
      <c r="P1678" s="8">
        <f>YEAR(C1678)</f>
        <v/>
      </c>
      <c r="Q1678" s="8">
        <f>TEXT(C1678, "yyyy-mm")</f>
        <v/>
      </c>
      <c r="R1678" s="8" t="inlineStr">
        <is>
          <t>Mobile App</t>
        </is>
      </c>
      <c r="S1678" s="8" t="inlineStr">
        <is>
          <t>REG-NA</t>
        </is>
      </c>
    </row>
    <row r="1679">
      <c r="A1679" s="8" t="inlineStr">
        <is>
          <t>DTL-0001699</t>
        </is>
      </c>
      <c r="B1679" s="8" t="inlineStr">
        <is>
          <t>ORD-000853</t>
        </is>
      </c>
      <c r="C1679" s="10" t="inlineStr">
        <is>
          <t>2024-07-17</t>
        </is>
      </c>
      <c r="D1679" s="8" t="inlineStr">
        <is>
          <t>CUST-04992</t>
        </is>
      </c>
      <c r="E1679" s="8" t="inlineStr">
        <is>
          <t>PRD-0353</t>
        </is>
      </c>
      <c r="F1679" s="8" t="n">
        <v>1</v>
      </c>
      <c r="G1679" s="9">
        <f>IFERROR(XLOOKUP(E1679, '04_Products'!$A:$A, '04_Products'!$G:$G), 438.24)</f>
        <v/>
      </c>
      <c r="H1679" s="9">
        <f>IFERROR(XLOOKUP(E1679, '04_Products'!$A:$A, '04_Products'!$F:$F), 0)</f>
        <v/>
      </c>
      <c r="I1679" s="9">
        <f>F1679*G1679</f>
        <v/>
      </c>
      <c r="J1679" s="11" t="n">
        <v>0</v>
      </c>
      <c r="K1679" s="9">
        <f>I1679*J1679</f>
        <v/>
      </c>
      <c r="L1679" s="9">
        <f>I1679-K1679</f>
        <v/>
      </c>
      <c r="M1679" s="9">
        <f>F1679*H1679</f>
        <v/>
      </c>
      <c r="N1679" s="9">
        <f>L1679-M1679</f>
        <v/>
      </c>
      <c r="O1679" s="11">
        <f>IFERROR(N1679/L1679, 0)</f>
        <v/>
      </c>
      <c r="P1679" s="8">
        <f>YEAR(C1679)</f>
        <v/>
      </c>
      <c r="Q1679" s="8">
        <f>TEXT(C1679, "yyyy-mm")</f>
        <v/>
      </c>
      <c r="R1679" s="8" t="inlineStr">
        <is>
          <t>Mobile App</t>
        </is>
      </c>
      <c r="S1679" s="8" t="inlineStr">
        <is>
          <t>REG-APAC</t>
        </is>
      </c>
    </row>
    <row r="1680">
      <c r="A1680" s="8" t="inlineStr">
        <is>
          <t>DTL-0001700</t>
        </is>
      </c>
      <c r="B1680" s="8" t="inlineStr">
        <is>
          <t>ORD-000853</t>
        </is>
      </c>
      <c r="C1680" s="10" t="inlineStr">
        <is>
          <t>2024-07-17</t>
        </is>
      </c>
      <c r="D1680" s="8" t="inlineStr">
        <is>
          <t>CUST-04992</t>
        </is>
      </c>
      <c r="E1680" s="8" t="inlineStr">
        <is>
          <t>PRD-0345</t>
        </is>
      </c>
      <c r="F1680" s="8" t="n">
        <v>1</v>
      </c>
      <c r="G1680" s="9">
        <f>IFERROR(XLOOKUP(E1680, '04_Products'!$A:$A, '04_Products'!$G:$G), 59.07)</f>
        <v/>
      </c>
      <c r="H1680" s="9">
        <f>IFERROR(XLOOKUP(E1680, '04_Products'!$A:$A, '04_Products'!$F:$F), 0)</f>
        <v/>
      </c>
      <c r="I1680" s="9">
        <f>F1680*G1680</f>
        <v/>
      </c>
      <c r="J1680" s="11" t="n">
        <v>0.1</v>
      </c>
      <c r="K1680" s="9">
        <f>I1680*J1680</f>
        <v/>
      </c>
      <c r="L1680" s="9">
        <f>I1680-K1680</f>
        <v/>
      </c>
      <c r="M1680" s="9">
        <f>F1680*H1680</f>
        <v/>
      </c>
      <c r="N1680" s="9">
        <f>L1680-M1680</f>
        <v/>
      </c>
      <c r="O1680" s="11">
        <f>IFERROR(N1680/L1680, 0)</f>
        <v/>
      </c>
      <c r="P1680" s="8">
        <f>YEAR(C1680)</f>
        <v/>
      </c>
      <c r="Q1680" s="8">
        <f>TEXT(C1680, "yyyy-mm")</f>
        <v/>
      </c>
      <c r="R1680" s="8" t="inlineStr">
        <is>
          <t>Mobile App</t>
        </is>
      </c>
      <c r="S1680" s="8" t="inlineStr">
        <is>
          <t>REG-APAC</t>
        </is>
      </c>
    </row>
    <row r="1681">
      <c r="A1681" s="8" t="inlineStr">
        <is>
          <t>DTL-0001701</t>
        </is>
      </c>
      <c r="B1681" s="8" t="inlineStr">
        <is>
          <t>ORD-000853</t>
        </is>
      </c>
      <c r="C1681" s="10" t="inlineStr">
        <is>
          <t>2024-07-17</t>
        </is>
      </c>
      <c r="D1681" s="8" t="inlineStr">
        <is>
          <t>CUST-04992</t>
        </is>
      </c>
      <c r="E1681" s="8" t="inlineStr">
        <is>
          <t>PRD-0049</t>
        </is>
      </c>
      <c r="F1681" s="8" t="n">
        <v>2</v>
      </c>
      <c r="G1681" s="9">
        <f>IFERROR(XLOOKUP(E1681, '04_Products'!$A:$A, '04_Products'!$G:$G), 742.52)</f>
        <v/>
      </c>
      <c r="H1681" s="9">
        <f>IFERROR(XLOOKUP(E1681, '04_Products'!$A:$A, '04_Products'!$F:$F), 0)</f>
        <v/>
      </c>
      <c r="I1681" s="9">
        <f>F1681*G1681</f>
        <v/>
      </c>
      <c r="J1681" s="11" t="n">
        <v>0.05</v>
      </c>
      <c r="K1681" s="9">
        <f>I1681*J1681</f>
        <v/>
      </c>
      <c r="L1681" s="9">
        <f>I1681-K1681</f>
        <v/>
      </c>
      <c r="M1681" s="9">
        <f>F1681*H1681</f>
        <v/>
      </c>
      <c r="N1681" s="9">
        <f>L1681-M1681</f>
        <v/>
      </c>
      <c r="O1681" s="11">
        <f>IFERROR(N1681/L1681, 0)</f>
        <v/>
      </c>
      <c r="P1681" s="8">
        <f>YEAR(C1681)</f>
        <v/>
      </c>
      <c r="Q1681" s="8">
        <f>TEXT(C1681, "yyyy-mm")</f>
        <v/>
      </c>
      <c r="R1681" s="8" t="inlineStr">
        <is>
          <t>Mobile App</t>
        </is>
      </c>
      <c r="S1681" s="8" t="inlineStr">
        <is>
          <t>REG-APAC</t>
        </is>
      </c>
    </row>
    <row r="1682">
      <c r="A1682" s="8" t="inlineStr">
        <is>
          <t>DTL-0001702</t>
        </is>
      </c>
      <c r="B1682" s="8" t="inlineStr">
        <is>
          <t>ORD-000853</t>
        </is>
      </c>
      <c r="C1682" s="10" t="inlineStr">
        <is>
          <t>2024-07-17</t>
        </is>
      </c>
      <c r="D1682" s="8" t="inlineStr">
        <is>
          <t>CUST-04992</t>
        </is>
      </c>
      <c r="E1682" s="8" t="inlineStr">
        <is>
          <t>PRD-0450</t>
        </is>
      </c>
      <c r="F1682" s="8" t="n">
        <v>1</v>
      </c>
      <c r="G1682" s="9">
        <f>IFERROR(XLOOKUP(E1682, '04_Products'!$A:$A, '04_Products'!$G:$G), 646.81)</f>
        <v/>
      </c>
      <c r="H1682" s="9">
        <f>IFERROR(XLOOKUP(E1682, '04_Products'!$A:$A, '04_Products'!$F:$F), 0)</f>
        <v/>
      </c>
      <c r="I1682" s="9">
        <f>F1682*G1682</f>
        <v/>
      </c>
      <c r="J1682" s="11" t="n">
        <v>0.25</v>
      </c>
      <c r="K1682" s="9">
        <f>I1682*J1682</f>
        <v/>
      </c>
      <c r="L1682" s="9">
        <f>I1682-K1682</f>
        <v/>
      </c>
      <c r="M1682" s="9">
        <f>F1682*H1682</f>
        <v/>
      </c>
      <c r="N1682" s="9">
        <f>L1682-M1682</f>
        <v/>
      </c>
      <c r="O1682" s="11">
        <f>IFERROR(N1682/L1682, 0)</f>
        <v/>
      </c>
      <c r="P1682" s="8">
        <f>YEAR(C1682)</f>
        <v/>
      </c>
      <c r="Q1682" s="8">
        <f>TEXT(C1682, "yyyy-mm")</f>
        <v/>
      </c>
      <c r="R1682" s="8" t="inlineStr">
        <is>
          <t>Mobile App</t>
        </is>
      </c>
      <c r="S1682" s="8" t="inlineStr">
        <is>
          <t>REG-APAC</t>
        </is>
      </c>
    </row>
    <row r="1683">
      <c r="A1683" s="8" t="inlineStr">
        <is>
          <t>DTL-0001703</t>
        </is>
      </c>
      <c r="B1683" s="8" t="inlineStr">
        <is>
          <t>ORD-000853</t>
        </is>
      </c>
      <c r="C1683" s="10" t="inlineStr">
        <is>
          <t>2024-07-17</t>
        </is>
      </c>
      <c r="D1683" s="8" t="inlineStr">
        <is>
          <t>CUST-04992</t>
        </is>
      </c>
      <c r="E1683" s="8" t="inlineStr">
        <is>
          <t>PRD-0054</t>
        </is>
      </c>
      <c r="F1683" s="8" t="n">
        <v>1</v>
      </c>
      <c r="G1683" s="9">
        <f>IFERROR(XLOOKUP(E1683, '04_Products'!$A:$A, '04_Products'!$G:$G), 873.80)</f>
        <v/>
      </c>
      <c r="H1683" s="9">
        <f>IFERROR(XLOOKUP(E1683, '04_Products'!$A:$A, '04_Products'!$F:$F), 0)</f>
        <v/>
      </c>
      <c r="I1683" s="9">
        <f>F1683*G1683</f>
        <v/>
      </c>
      <c r="J1683" s="11" t="n">
        <v>0</v>
      </c>
      <c r="K1683" s="9">
        <f>I1683*J1683</f>
        <v/>
      </c>
      <c r="L1683" s="9">
        <f>I1683-K1683</f>
        <v/>
      </c>
      <c r="M1683" s="9">
        <f>F1683*H1683</f>
        <v/>
      </c>
      <c r="N1683" s="9">
        <f>L1683-M1683</f>
        <v/>
      </c>
      <c r="O1683" s="11">
        <f>IFERROR(N1683/L1683, 0)</f>
        <v/>
      </c>
      <c r="P1683" s="8">
        <f>YEAR(C1683)</f>
        <v/>
      </c>
      <c r="Q1683" s="8">
        <f>TEXT(C1683, "yyyy-mm")</f>
        <v/>
      </c>
      <c r="R1683" s="8" t="inlineStr">
        <is>
          <t>Mobile App</t>
        </is>
      </c>
      <c r="S1683" s="8" t="inlineStr">
        <is>
          <t>REG-APAC</t>
        </is>
      </c>
    </row>
    <row r="1684">
      <c r="A1684" s="8" t="inlineStr">
        <is>
          <t>DTL-0001704</t>
        </is>
      </c>
      <c r="B1684" s="8" t="inlineStr">
        <is>
          <t>ORD-000854</t>
        </is>
      </c>
      <c r="C1684" s="10" t="inlineStr">
        <is>
          <t>2024-12-09</t>
        </is>
      </c>
      <c r="D1684" s="8" t="inlineStr">
        <is>
          <t>CUST-00425</t>
        </is>
      </c>
      <c r="E1684" s="8" t="inlineStr">
        <is>
          <t>PRD-0064</t>
        </is>
      </c>
      <c r="F1684" s="8" t="n">
        <v>1</v>
      </c>
      <c r="G1684" s="9">
        <f>IFERROR(XLOOKUP(E1684, '04_Products'!$A:$A, '04_Products'!$G:$G), 36.84)</f>
        <v/>
      </c>
      <c r="H1684" s="9">
        <f>IFERROR(XLOOKUP(E1684, '04_Products'!$A:$A, '04_Products'!$F:$F), 0)</f>
        <v/>
      </c>
      <c r="I1684" s="9">
        <f>F1684*G1684</f>
        <v/>
      </c>
      <c r="J1684" s="11" t="n">
        <v>0.05</v>
      </c>
      <c r="K1684" s="9">
        <f>I1684*J1684</f>
        <v/>
      </c>
      <c r="L1684" s="9">
        <f>I1684-K1684</f>
        <v/>
      </c>
      <c r="M1684" s="9">
        <f>F1684*H1684</f>
        <v/>
      </c>
      <c r="N1684" s="9">
        <f>L1684-M1684</f>
        <v/>
      </c>
      <c r="O1684" s="11">
        <f>IFERROR(N1684/L1684, 0)</f>
        <v/>
      </c>
      <c r="P1684" s="8">
        <f>YEAR(C1684)</f>
        <v/>
      </c>
      <c r="Q1684" s="8">
        <f>TEXT(C1684, "yyyy-mm")</f>
        <v/>
      </c>
      <c r="R1684" s="8" t="inlineStr">
        <is>
          <t>Direct Web</t>
        </is>
      </c>
      <c r="S1684" s="8" t="inlineStr">
        <is>
          <t>REG-EU</t>
        </is>
      </c>
    </row>
    <row r="1685">
      <c r="A1685" s="8" t="inlineStr">
        <is>
          <t>DTL-0001705</t>
        </is>
      </c>
      <c r="B1685" s="8" t="inlineStr">
        <is>
          <t>ORD-000854</t>
        </is>
      </c>
      <c r="C1685" s="10" t="inlineStr">
        <is>
          <t>2024-12-09</t>
        </is>
      </c>
      <c r="D1685" s="8" t="inlineStr">
        <is>
          <t>CUST-00425</t>
        </is>
      </c>
      <c r="E1685" s="8" t="inlineStr">
        <is>
          <t>PRD-0157</t>
        </is>
      </c>
      <c r="F1685" s="8" t="n">
        <v>2</v>
      </c>
      <c r="G1685" s="9">
        <f>IFERROR(XLOOKUP(E1685, '04_Products'!$A:$A, '04_Products'!$G:$G), 227.80)</f>
        <v/>
      </c>
      <c r="H1685" s="9">
        <f>IFERROR(XLOOKUP(E1685, '04_Products'!$A:$A, '04_Products'!$F:$F), 0)</f>
        <v/>
      </c>
      <c r="I1685" s="9">
        <f>F1685*G1685</f>
        <v/>
      </c>
      <c r="J1685" s="11" t="n">
        <v>0</v>
      </c>
      <c r="K1685" s="9">
        <f>I1685*J1685</f>
        <v/>
      </c>
      <c r="L1685" s="9">
        <f>I1685-K1685</f>
        <v/>
      </c>
      <c r="M1685" s="9">
        <f>F1685*H1685</f>
        <v/>
      </c>
      <c r="N1685" s="9">
        <f>L1685-M1685</f>
        <v/>
      </c>
      <c r="O1685" s="11">
        <f>IFERROR(N1685/L1685, 0)</f>
        <v/>
      </c>
      <c r="P1685" s="8">
        <f>YEAR(C1685)</f>
        <v/>
      </c>
      <c r="Q1685" s="8">
        <f>TEXT(C1685, "yyyy-mm")</f>
        <v/>
      </c>
      <c r="R1685" s="8" t="inlineStr">
        <is>
          <t>Direct Web</t>
        </is>
      </c>
      <c r="S1685" s="8" t="inlineStr">
        <is>
          <t>REG-EU</t>
        </is>
      </c>
    </row>
    <row r="1686">
      <c r="A1686" s="8" t="inlineStr">
        <is>
          <t>DTL-0001706</t>
        </is>
      </c>
      <c r="B1686" s="8" t="inlineStr">
        <is>
          <t>ORD-000854</t>
        </is>
      </c>
      <c r="C1686" s="10" t="inlineStr">
        <is>
          <t>2024-12-09</t>
        </is>
      </c>
      <c r="D1686" s="8" t="inlineStr">
        <is>
          <t>CUST-00425</t>
        </is>
      </c>
      <c r="E1686" s="8" t="inlineStr">
        <is>
          <t>PRD-0041</t>
        </is>
      </c>
      <c r="F1686" s="8" t="n">
        <v>1</v>
      </c>
      <c r="G1686" s="9">
        <f>IFERROR(XLOOKUP(E1686, '04_Products'!$A:$A, '04_Products'!$G:$G), 71.67)</f>
        <v/>
      </c>
      <c r="H1686" s="9">
        <f>IFERROR(XLOOKUP(E1686, '04_Products'!$A:$A, '04_Products'!$F:$F), 0)</f>
        <v/>
      </c>
      <c r="I1686" s="9">
        <f>F1686*G1686</f>
        <v/>
      </c>
      <c r="J1686" s="11" t="n">
        <v>0.1</v>
      </c>
      <c r="K1686" s="9">
        <f>I1686*J1686</f>
        <v/>
      </c>
      <c r="L1686" s="9">
        <f>I1686-K1686</f>
        <v/>
      </c>
      <c r="M1686" s="9">
        <f>F1686*H1686</f>
        <v/>
      </c>
      <c r="N1686" s="9">
        <f>L1686-M1686</f>
        <v/>
      </c>
      <c r="O1686" s="11">
        <f>IFERROR(N1686/L1686, 0)</f>
        <v/>
      </c>
      <c r="P1686" s="8">
        <f>YEAR(C1686)</f>
        <v/>
      </c>
      <c r="Q1686" s="8">
        <f>TEXT(C1686, "yyyy-mm")</f>
        <v/>
      </c>
      <c r="R1686" s="8" t="inlineStr">
        <is>
          <t>Direct Web</t>
        </is>
      </c>
      <c r="S1686" s="8" t="inlineStr">
        <is>
          <t>REG-EU</t>
        </is>
      </c>
    </row>
    <row r="1687">
      <c r="A1687" s="8" t="inlineStr">
        <is>
          <t>DTL-0001707</t>
        </is>
      </c>
      <c r="B1687" s="8" t="inlineStr">
        <is>
          <t>ORD-000854</t>
        </is>
      </c>
      <c r="C1687" s="10" t="inlineStr">
        <is>
          <t>2024-12-09</t>
        </is>
      </c>
      <c r="D1687" s="8" t="inlineStr">
        <is>
          <t>CUST-00425</t>
        </is>
      </c>
      <c r="E1687" s="8" t="inlineStr">
        <is>
          <t>PRD-0307</t>
        </is>
      </c>
      <c r="F1687" s="8" t="n">
        <v>2</v>
      </c>
      <c r="G1687" s="9">
        <f>IFERROR(XLOOKUP(E1687, '04_Products'!$A:$A, '04_Products'!$G:$G), 762.88)</f>
        <v/>
      </c>
      <c r="H1687" s="9">
        <f>IFERROR(XLOOKUP(E1687, '04_Products'!$A:$A, '04_Products'!$F:$F), 0)</f>
        <v/>
      </c>
      <c r="I1687" s="9">
        <f>F1687*G1687</f>
        <v/>
      </c>
      <c r="J1687" s="11" t="n">
        <v>0.3</v>
      </c>
      <c r="K1687" s="9">
        <f>I1687*J1687</f>
        <v/>
      </c>
      <c r="L1687" s="9">
        <f>I1687-K1687</f>
        <v/>
      </c>
      <c r="M1687" s="9">
        <f>F1687*H1687</f>
        <v/>
      </c>
      <c r="N1687" s="9">
        <f>L1687-M1687</f>
        <v/>
      </c>
      <c r="O1687" s="11">
        <f>IFERROR(N1687/L1687, 0)</f>
        <v/>
      </c>
      <c r="P1687" s="8">
        <f>YEAR(C1687)</f>
        <v/>
      </c>
      <c r="Q1687" s="8">
        <f>TEXT(C1687, "yyyy-mm")</f>
        <v/>
      </c>
      <c r="R1687" s="8" t="inlineStr">
        <is>
          <t>Direct Web</t>
        </is>
      </c>
      <c r="S1687" s="8" t="inlineStr">
        <is>
          <t>REG-EU</t>
        </is>
      </c>
    </row>
    <row r="1688">
      <c r="A1688" s="8" t="inlineStr">
        <is>
          <t>DTL-0001708</t>
        </is>
      </c>
      <c r="B1688" s="8" t="inlineStr">
        <is>
          <t>ORD-000855</t>
        </is>
      </c>
      <c r="C1688" s="10" t="inlineStr">
        <is>
          <t>2024-07-13</t>
        </is>
      </c>
      <c r="D1688" s="8" t="inlineStr">
        <is>
          <t>CUST-02891</t>
        </is>
      </c>
      <c r="E1688" s="8" t="inlineStr">
        <is>
          <t>PRD-0469</t>
        </is>
      </c>
      <c r="F1688" s="8" t="n">
        <v>1</v>
      </c>
      <c r="G1688" s="9">
        <f>IFERROR(XLOOKUP(E1688, '04_Products'!$A:$A, '04_Products'!$G:$G), 892.14)</f>
        <v/>
      </c>
      <c r="H1688" s="9">
        <f>IFERROR(XLOOKUP(E1688, '04_Products'!$A:$A, '04_Products'!$F:$F), 0)</f>
        <v/>
      </c>
      <c r="I1688" s="9">
        <f>F1688*G1688</f>
        <v/>
      </c>
      <c r="J1688" s="11" t="n">
        <v>0.15</v>
      </c>
      <c r="K1688" s="9">
        <f>I1688*J1688</f>
        <v/>
      </c>
      <c r="L1688" s="9">
        <f>I1688-K1688</f>
        <v/>
      </c>
      <c r="M1688" s="9">
        <f>F1688*H1688</f>
        <v/>
      </c>
      <c r="N1688" s="9">
        <f>L1688-M1688</f>
        <v/>
      </c>
      <c r="O1688" s="11">
        <f>IFERROR(N1688/L1688, 0)</f>
        <v/>
      </c>
      <c r="P1688" s="8">
        <f>YEAR(C1688)</f>
        <v/>
      </c>
      <c r="Q1688" s="8">
        <f>TEXT(C1688, "yyyy-mm")</f>
        <v/>
      </c>
      <c r="R1688" s="8" t="inlineStr">
        <is>
          <t>Direct Web</t>
        </is>
      </c>
      <c r="S1688" s="8" t="inlineStr">
        <is>
          <t>REG-EU</t>
        </is>
      </c>
    </row>
    <row r="1689">
      <c r="A1689" s="8" t="inlineStr">
        <is>
          <t>DTL-0001709</t>
        </is>
      </c>
      <c r="B1689" s="8" t="inlineStr">
        <is>
          <t>ORD-000855</t>
        </is>
      </c>
      <c r="C1689" s="10" t="inlineStr">
        <is>
          <t>2024-07-13</t>
        </is>
      </c>
      <c r="D1689" s="8" t="inlineStr">
        <is>
          <t>CUST-02891</t>
        </is>
      </c>
      <c r="E1689" s="8" t="inlineStr">
        <is>
          <t>PRD-0466</t>
        </is>
      </c>
      <c r="F1689" s="8" t="n">
        <v>1</v>
      </c>
      <c r="G1689" s="9">
        <f>IFERROR(XLOOKUP(E1689, '04_Products'!$A:$A, '04_Products'!$G:$G), 18.36)</f>
        <v/>
      </c>
      <c r="H1689" s="9">
        <f>IFERROR(XLOOKUP(E1689, '04_Products'!$A:$A, '04_Products'!$F:$F), 0)</f>
        <v/>
      </c>
      <c r="I1689" s="9">
        <f>F1689*G1689</f>
        <v/>
      </c>
      <c r="J1689" s="11" t="n">
        <v>0</v>
      </c>
      <c r="K1689" s="9">
        <f>I1689*J1689</f>
        <v/>
      </c>
      <c r="L1689" s="9">
        <f>I1689-K1689</f>
        <v/>
      </c>
      <c r="M1689" s="9">
        <f>F1689*H1689</f>
        <v/>
      </c>
      <c r="N1689" s="9">
        <f>L1689-M1689</f>
        <v/>
      </c>
      <c r="O1689" s="11">
        <f>IFERROR(N1689/L1689, 0)</f>
        <v/>
      </c>
      <c r="P1689" s="8">
        <f>YEAR(C1689)</f>
        <v/>
      </c>
      <c r="Q1689" s="8">
        <f>TEXT(C1689, "yyyy-mm")</f>
        <v/>
      </c>
      <c r="R1689" s="8" t="inlineStr">
        <is>
          <t>Direct Web</t>
        </is>
      </c>
      <c r="S1689" s="8" t="inlineStr">
        <is>
          <t>REG-EU</t>
        </is>
      </c>
    </row>
    <row r="1690">
      <c r="A1690" s="8" t="inlineStr">
        <is>
          <t>DTL-0001710</t>
        </is>
      </c>
      <c r="B1690" s="8" t="inlineStr">
        <is>
          <t>ORD-000855</t>
        </is>
      </c>
      <c r="C1690" s="10" t="inlineStr">
        <is>
          <t>2024-07-13</t>
        </is>
      </c>
      <c r="D1690" s="8" t="inlineStr">
        <is>
          <t>CUST-02891</t>
        </is>
      </c>
      <c r="E1690" s="8" t="inlineStr">
        <is>
          <t>PRD-0047</t>
        </is>
      </c>
      <c r="F1690" s="8" t="n">
        <v>2</v>
      </c>
      <c r="G1690" s="9">
        <f>IFERROR(XLOOKUP(E1690, '04_Products'!$A:$A, '04_Products'!$G:$G), 43.83)</f>
        <v/>
      </c>
      <c r="H1690" s="9">
        <f>IFERROR(XLOOKUP(E1690, '04_Products'!$A:$A, '04_Products'!$F:$F), 0)</f>
        <v/>
      </c>
      <c r="I1690" s="9">
        <f>F1690*G1690</f>
        <v/>
      </c>
      <c r="J1690" s="11" t="n">
        <v>0.05</v>
      </c>
      <c r="K1690" s="9">
        <f>I1690*J1690</f>
        <v/>
      </c>
      <c r="L1690" s="9">
        <f>I1690-K1690</f>
        <v/>
      </c>
      <c r="M1690" s="9">
        <f>F1690*H1690</f>
        <v/>
      </c>
      <c r="N1690" s="9">
        <f>L1690-M1690</f>
        <v/>
      </c>
      <c r="O1690" s="11">
        <f>IFERROR(N1690/L1690, 0)</f>
        <v/>
      </c>
      <c r="P1690" s="8">
        <f>YEAR(C1690)</f>
        <v/>
      </c>
      <c r="Q1690" s="8">
        <f>TEXT(C1690, "yyyy-mm")</f>
        <v/>
      </c>
      <c r="R1690" s="8" t="inlineStr">
        <is>
          <t>Direct Web</t>
        </is>
      </c>
      <c r="S1690" s="8" t="inlineStr">
        <is>
          <t>REG-EU</t>
        </is>
      </c>
    </row>
    <row r="1691">
      <c r="A1691" s="8" t="inlineStr">
        <is>
          <t>DTL-0001711</t>
        </is>
      </c>
      <c r="B1691" s="8" t="inlineStr">
        <is>
          <t>ORD-000855</t>
        </is>
      </c>
      <c r="C1691" s="10" t="inlineStr">
        <is>
          <t>2024-07-13</t>
        </is>
      </c>
      <c r="D1691" s="8" t="inlineStr">
        <is>
          <t>CUST-02891</t>
        </is>
      </c>
      <c r="E1691" s="8" t="inlineStr">
        <is>
          <t>PRD-0479</t>
        </is>
      </c>
      <c r="F1691" s="8" t="n">
        <v>1</v>
      </c>
      <c r="G1691" s="9">
        <f>IFERROR(XLOOKUP(E1691, '04_Products'!$A:$A, '04_Products'!$G:$G), 816.11)</f>
        <v/>
      </c>
      <c r="H1691" s="9">
        <f>IFERROR(XLOOKUP(E1691, '04_Products'!$A:$A, '04_Products'!$F:$F), 0)</f>
        <v/>
      </c>
      <c r="I1691" s="9">
        <f>F1691*G1691</f>
        <v/>
      </c>
      <c r="J1691" s="11" t="n">
        <v>0.2</v>
      </c>
      <c r="K1691" s="9">
        <f>I1691*J1691</f>
        <v/>
      </c>
      <c r="L1691" s="9">
        <f>I1691-K1691</f>
        <v/>
      </c>
      <c r="M1691" s="9">
        <f>F1691*H1691</f>
        <v/>
      </c>
      <c r="N1691" s="9">
        <f>L1691-M1691</f>
        <v/>
      </c>
      <c r="O1691" s="11">
        <f>IFERROR(N1691/L1691, 0)</f>
        <v/>
      </c>
      <c r="P1691" s="8">
        <f>YEAR(C1691)</f>
        <v/>
      </c>
      <c r="Q1691" s="8">
        <f>TEXT(C1691, "yyyy-mm")</f>
        <v/>
      </c>
      <c r="R1691" s="8" t="inlineStr">
        <is>
          <t>Direct Web</t>
        </is>
      </c>
      <c r="S1691" s="8" t="inlineStr">
        <is>
          <t>REG-EU</t>
        </is>
      </c>
    </row>
    <row r="1692">
      <c r="A1692" s="8" t="inlineStr">
        <is>
          <t>DTL-0001712</t>
        </is>
      </c>
      <c r="B1692" s="8" t="inlineStr">
        <is>
          <t>ORD-000856</t>
        </is>
      </c>
      <c r="C1692" s="10" t="inlineStr">
        <is>
          <t>2023-04-19</t>
        </is>
      </c>
      <c r="D1692" s="8" t="inlineStr">
        <is>
          <t>CUST-03167</t>
        </is>
      </c>
      <c r="E1692" s="8" t="inlineStr">
        <is>
          <t>PRD-0486</t>
        </is>
      </c>
      <c r="F1692" s="8" t="n">
        <v>4</v>
      </c>
      <c r="G1692" s="9">
        <f>IFERROR(XLOOKUP(E1692, '04_Products'!$A:$A, '04_Products'!$G:$G), 499.02)</f>
        <v/>
      </c>
      <c r="H1692" s="9">
        <f>IFERROR(XLOOKUP(E1692, '04_Products'!$A:$A, '04_Products'!$F:$F), 0)</f>
        <v/>
      </c>
      <c r="I1692" s="9">
        <f>F1692*G1692</f>
        <v/>
      </c>
      <c r="J1692" s="11" t="n">
        <v>0.1</v>
      </c>
      <c r="K1692" s="9">
        <f>I1692*J1692</f>
        <v/>
      </c>
      <c r="L1692" s="9">
        <f>I1692-K1692</f>
        <v/>
      </c>
      <c r="M1692" s="9">
        <f>F1692*H1692</f>
        <v/>
      </c>
      <c r="N1692" s="9">
        <f>L1692-M1692</f>
        <v/>
      </c>
      <c r="O1692" s="11">
        <f>IFERROR(N1692/L1692, 0)</f>
        <v/>
      </c>
      <c r="P1692" s="8">
        <f>YEAR(C1692)</f>
        <v/>
      </c>
      <c r="Q1692" s="8">
        <f>TEXT(C1692, "yyyy-mm")</f>
        <v/>
      </c>
      <c r="R1692" s="8" t="inlineStr">
        <is>
          <t>Mobile App</t>
        </is>
      </c>
      <c r="S1692" s="8" t="inlineStr">
        <is>
          <t>REG-EU</t>
        </is>
      </c>
    </row>
    <row r="1693">
      <c r="A1693" s="8" t="inlineStr">
        <is>
          <t>DTL-0001713</t>
        </is>
      </c>
      <c r="B1693" s="8" t="inlineStr">
        <is>
          <t>ORD-000856</t>
        </is>
      </c>
      <c r="C1693" s="10" t="inlineStr">
        <is>
          <t>2023-04-19</t>
        </is>
      </c>
      <c r="D1693" s="8" t="inlineStr">
        <is>
          <t>CUST-03167</t>
        </is>
      </c>
      <c r="E1693" s="8" t="inlineStr">
        <is>
          <t>PRD-0424</t>
        </is>
      </c>
      <c r="F1693" s="8" t="n">
        <v>1</v>
      </c>
      <c r="G1693" s="9">
        <f>IFERROR(XLOOKUP(E1693, '04_Products'!$A:$A, '04_Products'!$G:$G), 268.72)</f>
        <v/>
      </c>
      <c r="H1693" s="9">
        <f>IFERROR(XLOOKUP(E1693, '04_Products'!$A:$A, '04_Products'!$F:$F), 0)</f>
        <v/>
      </c>
      <c r="I1693" s="9">
        <f>F1693*G1693</f>
        <v/>
      </c>
      <c r="J1693" s="11" t="n">
        <v>0.15</v>
      </c>
      <c r="K1693" s="9">
        <f>I1693*J1693</f>
        <v/>
      </c>
      <c r="L1693" s="9">
        <f>I1693-K1693</f>
        <v/>
      </c>
      <c r="M1693" s="9">
        <f>F1693*H1693</f>
        <v/>
      </c>
      <c r="N1693" s="9">
        <f>L1693-M1693</f>
        <v/>
      </c>
      <c r="O1693" s="11">
        <f>IFERROR(N1693/L1693, 0)</f>
        <v/>
      </c>
      <c r="P1693" s="8">
        <f>YEAR(C1693)</f>
        <v/>
      </c>
      <c r="Q1693" s="8">
        <f>TEXT(C1693, "yyyy-mm")</f>
        <v/>
      </c>
      <c r="R1693" s="8" t="inlineStr">
        <is>
          <t>Mobile App</t>
        </is>
      </c>
      <c r="S1693" s="8" t="inlineStr">
        <is>
          <t>REG-EU</t>
        </is>
      </c>
    </row>
    <row r="1694">
      <c r="A1694" s="8" t="inlineStr">
        <is>
          <t>DTL-0001714</t>
        </is>
      </c>
      <c r="B1694" s="8" t="inlineStr">
        <is>
          <t>ORD-000856</t>
        </is>
      </c>
      <c r="C1694" s="10" t="inlineStr">
        <is>
          <t>2023-04-19</t>
        </is>
      </c>
      <c r="D1694" s="8" t="inlineStr">
        <is>
          <t>CUST-03167</t>
        </is>
      </c>
      <c r="E1694" s="8" t="inlineStr">
        <is>
          <t>PRD-0104</t>
        </is>
      </c>
      <c r="F1694" s="8" t="n">
        <v>1</v>
      </c>
      <c r="G1694" s="9">
        <f>IFERROR(XLOOKUP(E1694, '04_Products'!$A:$A, '04_Products'!$G:$G), 17.28)</f>
        <v/>
      </c>
      <c r="H1694" s="9">
        <f>IFERROR(XLOOKUP(E1694, '04_Products'!$A:$A, '04_Products'!$F:$F), 0)</f>
        <v/>
      </c>
      <c r="I1694" s="9">
        <f>F1694*G1694</f>
        <v/>
      </c>
      <c r="J1694" s="11" t="n">
        <v>0.1</v>
      </c>
      <c r="K1694" s="9">
        <f>I1694*J1694</f>
        <v/>
      </c>
      <c r="L1694" s="9">
        <f>I1694-K1694</f>
        <v/>
      </c>
      <c r="M1694" s="9">
        <f>F1694*H1694</f>
        <v/>
      </c>
      <c r="N1694" s="9">
        <f>L1694-M1694</f>
        <v/>
      </c>
      <c r="O1694" s="11">
        <f>IFERROR(N1694/L1694, 0)</f>
        <v/>
      </c>
      <c r="P1694" s="8">
        <f>YEAR(C1694)</f>
        <v/>
      </c>
      <c r="Q1694" s="8">
        <f>TEXT(C1694, "yyyy-mm")</f>
        <v/>
      </c>
      <c r="R1694" s="8" t="inlineStr">
        <is>
          <t>Mobile App</t>
        </is>
      </c>
      <c r="S1694" s="8" t="inlineStr">
        <is>
          <t>REG-EU</t>
        </is>
      </c>
    </row>
    <row r="1695">
      <c r="A1695" s="8" t="inlineStr">
        <is>
          <t>DTL-0001715</t>
        </is>
      </c>
      <c r="B1695" s="8" t="inlineStr">
        <is>
          <t>ORD-000856</t>
        </is>
      </c>
      <c r="C1695" s="10" t="inlineStr">
        <is>
          <t>2023-04-19</t>
        </is>
      </c>
      <c r="D1695" s="8" t="inlineStr">
        <is>
          <t>CUST-03167</t>
        </is>
      </c>
      <c r="E1695" s="8" t="inlineStr">
        <is>
          <t>PRD-0415</t>
        </is>
      </c>
      <c r="F1695" s="8" t="n">
        <v>3</v>
      </c>
      <c r="G1695" s="9">
        <f>IFERROR(XLOOKUP(E1695, '04_Products'!$A:$A, '04_Products'!$G:$G), 934.21)</f>
        <v/>
      </c>
      <c r="H1695" s="9">
        <f>IFERROR(XLOOKUP(E1695, '04_Products'!$A:$A, '04_Products'!$F:$F), 0)</f>
        <v/>
      </c>
      <c r="I1695" s="9">
        <f>F1695*G1695</f>
        <v/>
      </c>
      <c r="J1695" s="11" t="n">
        <v>0.15</v>
      </c>
      <c r="K1695" s="9">
        <f>I1695*J1695</f>
        <v/>
      </c>
      <c r="L1695" s="9">
        <f>I1695-K1695</f>
        <v/>
      </c>
      <c r="M1695" s="9">
        <f>F1695*H1695</f>
        <v/>
      </c>
      <c r="N1695" s="9">
        <f>L1695-M1695</f>
        <v/>
      </c>
      <c r="O1695" s="11">
        <f>IFERROR(N1695/L1695, 0)</f>
        <v/>
      </c>
      <c r="P1695" s="8">
        <f>YEAR(C1695)</f>
        <v/>
      </c>
      <c r="Q1695" s="8">
        <f>TEXT(C1695, "yyyy-mm")</f>
        <v/>
      </c>
      <c r="R1695" s="8" t="inlineStr">
        <is>
          <t>Mobile App</t>
        </is>
      </c>
      <c r="S1695" s="8" t="inlineStr">
        <is>
          <t>REG-EU</t>
        </is>
      </c>
    </row>
    <row r="1696">
      <c r="A1696" s="8" t="inlineStr">
        <is>
          <t>DTL-0001716</t>
        </is>
      </c>
      <c r="B1696" s="8" t="inlineStr">
        <is>
          <t>ORD-000857</t>
        </is>
      </c>
      <c r="C1696" s="10" t="inlineStr">
        <is>
          <t>2025-09-08</t>
        </is>
      </c>
      <c r="D1696" s="8" t="inlineStr">
        <is>
          <t>CUST-04025</t>
        </is>
      </c>
      <c r="E1696" s="8" t="inlineStr">
        <is>
          <t>PRD-0103</t>
        </is>
      </c>
      <c r="F1696" s="8" t="n">
        <v>1</v>
      </c>
      <c r="G1696" s="9">
        <f>IFERROR(XLOOKUP(E1696, '04_Products'!$A:$A, '04_Products'!$G:$G), 33.68)</f>
        <v/>
      </c>
      <c r="H1696" s="9">
        <f>IFERROR(XLOOKUP(E1696, '04_Products'!$A:$A, '04_Products'!$F:$F), 0)</f>
        <v/>
      </c>
      <c r="I1696" s="9">
        <f>F1696*G1696</f>
        <v/>
      </c>
      <c r="J1696" s="11" t="n">
        <v>0.05</v>
      </c>
      <c r="K1696" s="9">
        <f>I1696*J1696</f>
        <v/>
      </c>
      <c r="L1696" s="9">
        <f>I1696-K1696</f>
        <v/>
      </c>
      <c r="M1696" s="9">
        <f>F1696*H1696</f>
        <v/>
      </c>
      <c r="N1696" s="9">
        <f>L1696-M1696</f>
        <v/>
      </c>
      <c r="O1696" s="11">
        <f>IFERROR(N1696/L1696, 0)</f>
        <v/>
      </c>
      <c r="P1696" s="8">
        <f>YEAR(C1696)</f>
        <v/>
      </c>
      <c r="Q1696" s="8">
        <f>TEXT(C1696, "yyyy-mm")</f>
        <v/>
      </c>
      <c r="R1696" s="8" t="inlineStr">
        <is>
          <t>Direct Web</t>
        </is>
      </c>
      <c r="S1696" s="8" t="inlineStr">
        <is>
          <t>REG-NA</t>
        </is>
      </c>
    </row>
    <row r="1697">
      <c r="A1697" s="8" t="inlineStr">
        <is>
          <t>DTL-0001717</t>
        </is>
      </c>
      <c r="B1697" s="8" t="inlineStr">
        <is>
          <t>ORD-000857</t>
        </is>
      </c>
      <c r="C1697" s="10" t="inlineStr">
        <is>
          <t>2025-09-08</t>
        </is>
      </c>
      <c r="D1697" s="8" t="inlineStr">
        <is>
          <t>CUST-04025</t>
        </is>
      </c>
      <c r="E1697" s="8" t="inlineStr">
        <is>
          <t>PRD-0357</t>
        </is>
      </c>
      <c r="F1697" s="8" t="n">
        <v>1</v>
      </c>
      <c r="G1697" s="9">
        <f>IFERROR(XLOOKUP(E1697, '04_Products'!$A:$A, '04_Products'!$G:$G), 305.71)</f>
        <v/>
      </c>
      <c r="H1697" s="9">
        <f>IFERROR(XLOOKUP(E1697, '04_Products'!$A:$A, '04_Products'!$F:$F), 0)</f>
        <v/>
      </c>
      <c r="I1697" s="9">
        <f>F1697*G1697</f>
        <v/>
      </c>
      <c r="J1697" s="11" t="n">
        <v>0.2</v>
      </c>
      <c r="K1697" s="9">
        <f>I1697*J1697</f>
        <v/>
      </c>
      <c r="L1697" s="9">
        <f>I1697-K1697</f>
        <v/>
      </c>
      <c r="M1697" s="9">
        <f>F1697*H1697</f>
        <v/>
      </c>
      <c r="N1697" s="9">
        <f>L1697-M1697</f>
        <v/>
      </c>
      <c r="O1697" s="11">
        <f>IFERROR(N1697/L1697, 0)</f>
        <v/>
      </c>
      <c r="P1697" s="8">
        <f>YEAR(C1697)</f>
        <v/>
      </c>
      <c r="Q1697" s="8">
        <f>TEXT(C1697, "yyyy-mm")</f>
        <v/>
      </c>
      <c r="R1697" s="8" t="inlineStr">
        <is>
          <t>Direct Web</t>
        </is>
      </c>
      <c r="S1697" s="8" t="inlineStr">
        <is>
          <t>REG-NA</t>
        </is>
      </c>
    </row>
    <row r="1698">
      <c r="A1698" s="8" t="inlineStr">
        <is>
          <t>DTL-0001718</t>
        </is>
      </c>
      <c r="B1698" s="8" t="inlineStr">
        <is>
          <t>ORD-000858</t>
        </is>
      </c>
      <c r="C1698" s="10" t="inlineStr">
        <is>
          <t>2024-10-29</t>
        </is>
      </c>
      <c r="D1698" s="8" t="inlineStr">
        <is>
          <t>CUST-04286</t>
        </is>
      </c>
      <c r="E1698" s="8" t="inlineStr">
        <is>
          <t>PRD-0427</t>
        </is>
      </c>
      <c r="F1698" s="8" t="n">
        <v>1</v>
      </c>
      <c r="G1698" s="9">
        <f>IFERROR(XLOOKUP(E1698, '04_Products'!$A:$A, '04_Products'!$G:$G), 108.94)</f>
        <v/>
      </c>
      <c r="H1698" s="9">
        <f>IFERROR(XLOOKUP(E1698, '04_Products'!$A:$A, '04_Products'!$F:$F), 0)</f>
        <v/>
      </c>
      <c r="I1698" s="9">
        <f>F1698*G1698</f>
        <v/>
      </c>
      <c r="J1698" s="11" t="n">
        <v>0.05</v>
      </c>
      <c r="K1698" s="9">
        <f>I1698*J1698</f>
        <v/>
      </c>
      <c r="L1698" s="9">
        <f>I1698-K1698</f>
        <v/>
      </c>
      <c r="M1698" s="9">
        <f>F1698*H1698</f>
        <v/>
      </c>
      <c r="N1698" s="9">
        <f>L1698-M1698</f>
        <v/>
      </c>
      <c r="O1698" s="11">
        <f>IFERROR(N1698/L1698, 0)</f>
        <v/>
      </c>
      <c r="P1698" s="8">
        <f>YEAR(C1698)</f>
        <v/>
      </c>
      <c r="Q1698" s="8">
        <f>TEXT(C1698, "yyyy-mm")</f>
        <v/>
      </c>
      <c r="R1698" s="8" t="inlineStr">
        <is>
          <t>Direct Web</t>
        </is>
      </c>
      <c r="S1698" s="8" t="inlineStr">
        <is>
          <t>REG-NA</t>
        </is>
      </c>
    </row>
    <row r="1699">
      <c r="A1699" s="8" t="inlineStr">
        <is>
          <t>DTL-0001719</t>
        </is>
      </c>
      <c r="B1699" s="8" t="inlineStr">
        <is>
          <t>ORD-000858</t>
        </is>
      </c>
      <c r="C1699" s="10" t="inlineStr">
        <is>
          <t>2024-10-29</t>
        </is>
      </c>
      <c r="D1699" s="8" t="inlineStr">
        <is>
          <t>CUST-04286</t>
        </is>
      </c>
      <c r="E1699" s="8" t="inlineStr">
        <is>
          <t>PRD-0194</t>
        </is>
      </c>
      <c r="F1699" s="8" t="n">
        <v>2</v>
      </c>
      <c r="G1699" s="9">
        <f>IFERROR(XLOOKUP(E1699, '04_Products'!$A:$A, '04_Products'!$G:$G), 603.69)</f>
        <v/>
      </c>
      <c r="H1699" s="9">
        <f>IFERROR(XLOOKUP(E1699, '04_Products'!$A:$A, '04_Products'!$F:$F), 0)</f>
        <v/>
      </c>
      <c r="I1699" s="9">
        <f>F1699*G1699</f>
        <v/>
      </c>
      <c r="J1699" s="11" t="n">
        <v>0</v>
      </c>
      <c r="K1699" s="9">
        <f>I1699*J1699</f>
        <v/>
      </c>
      <c r="L1699" s="9">
        <f>I1699-K1699</f>
        <v/>
      </c>
      <c r="M1699" s="9">
        <f>F1699*H1699</f>
        <v/>
      </c>
      <c r="N1699" s="9">
        <f>L1699-M1699</f>
        <v/>
      </c>
      <c r="O1699" s="11">
        <f>IFERROR(N1699/L1699, 0)</f>
        <v/>
      </c>
      <c r="P1699" s="8">
        <f>YEAR(C1699)</f>
        <v/>
      </c>
      <c r="Q1699" s="8">
        <f>TEXT(C1699, "yyyy-mm")</f>
        <v/>
      </c>
      <c r="R1699" s="8" t="inlineStr">
        <is>
          <t>Direct Web</t>
        </is>
      </c>
      <c r="S1699" s="8" t="inlineStr">
        <is>
          <t>REG-NA</t>
        </is>
      </c>
    </row>
    <row r="1700">
      <c r="A1700" s="8" t="inlineStr">
        <is>
          <t>DTL-0001720</t>
        </is>
      </c>
      <c r="B1700" s="8" t="inlineStr">
        <is>
          <t>ORD-000858</t>
        </is>
      </c>
      <c r="C1700" s="10" t="inlineStr">
        <is>
          <t>2024-10-29</t>
        </is>
      </c>
      <c r="D1700" s="8" t="inlineStr">
        <is>
          <t>CUST-04286</t>
        </is>
      </c>
      <c r="E1700" s="8" t="inlineStr">
        <is>
          <t>PRD-0286</t>
        </is>
      </c>
      <c r="F1700" s="8" t="n">
        <v>1</v>
      </c>
      <c r="G1700" s="9">
        <f>IFERROR(XLOOKUP(E1700, '04_Products'!$A:$A, '04_Products'!$G:$G), 232.89)</f>
        <v/>
      </c>
      <c r="H1700" s="9">
        <f>IFERROR(XLOOKUP(E1700, '04_Products'!$A:$A, '04_Products'!$F:$F), 0)</f>
        <v/>
      </c>
      <c r="I1700" s="9">
        <f>F1700*G1700</f>
        <v/>
      </c>
      <c r="J1700" s="11" t="n">
        <v>0</v>
      </c>
      <c r="K1700" s="9">
        <f>I1700*J1700</f>
        <v/>
      </c>
      <c r="L1700" s="9">
        <f>I1700-K1700</f>
        <v/>
      </c>
      <c r="M1700" s="9">
        <f>F1700*H1700</f>
        <v/>
      </c>
      <c r="N1700" s="9">
        <f>L1700-M1700</f>
        <v/>
      </c>
      <c r="O1700" s="11">
        <f>IFERROR(N1700/L1700, 0)</f>
        <v/>
      </c>
      <c r="P1700" s="8">
        <f>YEAR(C1700)</f>
        <v/>
      </c>
      <c r="Q1700" s="8">
        <f>TEXT(C1700, "yyyy-mm")</f>
        <v/>
      </c>
      <c r="R1700" s="8" t="inlineStr">
        <is>
          <t>Direct Web</t>
        </is>
      </c>
      <c r="S1700" s="8" t="inlineStr">
        <is>
          <t>REG-NA</t>
        </is>
      </c>
    </row>
    <row r="1701">
      <c r="A1701" s="8" t="inlineStr">
        <is>
          <t>DTL-0001721</t>
        </is>
      </c>
      <c r="B1701" s="8" t="inlineStr">
        <is>
          <t>ORD-000858</t>
        </is>
      </c>
      <c r="C1701" s="10" t="inlineStr">
        <is>
          <t>2024-10-29</t>
        </is>
      </c>
      <c r="D1701" s="8" t="inlineStr">
        <is>
          <t>CUST-04286</t>
        </is>
      </c>
      <c r="E1701" s="8" t="inlineStr">
        <is>
          <t>PRD-0028</t>
        </is>
      </c>
      <c r="F1701" s="8" t="n">
        <v>1</v>
      </c>
      <c r="G1701" s="9">
        <f>IFERROR(XLOOKUP(E1701, '04_Products'!$A:$A, '04_Products'!$G:$G), 832.11)</f>
        <v/>
      </c>
      <c r="H1701" s="9">
        <f>IFERROR(XLOOKUP(E1701, '04_Products'!$A:$A, '04_Products'!$F:$F), 0)</f>
        <v/>
      </c>
      <c r="I1701" s="9">
        <f>F1701*G1701</f>
        <v/>
      </c>
      <c r="J1701" s="11" t="n">
        <v>0.05</v>
      </c>
      <c r="K1701" s="9">
        <f>I1701*J1701</f>
        <v/>
      </c>
      <c r="L1701" s="9">
        <f>I1701-K1701</f>
        <v/>
      </c>
      <c r="M1701" s="9">
        <f>F1701*H1701</f>
        <v/>
      </c>
      <c r="N1701" s="9">
        <f>L1701-M1701</f>
        <v/>
      </c>
      <c r="O1701" s="11">
        <f>IFERROR(N1701/L1701, 0)</f>
        <v/>
      </c>
      <c r="P1701" s="8">
        <f>YEAR(C1701)</f>
        <v/>
      </c>
      <c r="Q1701" s="8">
        <f>TEXT(C1701, "yyyy-mm")</f>
        <v/>
      </c>
      <c r="R1701" s="8" t="inlineStr">
        <is>
          <t>Direct Web</t>
        </is>
      </c>
      <c r="S1701" s="8" t="inlineStr">
        <is>
          <t>REG-NA</t>
        </is>
      </c>
    </row>
    <row r="1702">
      <c r="A1702" s="8" t="inlineStr">
        <is>
          <t>DTL-0001722</t>
        </is>
      </c>
      <c r="B1702" s="8" t="inlineStr">
        <is>
          <t>ORD-000859</t>
        </is>
      </c>
      <c r="C1702" s="10" t="inlineStr">
        <is>
          <t>2024-05-02</t>
        </is>
      </c>
      <c r="D1702" s="8" t="inlineStr">
        <is>
          <t>CUST-01851</t>
        </is>
      </c>
      <c r="E1702" s="8" t="inlineStr">
        <is>
          <t>PRD-0326</t>
        </is>
      </c>
      <c r="F1702" s="8" t="n">
        <v>1</v>
      </c>
      <c r="G1702" s="9">
        <f>IFERROR(XLOOKUP(E1702, '04_Products'!$A:$A, '04_Products'!$G:$G), 886.10)</f>
        <v/>
      </c>
      <c r="H1702" s="9">
        <f>IFERROR(XLOOKUP(E1702, '04_Products'!$A:$A, '04_Products'!$F:$F), 0)</f>
        <v/>
      </c>
      <c r="I1702" s="9">
        <f>F1702*G1702</f>
        <v/>
      </c>
      <c r="J1702" s="11" t="n">
        <v>0.05</v>
      </c>
      <c r="K1702" s="9">
        <f>I1702*J1702</f>
        <v/>
      </c>
      <c r="L1702" s="9">
        <f>I1702-K1702</f>
        <v/>
      </c>
      <c r="M1702" s="9">
        <f>F1702*H1702</f>
        <v/>
      </c>
      <c r="N1702" s="9">
        <f>L1702-M1702</f>
        <v/>
      </c>
      <c r="O1702" s="11">
        <f>IFERROR(N1702/L1702, 0)</f>
        <v/>
      </c>
      <c r="P1702" s="8">
        <f>YEAR(C1702)</f>
        <v/>
      </c>
      <c r="Q1702" s="8">
        <f>TEXT(C1702, "yyyy-mm")</f>
        <v/>
      </c>
      <c r="R1702" s="8" t="inlineStr">
        <is>
          <t>Direct Web</t>
        </is>
      </c>
      <c r="S1702" s="8" t="inlineStr">
        <is>
          <t>REG-APAC</t>
        </is>
      </c>
    </row>
    <row r="1703">
      <c r="A1703" s="8" t="inlineStr">
        <is>
          <t>DTL-0001723</t>
        </is>
      </c>
      <c r="B1703" s="8" t="inlineStr">
        <is>
          <t>ORD-000859</t>
        </is>
      </c>
      <c r="C1703" s="10" t="inlineStr">
        <is>
          <t>2024-05-02</t>
        </is>
      </c>
      <c r="D1703" s="8" t="inlineStr">
        <is>
          <t>CUST-01851</t>
        </is>
      </c>
      <c r="E1703" s="8" t="inlineStr">
        <is>
          <t>PRD-0143</t>
        </is>
      </c>
      <c r="F1703" s="8" t="n">
        <v>5</v>
      </c>
      <c r="G1703" s="9">
        <f>IFERROR(XLOOKUP(E1703, '04_Products'!$A:$A, '04_Products'!$G:$G), 359.58)</f>
        <v/>
      </c>
      <c r="H1703" s="9">
        <f>IFERROR(XLOOKUP(E1703, '04_Products'!$A:$A, '04_Products'!$F:$F), 0)</f>
        <v/>
      </c>
      <c r="I1703" s="9">
        <f>F1703*G1703</f>
        <v/>
      </c>
      <c r="J1703" s="11" t="n">
        <v>0</v>
      </c>
      <c r="K1703" s="9">
        <f>I1703*J1703</f>
        <v/>
      </c>
      <c r="L1703" s="9">
        <f>I1703-K1703</f>
        <v/>
      </c>
      <c r="M1703" s="9">
        <f>F1703*H1703</f>
        <v/>
      </c>
      <c r="N1703" s="9">
        <f>L1703-M1703</f>
        <v/>
      </c>
      <c r="O1703" s="11">
        <f>IFERROR(N1703/L1703, 0)</f>
        <v/>
      </c>
      <c r="P1703" s="8">
        <f>YEAR(C1703)</f>
        <v/>
      </c>
      <c r="Q1703" s="8">
        <f>TEXT(C1703, "yyyy-mm")</f>
        <v/>
      </c>
      <c r="R1703" s="8" t="inlineStr">
        <is>
          <t>Direct Web</t>
        </is>
      </c>
      <c r="S1703" s="8" t="inlineStr">
        <is>
          <t>REG-APAC</t>
        </is>
      </c>
    </row>
    <row r="1704">
      <c r="A1704" s="8" t="inlineStr">
        <is>
          <t>DTL-0001724</t>
        </is>
      </c>
      <c r="B1704" s="8" t="inlineStr">
        <is>
          <t>ORD-000860</t>
        </is>
      </c>
      <c r="C1704" s="10" t="inlineStr">
        <is>
          <t>2025-11-21</t>
        </is>
      </c>
      <c r="D1704" s="8" t="inlineStr">
        <is>
          <t>CUST-02614</t>
        </is>
      </c>
      <c r="E1704" s="8" t="inlineStr">
        <is>
          <t>PRD-0044</t>
        </is>
      </c>
      <c r="F1704" s="8" t="n">
        <v>1</v>
      </c>
      <c r="G1704" s="9">
        <f>IFERROR(XLOOKUP(E1704, '04_Products'!$A:$A, '04_Products'!$G:$G), 24.94)</f>
        <v/>
      </c>
      <c r="H1704" s="9">
        <f>IFERROR(XLOOKUP(E1704, '04_Products'!$A:$A, '04_Products'!$F:$F), 0)</f>
        <v/>
      </c>
      <c r="I1704" s="9">
        <f>F1704*G1704</f>
        <v/>
      </c>
      <c r="J1704" s="11" t="n">
        <v>0</v>
      </c>
      <c r="K1704" s="9">
        <f>I1704*J1704</f>
        <v/>
      </c>
      <c r="L1704" s="9">
        <f>I1704-K1704</f>
        <v/>
      </c>
      <c r="M1704" s="9">
        <f>F1704*H1704</f>
        <v/>
      </c>
      <c r="N1704" s="9">
        <f>L1704-M1704</f>
        <v/>
      </c>
      <c r="O1704" s="11">
        <f>IFERROR(N1704/L1704, 0)</f>
        <v/>
      </c>
      <c r="P1704" s="8">
        <f>YEAR(C1704)</f>
        <v/>
      </c>
      <c r="Q1704" s="8">
        <f>TEXT(C1704, "yyyy-mm")</f>
        <v/>
      </c>
      <c r="R1704" s="8" t="inlineStr">
        <is>
          <t>Mobile App</t>
        </is>
      </c>
      <c r="S1704" s="8" t="inlineStr">
        <is>
          <t>REG-APAC</t>
        </is>
      </c>
    </row>
    <row r="1705">
      <c r="A1705" s="8" t="inlineStr">
        <is>
          <t>DTL-0001725</t>
        </is>
      </c>
      <c r="B1705" s="8" t="inlineStr">
        <is>
          <t>ORD-000861</t>
        </is>
      </c>
      <c r="C1705" s="10" t="inlineStr">
        <is>
          <t>2023-09-28</t>
        </is>
      </c>
      <c r="D1705" s="8" t="inlineStr">
        <is>
          <t>CUST-05198</t>
        </is>
      </c>
      <c r="E1705" s="8" t="inlineStr">
        <is>
          <t>PRD-0336</t>
        </is>
      </c>
      <c r="F1705" s="8" t="n">
        <v>2</v>
      </c>
      <c r="G1705" s="9">
        <f>IFERROR(XLOOKUP(E1705, '04_Products'!$A:$A, '04_Products'!$G:$G), 216.76)</f>
        <v/>
      </c>
      <c r="H1705" s="9">
        <f>IFERROR(XLOOKUP(E1705, '04_Products'!$A:$A, '04_Products'!$F:$F), 0)</f>
        <v/>
      </c>
      <c r="I1705" s="9">
        <f>F1705*G1705</f>
        <v/>
      </c>
      <c r="J1705" s="11" t="n">
        <v>0.1</v>
      </c>
      <c r="K1705" s="9">
        <f>I1705*J1705</f>
        <v/>
      </c>
      <c r="L1705" s="9">
        <f>I1705-K1705</f>
        <v/>
      </c>
      <c r="M1705" s="9">
        <f>F1705*H1705</f>
        <v/>
      </c>
      <c r="N1705" s="9">
        <f>L1705-M1705</f>
        <v/>
      </c>
      <c r="O1705" s="11">
        <f>IFERROR(N1705/L1705, 0)</f>
        <v/>
      </c>
      <c r="P1705" s="8">
        <f>YEAR(C1705)</f>
        <v/>
      </c>
      <c r="Q1705" s="8">
        <f>TEXT(C1705, "yyyy-mm")</f>
        <v/>
      </c>
      <c r="R1705" s="8" t="inlineStr">
        <is>
          <t>Affiliate Partner</t>
        </is>
      </c>
      <c r="S1705" s="8" t="inlineStr">
        <is>
          <t>REG-APAC</t>
        </is>
      </c>
    </row>
    <row r="1706">
      <c r="A1706" s="8" t="inlineStr">
        <is>
          <t>DTL-0001726</t>
        </is>
      </c>
      <c r="B1706" s="8" t="inlineStr">
        <is>
          <t>ORD-000862</t>
        </is>
      </c>
      <c r="C1706" s="10" t="inlineStr">
        <is>
          <t>2025-08-29</t>
        </is>
      </c>
      <c r="D1706" s="8" t="inlineStr">
        <is>
          <t>CUST-01959</t>
        </is>
      </c>
      <c r="E1706" s="8" t="inlineStr">
        <is>
          <t>PRD-0156</t>
        </is>
      </c>
      <c r="F1706" s="8" t="n">
        <v>10</v>
      </c>
      <c r="G1706" s="9">
        <f>IFERROR(XLOOKUP(E1706, '04_Products'!$A:$A, '04_Products'!$G:$G), 129.00)</f>
        <v/>
      </c>
      <c r="H1706" s="9">
        <f>IFERROR(XLOOKUP(E1706, '04_Products'!$A:$A, '04_Products'!$F:$F), 0)</f>
        <v/>
      </c>
      <c r="I1706" s="9">
        <f>F1706*G1706</f>
        <v/>
      </c>
      <c r="J1706" s="11" t="n">
        <v>0.15</v>
      </c>
      <c r="K1706" s="9">
        <f>I1706*J1706</f>
        <v/>
      </c>
      <c r="L1706" s="9">
        <f>I1706-K1706</f>
        <v/>
      </c>
      <c r="M1706" s="9">
        <f>F1706*H1706</f>
        <v/>
      </c>
      <c r="N1706" s="9">
        <f>L1706-M1706</f>
        <v/>
      </c>
      <c r="O1706" s="11">
        <f>IFERROR(N1706/L1706, 0)</f>
        <v/>
      </c>
      <c r="P1706" s="8">
        <f>YEAR(C1706)</f>
        <v/>
      </c>
      <c r="Q1706" s="8">
        <f>TEXT(C1706, "yyyy-mm")</f>
        <v/>
      </c>
      <c r="R1706" s="8" t="inlineStr">
        <is>
          <t>Affiliate Partner</t>
        </is>
      </c>
      <c r="S1706" s="8" t="inlineStr">
        <is>
          <t>REG-LATAM</t>
        </is>
      </c>
    </row>
    <row r="1707">
      <c r="A1707" s="8" t="inlineStr">
        <is>
          <t>DTL-0001727</t>
        </is>
      </c>
      <c r="B1707" s="8" t="inlineStr">
        <is>
          <t>ORD-000862</t>
        </is>
      </c>
      <c r="C1707" s="10" t="inlineStr">
        <is>
          <t>2025-08-29</t>
        </is>
      </c>
      <c r="D1707" s="8" t="inlineStr">
        <is>
          <t>CUST-01959</t>
        </is>
      </c>
      <c r="E1707" s="8" t="inlineStr">
        <is>
          <t>PRD-0083</t>
        </is>
      </c>
      <c r="F1707" s="8" t="n">
        <v>1</v>
      </c>
      <c r="G1707" s="9">
        <f>IFERROR(XLOOKUP(E1707, '04_Products'!$A:$A, '04_Products'!$G:$G), 73.41)</f>
        <v/>
      </c>
      <c r="H1707" s="9">
        <f>IFERROR(XLOOKUP(E1707, '04_Products'!$A:$A, '04_Products'!$F:$F), 0)</f>
        <v/>
      </c>
      <c r="I1707" s="9">
        <f>F1707*G1707</f>
        <v/>
      </c>
      <c r="J1707" s="11" t="n">
        <v>0</v>
      </c>
      <c r="K1707" s="9">
        <f>I1707*J1707</f>
        <v/>
      </c>
      <c r="L1707" s="9">
        <f>I1707-K1707</f>
        <v/>
      </c>
      <c r="M1707" s="9">
        <f>F1707*H1707</f>
        <v/>
      </c>
      <c r="N1707" s="9">
        <f>L1707-M1707</f>
        <v/>
      </c>
      <c r="O1707" s="11">
        <f>IFERROR(N1707/L1707, 0)</f>
        <v/>
      </c>
      <c r="P1707" s="8">
        <f>YEAR(C1707)</f>
        <v/>
      </c>
      <c r="Q1707" s="8">
        <f>TEXT(C1707, "yyyy-mm")</f>
        <v/>
      </c>
      <c r="R1707" s="8" t="inlineStr">
        <is>
          <t>Affiliate Partner</t>
        </is>
      </c>
      <c r="S1707" s="8" t="inlineStr">
        <is>
          <t>REG-LATAM</t>
        </is>
      </c>
    </row>
    <row r="1708">
      <c r="A1708" s="8" t="inlineStr">
        <is>
          <t>DTL-0001728</t>
        </is>
      </c>
      <c r="B1708" s="8" t="inlineStr">
        <is>
          <t>ORD-000862</t>
        </is>
      </c>
      <c r="C1708" s="10" t="inlineStr">
        <is>
          <t>2025-08-29</t>
        </is>
      </c>
      <c r="D1708" s="8" t="inlineStr">
        <is>
          <t>CUST-01959</t>
        </is>
      </c>
      <c r="E1708" s="8" t="inlineStr">
        <is>
          <t>PRD-0476</t>
        </is>
      </c>
      <c r="F1708" s="8" t="n">
        <v>3</v>
      </c>
      <c r="G1708" s="9">
        <f>IFERROR(XLOOKUP(E1708, '04_Products'!$A:$A, '04_Products'!$G:$G), 1060.38)</f>
        <v/>
      </c>
      <c r="H1708" s="9">
        <f>IFERROR(XLOOKUP(E1708, '04_Products'!$A:$A, '04_Products'!$F:$F), 0)</f>
        <v/>
      </c>
      <c r="I1708" s="9">
        <f>F1708*G1708</f>
        <v/>
      </c>
      <c r="J1708" s="11" t="n">
        <v>0.05</v>
      </c>
      <c r="K1708" s="9">
        <f>I1708*J1708</f>
        <v/>
      </c>
      <c r="L1708" s="9">
        <f>I1708-K1708</f>
        <v/>
      </c>
      <c r="M1708" s="9">
        <f>F1708*H1708</f>
        <v/>
      </c>
      <c r="N1708" s="9">
        <f>L1708-M1708</f>
        <v/>
      </c>
      <c r="O1708" s="11">
        <f>IFERROR(N1708/L1708, 0)</f>
        <v/>
      </c>
      <c r="P1708" s="8">
        <f>YEAR(C1708)</f>
        <v/>
      </c>
      <c r="Q1708" s="8">
        <f>TEXT(C1708, "yyyy-mm")</f>
        <v/>
      </c>
      <c r="R1708" s="8" t="inlineStr">
        <is>
          <t>Affiliate Partner</t>
        </is>
      </c>
      <c r="S1708" s="8" t="inlineStr">
        <is>
          <t>REG-LATAM</t>
        </is>
      </c>
    </row>
    <row r="1709">
      <c r="A1709" s="8" t="inlineStr">
        <is>
          <t>DTL-0001729</t>
        </is>
      </c>
      <c r="B1709" s="8" t="inlineStr">
        <is>
          <t>ORD-000862</t>
        </is>
      </c>
      <c r="C1709" s="10" t="inlineStr">
        <is>
          <t>2025-08-29</t>
        </is>
      </c>
      <c r="D1709" s="8" t="inlineStr">
        <is>
          <t>CUST-01959</t>
        </is>
      </c>
      <c r="E1709" s="8" t="inlineStr">
        <is>
          <t>PRD-0498</t>
        </is>
      </c>
      <c r="F1709" s="8" t="n">
        <v>4</v>
      </c>
      <c r="G1709" s="9">
        <f>IFERROR(XLOOKUP(E1709, '04_Products'!$A:$A, '04_Products'!$G:$G), 63.17)</f>
        <v/>
      </c>
      <c r="H1709" s="9">
        <f>IFERROR(XLOOKUP(E1709, '04_Products'!$A:$A, '04_Products'!$F:$F), 0)</f>
        <v/>
      </c>
      <c r="I1709" s="9">
        <f>F1709*G1709</f>
        <v/>
      </c>
      <c r="J1709" s="11" t="n">
        <v>0.05</v>
      </c>
      <c r="K1709" s="9">
        <f>I1709*J1709</f>
        <v/>
      </c>
      <c r="L1709" s="9">
        <f>I1709-K1709</f>
        <v/>
      </c>
      <c r="M1709" s="9">
        <f>F1709*H1709</f>
        <v/>
      </c>
      <c r="N1709" s="9">
        <f>L1709-M1709</f>
        <v/>
      </c>
      <c r="O1709" s="11">
        <f>IFERROR(N1709/L1709, 0)</f>
        <v/>
      </c>
      <c r="P1709" s="8">
        <f>YEAR(C1709)</f>
        <v/>
      </c>
      <c r="Q1709" s="8">
        <f>TEXT(C1709, "yyyy-mm")</f>
        <v/>
      </c>
      <c r="R1709" s="8" t="inlineStr">
        <is>
          <t>Affiliate Partner</t>
        </is>
      </c>
      <c r="S1709" s="8" t="inlineStr">
        <is>
          <t>REG-LATAM</t>
        </is>
      </c>
    </row>
    <row r="1710">
      <c r="A1710" s="8" t="inlineStr">
        <is>
          <t>DTL-0001730</t>
        </is>
      </c>
      <c r="B1710" s="8" t="inlineStr">
        <is>
          <t>ORD-000863</t>
        </is>
      </c>
      <c r="C1710" s="10" t="inlineStr">
        <is>
          <t>2024-10-13</t>
        </is>
      </c>
      <c r="D1710" s="8" t="inlineStr">
        <is>
          <t>CUST-02527</t>
        </is>
      </c>
      <c r="E1710" s="8" t="inlineStr">
        <is>
          <t>PRD-0190</t>
        </is>
      </c>
      <c r="F1710" s="8" t="n">
        <v>1</v>
      </c>
      <c r="G1710" s="9">
        <f>IFERROR(XLOOKUP(E1710, '04_Products'!$A:$A, '04_Products'!$G:$G), 33.02)</f>
        <v/>
      </c>
      <c r="H1710" s="9">
        <f>IFERROR(XLOOKUP(E1710, '04_Products'!$A:$A, '04_Products'!$F:$F), 0)</f>
        <v/>
      </c>
      <c r="I1710" s="9">
        <f>F1710*G1710</f>
        <v/>
      </c>
      <c r="J1710" s="11" t="n">
        <v>0</v>
      </c>
      <c r="K1710" s="9">
        <f>I1710*J1710</f>
        <v/>
      </c>
      <c r="L1710" s="9">
        <f>I1710-K1710</f>
        <v/>
      </c>
      <c r="M1710" s="9">
        <f>F1710*H1710</f>
        <v/>
      </c>
      <c r="N1710" s="9">
        <f>L1710-M1710</f>
        <v/>
      </c>
      <c r="O1710" s="11">
        <f>IFERROR(N1710/L1710, 0)</f>
        <v/>
      </c>
      <c r="P1710" s="8">
        <f>YEAR(C1710)</f>
        <v/>
      </c>
      <c r="Q1710" s="8">
        <f>TEXT(C1710, "yyyy-mm")</f>
        <v/>
      </c>
      <c r="R1710" s="8" t="inlineStr">
        <is>
          <t>Direct Web</t>
        </is>
      </c>
      <c r="S1710" s="8" t="inlineStr">
        <is>
          <t>REG-NA</t>
        </is>
      </c>
    </row>
    <row r="1711">
      <c r="A1711" s="8" t="inlineStr">
        <is>
          <t>DTL-0001731</t>
        </is>
      </c>
      <c r="B1711" s="8" t="inlineStr">
        <is>
          <t>ORD-000863</t>
        </is>
      </c>
      <c r="C1711" s="10" t="inlineStr">
        <is>
          <t>2024-10-13</t>
        </is>
      </c>
      <c r="D1711" s="8" t="inlineStr">
        <is>
          <t>CUST-02527</t>
        </is>
      </c>
      <c r="E1711" s="8" t="inlineStr">
        <is>
          <t>PRD-0246</t>
        </is>
      </c>
      <c r="F1711" s="8" t="n">
        <v>1</v>
      </c>
      <c r="G1711" s="9">
        <f>IFERROR(XLOOKUP(E1711, '04_Products'!$A:$A, '04_Products'!$G:$G), 1238.92)</f>
        <v/>
      </c>
      <c r="H1711" s="9">
        <f>IFERROR(XLOOKUP(E1711, '04_Products'!$A:$A, '04_Products'!$F:$F), 0)</f>
        <v/>
      </c>
      <c r="I1711" s="9">
        <f>F1711*G1711</f>
        <v/>
      </c>
      <c r="J1711" s="11" t="n">
        <v>0.1</v>
      </c>
      <c r="K1711" s="9">
        <f>I1711*J1711</f>
        <v/>
      </c>
      <c r="L1711" s="9">
        <f>I1711-K1711</f>
        <v/>
      </c>
      <c r="M1711" s="9">
        <f>F1711*H1711</f>
        <v/>
      </c>
      <c r="N1711" s="9">
        <f>L1711-M1711</f>
        <v/>
      </c>
      <c r="O1711" s="11">
        <f>IFERROR(N1711/L1711, 0)</f>
        <v/>
      </c>
      <c r="P1711" s="8">
        <f>YEAR(C1711)</f>
        <v/>
      </c>
      <c r="Q1711" s="8">
        <f>TEXT(C1711, "yyyy-mm")</f>
        <v/>
      </c>
      <c r="R1711" s="8" t="inlineStr">
        <is>
          <t>Direct Web</t>
        </is>
      </c>
      <c r="S1711" s="8" t="inlineStr">
        <is>
          <t>REG-NA</t>
        </is>
      </c>
    </row>
    <row r="1712">
      <c r="A1712" s="8" t="inlineStr">
        <is>
          <t>DTL-0001732</t>
        </is>
      </c>
      <c r="B1712" s="8" t="inlineStr">
        <is>
          <t>ORD-000864</t>
        </is>
      </c>
      <c r="C1712" s="10" t="inlineStr">
        <is>
          <t>2025-08-28</t>
        </is>
      </c>
      <c r="D1712" s="8" t="inlineStr">
        <is>
          <t>CUST-04351</t>
        </is>
      </c>
      <c r="E1712" s="8" t="inlineStr">
        <is>
          <t>PRD-0240</t>
        </is>
      </c>
      <c r="F1712" s="8" t="n">
        <v>1</v>
      </c>
      <c r="G1712" s="9">
        <f>IFERROR(XLOOKUP(E1712, '04_Products'!$A:$A, '04_Products'!$G:$G), 656.01)</f>
        <v/>
      </c>
      <c r="H1712" s="9">
        <f>IFERROR(XLOOKUP(E1712, '04_Products'!$A:$A, '04_Products'!$F:$F), 0)</f>
        <v/>
      </c>
      <c r="I1712" s="9">
        <f>F1712*G1712</f>
        <v/>
      </c>
      <c r="J1712" s="11" t="n">
        <v>0</v>
      </c>
      <c r="K1712" s="9">
        <f>I1712*J1712</f>
        <v/>
      </c>
      <c r="L1712" s="9">
        <f>I1712-K1712</f>
        <v/>
      </c>
      <c r="M1712" s="9">
        <f>F1712*H1712</f>
        <v/>
      </c>
      <c r="N1712" s="9">
        <f>L1712-M1712</f>
        <v/>
      </c>
      <c r="O1712" s="11">
        <f>IFERROR(N1712/L1712, 0)</f>
        <v/>
      </c>
      <c r="P1712" s="8">
        <f>YEAR(C1712)</f>
        <v/>
      </c>
      <c r="Q1712" s="8">
        <f>TEXT(C1712, "yyyy-mm")</f>
        <v/>
      </c>
      <c r="R1712" s="8" t="inlineStr">
        <is>
          <t>B2B Portal</t>
        </is>
      </c>
      <c r="S1712" s="8" t="inlineStr">
        <is>
          <t>REG-LATAM</t>
        </is>
      </c>
    </row>
    <row r="1713">
      <c r="A1713" s="8" t="inlineStr">
        <is>
          <t>DTL-0001733</t>
        </is>
      </c>
      <c r="B1713" s="8" t="inlineStr">
        <is>
          <t>ORD-000865</t>
        </is>
      </c>
      <c r="C1713" s="10" t="inlineStr">
        <is>
          <t>2024-01-09</t>
        </is>
      </c>
      <c r="D1713" s="8" t="inlineStr">
        <is>
          <t>CUST-06766</t>
        </is>
      </c>
      <c r="E1713" s="8" t="inlineStr">
        <is>
          <t>PRD-0107</t>
        </is>
      </c>
      <c r="F1713" s="8" t="n">
        <v>2</v>
      </c>
      <c r="G1713" s="9">
        <f>IFERROR(XLOOKUP(E1713, '04_Products'!$A:$A, '04_Products'!$G:$G), 754.95)</f>
        <v/>
      </c>
      <c r="H1713" s="9">
        <f>IFERROR(XLOOKUP(E1713, '04_Products'!$A:$A, '04_Products'!$F:$F), 0)</f>
        <v/>
      </c>
      <c r="I1713" s="9">
        <f>F1713*G1713</f>
        <v/>
      </c>
      <c r="J1713" s="11" t="n">
        <v>0.1</v>
      </c>
      <c r="K1713" s="9">
        <f>I1713*J1713</f>
        <v/>
      </c>
      <c r="L1713" s="9">
        <f>I1713-K1713</f>
        <v/>
      </c>
      <c r="M1713" s="9">
        <f>F1713*H1713</f>
        <v/>
      </c>
      <c r="N1713" s="9">
        <f>L1713-M1713</f>
        <v/>
      </c>
      <c r="O1713" s="11">
        <f>IFERROR(N1713/L1713, 0)</f>
        <v/>
      </c>
      <c r="P1713" s="8">
        <f>YEAR(C1713)</f>
        <v/>
      </c>
      <c r="Q1713" s="8">
        <f>TEXT(C1713, "yyyy-mm")</f>
        <v/>
      </c>
      <c r="R1713" s="8" t="inlineStr">
        <is>
          <t>Direct Web</t>
        </is>
      </c>
      <c r="S1713" s="8" t="inlineStr">
        <is>
          <t>REG-EU</t>
        </is>
      </c>
    </row>
    <row r="1714">
      <c r="A1714" s="8" t="inlineStr">
        <is>
          <t>DTL-0001734</t>
        </is>
      </c>
      <c r="B1714" s="8" t="inlineStr">
        <is>
          <t>ORD-000866</t>
        </is>
      </c>
      <c r="C1714" s="10" t="inlineStr">
        <is>
          <t>2025-07-23</t>
        </is>
      </c>
      <c r="D1714" s="8" t="inlineStr">
        <is>
          <t>CUST-02325</t>
        </is>
      </c>
      <c r="E1714" s="8" t="inlineStr">
        <is>
          <t>PRD-0382</t>
        </is>
      </c>
      <c r="F1714" s="8" t="n">
        <v>3</v>
      </c>
      <c r="G1714" s="9">
        <f>IFERROR(XLOOKUP(E1714, '04_Products'!$A:$A, '04_Products'!$G:$G), 104.39)</f>
        <v/>
      </c>
      <c r="H1714" s="9">
        <f>IFERROR(XLOOKUP(E1714, '04_Products'!$A:$A, '04_Products'!$F:$F), 0)</f>
        <v/>
      </c>
      <c r="I1714" s="9">
        <f>F1714*G1714</f>
        <v/>
      </c>
      <c r="J1714" s="11" t="n">
        <v>0</v>
      </c>
      <c r="K1714" s="9">
        <f>I1714*J1714</f>
        <v/>
      </c>
      <c r="L1714" s="9">
        <f>I1714-K1714</f>
        <v/>
      </c>
      <c r="M1714" s="9">
        <f>F1714*H1714</f>
        <v/>
      </c>
      <c r="N1714" s="9">
        <f>L1714-M1714</f>
        <v/>
      </c>
      <c r="O1714" s="11">
        <f>IFERROR(N1714/L1714, 0)</f>
        <v/>
      </c>
      <c r="P1714" s="8">
        <f>YEAR(C1714)</f>
        <v/>
      </c>
      <c r="Q1714" s="8">
        <f>TEXT(C1714, "yyyy-mm")</f>
        <v/>
      </c>
      <c r="R1714" s="8" t="inlineStr">
        <is>
          <t>Mobile App</t>
        </is>
      </c>
      <c r="S1714" s="8" t="inlineStr">
        <is>
          <t>REG-NA</t>
        </is>
      </c>
    </row>
    <row r="1715">
      <c r="A1715" s="8" t="inlineStr">
        <is>
          <t>DTL-0001735</t>
        </is>
      </c>
      <c r="B1715" s="8" t="inlineStr">
        <is>
          <t>ORD-000866</t>
        </is>
      </c>
      <c r="C1715" s="10" t="inlineStr">
        <is>
          <t>2025-07-23</t>
        </is>
      </c>
      <c r="D1715" s="8" t="inlineStr">
        <is>
          <t>CUST-02325</t>
        </is>
      </c>
      <c r="E1715" s="8" t="inlineStr">
        <is>
          <t>PRD-0103</t>
        </is>
      </c>
      <c r="F1715" s="8" t="n">
        <v>2</v>
      </c>
      <c r="G1715" s="9">
        <f>IFERROR(XLOOKUP(E1715, '04_Products'!$A:$A, '04_Products'!$G:$G), 33.68)</f>
        <v/>
      </c>
      <c r="H1715" s="9">
        <f>IFERROR(XLOOKUP(E1715, '04_Products'!$A:$A, '04_Products'!$F:$F), 0)</f>
        <v/>
      </c>
      <c r="I1715" s="9">
        <f>F1715*G1715</f>
        <v/>
      </c>
      <c r="J1715" s="11" t="n">
        <v>0.2</v>
      </c>
      <c r="K1715" s="9">
        <f>I1715*J1715</f>
        <v/>
      </c>
      <c r="L1715" s="9">
        <f>I1715-K1715</f>
        <v/>
      </c>
      <c r="M1715" s="9">
        <f>F1715*H1715</f>
        <v/>
      </c>
      <c r="N1715" s="9">
        <f>L1715-M1715</f>
        <v/>
      </c>
      <c r="O1715" s="11">
        <f>IFERROR(N1715/L1715, 0)</f>
        <v/>
      </c>
      <c r="P1715" s="8">
        <f>YEAR(C1715)</f>
        <v/>
      </c>
      <c r="Q1715" s="8">
        <f>TEXT(C1715, "yyyy-mm")</f>
        <v/>
      </c>
      <c r="R1715" s="8" t="inlineStr">
        <is>
          <t>Mobile App</t>
        </is>
      </c>
      <c r="S1715" s="8" t="inlineStr">
        <is>
          <t>REG-NA</t>
        </is>
      </c>
    </row>
    <row r="1716">
      <c r="A1716" s="8" t="inlineStr">
        <is>
          <t>DTL-0001736</t>
        </is>
      </c>
      <c r="B1716" s="8" t="inlineStr">
        <is>
          <t>ORD-000867</t>
        </is>
      </c>
      <c r="C1716" s="10" t="inlineStr">
        <is>
          <t>2025-12-26</t>
        </is>
      </c>
      <c r="D1716" s="8" t="inlineStr">
        <is>
          <t>CUST-04973</t>
        </is>
      </c>
      <c r="E1716" s="8" t="inlineStr">
        <is>
          <t>PRD-0064</t>
        </is>
      </c>
      <c r="F1716" s="8" t="n">
        <v>1</v>
      </c>
      <c r="G1716" s="9">
        <f>IFERROR(XLOOKUP(E1716, '04_Products'!$A:$A, '04_Products'!$G:$G), 36.84)</f>
        <v/>
      </c>
      <c r="H1716" s="9">
        <f>IFERROR(XLOOKUP(E1716, '04_Products'!$A:$A, '04_Products'!$F:$F), 0)</f>
        <v/>
      </c>
      <c r="I1716" s="9">
        <f>F1716*G1716</f>
        <v/>
      </c>
      <c r="J1716" s="11" t="n">
        <v>0.1</v>
      </c>
      <c r="K1716" s="9">
        <f>I1716*J1716</f>
        <v/>
      </c>
      <c r="L1716" s="9">
        <f>I1716-K1716</f>
        <v/>
      </c>
      <c r="M1716" s="9">
        <f>F1716*H1716</f>
        <v/>
      </c>
      <c r="N1716" s="9">
        <f>L1716-M1716</f>
        <v/>
      </c>
      <c r="O1716" s="11">
        <f>IFERROR(N1716/L1716, 0)</f>
        <v/>
      </c>
      <c r="P1716" s="8">
        <f>YEAR(C1716)</f>
        <v/>
      </c>
      <c r="Q1716" s="8">
        <f>TEXT(C1716, "yyyy-mm")</f>
        <v/>
      </c>
      <c r="R1716" s="8" t="inlineStr">
        <is>
          <t>Direct Web</t>
        </is>
      </c>
      <c r="S1716" s="8" t="inlineStr">
        <is>
          <t>REG-NA</t>
        </is>
      </c>
    </row>
    <row r="1717">
      <c r="A1717" s="8" t="inlineStr">
        <is>
          <t>DTL-0001737</t>
        </is>
      </c>
      <c r="B1717" s="8" t="inlineStr">
        <is>
          <t>ORD-000867</t>
        </is>
      </c>
      <c r="C1717" s="10" t="inlineStr">
        <is>
          <t>2025-12-26</t>
        </is>
      </c>
      <c r="D1717" s="8" t="inlineStr">
        <is>
          <t>CUST-04973</t>
        </is>
      </c>
      <c r="E1717" s="8" t="inlineStr">
        <is>
          <t>PRD-0034</t>
        </is>
      </c>
      <c r="F1717" s="8" t="n">
        <v>2</v>
      </c>
      <c r="G1717" s="9">
        <f>IFERROR(XLOOKUP(E1717, '04_Products'!$A:$A, '04_Products'!$G:$G), 52.58)</f>
        <v/>
      </c>
      <c r="H1717" s="9">
        <f>IFERROR(XLOOKUP(E1717, '04_Products'!$A:$A, '04_Products'!$F:$F), 0)</f>
        <v/>
      </c>
      <c r="I1717" s="9">
        <f>F1717*G1717</f>
        <v/>
      </c>
      <c r="J1717" s="11" t="n">
        <v>0.2</v>
      </c>
      <c r="K1717" s="9">
        <f>I1717*J1717</f>
        <v/>
      </c>
      <c r="L1717" s="9">
        <f>I1717-K1717</f>
        <v/>
      </c>
      <c r="M1717" s="9">
        <f>F1717*H1717</f>
        <v/>
      </c>
      <c r="N1717" s="9">
        <f>L1717-M1717</f>
        <v/>
      </c>
      <c r="O1717" s="11">
        <f>IFERROR(N1717/L1717, 0)</f>
        <v/>
      </c>
      <c r="P1717" s="8">
        <f>YEAR(C1717)</f>
        <v/>
      </c>
      <c r="Q1717" s="8">
        <f>TEXT(C1717, "yyyy-mm")</f>
        <v/>
      </c>
      <c r="R1717" s="8" t="inlineStr">
        <is>
          <t>Direct Web</t>
        </is>
      </c>
      <c r="S1717" s="8" t="inlineStr">
        <is>
          <t>REG-NA</t>
        </is>
      </c>
    </row>
    <row r="1718">
      <c r="A1718" s="8" t="inlineStr">
        <is>
          <t>DTL-0001738</t>
        </is>
      </c>
      <c r="B1718" s="8" t="inlineStr">
        <is>
          <t>ORD-000868</t>
        </is>
      </c>
      <c r="C1718" s="10" t="inlineStr">
        <is>
          <t>2025-04-24</t>
        </is>
      </c>
      <c r="D1718" s="8" t="inlineStr">
        <is>
          <t>CUST-01290</t>
        </is>
      </c>
      <c r="E1718" s="8" t="inlineStr">
        <is>
          <t>PRD-0346</t>
        </is>
      </c>
      <c r="F1718" s="8" t="n">
        <v>1</v>
      </c>
      <c r="G1718" s="9">
        <f>IFERROR(XLOOKUP(E1718, '04_Products'!$A:$A, '04_Products'!$G:$G), 61.49)</f>
        <v/>
      </c>
      <c r="H1718" s="9">
        <f>IFERROR(XLOOKUP(E1718, '04_Products'!$A:$A, '04_Products'!$F:$F), 0)</f>
        <v/>
      </c>
      <c r="I1718" s="9">
        <f>F1718*G1718</f>
        <v/>
      </c>
      <c r="J1718" s="11" t="n">
        <v>0.1</v>
      </c>
      <c r="K1718" s="9">
        <f>I1718*J1718</f>
        <v/>
      </c>
      <c r="L1718" s="9">
        <f>I1718-K1718</f>
        <v/>
      </c>
      <c r="M1718" s="9">
        <f>F1718*H1718</f>
        <v/>
      </c>
      <c r="N1718" s="9">
        <f>L1718-M1718</f>
        <v/>
      </c>
      <c r="O1718" s="11">
        <f>IFERROR(N1718/L1718, 0)</f>
        <v/>
      </c>
      <c r="P1718" s="8">
        <f>YEAR(C1718)</f>
        <v/>
      </c>
      <c r="Q1718" s="8">
        <f>TEXT(C1718, "yyyy-mm")</f>
        <v/>
      </c>
      <c r="R1718" s="8" t="inlineStr">
        <is>
          <t>Direct Web</t>
        </is>
      </c>
      <c r="S1718" s="8" t="inlineStr">
        <is>
          <t>REG-LATAM</t>
        </is>
      </c>
    </row>
    <row r="1719">
      <c r="A1719" s="8" t="inlineStr">
        <is>
          <t>DTL-0001739</t>
        </is>
      </c>
      <c r="B1719" s="8" t="inlineStr">
        <is>
          <t>ORD-000869</t>
        </is>
      </c>
      <c r="C1719" s="10" t="inlineStr">
        <is>
          <t>2023-09-09</t>
        </is>
      </c>
      <c r="D1719" s="8" t="inlineStr">
        <is>
          <t>CUST-00728</t>
        </is>
      </c>
      <c r="E1719" s="8" t="inlineStr">
        <is>
          <t>PRD-0086</t>
        </is>
      </c>
      <c r="F1719" s="8" t="n">
        <v>1</v>
      </c>
      <c r="G1719" s="9">
        <f>IFERROR(XLOOKUP(E1719, '04_Products'!$A:$A, '04_Products'!$G:$G), 996.20)</f>
        <v/>
      </c>
      <c r="H1719" s="9">
        <f>IFERROR(XLOOKUP(E1719, '04_Products'!$A:$A, '04_Products'!$F:$F), 0)</f>
        <v/>
      </c>
      <c r="I1719" s="9">
        <f>F1719*G1719</f>
        <v/>
      </c>
      <c r="J1719" s="11" t="n">
        <v>0.05</v>
      </c>
      <c r="K1719" s="9">
        <f>I1719*J1719</f>
        <v/>
      </c>
      <c r="L1719" s="9">
        <f>I1719-K1719</f>
        <v/>
      </c>
      <c r="M1719" s="9">
        <f>F1719*H1719</f>
        <v/>
      </c>
      <c r="N1719" s="9">
        <f>L1719-M1719</f>
        <v/>
      </c>
      <c r="O1719" s="11">
        <f>IFERROR(N1719/L1719, 0)</f>
        <v/>
      </c>
      <c r="P1719" s="8">
        <f>YEAR(C1719)</f>
        <v/>
      </c>
      <c r="Q1719" s="8">
        <f>TEXT(C1719, "yyyy-mm")</f>
        <v/>
      </c>
      <c r="R1719" s="8" t="inlineStr">
        <is>
          <t>Direct Web</t>
        </is>
      </c>
      <c r="S1719" s="8" t="inlineStr">
        <is>
          <t>REG-EU</t>
        </is>
      </c>
    </row>
    <row r="1720">
      <c r="A1720" s="8" t="inlineStr">
        <is>
          <t>DTL-0001740</t>
        </is>
      </c>
      <c r="B1720" s="8" t="inlineStr">
        <is>
          <t>ORD-000869</t>
        </is>
      </c>
      <c r="C1720" s="10" t="inlineStr">
        <is>
          <t>2023-09-09</t>
        </is>
      </c>
      <c r="D1720" s="8" t="inlineStr">
        <is>
          <t>CUST-00728</t>
        </is>
      </c>
      <c r="E1720" s="8" t="inlineStr">
        <is>
          <t>PRD-0171</t>
        </is>
      </c>
      <c r="F1720" s="8" t="n">
        <v>1</v>
      </c>
      <c r="G1720" s="9">
        <f>IFERROR(XLOOKUP(E1720, '04_Products'!$A:$A, '04_Products'!$G:$G), 143.61)</f>
        <v/>
      </c>
      <c r="H1720" s="9">
        <f>IFERROR(XLOOKUP(E1720, '04_Products'!$A:$A, '04_Products'!$F:$F), 0)</f>
        <v/>
      </c>
      <c r="I1720" s="9">
        <f>F1720*G1720</f>
        <v/>
      </c>
      <c r="J1720" s="11" t="n">
        <v>0</v>
      </c>
      <c r="K1720" s="9">
        <f>I1720*J1720</f>
        <v/>
      </c>
      <c r="L1720" s="9">
        <f>I1720-K1720</f>
        <v/>
      </c>
      <c r="M1720" s="9">
        <f>F1720*H1720</f>
        <v/>
      </c>
      <c r="N1720" s="9">
        <f>L1720-M1720</f>
        <v/>
      </c>
      <c r="O1720" s="11">
        <f>IFERROR(N1720/L1720, 0)</f>
        <v/>
      </c>
      <c r="P1720" s="8">
        <f>YEAR(C1720)</f>
        <v/>
      </c>
      <c r="Q1720" s="8">
        <f>TEXT(C1720, "yyyy-mm")</f>
        <v/>
      </c>
      <c r="R1720" s="8" t="inlineStr">
        <is>
          <t>Direct Web</t>
        </is>
      </c>
      <c r="S1720" s="8" t="inlineStr">
        <is>
          <t>REG-EU</t>
        </is>
      </c>
    </row>
    <row r="1721">
      <c r="A1721" s="8" t="inlineStr">
        <is>
          <t>DTL-0001741</t>
        </is>
      </c>
      <c r="B1721" s="8" t="inlineStr">
        <is>
          <t>ORD-000870</t>
        </is>
      </c>
      <c r="C1721" s="10" t="inlineStr">
        <is>
          <t>2023-09-17</t>
        </is>
      </c>
      <c r="D1721" s="8" t="inlineStr">
        <is>
          <t>CUST-07083</t>
        </is>
      </c>
      <c r="E1721" s="8" t="inlineStr">
        <is>
          <t>PRD-0262</t>
        </is>
      </c>
      <c r="F1721" s="8" t="n">
        <v>1</v>
      </c>
      <c r="G1721" s="9">
        <f>IFERROR(XLOOKUP(E1721, '04_Products'!$A:$A, '04_Products'!$G:$G), 621.74)</f>
        <v/>
      </c>
      <c r="H1721" s="9">
        <f>IFERROR(XLOOKUP(E1721, '04_Products'!$A:$A, '04_Products'!$F:$F), 0)</f>
        <v/>
      </c>
      <c r="I1721" s="9">
        <f>F1721*G1721</f>
        <v/>
      </c>
      <c r="J1721" s="11" t="n">
        <v>0.1</v>
      </c>
      <c r="K1721" s="9">
        <f>I1721*J1721</f>
        <v/>
      </c>
      <c r="L1721" s="9">
        <f>I1721-K1721</f>
        <v/>
      </c>
      <c r="M1721" s="9">
        <f>F1721*H1721</f>
        <v/>
      </c>
      <c r="N1721" s="9">
        <f>L1721-M1721</f>
        <v/>
      </c>
      <c r="O1721" s="11">
        <f>IFERROR(N1721/L1721, 0)</f>
        <v/>
      </c>
      <c r="P1721" s="8">
        <f>YEAR(C1721)</f>
        <v/>
      </c>
      <c r="Q1721" s="8">
        <f>TEXT(C1721, "yyyy-mm")</f>
        <v/>
      </c>
      <c r="R1721" s="8" t="inlineStr">
        <is>
          <t>Mobile App</t>
        </is>
      </c>
      <c r="S1721" s="8" t="inlineStr">
        <is>
          <t>REG-EU</t>
        </is>
      </c>
    </row>
    <row r="1722">
      <c r="A1722" s="8" t="inlineStr">
        <is>
          <t>DTL-0001742</t>
        </is>
      </c>
      <c r="B1722" s="8" t="inlineStr">
        <is>
          <t>ORD-000870</t>
        </is>
      </c>
      <c r="C1722" s="10" t="inlineStr">
        <is>
          <t>2023-09-17</t>
        </is>
      </c>
      <c r="D1722" s="8" t="inlineStr">
        <is>
          <t>CUST-07083</t>
        </is>
      </c>
      <c r="E1722" s="8" t="inlineStr">
        <is>
          <t>PRD-0445</t>
        </is>
      </c>
      <c r="F1722" s="8" t="n">
        <v>2</v>
      </c>
      <c r="G1722" s="9">
        <f>IFERROR(XLOOKUP(E1722, '04_Products'!$A:$A, '04_Products'!$G:$G), 47.52)</f>
        <v/>
      </c>
      <c r="H1722" s="9">
        <f>IFERROR(XLOOKUP(E1722, '04_Products'!$A:$A, '04_Products'!$F:$F), 0)</f>
        <v/>
      </c>
      <c r="I1722" s="9">
        <f>F1722*G1722</f>
        <v/>
      </c>
      <c r="J1722" s="11" t="n">
        <v>0.1</v>
      </c>
      <c r="K1722" s="9">
        <f>I1722*J1722</f>
        <v/>
      </c>
      <c r="L1722" s="9">
        <f>I1722-K1722</f>
        <v/>
      </c>
      <c r="M1722" s="9">
        <f>F1722*H1722</f>
        <v/>
      </c>
      <c r="N1722" s="9">
        <f>L1722-M1722</f>
        <v/>
      </c>
      <c r="O1722" s="11">
        <f>IFERROR(N1722/L1722, 0)</f>
        <v/>
      </c>
      <c r="P1722" s="8">
        <f>YEAR(C1722)</f>
        <v/>
      </c>
      <c r="Q1722" s="8">
        <f>TEXT(C1722, "yyyy-mm")</f>
        <v/>
      </c>
      <c r="R1722" s="8" t="inlineStr">
        <is>
          <t>Mobile App</t>
        </is>
      </c>
      <c r="S1722" s="8" t="inlineStr">
        <is>
          <t>REG-EU</t>
        </is>
      </c>
    </row>
    <row r="1723">
      <c r="A1723" s="8" t="inlineStr">
        <is>
          <t>DTL-0001743</t>
        </is>
      </c>
      <c r="B1723" s="8" t="inlineStr">
        <is>
          <t>ORD-000871</t>
        </is>
      </c>
      <c r="C1723" s="10" t="inlineStr">
        <is>
          <t>2025-09-15</t>
        </is>
      </c>
      <c r="D1723" s="8" t="inlineStr">
        <is>
          <t>CUST-01368</t>
        </is>
      </c>
      <c r="E1723" s="8" t="inlineStr">
        <is>
          <t>PRD-0452</t>
        </is>
      </c>
      <c r="F1723" s="8" t="n">
        <v>2</v>
      </c>
      <c r="G1723" s="9">
        <f>IFERROR(XLOOKUP(E1723, '04_Products'!$A:$A, '04_Products'!$G:$G), 52.31)</f>
        <v/>
      </c>
      <c r="H1723" s="9">
        <f>IFERROR(XLOOKUP(E1723, '04_Products'!$A:$A, '04_Products'!$F:$F), 0)</f>
        <v/>
      </c>
      <c r="I1723" s="9">
        <f>F1723*G1723</f>
        <v/>
      </c>
      <c r="J1723" s="11" t="n">
        <v>0</v>
      </c>
      <c r="K1723" s="9">
        <f>I1723*J1723</f>
        <v/>
      </c>
      <c r="L1723" s="9">
        <f>I1723-K1723</f>
        <v/>
      </c>
      <c r="M1723" s="9">
        <f>F1723*H1723</f>
        <v/>
      </c>
      <c r="N1723" s="9">
        <f>L1723-M1723</f>
        <v/>
      </c>
      <c r="O1723" s="11">
        <f>IFERROR(N1723/L1723, 0)</f>
        <v/>
      </c>
      <c r="P1723" s="8">
        <f>YEAR(C1723)</f>
        <v/>
      </c>
      <c r="Q1723" s="8">
        <f>TEXT(C1723, "yyyy-mm")</f>
        <v/>
      </c>
      <c r="R1723" s="8" t="inlineStr">
        <is>
          <t>Mobile App</t>
        </is>
      </c>
      <c r="S1723" s="8" t="inlineStr">
        <is>
          <t>REG-EU</t>
        </is>
      </c>
    </row>
    <row r="1724">
      <c r="A1724" s="8" t="inlineStr">
        <is>
          <t>DTL-0001744</t>
        </is>
      </c>
      <c r="B1724" s="8" t="inlineStr">
        <is>
          <t>ORD-000871</t>
        </is>
      </c>
      <c r="C1724" s="10" t="inlineStr">
        <is>
          <t>2025-09-15</t>
        </is>
      </c>
      <c r="D1724" s="8" t="inlineStr">
        <is>
          <t>CUST-01368</t>
        </is>
      </c>
      <c r="E1724" s="8" t="inlineStr">
        <is>
          <t>PRD-0088</t>
        </is>
      </c>
      <c r="F1724" s="8" t="n">
        <v>1</v>
      </c>
      <c r="G1724" s="9">
        <f>IFERROR(XLOOKUP(E1724, '04_Products'!$A:$A, '04_Products'!$G:$G), 952.03)</f>
        <v/>
      </c>
      <c r="H1724" s="9">
        <f>IFERROR(XLOOKUP(E1724, '04_Products'!$A:$A, '04_Products'!$F:$F), 0)</f>
        <v/>
      </c>
      <c r="I1724" s="9">
        <f>F1724*G1724</f>
        <v/>
      </c>
      <c r="J1724" s="11" t="n">
        <v>0.05</v>
      </c>
      <c r="K1724" s="9">
        <f>I1724*J1724</f>
        <v/>
      </c>
      <c r="L1724" s="9">
        <f>I1724-K1724</f>
        <v/>
      </c>
      <c r="M1724" s="9">
        <f>F1724*H1724</f>
        <v/>
      </c>
      <c r="N1724" s="9">
        <f>L1724-M1724</f>
        <v/>
      </c>
      <c r="O1724" s="11">
        <f>IFERROR(N1724/L1724, 0)</f>
        <v/>
      </c>
      <c r="P1724" s="8">
        <f>YEAR(C1724)</f>
        <v/>
      </c>
      <c r="Q1724" s="8">
        <f>TEXT(C1724, "yyyy-mm")</f>
        <v/>
      </c>
      <c r="R1724" s="8" t="inlineStr">
        <is>
          <t>Mobile App</t>
        </is>
      </c>
      <c r="S1724" s="8" t="inlineStr">
        <is>
          <t>REG-EU</t>
        </is>
      </c>
    </row>
    <row r="1725">
      <c r="A1725" s="8" t="inlineStr">
        <is>
          <t>DTL-0001745</t>
        </is>
      </c>
      <c r="B1725" s="8" t="inlineStr">
        <is>
          <t>ORD-000871</t>
        </is>
      </c>
      <c r="C1725" s="10" t="inlineStr">
        <is>
          <t>2025-09-15</t>
        </is>
      </c>
      <c r="D1725" s="8" t="inlineStr">
        <is>
          <t>CUST-01368</t>
        </is>
      </c>
      <c r="E1725" s="8" t="inlineStr">
        <is>
          <t>PRD-0260</t>
        </is>
      </c>
      <c r="F1725" s="8" t="n">
        <v>1</v>
      </c>
      <c r="G1725" s="9">
        <f>IFERROR(XLOOKUP(E1725, '04_Products'!$A:$A, '04_Products'!$G:$G), 13.65)</f>
        <v/>
      </c>
      <c r="H1725" s="9">
        <f>IFERROR(XLOOKUP(E1725, '04_Products'!$A:$A, '04_Products'!$F:$F), 0)</f>
        <v/>
      </c>
      <c r="I1725" s="9">
        <f>F1725*G1725</f>
        <v/>
      </c>
      <c r="J1725" s="11" t="n">
        <v>0.1</v>
      </c>
      <c r="K1725" s="9">
        <f>I1725*J1725</f>
        <v/>
      </c>
      <c r="L1725" s="9">
        <f>I1725-K1725</f>
        <v/>
      </c>
      <c r="M1725" s="9">
        <f>F1725*H1725</f>
        <v/>
      </c>
      <c r="N1725" s="9">
        <f>L1725-M1725</f>
        <v/>
      </c>
      <c r="O1725" s="11">
        <f>IFERROR(N1725/L1725, 0)</f>
        <v/>
      </c>
      <c r="P1725" s="8">
        <f>YEAR(C1725)</f>
        <v/>
      </c>
      <c r="Q1725" s="8">
        <f>TEXT(C1725, "yyyy-mm")</f>
        <v/>
      </c>
      <c r="R1725" s="8" t="inlineStr">
        <is>
          <t>Mobile App</t>
        </is>
      </c>
      <c r="S1725" s="8" t="inlineStr">
        <is>
          <t>REG-EU</t>
        </is>
      </c>
    </row>
    <row r="1726">
      <c r="A1726" s="8" t="inlineStr">
        <is>
          <t>DTL-0001746</t>
        </is>
      </c>
      <c r="B1726" s="8" t="inlineStr">
        <is>
          <t>ORD-000871</t>
        </is>
      </c>
      <c r="C1726" s="10" t="inlineStr">
        <is>
          <t>2025-09-15</t>
        </is>
      </c>
      <c r="D1726" s="8" t="inlineStr">
        <is>
          <t>CUST-01368</t>
        </is>
      </c>
      <c r="E1726" s="8" t="inlineStr">
        <is>
          <t>PRD-0248</t>
        </is>
      </c>
      <c r="F1726" s="8" t="n">
        <v>3</v>
      </c>
      <c r="G1726" s="9">
        <f>IFERROR(XLOOKUP(E1726, '04_Products'!$A:$A, '04_Products'!$G:$G), 603.58)</f>
        <v/>
      </c>
      <c r="H1726" s="9">
        <f>IFERROR(XLOOKUP(E1726, '04_Products'!$A:$A, '04_Products'!$F:$F), 0)</f>
        <v/>
      </c>
      <c r="I1726" s="9">
        <f>F1726*G1726</f>
        <v/>
      </c>
      <c r="J1726" s="11" t="n">
        <v>0.1</v>
      </c>
      <c r="K1726" s="9">
        <f>I1726*J1726</f>
        <v/>
      </c>
      <c r="L1726" s="9">
        <f>I1726-K1726</f>
        <v/>
      </c>
      <c r="M1726" s="9">
        <f>F1726*H1726</f>
        <v/>
      </c>
      <c r="N1726" s="9">
        <f>L1726-M1726</f>
        <v/>
      </c>
      <c r="O1726" s="11">
        <f>IFERROR(N1726/L1726, 0)</f>
        <v/>
      </c>
      <c r="P1726" s="8">
        <f>YEAR(C1726)</f>
        <v/>
      </c>
      <c r="Q1726" s="8">
        <f>TEXT(C1726, "yyyy-mm")</f>
        <v/>
      </c>
      <c r="R1726" s="8" t="inlineStr">
        <is>
          <t>Mobile App</t>
        </is>
      </c>
      <c r="S1726" s="8" t="inlineStr">
        <is>
          <t>REG-EU</t>
        </is>
      </c>
    </row>
    <row r="1727">
      <c r="A1727" s="8" t="inlineStr">
        <is>
          <t>DTL-0001747</t>
        </is>
      </c>
      <c r="B1727" s="8" t="inlineStr">
        <is>
          <t>ORD-000872</t>
        </is>
      </c>
      <c r="C1727" s="10" t="inlineStr">
        <is>
          <t>2024-07-30</t>
        </is>
      </c>
      <c r="D1727" s="8" t="inlineStr">
        <is>
          <t>CUST-07656</t>
        </is>
      </c>
      <c r="E1727" s="8" t="inlineStr">
        <is>
          <t>PRD-0052</t>
        </is>
      </c>
      <c r="F1727" s="8" t="n">
        <v>4</v>
      </c>
      <c r="G1727" s="9">
        <f>IFERROR(XLOOKUP(E1727, '04_Products'!$A:$A, '04_Products'!$G:$G), 354.02)</f>
        <v/>
      </c>
      <c r="H1727" s="9">
        <f>IFERROR(XLOOKUP(E1727, '04_Products'!$A:$A, '04_Products'!$F:$F), 0)</f>
        <v/>
      </c>
      <c r="I1727" s="9">
        <f>F1727*G1727</f>
        <v/>
      </c>
      <c r="J1727" s="11" t="n">
        <v>0.2</v>
      </c>
      <c r="K1727" s="9">
        <f>I1727*J1727</f>
        <v/>
      </c>
      <c r="L1727" s="9">
        <f>I1727-K1727</f>
        <v/>
      </c>
      <c r="M1727" s="9">
        <f>F1727*H1727</f>
        <v/>
      </c>
      <c r="N1727" s="9">
        <f>L1727-M1727</f>
        <v/>
      </c>
      <c r="O1727" s="11">
        <f>IFERROR(N1727/L1727, 0)</f>
        <v/>
      </c>
      <c r="P1727" s="8">
        <f>YEAR(C1727)</f>
        <v/>
      </c>
      <c r="Q1727" s="8">
        <f>TEXT(C1727, "yyyy-mm")</f>
        <v/>
      </c>
      <c r="R1727" s="8" t="inlineStr">
        <is>
          <t>Direct Web</t>
        </is>
      </c>
      <c r="S1727" s="8" t="inlineStr">
        <is>
          <t>REG-APAC</t>
        </is>
      </c>
    </row>
    <row r="1728">
      <c r="A1728" s="8" t="inlineStr">
        <is>
          <t>DTL-0001748</t>
        </is>
      </c>
      <c r="B1728" s="8" t="inlineStr">
        <is>
          <t>ORD-000873</t>
        </is>
      </c>
      <c r="C1728" s="10" t="inlineStr">
        <is>
          <t>2025-11-04</t>
        </is>
      </c>
      <c r="D1728" s="8" t="inlineStr">
        <is>
          <t>CUST-03931</t>
        </is>
      </c>
      <c r="E1728" s="8" t="inlineStr">
        <is>
          <t>PRD-0376</t>
        </is>
      </c>
      <c r="F1728" s="8" t="n">
        <v>1</v>
      </c>
      <c r="G1728" s="9">
        <f>IFERROR(XLOOKUP(E1728, '04_Products'!$A:$A, '04_Products'!$G:$G), 219.88)</f>
        <v/>
      </c>
      <c r="H1728" s="9">
        <f>IFERROR(XLOOKUP(E1728, '04_Products'!$A:$A, '04_Products'!$F:$F), 0)</f>
        <v/>
      </c>
      <c r="I1728" s="9">
        <f>F1728*G1728</f>
        <v/>
      </c>
      <c r="J1728" s="11" t="n">
        <v>0.1</v>
      </c>
      <c r="K1728" s="9">
        <f>I1728*J1728</f>
        <v/>
      </c>
      <c r="L1728" s="9">
        <f>I1728-K1728</f>
        <v/>
      </c>
      <c r="M1728" s="9">
        <f>F1728*H1728</f>
        <v/>
      </c>
      <c r="N1728" s="9">
        <f>L1728-M1728</f>
        <v/>
      </c>
      <c r="O1728" s="11">
        <f>IFERROR(N1728/L1728, 0)</f>
        <v/>
      </c>
      <c r="P1728" s="8">
        <f>YEAR(C1728)</f>
        <v/>
      </c>
      <c r="Q1728" s="8">
        <f>TEXT(C1728, "yyyy-mm")</f>
        <v/>
      </c>
      <c r="R1728" s="8" t="inlineStr">
        <is>
          <t>Direct Web</t>
        </is>
      </c>
      <c r="S1728" s="8" t="inlineStr">
        <is>
          <t>REG-EU</t>
        </is>
      </c>
    </row>
    <row r="1729">
      <c r="A1729" s="8" t="inlineStr">
        <is>
          <t>DTL-0001749</t>
        </is>
      </c>
      <c r="B1729" s="8" t="inlineStr">
        <is>
          <t>ORD-000873</t>
        </is>
      </c>
      <c r="C1729" s="10" t="inlineStr">
        <is>
          <t>2025-11-04</t>
        </is>
      </c>
      <c r="D1729" s="8" t="inlineStr">
        <is>
          <t>CUST-03931</t>
        </is>
      </c>
      <c r="E1729" s="8" t="inlineStr">
        <is>
          <t>PRD-0173</t>
        </is>
      </c>
      <c r="F1729" s="8" t="n">
        <v>2</v>
      </c>
      <c r="G1729" s="9">
        <f>IFERROR(XLOOKUP(E1729, '04_Products'!$A:$A, '04_Products'!$G:$G), 62.36)</f>
        <v/>
      </c>
      <c r="H1729" s="9">
        <f>IFERROR(XLOOKUP(E1729, '04_Products'!$A:$A, '04_Products'!$F:$F), 0)</f>
        <v/>
      </c>
      <c r="I1729" s="9">
        <f>F1729*G1729</f>
        <v/>
      </c>
      <c r="J1729" s="11" t="n">
        <v>0</v>
      </c>
      <c r="K1729" s="9">
        <f>I1729*J1729</f>
        <v/>
      </c>
      <c r="L1729" s="9">
        <f>I1729-K1729</f>
        <v/>
      </c>
      <c r="M1729" s="9">
        <f>F1729*H1729</f>
        <v/>
      </c>
      <c r="N1729" s="9">
        <f>L1729-M1729</f>
        <v/>
      </c>
      <c r="O1729" s="11">
        <f>IFERROR(N1729/L1729, 0)</f>
        <v/>
      </c>
      <c r="P1729" s="8">
        <f>YEAR(C1729)</f>
        <v/>
      </c>
      <c r="Q1729" s="8">
        <f>TEXT(C1729, "yyyy-mm")</f>
        <v/>
      </c>
      <c r="R1729" s="8" t="inlineStr">
        <is>
          <t>Direct Web</t>
        </is>
      </c>
      <c r="S1729" s="8" t="inlineStr">
        <is>
          <t>REG-EU</t>
        </is>
      </c>
    </row>
    <row r="1730">
      <c r="A1730" s="8" t="inlineStr">
        <is>
          <t>DTL-0001750</t>
        </is>
      </c>
      <c r="B1730" s="8" t="inlineStr">
        <is>
          <t>ORD-000873</t>
        </is>
      </c>
      <c r="C1730" s="10" t="inlineStr">
        <is>
          <t>2025-11-04</t>
        </is>
      </c>
      <c r="D1730" s="8" t="inlineStr">
        <is>
          <t>CUST-03931</t>
        </is>
      </c>
      <c r="E1730" s="8" t="inlineStr">
        <is>
          <t>PRD-0205</t>
        </is>
      </c>
      <c r="F1730" s="8" t="n">
        <v>1</v>
      </c>
      <c r="G1730" s="9">
        <f>IFERROR(XLOOKUP(E1730, '04_Products'!$A:$A, '04_Products'!$G:$G), 385.35)</f>
        <v/>
      </c>
      <c r="H1730" s="9">
        <f>IFERROR(XLOOKUP(E1730, '04_Products'!$A:$A, '04_Products'!$F:$F), 0)</f>
        <v/>
      </c>
      <c r="I1730" s="9">
        <f>F1730*G1730</f>
        <v/>
      </c>
      <c r="J1730" s="11" t="n">
        <v>0</v>
      </c>
      <c r="K1730" s="9">
        <f>I1730*J1730</f>
        <v/>
      </c>
      <c r="L1730" s="9">
        <f>I1730-K1730</f>
        <v/>
      </c>
      <c r="M1730" s="9">
        <f>F1730*H1730</f>
        <v/>
      </c>
      <c r="N1730" s="9">
        <f>L1730-M1730</f>
        <v/>
      </c>
      <c r="O1730" s="11">
        <f>IFERROR(N1730/L1730, 0)</f>
        <v/>
      </c>
      <c r="P1730" s="8">
        <f>YEAR(C1730)</f>
        <v/>
      </c>
      <c r="Q1730" s="8">
        <f>TEXT(C1730, "yyyy-mm")</f>
        <v/>
      </c>
      <c r="R1730" s="8" t="inlineStr">
        <is>
          <t>Direct Web</t>
        </is>
      </c>
      <c r="S1730" s="8" t="inlineStr">
        <is>
          <t>REG-EU</t>
        </is>
      </c>
    </row>
    <row r="1731">
      <c r="A1731" s="8" t="inlineStr">
        <is>
          <t>DTL-0001751</t>
        </is>
      </c>
      <c r="B1731" s="8" t="inlineStr">
        <is>
          <t>ORD-000874</t>
        </is>
      </c>
      <c r="C1731" s="10" t="inlineStr">
        <is>
          <t>2025-07-28</t>
        </is>
      </c>
      <c r="D1731" s="8" t="inlineStr">
        <is>
          <t>CUST-00746</t>
        </is>
      </c>
      <c r="E1731" s="8" t="inlineStr">
        <is>
          <t>PRD-0231</t>
        </is>
      </c>
      <c r="F1731" s="8" t="n">
        <v>1</v>
      </c>
      <c r="G1731" s="9">
        <f>IFERROR(XLOOKUP(E1731, '04_Products'!$A:$A, '04_Products'!$G:$G), 191.12)</f>
        <v/>
      </c>
      <c r="H1731" s="9">
        <f>IFERROR(XLOOKUP(E1731, '04_Products'!$A:$A, '04_Products'!$F:$F), 0)</f>
        <v/>
      </c>
      <c r="I1731" s="9">
        <f>F1731*G1731</f>
        <v/>
      </c>
      <c r="J1731" s="11" t="n">
        <v>0.25</v>
      </c>
      <c r="K1731" s="9">
        <f>I1731*J1731</f>
        <v/>
      </c>
      <c r="L1731" s="9">
        <f>I1731-K1731</f>
        <v/>
      </c>
      <c r="M1731" s="9">
        <f>F1731*H1731</f>
        <v/>
      </c>
      <c r="N1731" s="9">
        <f>L1731-M1731</f>
        <v/>
      </c>
      <c r="O1731" s="11">
        <f>IFERROR(N1731/L1731, 0)</f>
        <v/>
      </c>
      <c r="P1731" s="8">
        <f>YEAR(C1731)</f>
        <v/>
      </c>
      <c r="Q1731" s="8">
        <f>TEXT(C1731, "yyyy-mm")</f>
        <v/>
      </c>
      <c r="R1731" s="8" t="inlineStr">
        <is>
          <t>Direct Web</t>
        </is>
      </c>
      <c r="S1731" s="8" t="inlineStr">
        <is>
          <t>REG-NA</t>
        </is>
      </c>
    </row>
    <row r="1732">
      <c r="A1732" s="8" t="inlineStr">
        <is>
          <t>DTL-0001752</t>
        </is>
      </c>
      <c r="B1732" s="8" t="inlineStr">
        <is>
          <t>ORD-000874</t>
        </is>
      </c>
      <c r="C1732" s="10" t="inlineStr">
        <is>
          <t>2025-07-28</t>
        </is>
      </c>
      <c r="D1732" s="8" t="inlineStr">
        <is>
          <t>CUST-00746</t>
        </is>
      </c>
      <c r="E1732" s="8" t="inlineStr">
        <is>
          <t>PRD-0364</t>
        </is>
      </c>
      <c r="F1732" s="8" t="n">
        <v>1</v>
      </c>
      <c r="G1732" s="9">
        <f>IFERROR(XLOOKUP(E1732, '04_Products'!$A:$A, '04_Products'!$G:$G), 1083.88)</f>
        <v/>
      </c>
      <c r="H1732" s="9">
        <f>IFERROR(XLOOKUP(E1732, '04_Products'!$A:$A, '04_Products'!$F:$F), 0)</f>
        <v/>
      </c>
      <c r="I1732" s="9">
        <f>F1732*G1732</f>
        <v/>
      </c>
      <c r="J1732" s="11" t="n">
        <v>0.05</v>
      </c>
      <c r="K1732" s="9">
        <f>I1732*J1732</f>
        <v/>
      </c>
      <c r="L1732" s="9">
        <f>I1732-K1732</f>
        <v/>
      </c>
      <c r="M1732" s="9">
        <f>F1732*H1732</f>
        <v/>
      </c>
      <c r="N1732" s="9">
        <f>L1732-M1732</f>
        <v/>
      </c>
      <c r="O1732" s="11">
        <f>IFERROR(N1732/L1732, 0)</f>
        <v/>
      </c>
      <c r="P1732" s="8">
        <f>YEAR(C1732)</f>
        <v/>
      </c>
      <c r="Q1732" s="8">
        <f>TEXT(C1732, "yyyy-mm")</f>
        <v/>
      </c>
      <c r="R1732" s="8" t="inlineStr">
        <is>
          <t>Direct Web</t>
        </is>
      </c>
      <c r="S1732" s="8" t="inlineStr">
        <is>
          <t>REG-NA</t>
        </is>
      </c>
    </row>
    <row r="1733">
      <c r="A1733" s="8" t="inlineStr">
        <is>
          <t>DTL-0001753</t>
        </is>
      </c>
      <c r="B1733" s="8" t="inlineStr">
        <is>
          <t>ORD-000875</t>
        </is>
      </c>
      <c r="C1733" s="10" t="inlineStr">
        <is>
          <t>2023-09-28</t>
        </is>
      </c>
      <c r="D1733" s="8" t="inlineStr">
        <is>
          <t>CUST-00543</t>
        </is>
      </c>
      <c r="E1733" s="8" t="inlineStr">
        <is>
          <t>PRD-0199</t>
        </is>
      </c>
      <c r="F1733" s="8" t="n">
        <v>1</v>
      </c>
      <c r="G1733" s="9">
        <f>IFERROR(XLOOKUP(E1733, '04_Products'!$A:$A, '04_Products'!$G:$G), 484.59)</f>
        <v/>
      </c>
      <c r="H1733" s="9">
        <f>IFERROR(XLOOKUP(E1733, '04_Products'!$A:$A, '04_Products'!$F:$F), 0)</f>
        <v/>
      </c>
      <c r="I1733" s="9">
        <f>F1733*G1733</f>
        <v/>
      </c>
      <c r="J1733" s="11" t="n">
        <v>0.05</v>
      </c>
      <c r="K1733" s="9">
        <f>I1733*J1733</f>
        <v/>
      </c>
      <c r="L1733" s="9">
        <f>I1733-K1733</f>
        <v/>
      </c>
      <c r="M1733" s="9">
        <f>F1733*H1733</f>
        <v/>
      </c>
      <c r="N1733" s="9">
        <f>L1733-M1733</f>
        <v/>
      </c>
      <c r="O1733" s="11">
        <f>IFERROR(N1733/L1733, 0)</f>
        <v/>
      </c>
      <c r="P1733" s="8">
        <f>YEAR(C1733)</f>
        <v/>
      </c>
      <c r="Q1733" s="8">
        <f>TEXT(C1733, "yyyy-mm")</f>
        <v/>
      </c>
      <c r="R1733" s="8" t="inlineStr">
        <is>
          <t>Direct Web</t>
        </is>
      </c>
      <c r="S1733" s="8" t="inlineStr">
        <is>
          <t>REG-EU</t>
        </is>
      </c>
    </row>
    <row r="1734">
      <c r="A1734" s="8" t="inlineStr">
        <is>
          <t>DTL-0001754</t>
        </is>
      </c>
      <c r="B1734" s="8" t="inlineStr">
        <is>
          <t>ORD-000875</t>
        </is>
      </c>
      <c r="C1734" s="10" t="inlineStr">
        <is>
          <t>2023-09-28</t>
        </is>
      </c>
      <c r="D1734" s="8" t="inlineStr">
        <is>
          <t>CUST-00543</t>
        </is>
      </c>
      <c r="E1734" s="8" t="inlineStr">
        <is>
          <t>PRD-0171</t>
        </is>
      </c>
      <c r="F1734" s="8" t="n">
        <v>1</v>
      </c>
      <c r="G1734" s="9">
        <f>IFERROR(XLOOKUP(E1734, '04_Products'!$A:$A, '04_Products'!$G:$G), 143.61)</f>
        <v/>
      </c>
      <c r="H1734" s="9">
        <f>IFERROR(XLOOKUP(E1734, '04_Products'!$A:$A, '04_Products'!$F:$F), 0)</f>
        <v/>
      </c>
      <c r="I1734" s="9">
        <f>F1734*G1734</f>
        <v/>
      </c>
      <c r="J1734" s="11" t="n">
        <v>0.25</v>
      </c>
      <c r="K1734" s="9">
        <f>I1734*J1734</f>
        <v/>
      </c>
      <c r="L1734" s="9">
        <f>I1734-K1734</f>
        <v/>
      </c>
      <c r="M1734" s="9">
        <f>F1734*H1734</f>
        <v/>
      </c>
      <c r="N1734" s="9">
        <f>L1734-M1734</f>
        <v/>
      </c>
      <c r="O1734" s="11">
        <f>IFERROR(N1734/L1734, 0)</f>
        <v/>
      </c>
      <c r="P1734" s="8">
        <f>YEAR(C1734)</f>
        <v/>
      </c>
      <c r="Q1734" s="8">
        <f>TEXT(C1734, "yyyy-mm")</f>
        <v/>
      </c>
      <c r="R1734" s="8" t="inlineStr">
        <is>
          <t>Direct Web</t>
        </is>
      </c>
      <c r="S1734" s="8" t="inlineStr">
        <is>
          <t>REG-EU</t>
        </is>
      </c>
    </row>
    <row r="1735">
      <c r="A1735" s="8" t="inlineStr">
        <is>
          <t>DTL-0001755</t>
        </is>
      </c>
      <c r="B1735" s="8" t="inlineStr">
        <is>
          <t>ORD-000876</t>
        </is>
      </c>
      <c r="C1735" s="10" t="inlineStr">
        <is>
          <t>2023-08-05</t>
        </is>
      </c>
      <c r="D1735" s="8" t="inlineStr">
        <is>
          <t>CUST-00565</t>
        </is>
      </c>
      <c r="E1735" s="8" t="inlineStr">
        <is>
          <t>PRD-0299</t>
        </is>
      </c>
      <c r="F1735" s="8" t="n">
        <v>1</v>
      </c>
      <c r="G1735" s="9">
        <f>IFERROR(XLOOKUP(E1735, '04_Products'!$A:$A, '04_Products'!$G:$G), 182.90)</f>
        <v/>
      </c>
      <c r="H1735" s="9">
        <f>IFERROR(XLOOKUP(E1735, '04_Products'!$A:$A, '04_Products'!$F:$F), 0)</f>
        <v/>
      </c>
      <c r="I1735" s="9">
        <f>F1735*G1735</f>
        <v/>
      </c>
      <c r="J1735" s="11" t="n">
        <v>0.1</v>
      </c>
      <c r="K1735" s="9">
        <f>I1735*J1735</f>
        <v/>
      </c>
      <c r="L1735" s="9">
        <f>I1735-K1735</f>
        <v/>
      </c>
      <c r="M1735" s="9">
        <f>F1735*H1735</f>
        <v/>
      </c>
      <c r="N1735" s="9">
        <f>L1735-M1735</f>
        <v/>
      </c>
      <c r="O1735" s="11">
        <f>IFERROR(N1735/L1735, 0)</f>
        <v/>
      </c>
      <c r="P1735" s="8">
        <f>YEAR(C1735)</f>
        <v/>
      </c>
      <c r="Q1735" s="8">
        <f>TEXT(C1735, "yyyy-mm")</f>
        <v/>
      </c>
      <c r="R1735" s="8" t="inlineStr">
        <is>
          <t>Direct Web</t>
        </is>
      </c>
      <c r="S1735" s="8" t="inlineStr">
        <is>
          <t>REG-EU</t>
        </is>
      </c>
    </row>
    <row r="1736">
      <c r="A1736" s="8" t="inlineStr">
        <is>
          <t>DTL-0001756</t>
        </is>
      </c>
      <c r="B1736" s="8" t="inlineStr">
        <is>
          <t>ORD-000876</t>
        </is>
      </c>
      <c r="C1736" s="10" t="inlineStr">
        <is>
          <t>2023-08-05</t>
        </is>
      </c>
      <c r="D1736" s="8" t="inlineStr">
        <is>
          <t>CUST-00565</t>
        </is>
      </c>
      <c r="E1736" s="8" t="inlineStr">
        <is>
          <t>PRD-0215</t>
        </is>
      </c>
      <c r="F1736" s="8" t="n">
        <v>1</v>
      </c>
      <c r="G1736" s="9">
        <f>IFERROR(XLOOKUP(E1736, '04_Products'!$A:$A, '04_Products'!$G:$G), 1006.33)</f>
        <v/>
      </c>
      <c r="H1736" s="9">
        <f>IFERROR(XLOOKUP(E1736, '04_Products'!$A:$A, '04_Products'!$F:$F), 0)</f>
        <v/>
      </c>
      <c r="I1736" s="9">
        <f>F1736*G1736</f>
        <v/>
      </c>
      <c r="J1736" s="11" t="n">
        <v>0.05</v>
      </c>
      <c r="K1736" s="9">
        <f>I1736*J1736</f>
        <v/>
      </c>
      <c r="L1736" s="9">
        <f>I1736-K1736</f>
        <v/>
      </c>
      <c r="M1736" s="9">
        <f>F1736*H1736</f>
        <v/>
      </c>
      <c r="N1736" s="9">
        <f>L1736-M1736</f>
        <v/>
      </c>
      <c r="O1736" s="11">
        <f>IFERROR(N1736/L1736, 0)</f>
        <v/>
      </c>
      <c r="P1736" s="8">
        <f>YEAR(C1736)</f>
        <v/>
      </c>
      <c r="Q1736" s="8">
        <f>TEXT(C1736, "yyyy-mm")</f>
        <v/>
      </c>
      <c r="R1736" s="8" t="inlineStr">
        <is>
          <t>Direct Web</t>
        </is>
      </c>
      <c r="S1736" s="8" t="inlineStr">
        <is>
          <t>REG-EU</t>
        </is>
      </c>
    </row>
    <row r="1737">
      <c r="A1737" s="8" t="inlineStr">
        <is>
          <t>DTL-0001757</t>
        </is>
      </c>
      <c r="B1737" s="8" t="inlineStr">
        <is>
          <t>ORD-000877</t>
        </is>
      </c>
      <c r="C1737" s="10" t="inlineStr">
        <is>
          <t>2023-04-19</t>
        </is>
      </c>
      <c r="D1737" s="8" t="inlineStr">
        <is>
          <t>CUST-00269</t>
        </is>
      </c>
      <c r="E1737" s="8" t="inlineStr">
        <is>
          <t>PRD-0080</t>
        </is>
      </c>
      <c r="F1737" s="8" t="n">
        <v>3</v>
      </c>
      <c r="G1737" s="9">
        <f>IFERROR(XLOOKUP(E1737, '04_Products'!$A:$A, '04_Products'!$G:$G), 547.36)</f>
        <v/>
      </c>
      <c r="H1737" s="9">
        <f>IFERROR(XLOOKUP(E1737, '04_Products'!$A:$A, '04_Products'!$F:$F), 0)</f>
        <v/>
      </c>
      <c r="I1737" s="9">
        <f>F1737*G1737</f>
        <v/>
      </c>
      <c r="J1737" s="11" t="n">
        <v>0</v>
      </c>
      <c r="K1737" s="9">
        <f>I1737*J1737</f>
        <v/>
      </c>
      <c r="L1737" s="9">
        <f>I1737-K1737</f>
        <v/>
      </c>
      <c r="M1737" s="9">
        <f>F1737*H1737</f>
        <v/>
      </c>
      <c r="N1737" s="9">
        <f>L1737-M1737</f>
        <v/>
      </c>
      <c r="O1737" s="11">
        <f>IFERROR(N1737/L1737, 0)</f>
        <v/>
      </c>
      <c r="P1737" s="8">
        <f>YEAR(C1737)</f>
        <v/>
      </c>
      <c r="Q1737" s="8">
        <f>TEXT(C1737, "yyyy-mm")</f>
        <v/>
      </c>
      <c r="R1737" s="8" t="inlineStr">
        <is>
          <t>Direct Web</t>
        </is>
      </c>
      <c r="S1737" s="8" t="inlineStr">
        <is>
          <t>REG-EU</t>
        </is>
      </c>
    </row>
    <row r="1738">
      <c r="A1738" s="8" t="inlineStr">
        <is>
          <t>DTL-0001758</t>
        </is>
      </c>
      <c r="B1738" s="8" t="inlineStr">
        <is>
          <t>ORD-000877</t>
        </is>
      </c>
      <c r="C1738" s="10" t="inlineStr">
        <is>
          <t>2023-04-19</t>
        </is>
      </c>
      <c r="D1738" s="8" t="inlineStr">
        <is>
          <t>CUST-00269</t>
        </is>
      </c>
      <c r="E1738" s="8" t="inlineStr">
        <is>
          <t>PRD-0297</t>
        </is>
      </c>
      <c r="F1738" s="8" t="n">
        <v>5</v>
      </c>
      <c r="G1738" s="9">
        <f>IFERROR(XLOOKUP(E1738, '04_Products'!$A:$A, '04_Products'!$G:$G), 47.74)</f>
        <v/>
      </c>
      <c r="H1738" s="9">
        <f>IFERROR(XLOOKUP(E1738, '04_Products'!$A:$A, '04_Products'!$F:$F), 0)</f>
        <v/>
      </c>
      <c r="I1738" s="9">
        <f>F1738*G1738</f>
        <v/>
      </c>
      <c r="J1738" s="11" t="n">
        <v>0</v>
      </c>
      <c r="K1738" s="9">
        <f>I1738*J1738</f>
        <v/>
      </c>
      <c r="L1738" s="9">
        <f>I1738-K1738</f>
        <v/>
      </c>
      <c r="M1738" s="9">
        <f>F1738*H1738</f>
        <v/>
      </c>
      <c r="N1738" s="9">
        <f>L1738-M1738</f>
        <v/>
      </c>
      <c r="O1738" s="11">
        <f>IFERROR(N1738/L1738, 0)</f>
        <v/>
      </c>
      <c r="P1738" s="8">
        <f>YEAR(C1738)</f>
        <v/>
      </c>
      <c r="Q1738" s="8">
        <f>TEXT(C1738, "yyyy-mm")</f>
        <v/>
      </c>
      <c r="R1738" s="8" t="inlineStr">
        <is>
          <t>Direct Web</t>
        </is>
      </c>
      <c r="S1738" s="8" t="inlineStr">
        <is>
          <t>REG-EU</t>
        </is>
      </c>
    </row>
    <row r="1739">
      <c r="A1739" s="8" t="inlineStr">
        <is>
          <t>DTL-0001759</t>
        </is>
      </c>
      <c r="B1739" s="8" t="inlineStr">
        <is>
          <t>ORD-000878</t>
        </is>
      </c>
      <c r="C1739" s="10" t="inlineStr">
        <is>
          <t>2024-10-09</t>
        </is>
      </c>
      <c r="D1739" s="8" t="inlineStr">
        <is>
          <t>CUST-04728</t>
        </is>
      </c>
      <c r="E1739" s="8" t="inlineStr">
        <is>
          <t>PRD-0442</t>
        </is>
      </c>
      <c r="F1739" s="8" t="n">
        <v>1</v>
      </c>
      <c r="G1739" s="9">
        <f>IFERROR(XLOOKUP(E1739, '04_Products'!$A:$A, '04_Products'!$G:$G), 883.50)</f>
        <v/>
      </c>
      <c r="H1739" s="9">
        <f>IFERROR(XLOOKUP(E1739, '04_Products'!$A:$A, '04_Products'!$F:$F), 0)</f>
        <v/>
      </c>
      <c r="I1739" s="9">
        <f>F1739*G1739</f>
        <v/>
      </c>
      <c r="J1739" s="11" t="n">
        <v>0.3</v>
      </c>
      <c r="K1739" s="9">
        <f>I1739*J1739</f>
        <v/>
      </c>
      <c r="L1739" s="9">
        <f>I1739-K1739</f>
        <v/>
      </c>
      <c r="M1739" s="9">
        <f>F1739*H1739</f>
        <v/>
      </c>
      <c r="N1739" s="9">
        <f>L1739-M1739</f>
        <v/>
      </c>
      <c r="O1739" s="11">
        <f>IFERROR(N1739/L1739, 0)</f>
        <v/>
      </c>
      <c r="P1739" s="8">
        <f>YEAR(C1739)</f>
        <v/>
      </c>
      <c r="Q1739" s="8">
        <f>TEXT(C1739, "yyyy-mm")</f>
        <v/>
      </c>
      <c r="R1739" s="8" t="inlineStr">
        <is>
          <t>Mobile App</t>
        </is>
      </c>
      <c r="S1739" s="8" t="inlineStr">
        <is>
          <t>REG-NA</t>
        </is>
      </c>
    </row>
    <row r="1740">
      <c r="A1740" s="8" t="inlineStr">
        <is>
          <t>DTL-0001760</t>
        </is>
      </c>
      <c r="B1740" s="8" t="inlineStr">
        <is>
          <t>ORD-000878</t>
        </is>
      </c>
      <c r="C1740" s="10" t="inlineStr">
        <is>
          <t>2024-10-09</t>
        </is>
      </c>
      <c r="D1740" s="8" t="inlineStr">
        <is>
          <t>CUST-04728</t>
        </is>
      </c>
      <c r="E1740" s="8" t="inlineStr">
        <is>
          <t>PRD-0396</t>
        </is>
      </c>
      <c r="F1740" s="8" t="n">
        <v>2</v>
      </c>
      <c r="G1740" s="9">
        <f>IFERROR(XLOOKUP(E1740, '04_Products'!$A:$A, '04_Products'!$G:$G), 1112.29)</f>
        <v/>
      </c>
      <c r="H1740" s="9">
        <f>IFERROR(XLOOKUP(E1740, '04_Products'!$A:$A, '04_Products'!$F:$F), 0)</f>
        <v/>
      </c>
      <c r="I1740" s="9">
        <f>F1740*G1740</f>
        <v/>
      </c>
      <c r="J1740" s="11" t="n">
        <v>0.3</v>
      </c>
      <c r="K1740" s="9">
        <f>I1740*J1740</f>
        <v/>
      </c>
      <c r="L1740" s="9">
        <f>I1740-K1740</f>
        <v/>
      </c>
      <c r="M1740" s="9">
        <f>F1740*H1740</f>
        <v/>
      </c>
      <c r="N1740" s="9">
        <f>L1740-M1740</f>
        <v/>
      </c>
      <c r="O1740" s="11">
        <f>IFERROR(N1740/L1740, 0)</f>
        <v/>
      </c>
      <c r="P1740" s="8">
        <f>YEAR(C1740)</f>
        <v/>
      </c>
      <c r="Q1740" s="8">
        <f>TEXT(C1740, "yyyy-mm")</f>
        <v/>
      </c>
      <c r="R1740" s="8" t="inlineStr">
        <is>
          <t>Mobile App</t>
        </is>
      </c>
      <c r="S1740" s="8" t="inlineStr">
        <is>
          <t>REG-NA</t>
        </is>
      </c>
    </row>
    <row r="1741">
      <c r="A1741" s="8" t="inlineStr">
        <is>
          <t>DTL-0001761</t>
        </is>
      </c>
      <c r="B1741" s="8" t="inlineStr">
        <is>
          <t>ORD-000879</t>
        </is>
      </c>
      <c r="C1741" s="10" t="inlineStr">
        <is>
          <t>2024-04-13</t>
        </is>
      </c>
      <c r="D1741" s="8" t="inlineStr">
        <is>
          <t>CUST-05816</t>
        </is>
      </c>
      <c r="E1741" s="8" t="inlineStr">
        <is>
          <t>PRD-0385</t>
        </is>
      </c>
      <c r="F1741" s="8" t="n">
        <v>1</v>
      </c>
      <c r="G1741" s="9">
        <f>IFERROR(XLOOKUP(E1741, '04_Products'!$A:$A, '04_Products'!$G:$G), 209.78)</f>
        <v/>
      </c>
      <c r="H1741" s="9">
        <f>IFERROR(XLOOKUP(E1741, '04_Products'!$A:$A, '04_Products'!$F:$F), 0)</f>
        <v/>
      </c>
      <c r="I1741" s="9">
        <f>F1741*G1741</f>
        <v/>
      </c>
      <c r="J1741" s="11" t="n">
        <v>0.15</v>
      </c>
      <c r="K1741" s="9">
        <f>I1741*J1741</f>
        <v/>
      </c>
      <c r="L1741" s="9">
        <f>I1741-K1741</f>
        <v/>
      </c>
      <c r="M1741" s="9">
        <f>F1741*H1741</f>
        <v/>
      </c>
      <c r="N1741" s="9">
        <f>L1741-M1741</f>
        <v/>
      </c>
      <c r="O1741" s="11">
        <f>IFERROR(N1741/L1741, 0)</f>
        <v/>
      </c>
      <c r="P1741" s="8">
        <f>YEAR(C1741)</f>
        <v/>
      </c>
      <c r="Q1741" s="8">
        <f>TEXT(C1741, "yyyy-mm")</f>
        <v/>
      </c>
      <c r="R1741" s="8" t="inlineStr">
        <is>
          <t>Direct Web</t>
        </is>
      </c>
      <c r="S1741" s="8" t="inlineStr">
        <is>
          <t>REG-EU</t>
        </is>
      </c>
    </row>
    <row r="1742">
      <c r="A1742" s="8" t="inlineStr">
        <is>
          <t>DTL-0001762</t>
        </is>
      </c>
      <c r="B1742" s="8" t="inlineStr">
        <is>
          <t>ORD-000880</t>
        </is>
      </c>
      <c r="C1742" s="10" t="inlineStr">
        <is>
          <t>2024-10-29</t>
        </is>
      </c>
      <c r="D1742" s="8" t="inlineStr">
        <is>
          <t>CUST-04199</t>
        </is>
      </c>
      <c r="E1742" s="8" t="inlineStr">
        <is>
          <t>PRD-0266</t>
        </is>
      </c>
      <c r="F1742" s="8" t="n">
        <v>10</v>
      </c>
      <c r="G1742" s="9">
        <f>IFERROR(XLOOKUP(E1742, '04_Products'!$A:$A, '04_Products'!$G:$G), 170.34)</f>
        <v/>
      </c>
      <c r="H1742" s="9">
        <f>IFERROR(XLOOKUP(E1742, '04_Products'!$A:$A, '04_Products'!$F:$F), 0)</f>
        <v/>
      </c>
      <c r="I1742" s="9">
        <f>F1742*G1742</f>
        <v/>
      </c>
      <c r="J1742" s="11" t="n">
        <v>0</v>
      </c>
      <c r="K1742" s="9">
        <f>I1742*J1742</f>
        <v/>
      </c>
      <c r="L1742" s="9">
        <f>I1742-K1742</f>
        <v/>
      </c>
      <c r="M1742" s="9">
        <f>F1742*H1742</f>
        <v/>
      </c>
      <c r="N1742" s="9">
        <f>L1742-M1742</f>
        <v/>
      </c>
      <c r="O1742" s="11">
        <f>IFERROR(N1742/L1742, 0)</f>
        <v/>
      </c>
      <c r="P1742" s="8">
        <f>YEAR(C1742)</f>
        <v/>
      </c>
      <c r="Q1742" s="8">
        <f>TEXT(C1742, "yyyy-mm")</f>
        <v/>
      </c>
      <c r="R1742" s="8" t="inlineStr">
        <is>
          <t>Direct Web</t>
        </is>
      </c>
      <c r="S1742" s="8" t="inlineStr">
        <is>
          <t>REG-APAC</t>
        </is>
      </c>
    </row>
    <row r="1743">
      <c r="A1743" s="8" t="inlineStr">
        <is>
          <t>DTL-0001763</t>
        </is>
      </c>
      <c r="B1743" s="8" t="inlineStr">
        <is>
          <t>ORD-000881</t>
        </is>
      </c>
      <c r="C1743" s="10" t="inlineStr">
        <is>
          <t>2025-03-03</t>
        </is>
      </c>
      <c r="D1743" s="8" t="inlineStr">
        <is>
          <t>CUST-05031</t>
        </is>
      </c>
      <c r="E1743" s="8" t="inlineStr">
        <is>
          <t>PRD-0028</t>
        </is>
      </c>
      <c r="F1743" s="8" t="n">
        <v>2</v>
      </c>
      <c r="G1743" s="9">
        <f>IFERROR(XLOOKUP(E1743, '04_Products'!$A:$A, '04_Products'!$G:$G), 832.11)</f>
        <v/>
      </c>
      <c r="H1743" s="9">
        <f>IFERROR(XLOOKUP(E1743, '04_Products'!$A:$A, '04_Products'!$F:$F), 0)</f>
        <v/>
      </c>
      <c r="I1743" s="9">
        <f>F1743*G1743</f>
        <v/>
      </c>
      <c r="J1743" s="11" t="n">
        <v>0</v>
      </c>
      <c r="K1743" s="9">
        <f>I1743*J1743</f>
        <v/>
      </c>
      <c r="L1743" s="9">
        <f>I1743-K1743</f>
        <v/>
      </c>
      <c r="M1743" s="9">
        <f>F1743*H1743</f>
        <v/>
      </c>
      <c r="N1743" s="9">
        <f>L1743-M1743</f>
        <v/>
      </c>
      <c r="O1743" s="11">
        <f>IFERROR(N1743/L1743, 0)</f>
        <v/>
      </c>
      <c r="P1743" s="8">
        <f>YEAR(C1743)</f>
        <v/>
      </c>
      <c r="Q1743" s="8">
        <f>TEXT(C1743, "yyyy-mm")</f>
        <v/>
      </c>
      <c r="R1743" s="8" t="inlineStr">
        <is>
          <t>Direct Web</t>
        </is>
      </c>
      <c r="S1743" s="8" t="inlineStr">
        <is>
          <t>REG-EU</t>
        </is>
      </c>
    </row>
    <row r="1744">
      <c r="A1744" s="8" t="inlineStr">
        <is>
          <t>DTL-0001764</t>
        </is>
      </c>
      <c r="B1744" s="8" t="inlineStr">
        <is>
          <t>ORD-000882</t>
        </is>
      </c>
      <c r="C1744" s="10" t="inlineStr">
        <is>
          <t>2024-12-30</t>
        </is>
      </c>
      <c r="D1744" s="8" t="inlineStr">
        <is>
          <t>CUST-04486</t>
        </is>
      </c>
      <c r="E1744" s="8" t="inlineStr">
        <is>
          <t>PRD-0418</t>
        </is>
      </c>
      <c r="F1744" s="8" t="n">
        <v>2</v>
      </c>
      <c r="G1744" s="9">
        <f>IFERROR(XLOOKUP(E1744, '04_Products'!$A:$A, '04_Products'!$G:$G), 287.35)</f>
        <v/>
      </c>
      <c r="H1744" s="9">
        <f>IFERROR(XLOOKUP(E1744, '04_Products'!$A:$A, '04_Products'!$F:$F), 0)</f>
        <v/>
      </c>
      <c r="I1744" s="9">
        <f>F1744*G1744</f>
        <v/>
      </c>
      <c r="J1744" s="11" t="n">
        <v>0.15</v>
      </c>
      <c r="K1744" s="9">
        <f>I1744*J1744</f>
        <v/>
      </c>
      <c r="L1744" s="9">
        <f>I1744-K1744</f>
        <v/>
      </c>
      <c r="M1744" s="9">
        <f>F1744*H1744</f>
        <v/>
      </c>
      <c r="N1744" s="9">
        <f>L1744-M1744</f>
        <v/>
      </c>
      <c r="O1744" s="11">
        <f>IFERROR(N1744/L1744, 0)</f>
        <v/>
      </c>
      <c r="P1744" s="8">
        <f>YEAR(C1744)</f>
        <v/>
      </c>
      <c r="Q1744" s="8">
        <f>TEXT(C1744, "yyyy-mm")</f>
        <v/>
      </c>
      <c r="R1744" s="8" t="inlineStr">
        <is>
          <t>Direct Web</t>
        </is>
      </c>
      <c r="S1744" s="8" t="inlineStr">
        <is>
          <t>REG-APAC</t>
        </is>
      </c>
    </row>
    <row r="1745">
      <c r="A1745" s="8" t="inlineStr">
        <is>
          <t>DTL-0001765</t>
        </is>
      </c>
      <c r="B1745" s="8" t="inlineStr">
        <is>
          <t>ORD-000882</t>
        </is>
      </c>
      <c r="C1745" s="10" t="inlineStr">
        <is>
          <t>2024-12-30</t>
        </is>
      </c>
      <c r="D1745" s="8" t="inlineStr">
        <is>
          <t>CUST-04486</t>
        </is>
      </c>
      <c r="E1745" s="8" t="inlineStr">
        <is>
          <t>PRD-0162</t>
        </is>
      </c>
      <c r="F1745" s="8" t="n">
        <v>1</v>
      </c>
      <c r="G1745" s="9">
        <f>IFERROR(XLOOKUP(E1745, '04_Products'!$A:$A, '04_Products'!$G:$G), 192.43)</f>
        <v/>
      </c>
      <c r="H1745" s="9">
        <f>IFERROR(XLOOKUP(E1745, '04_Products'!$A:$A, '04_Products'!$F:$F), 0)</f>
        <v/>
      </c>
      <c r="I1745" s="9">
        <f>F1745*G1745</f>
        <v/>
      </c>
      <c r="J1745" s="11" t="n">
        <v>0.05</v>
      </c>
      <c r="K1745" s="9">
        <f>I1745*J1745</f>
        <v/>
      </c>
      <c r="L1745" s="9">
        <f>I1745-K1745</f>
        <v/>
      </c>
      <c r="M1745" s="9">
        <f>F1745*H1745</f>
        <v/>
      </c>
      <c r="N1745" s="9">
        <f>L1745-M1745</f>
        <v/>
      </c>
      <c r="O1745" s="11">
        <f>IFERROR(N1745/L1745, 0)</f>
        <v/>
      </c>
      <c r="P1745" s="8">
        <f>YEAR(C1745)</f>
        <v/>
      </c>
      <c r="Q1745" s="8">
        <f>TEXT(C1745, "yyyy-mm")</f>
        <v/>
      </c>
      <c r="R1745" s="8" t="inlineStr">
        <is>
          <t>Direct Web</t>
        </is>
      </c>
      <c r="S1745" s="8" t="inlineStr">
        <is>
          <t>REG-APAC</t>
        </is>
      </c>
    </row>
    <row r="1746">
      <c r="A1746" s="8" t="inlineStr">
        <is>
          <t>DTL-0001766</t>
        </is>
      </c>
      <c r="B1746" s="8" t="inlineStr">
        <is>
          <t>ORD-000883</t>
        </is>
      </c>
      <c r="C1746" s="10" t="inlineStr">
        <is>
          <t>2025-04-07</t>
        </is>
      </c>
      <c r="D1746" s="8" t="inlineStr">
        <is>
          <t>CUST-02150</t>
        </is>
      </c>
      <c r="E1746" s="8" t="inlineStr">
        <is>
          <t>PRD-0189</t>
        </is>
      </c>
      <c r="F1746" s="8" t="n">
        <v>2</v>
      </c>
      <c r="G1746" s="9">
        <f>IFERROR(XLOOKUP(E1746, '04_Products'!$A:$A, '04_Products'!$G:$G), 526.66)</f>
        <v/>
      </c>
      <c r="H1746" s="9">
        <f>IFERROR(XLOOKUP(E1746, '04_Products'!$A:$A, '04_Products'!$F:$F), 0)</f>
        <v/>
      </c>
      <c r="I1746" s="9">
        <f>F1746*G1746</f>
        <v/>
      </c>
      <c r="J1746" s="11" t="n">
        <v>0</v>
      </c>
      <c r="K1746" s="9">
        <f>I1746*J1746</f>
        <v/>
      </c>
      <c r="L1746" s="9">
        <f>I1746-K1746</f>
        <v/>
      </c>
      <c r="M1746" s="9">
        <f>F1746*H1746</f>
        <v/>
      </c>
      <c r="N1746" s="9">
        <f>L1746-M1746</f>
        <v/>
      </c>
      <c r="O1746" s="11">
        <f>IFERROR(N1746/L1746, 0)</f>
        <v/>
      </c>
      <c r="P1746" s="8">
        <f>YEAR(C1746)</f>
        <v/>
      </c>
      <c r="Q1746" s="8">
        <f>TEXT(C1746, "yyyy-mm")</f>
        <v/>
      </c>
      <c r="R1746" s="8" t="inlineStr">
        <is>
          <t>Direct Web</t>
        </is>
      </c>
      <c r="S1746" s="8" t="inlineStr">
        <is>
          <t>REG-LATAM</t>
        </is>
      </c>
    </row>
    <row r="1747">
      <c r="A1747" s="8" t="inlineStr">
        <is>
          <t>DTL-0001767</t>
        </is>
      </c>
      <c r="B1747" s="8" t="inlineStr">
        <is>
          <t>ORD-000884</t>
        </is>
      </c>
      <c r="C1747" s="10" t="inlineStr">
        <is>
          <t>2024-09-10</t>
        </is>
      </c>
      <c r="D1747" s="8" t="inlineStr">
        <is>
          <t>CUST-06769</t>
        </is>
      </c>
      <c r="E1747" s="8" t="inlineStr">
        <is>
          <t>PRD-0358</t>
        </is>
      </c>
      <c r="F1747" s="8" t="n">
        <v>3</v>
      </c>
      <c r="G1747" s="9">
        <f>IFERROR(XLOOKUP(E1747, '04_Products'!$A:$A, '04_Products'!$G:$G), 795.41)</f>
        <v/>
      </c>
      <c r="H1747" s="9">
        <f>IFERROR(XLOOKUP(E1747, '04_Products'!$A:$A, '04_Products'!$F:$F), 0)</f>
        <v/>
      </c>
      <c r="I1747" s="9">
        <f>F1747*G1747</f>
        <v/>
      </c>
      <c r="J1747" s="11" t="n">
        <v>0.2</v>
      </c>
      <c r="K1747" s="9">
        <f>I1747*J1747</f>
        <v/>
      </c>
      <c r="L1747" s="9">
        <f>I1747-K1747</f>
        <v/>
      </c>
      <c r="M1747" s="9">
        <f>F1747*H1747</f>
        <v/>
      </c>
      <c r="N1747" s="9">
        <f>L1747-M1747</f>
        <v/>
      </c>
      <c r="O1747" s="11">
        <f>IFERROR(N1747/L1747, 0)</f>
        <v/>
      </c>
      <c r="P1747" s="8">
        <f>YEAR(C1747)</f>
        <v/>
      </c>
      <c r="Q1747" s="8">
        <f>TEXT(C1747, "yyyy-mm")</f>
        <v/>
      </c>
      <c r="R1747" s="8" t="inlineStr">
        <is>
          <t>Direct Web</t>
        </is>
      </c>
      <c r="S1747" s="8" t="inlineStr">
        <is>
          <t>REG-EU</t>
        </is>
      </c>
    </row>
    <row r="1748">
      <c r="A1748" s="8" t="inlineStr">
        <is>
          <t>DTL-0001768</t>
        </is>
      </c>
      <c r="B1748" s="8" t="inlineStr">
        <is>
          <t>ORD-000884</t>
        </is>
      </c>
      <c r="C1748" s="10" t="inlineStr">
        <is>
          <t>2024-09-10</t>
        </is>
      </c>
      <c r="D1748" s="8" t="inlineStr">
        <is>
          <t>CUST-06769</t>
        </is>
      </c>
      <c r="E1748" s="8" t="inlineStr">
        <is>
          <t>PRD-0232</t>
        </is>
      </c>
      <c r="F1748" s="8" t="n">
        <v>1</v>
      </c>
      <c r="G1748" s="9">
        <f>IFERROR(XLOOKUP(E1748, '04_Products'!$A:$A, '04_Products'!$G:$G), 192.08)</f>
        <v/>
      </c>
      <c r="H1748" s="9">
        <f>IFERROR(XLOOKUP(E1748, '04_Products'!$A:$A, '04_Products'!$F:$F), 0)</f>
        <v/>
      </c>
      <c r="I1748" s="9">
        <f>F1748*G1748</f>
        <v/>
      </c>
      <c r="J1748" s="11" t="n">
        <v>0</v>
      </c>
      <c r="K1748" s="9">
        <f>I1748*J1748</f>
        <v/>
      </c>
      <c r="L1748" s="9">
        <f>I1748-K1748</f>
        <v/>
      </c>
      <c r="M1748" s="9">
        <f>F1748*H1748</f>
        <v/>
      </c>
      <c r="N1748" s="9">
        <f>L1748-M1748</f>
        <v/>
      </c>
      <c r="O1748" s="11">
        <f>IFERROR(N1748/L1748, 0)</f>
        <v/>
      </c>
      <c r="P1748" s="8">
        <f>YEAR(C1748)</f>
        <v/>
      </c>
      <c r="Q1748" s="8">
        <f>TEXT(C1748, "yyyy-mm")</f>
        <v/>
      </c>
      <c r="R1748" s="8" t="inlineStr">
        <is>
          <t>Direct Web</t>
        </is>
      </c>
      <c r="S1748" s="8" t="inlineStr">
        <is>
          <t>REG-EU</t>
        </is>
      </c>
    </row>
    <row r="1749">
      <c r="A1749" s="8" t="inlineStr">
        <is>
          <t>DTL-0001769</t>
        </is>
      </c>
      <c r="B1749" s="8" t="inlineStr">
        <is>
          <t>ORD-000885</t>
        </is>
      </c>
      <c r="C1749" s="10" t="inlineStr">
        <is>
          <t>2023-12-29</t>
        </is>
      </c>
      <c r="D1749" s="8" t="inlineStr">
        <is>
          <t>CUST-02107</t>
        </is>
      </c>
      <c r="E1749" s="8" t="inlineStr">
        <is>
          <t>PRD-0356</t>
        </is>
      </c>
      <c r="F1749" s="8" t="n">
        <v>2</v>
      </c>
      <c r="G1749" s="9">
        <f>IFERROR(XLOOKUP(E1749, '04_Products'!$A:$A, '04_Products'!$G:$G), 180.92)</f>
        <v/>
      </c>
      <c r="H1749" s="9">
        <f>IFERROR(XLOOKUP(E1749, '04_Products'!$A:$A, '04_Products'!$F:$F), 0)</f>
        <v/>
      </c>
      <c r="I1749" s="9">
        <f>F1749*G1749</f>
        <v/>
      </c>
      <c r="J1749" s="11" t="n">
        <v>0</v>
      </c>
      <c r="K1749" s="9">
        <f>I1749*J1749</f>
        <v/>
      </c>
      <c r="L1749" s="9">
        <f>I1749-K1749</f>
        <v/>
      </c>
      <c r="M1749" s="9">
        <f>F1749*H1749</f>
        <v/>
      </c>
      <c r="N1749" s="9">
        <f>L1749-M1749</f>
        <v/>
      </c>
      <c r="O1749" s="11">
        <f>IFERROR(N1749/L1749, 0)</f>
        <v/>
      </c>
      <c r="P1749" s="8">
        <f>YEAR(C1749)</f>
        <v/>
      </c>
      <c r="Q1749" s="8">
        <f>TEXT(C1749, "yyyy-mm")</f>
        <v/>
      </c>
      <c r="R1749" s="8" t="inlineStr">
        <is>
          <t>Direct Web</t>
        </is>
      </c>
      <c r="S1749" s="8" t="inlineStr">
        <is>
          <t>REG-EU</t>
        </is>
      </c>
    </row>
    <row r="1750">
      <c r="A1750" s="8" t="inlineStr">
        <is>
          <t>DTL-0001770</t>
        </is>
      </c>
      <c r="B1750" s="8" t="inlineStr">
        <is>
          <t>ORD-000885</t>
        </is>
      </c>
      <c r="C1750" s="10" t="inlineStr">
        <is>
          <t>2023-12-29</t>
        </is>
      </c>
      <c r="D1750" s="8" t="inlineStr">
        <is>
          <t>CUST-02107</t>
        </is>
      </c>
      <c r="E1750" s="8" t="inlineStr">
        <is>
          <t>PRD-0096</t>
        </is>
      </c>
      <c r="F1750" s="8" t="n">
        <v>1</v>
      </c>
      <c r="G1750" s="9">
        <f>IFERROR(XLOOKUP(E1750, '04_Products'!$A:$A, '04_Products'!$G:$G), 66.14)</f>
        <v/>
      </c>
      <c r="H1750" s="9">
        <f>IFERROR(XLOOKUP(E1750, '04_Products'!$A:$A, '04_Products'!$F:$F), 0)</f>
        <v/>
      </c>
      <c r="I1750" s="9">
        <f>F1750*G1750</f>
        <v/>
      </c>
      <c r="J1750" s="11" t="n">
        <v>0.15</v>
      </c>
      <c r="K1750" s="9">
        <f>I1750*J1750</f>
        <v/>
      </c>
      <c r="L1750" s="9">
        <f>I1750-K1750</f>
        <v/>
      </c>
      <c r="M1750" s="9">
        <f>F1750*H1750</f>
        <v/>
      </c>
      <c r="N1750" s="9">
        <f>L1750-M1750</f>
        <v/>
      </c>
      <c r="O1750" s="11">
        <f>IFERROR(N1750/L1750, 0)</f>
        <v/>
      </c>
      <c r="P1750" s="8">
        <f>YEAR(C1750)</f>
        <v/>
      </c>
      <c r="Q1750" s="8">
        <f>TEXT(C1750, "yyyy-mm")</f>
        <v/>
      </c>
      <c r="R1750" s="8" t="inlineStr">
        <is>
          <t>Direct Web</t>
        </is>
      </c>
      <c r="S1750" s="8" t="inlineStr">
        <is>
          <t>REG-EU</t>
        </is>
      </c>
    </row>
    <row r="1751">
      <c r="A1751" s="8" t="inlineStr">
        <is>
          <t>DTL-0001771</t>
        </is>
      </c>
      <c r="B1751" s="8" t="inlineStr">
        <is>
          <t>ORD-000886</t>
        </is>
      </c>
      <c r="C1751" s="10" t="inlineStr">
        <is>
          <t>2023-11-12</t>
        </is>
      </c>
      <c r="D1751" s="8" t="inlineStr">
        <is>
          <t>CUST-02834</t>
        </is>
      </c>
      <c r="E1751" s="8" t="inlineStr">
        <is>
          <t>PRD-0117</t>
        </is>
      </c>
      <c r="F1751" s="8" t="n">
        <v>1</v>
      </c>
      <c r="G1751" s="9">
        <f>IFERROR(XLOOKUP(E1751, '04_Products'!$A:$A, '04_Products'!$G:$G), 655.40)</f>
        <v/>
      </c>
      <c r="H1751" s="9">
        <f>IFERROR(XLOOKUP(E1751, '04_Products'!$A:$A, '04_Products'!$F:$F), 0)</f>
        <v/>
      </c>
      <c r="I1751" s="9">
        <f>F1751*G1751</f>
        <v/>
      </c>
      <c r="J1751" s="11" t="n">
        <v>0</v>
      </c>
      <c r="K1751" s="9">
        <f>I1751*J1751</f>
        <v/>
      </c>
      <c r="L1751" s="9">
        <f>I1751-K1751</f>
        <v/>
      </c>
      <c r="M1751" s="9">
        <f>F1751*H1751</f>
        <v/>
      </c>
      <c r="N1751" s="9">
        <f>L1751-M1751</f>
        <v/>
      </c>
      <c r="O1751" s="11">
        <f>IFERROR(N1751/L1751, 0)</f>
        <v/>
      </c>
      <c r="P1751" s="8">
        <f>YEAR(C1751)</f>
        <v/>
      </c>
      <c r="Q1751" s="8">
        <f>TEXT(C1751, "yyyy-mm")</f>
        <v/>
      </c>
      <c r="R1751" s="8" t="inlineStr">
        <is>
          <t>Mobile App</t>
        </is>
      </c>
      <c r="S1751" s="8" t="inlineStr">
        <is>
          <t>REG-APAC</t>
        </is>
      </c>
    </row>
    <row r="1752">
      <c r="A1752" s="8" t="inlineStr">
        <is>
          <t>DTL-0001772</t>
        </is>
      </c>
      <c r="B1752" s="8" t="inlineStr">
        <is>
          <t>ORD-000886</t>
        </is>
      </c>
      <c r="C1752" s="10" t="inlineStr">
        <is>
          <t>2023-11-12</t>
        </is>
      </c>
      <c r="D1752" s="8" t="inlineStr">
        <is>
          <t>CUST-02834</t>
        </is>
      </c>
      <c r="E1752" s="8" t="inlineStr">
        <is>
          <t>PRD-0422</t>
        </is>
      </c>
      <c r="F1752" s="8" t="n">
        <v>1</v>
      </c>
      <c r="G1752" s="9">
        <f>IFERROR(XLOOKUP(E1752, '04_Products'!$A:$A, '04_Products'!$G:$G), 1026.96)</f>
        <v/>
      </c>
      <c r="H1752" s="9">
        <f>IFERROR(XLOOKUP(E1752, '04_Products'!$A:$A, '04_Products'!$F:$F), 0)</f>
        <v/>
      </c>
      <c r="I1752" s="9">
        <f>F1752*G1752</f>
        <v/>
      </c>
      <c r="J1752" s="11" t="n">
        <v>0.05</v>
      </c>
      <c r="K1752" s="9">
        <f>I1752*J1752</f>
        <v/>
      </c>
      <c r="L1752" s="9">
        <f>I1752-K1752</f>
        <v/>
      </c>
      <c r="M1752" s="9">
        <f>F1752*H1752</f>
        <v/>
      </c>
      <c r="N1752" s="9">
        <f>L1752-M1752</f>
        <v/>
      </c>
      <c r="O1752" s="11">
        <f>IFERROR(N1752/L1752, 0)</f>
        <v/>
      </c>
      <c r="P1752" s="8">
        <f>YEAR(C1752)</f>
        <v/>
      </c>
      <c r="Q1752" s="8">
        <f>TEXT(C1752, "yyyy-mm")</f>
        <v/>
      </c>
      <c r="R1752" s="8" t="inlineStr">
        <is>
          <t>Mobile App</t>
        </is>
      </c>
      <c r="S1752" s="8" t="inlineStr">
        <is>
          <t>REG-APAC</t>
        </is>
      </c>
    </row>
    <row r="1753">
      <c r="A1753" s="8" t="inlineStr">
        <is>
          <t>DTL-0001773</t>
        </is>
      </c>
      <c r="B1753" s="8" t="inlineStr">
        <is>
          <t>ORD-000886</t>
        </is>
      </c>
      <c r="C1753" s="10" t="inlineStr">
        <is>
          <t>2023-11-12</t>
        </is>
      </c>
      <c r="D1753" s="8" t="inlineStr">
        <is>
          <t>CUST-02834</t>
        </is>
      </c>
      <c r="E1753" s="8" t="inlineStr">
        <is>
          <t>PRD-0450</t>
        </is>
      </c>
      <c r="F1753" s="8" t="n">
        <v>1</v>
      </c>
      <c r="G1753" s="9">
        <f>IFERROR(XLOOKUP(E1753, '04_Products'!$A:$A, '04_Products'!$G:$G), 646.81)</f>
        <v/>
      </c>
      <c r="H1753" s="9">
        <f>IFERROR(XLOOKUP(E1753, '04_Products'!$A:$A, '04_Products'!$F:$F), 0)</f>
        <v/>
      </c>
      <c r="I1753" s="9">
        <f>F1753*G1753</f>
        <v/>
      </c>
      <c r="J1753" s="11" t="n">
        <v>0</v>
      </c>
      <c r="K1753" s="9">
        <f>I1753*J1753</f>
        <v/>
      </c>
      <c r="L1753" s="9">
        <f>I1753-K1753</f>
        <v/>
      </c>
      <c r="M1753" s="9">
        <f>F1753*H1753</f>
        <v/>
      </c>
      <c r="N1753" s="9">
        <f>L1753-M1753</f>
        <v/>
      </c>
      <c r="O1753" s="11">
        <f>IFERROR(N1753/L1753, 0)</f>
        <v/>
      </c>
      <c r="P1753" s="8">
        <f>YEAR(C1753)</f>
        <v/>
      </c>
      <c r="Q1753" s="8">
        <f>TEXT(C1753, "yyyy-mm")</f>
        <v/>
      </c>
      <c r="R1753" s="8" t="inlineStr">
        <is>
          <t>Mobile App</t>
        </is>
      </c>
      <c r="S1753" s="8" t="inlineStr">
        <is>
          <t>REG-APAC</t>
        </is>
      </c>
    </row>
    <row r="1754">
      <c r="A1754" s="8" t="inlineStr">
        <is>
          <t>DTL-0001774</t>
        </is>
      </c>
      <c r="B1754" s="8" t="inlineStr">
        <is>
          <t>ORD-000886</t>
        </is>
      </c>
      <c r="C1754" s="10" t="inlineStr">
        <is>
          <t>2023-11-12</t>
        </is>
      </c>
      <c r="D1754" s="8" t="inlineStr">
        <is>
          <t>CUST-02834</t>
        </is>
      </c>
      <c r="E1754" s="8" t="inlineStr">
        <is>
          <t>PRD-0157</t>
        </is>
      </c>
      <c r="F1754" s="8" t="n">
        <v>1</v>
      </c>
      <c r="G1754" s="9">
        <f>IFERROR(XLOOKUP(E1754, '04_Products'!$A:$A, '04_Products'!$G:$G), 227.80)</f>
        <v/>
      </c>
      <c r="H1754" s="9">
        <f>IFERROR(XLOOKUP(E1754, '04_Products'!$A:$A, '04_Products'!$F:$F), 0)</f>
        <v/>
      </c>
      <c r="I1754" s="9">
        <f>F1754*G1754</f>
        <v/>
      </c>
      <c r="J1754" s="11" t="n">
        <v>0.15</v>
      </c>
      <c r="K1754" s="9">
        <f>I1754*J1754</f>
        <v/>
      </c>
      <c r="L1754" s="9">
        <f>I1754-K1754</f>
        <v/>
      </c>
      <c r="M1754" s="9">
        <f>F1754*H1754</f>
        <v/>
      </c>
      <c r="N1754" s="9">
        <f>L1754-M1754</f>
        <v/>
      </c>
      <c r="O1754" s="11">
        <f>IFERROR(N1754/L1754, 0)</f>
        <v/>
      </c>
      <c r="P1754" s="8">
        <f>YEAR(C1754)</f>
        <v/>
      </c>
      <c r="Q1754" s="8">
        <f>TEXT(C1754, "yyyy-mm")</f>
        <v/>
      </c>
      <c r="R1754" s="8" t="inlineStr">
        <is>
          <t>Mobile App</t>
        </is>
      </c>
      <c r="S1754" s="8" t="inlineStr">
        <is>
          <t>REG-APAC</t>
        </is>
      </c>
    </row>
    <row r="1755">
      <c r="A1755" s="8" t="inlineStr">
        <is>
          <t>DTL-0001775</t>
        </is>
      </c>
      <c r="B1755" s="8" t="inlineStr">
        <is>
          <t>ORD-000887</t>
        </is>
      </c>
      <c r="C1755" s="10" t="inlineStr">
        <is>
          <t>2023-02-16</t>
        </is>
      </c>
      <c r="D1755" s="8" t="inlineStr">
        <is>
          <t>CUST-00884</t>
        </is>
      </c>
      <c r="E1755" s="8" t="inlineStr">
        <is>
          <t>PRD-0185</t>
        </is>
      </c>
      <c r="F1755" s="8" t="n">
        <v>3</v>
      </c>
      <c r="G1755" s="9">
        <f>IFERROR(XLOOKUP(E1755, '04_Products'!$A:$A, '04_Products'!$G:$G), 1296.57)</f>
        <v/>
      </c>
      <c r="H1755" s="9">
        <f>IFERROR(XLOOKUP(E1755, '04_Products'!$A:$A, '04_Products'!$F:$F), 0)</f>
        <v/>
      </c>
      <c r="I1755" s="9">
        <f>F1755*G1755</f>
        <v/>
      </c>
      <c r="J1755" s="11" t="n">
        <v>0</v>
      </c>
      <c r="K1755" s="9">
        <f>I1755*J1755</f>
        <v/>
      </c>
      <c r="L1755" s="9">
        <f>I1755-K1755</f>
        <v/>
      </c>
      <c r="M1755" s="9">
        <f>F1755*H1755</f>
        <v/>
      </c>
      <c r="N1755" s="9">
        <f>L1755-M1755</f>
        <v/>
      </c>
      <c r="O1755" s="11">
        <f>IFERROR(N1755/L1755, 0)</f>
        <v/>
      </c>
      <c r="P1755" s="8">
        <f>YEAR(C1755)</f>
        <v/>
      </c>
      <c r="Q1755" s="8">
        <f>TEXT(C1755, "yyyy-mm")</f>
        <v/>
      </c>
      <c r="R1755" s="8" t="inlineStr">
        <is>
          <t>Direct Web</t>
        </is>
      </c>
      <c r="S1755" s="8" t="inlineStr">
        <is>
          <t>REG-APAC</t>
        </is>
      </c>
    </row>
    <row r="1756">
      <c r="A1756" s="8" t="inlineStr">
        <is>
          <t>DTL-0001776</t>
        </is>
      </c>
      <c r="B1756" s="8" t="inlineStr">
        <is>
          <t>ORD-000887</t>
        </is>
      </c>
      <c r="C1756" s="10" t="inlineStr">
        <is>
          <t>2023-02-16</t>
        </is>
      </c>
      <c r="D1756" s="8" t="inlineStr">
        <is>
          <t>CUST-00884</t>
        </is>
      </c>
      <c r="E1756" s="8" t="inlineStr">
        <is>
          <t>PRD-0145</t>
        </is>
      </c>
      <c r="F1756" s="8" t="n">
        <v>1</v>
      </c>
      <c r="G1756" s="9">
        <f>IFERROR(XLOOKUP(E1756, '04_Products'!$A:$A, '04_Products'!$G:$G), 37.95)</f>
        <v/>
      </c>
      <c r="H1756" s="9">
        <f>IFERROR(XLOOKUP(E1756, '04_Products'!$A:$A, '04_Products'!$F:$F), 0)</f>
        <v/>
      </c>
      <c r="I1756" s="9">
        <f>F1756*G1756</f>
        <v/>
      </c>
      <c r="J1756" s="11" t="n">
        <v>0</v>
      </c>
      <c r="K1756" s="9">
        <f>I1756*J1756</f>
        <v/>
      </c>
      <c r="L1756" s="9">
        <f>I1756-K1756</f>
        <v/>
      </c>
      <c r="M1756" s="9">
        <f>F1756*H1756</f>
        <v/>
      </c>
      <c r="N1756" s="9">
        <f>L1756-M1756</f>
        <v/>
      </c>
      <c r="O1756" s="11">
        <f>IFERROR(N1756/L1756, 0)</f>
        <v/>
      </c>
      <c r="P1756" s="8">
        <f>YEAR(C1756)</f>
        <v/>
      </c>
      <c r="Q1756" s="8">
        <f>TEXT(C1756, "yyyy-mm")</f>
        <v/>
      </c>
      <c r="R1756" s="8" t="inlineStr">
        <is>
          <t>Direct Web</t>
        </is>
      </c>
      <c r="S1756" s="8" t="inlineStr">
        <is>
          <t>REG-APAC</t>
        </is>
      </c>
    </row>
    <row r="1757">
      <c r="A1757" s="8" t="inlineStr">
        <is>
          <t>DTL-0001777</t>
        </is>
      </c>
      <c r="B1757" s="8" t="inlineStr">
        <is>
          <t>ORD-000887</t>
        </is>
      </c>
      <c r="C1757" s="10" t="inlineStr">
        <is>
          <t>2023-02-16</t>
        </is>
      </c>
      <c r="D1757" s="8" t="inlineStr">
        <is>
          <t>CUST-00884</t>
        </is>
      </c>
      <c r="E1757" s="8" t="inlineStr">
        <is>
          <t>PRD-0354</t>
        </is>
      </c>
      <c r="F1757" s="8" t="n">
        <v>1</v>
      </c>
      <c r="G1757" s="9">
        <f>IFERROR(XLOOKUP(E1757, '04_Products'!$A:$A, '04_Products'!$G:$G), 70.99)</f>
        <v/>
      </c>
      <c r="H1757" s="9">
        <f>IFERROR(XLOOKUP(E1757, '04_Products'!$A:$A, '04_Products'!$F:$F), 0)</f>
        <v/>
      </c>
      <c r="I1757" s="9">
        <f>F1757*G1757</f>
        <v/>
      </c>
      <c r="J1757" s="11" t="n">
        <v>0.25</v>
      </c>
      <c r="K1757" s="9">
        <f>I1757*J1757</f>
        <v/>
      </c>
      <c r="L1757" s="9">
        <f>I1757-K1757</f>
        <v/>
      </c>
      <c r="M1757" s="9">
        <f>F1757*H1757</f>
        <v/>
      </c>
      <c r="N1757" s="9">
        <f>L1757-M1757</f>
        <v/>
      </c>
      <c r="O1757" s="11">
        <f>IFERROR(N1757/L1757, 0)</f>
        <v/>
      </c>
      <c r="P1757" s="8">
        <f>YEAR(C1757)</f>
        <v/>
      </c>
      <c r="Q1757" s="8">
        <f>TEXT(C1757, "yyyy-mm")</f>
        <v/>
      </c>
      <c r="R1757" s="8" t="inlineStr">
        <is>
          <t>Direct Web</t>
        </is>
      </c>
      <c r="S1757" s="8" t="inlineStr">
        <is>
          <t>REG-APAC</t>
        </is>
      </c>
    </row>
    <row r="1758">
      <c r="A1758" s="8" t="inlineStr">
        <is>
          <t>DTL-0001778</t>
        </is>
      </c>
      <c r="B1758" s="8" t="inlineStr">
        <is>
          <t>ORD-000888</t>
        </is>
      </c>
      <c r="C1758" s="10" t="inlineStr">
        <is>
          <t>2024-10-05</t>
        </is>
      </c>
      <c r="D1758" s="8" t="inlineStr">
        <is>
          <t>CUST-02819</t>
        </is>
      </c>
      <c r="E1758" s="8" t="inlineStr">
        <is>
          <t>PRD-0076</t>
        </is>
      </c>
      <c r="F1758" s="8" t="n">
        <v>1</v>
      </c>
      <c r="G1758" s="9">
        <f>IFERROR(XLOOKUP(E1758, '04_Products'!$A:$A, '04_Products'!$G:$G), 83.40)</f>
        <v/>
      </c>
      <c r="H1758" s="9">
        <f>IFERROR(XLOOKUP(E1758, '04_Products'!$A:$A, '04_Products'!$F:$F), 0)</f>
        <v/>
      </c>
      <c r="I1758" s="9">
        <f>F1758*G1758</f>
        <v/>
      </c>
      <c r="J1758" s="11" t="n">
        <v>0</v>
      </c>
      <c r="K1758" s="9">
        <f>I1758*J1758</f>
        <v/>
      </c>
      <c r="L1758" s="9">
        <f>I1758-K1758</f>
        <v/>
      </c>
      <c r="M1758" s="9">
        <f>F1758*H1758</f>
        <v/>
      </c>
      <c r="N1758" s="9">
        <f>L1758-M1758</f>
        <v/>
      </c>
      <c r="O1758" s="11">
        <f>IFERROR(N1758/L1758, 0)</f>
        <v/>
      </c>
      <c r="P1758" s="8">
        <f>YEAR(C1758)</f>
        <v/>
      </c>
      <c r="Q1758" s="8">
        <f>TEXT(C1758, "yyyy-mm")</f>
        <v/>
      </c>
      <c r="R1758" s="8" t="inlineStr">
        <is>
          <t>Mobile App</t>
        </is>
      </c>
      <c r="S1758" s="8" t="inlineStr">
        <is>
          <t>REG-EU</t>
        </is>
      </c>
    </row>
    <row r="1759">
      <c r="A1759" s="8" t="inlineStr">
        <is>
          <t>DTL-0001779</t>
        </is>
      </c>
      <c r="B1759" s="8" t="inlineStr">
        <is>
          <t>ORD-000888</t>
        </is>
      </c>
      <c r="C1759" s="10" t="inlineStr">
        <is>
          <t>2024-10-05</t>
        </is>
      </c>
      <c r="D1759" s="8" t="inlineStr">
        <is>
          <t>CUST-02819</t>
        </is>
      </c>
      <c r="E1759" s="8" t="inlineStr">
        <is>
          <t>PRD-0107</t>
        </is>
      </c>
      <c r="F1759" s="8" t="n">
        <v>1</v>
      </c>
      <c r="G1759" s="9">
        <f>IFERROR(XLOOKUP(E1759, '04_Products'!$A:$A, '04_Products'!$G:$G), 754.95)</f>
        <v/>
      </c>
      <c r="H1759" s="9">
        <f>IFERROR(XLOOKUP(E1759, '04_Products'!$A:$A, '04_Products'!$F:$F), 0)</f>
        <v/>
      </c>
      <c r="I1759" s="9">
        <f>F1759*G1759</f>
        <v/>
      </c>
      <c r="J1759" s="11" t="n">
        <v>0</v>
      </c>
      <c r="K1759" s="9">
        <f>I1759*J1759</f>
        <v/>
      </c>
      <c r="L1759" s="9">
        <f>I1759-K1759</f>
        <v/>
      </c>
      <c r="M1759" s="9">
        <f>F1759*H1759</f>
        <v/>
      </c>
      <c r="N1759" s="9">
        <f>L1759-M1759</f>
        <v/>
      </c>
      <c r="O1759" s="11">
        <f>IFERROR(N1759/L1759, 0)</f>
        <v/>
      </c>
      <c r="P1759" s="8">
        <f>YEAR(C1759)</f>
        <v/>
      </c>
      <c r="Q1759" s="8">
        <f>TEXT(C1759, "yyyy-mm")</f>
        <v/>
      </c>
      <c r="R1759" s="8" t="inlineStr">
        <is>
          <t>Mobile App</t>
        </is>
      </c>
      <c r="S1759" s="8" t="inlineStr">
        <is>
          <t>REG-EU</t>
        </is>
      </c>
    </row>
    <row r="1760">
      <c r="A1760" s="8" t="inlineStr">
        <is>
          <t>DTL-0001780</t>
        </is>
      </c>
      <c r="B1760" s="8" t="inlineStr">
        <is>
          <t>ORD-000889</t>
        </is>
      </c>
      <c r="C1760" s="10" t="inlineStr">
        <is>
          <t>2024-11-02</t>
        </is>
      </c>
      <c r="D1760" s="8" t="inlineStr">
        <is>
          <t>CUST-07975</t>
        </is>
      </c>
      <c r="E1760" s="8" t="inlineStr">
        <is>
          <t>PRD-0286</t>
        </is>
      </c>
      <c r="F1760" s="8" t="n">
        <v>1</v>
      </c>
      <c r="G1760" s="9">
        <f>IFERROR(XLOOKUP(E1760, '04_Products'!$A:$A, '04_Products'!$G:$G), 232.89)</f>
        <v/>
      </c>
      <c r="H1760" s="9">
        <f>IFERROR(XLOOKUP(E1760, '04_Products'!$A:$A, '04_Products'!$F:$F), 0)</f>
        <v/>
      </c>
      <c r="I1760" s="9">
        <f>F1760*G1760</f>
        <v/>
      </c>
      <c r="J1760" s="11" t="n">
        <v>0.2</v>
      </c>
      <c r="K1760" s="9">
        <f>I1760*J1760</f>
        <v/>
      </c>
      <c r="L1760" s="9">
        <f>I1760-K1760</f>
        <v/>
      </c>
      <c r="M1760" s="9">
        <f>F1760*H1760</f>
        <v/>
      </c>
      <c r="N1760" s="9">
        <f>L1760-M1760</f>
        <v/>
      </c>
      <c r="O1760" s="11">
        <f>IFERROR(N1760/L1760, 0)</f>
        <v/>
      </c>
      <c r="P1760" s="8">
        <f>YEAR(C1760)</f>
        <v/>
      </c>
      <c r="Q1760" s="8">
        <f>TEXT(C1760, "yyyy-mm")</f>
        <v/>
      </c>
      <c r="R1760" s="8" t="inlineStr">
        <is>
          <t>B2B Portal</t>
        </is>
      </c>
      <c r="S1760" s="8" t="inlineStr">
        <is>
          <t>REG-LATAM</t>
        </is>
      </c>
    </row>
    <row r="1761">
      <c r="A1761" s="8" t="inlineStr">
        <is>
          <t>DTL-0001781</t>
        </is>
      </c>
      <c r="B1761" s="8" t="inlineStr">
        <is>
          <t>ORD-000889</t>
        </is>
      </c>
      <c r="C1761" s="10" t="inlineStr">
        <is>
          <t>2024-11-02</t>
        </is>
      </c>
      <c r="D1761" s="8" t="inlineStr">
        <is>
          <t>CUST-07975</t>
        </is>
      </c>
      <c r="E1761" s="8" t="inlineStr">
        <is>
          <t>PRD-0009</t>
        </is>
      </c>
      <c r="F1761" s="8" t="n">
        <v>2</v>
      </c>
      <c r="G1761" s="9">
        <f>IFERROR(XLOOKUP(E1761, '04_Products'!$A:$A, '04_Products'!$G:$G), 186.43)</f>
        <v/>
      </c>
      <c r="H1761" s="9">
        <f>IFERROR(XLOOKUP(E1761, '04_Products'!$A:$A, '04_Products'!$F:$F), 0)</f>
        <v/>
      </c>
      <c r="I1761" s="9">
        <f>F1761*G1761</f>
        <v/>
      </c>
      <c r="J1761" s="11" t="n">
        <v>0.1</v>
      </c>
      <c r="K1761" s="9">
        <f>I1761*J1761</f>
        <v/>
      </c>
      <c r="L1761" s="9">
        <f>I1761-K1761</f>
        <v/>
      </c>
      <c r="M1761" s="9">
        <f>F1761*H1761</f>
        <v/>
      </c>
      <c r="N1761" s="9">
        <f>L1761-M1761</f>
        <v/>
      </c>
      <c r="O1761" s="11">
        <f>IFERROR(N1761/L1761, 0)</f>
        <v/>
      </c>
      <c r="P1761" s="8">
        <f>YEAR(C1761)</f>
        <v/>
      </c>
      <c r="Q1761" s="8">
        <f>TEXT(C1761, "yyyy-mm")</f>
        <v/>
      </c>
      <c r="R1761" s="8" t="inlineStr">
        <is>
          <t>B2B Portal</t>
        </is>
      </c>
      <c r="S1761" s="8" t="inlineStr">
        <is>
          <t>REG-LATAM</t>
        </is>
      </c>
    </row>
    <row r="1762">
      <c r="A1762" s="8" t="inlineStr">
        <is>
          <t>DTL-0001782</t>
        </is>
      </c>
      <c r="B1762" s="8" t="inlineStr">
        <is>
          <t>ORD-000890</t>
        </is>
      </c>
      <c r="C1762" s="10" t="inlineStr">
        <is>
          <t>2025-02-12</t>
        </is>
      </c>
      <c r="D1762" s="8" t="inlineStr">
        <is>
          <t>CUST-02349</t>
        </is>
      </c>
      <c r="E1762" s="8" t="inlineStr">
        <is>
          <t>PRD-0127</t>
        </is>
      </c>
      <c r="F1762" s="8" t="n">
        <v>1</v>
      </c>
      <c r="G1762" s="9">
        <f>IFERROR(XLOOKUP(E1762, '04_Products'!$A:$A, '04_Products'!$G:$G), 646.33)</f>
        <v/>
      </c>
      <c r="H1762" s="9">
        <f>IFERROR(XLOOKUP(E1762, '04_Products'!$A:$A, '04_Products'!$F:$F), 0)</f>
        <v/>
      </c>
      <c r="I1762" s="9">
        <f>F1762*G1762</f>
        <v/>
      </c>
      <c r="J1762" s="11" t="n">
        <v>0.25</v>
      </c>
      <c r="K1762" s="9">
        <f>I1762*J1762</f>
        <v/>
      </c>
      <c r="L1762" s="9">
        <f>I1762-K1762</f>
        <v/>
      </c>
      <c r="M1762" s="9">
        <f>F1762*H1762</f>
        <v/>
      </c>
      <c r="N1762" s="9">
        <f>L1762-M1762</f>
        <v/>
      </c>
      <c r="O1762" s="11">
        <f>IFERROR(N1762/L1762, 0)</f>
        <v/>
      </c>
      <c r="P1762" s="8">
        <f>YEAR(C1762)</f>
        <v/>
      </c>
      <c r="Q1762" s="8">
        <f>TEXT(C1762, "yyyy-mm")</f>
        <v/>
      </c>
      <c r="R1762" s="8" t="inlineStr">
        <is>
          <t>Mobile App</t>
        </is>
      </c>
      <c r="S1762" s="8" t="inlineStr">
        <is>
          <t>REG-EU</t>
        </is>
      </c>
    </row>
    <row r="1763">
      <c r="A1763" s="8" t="inlineStr">
        <is>
          <t>DTL-0001783</t>
        </is>
      </c>
      <c r="B1763" s="8" t="inlineStr">
        <is>
          <t>ORD-000890</t>
        </is>
      </c>
      <c r="C1763" s="10" t="inlineStr">
        <is>
          <t>2025-02-12</t>
        </is>
      </c>
      <c r="D1763" s="8" t="inlineStr">
        <is>
          <t>CUST-02349</t>
        </is>
      </c>
      <c r="E1763" s="8" t="inlineStr">
        <is>
          <t>PRD-0414</t>
        </is>
      </c>
      <c r="F1763" s="8" t="n">
        <v>3</v>
      </c>
      <c r="G1763" s="9">
        <f>IFERROR(XLOOKUP(E1763, '04_Products'!$A:$A, '04_Products'!$G:$G), 101.77)</f>
        <v/>
      </c>
      <c r="H1763" s="9">
        <f>IFERROR(XLOOKUP(E1763, '04_Products'!$A:$A, '04_Products'!$F:$F), 0)</f>
        <v/>
      </c>
      <c r="I1763" s="9">
        <f>F1763*G1763</f>
        <v/>
      </c>
      <c r="J1763" s="11" t="n">
        <v>0.1</v>
      </c>
      <c r="K1763" s="9">
        <f>I1763*J1763</f>
        <v/>
      </c>
      <c r="L1763" s="9">
        <f>I1763-K1763</f>
        <v/>
      </c>
      <c r="M1763" s="9">
        <f>F1763*H1763</f>
        <v/>
      </c>
      <c r="N1763" s="9">
        <f>L1763-M1763</f>
        <v/>
      </c>
      <c r="O1763" s="11">
        <f>IFERROR(N1763/L1763, 0)</f>
        <v/>
      </c>
      <c r="P1763" s="8">
        <f>YEAR(C1763)</f>
        <v/>
      </c>
      <c r="Q1763" s="8">
        <f>TEXT(C1763, "yyyy-mm")</f>
        <v/>
      </c>
      <c r="R1763" s="8" t="inlineStr">
        <is>
          <t>Mobile App</t>
        </is>
      </c>
      <c r="S1763" s="8" t="inlineStr">
        <is>
          <t>REG-EU</t>
        </is>
      </c>
    </row>
    <row r="1764">
      <c r="A1764" s="8" t="inlineStr">
        <is>
          <t>DTL-0001784</t>
        </is>
      </c>
      <c r="B1764" s="8" t="inlineStr">
        <is>
          <t>ORD-000890</t>
        </is>
      </c>
      <c r="C1764" s="10" t="inlineStr">
        <is>
          <t>2025-02-12</t>
        </is>
      </c>
      <c r="D1764" s="8" t="inlineStr">
        <is>
          <t>CUST-02349</t>
        </is>
      </c>
      <c r="E1764" s="8" t="inlineStr">
        <is>
          <t>PRD-0088</t>
        </is>
      </c>
      <c r="F1764" s="8" t="n">
        <v>1</v>
      </c>
      <c r="G1764" s="9">
        <f>IFERROR(XLOOKUP(E1764, '04_Products'!$A:$A, '04_Products'!$G:$G), 952.03)</f>
        <v/>
      </c>
      <c r="H1764" s="9">
        <f>IFERROR(XLOOKUP(E1764, '04_Products'!$A:$A, '04_Products'!$F:$F), 0)</f>
        <v/>
      </c>
      <c r="I1764" s="9">
        <f>F1764*G1764</f>
        <v/>
      </c>
      <c r="J1764" s="11" t="n">
        <v>0.05</v>
      </c>
      <c r="K1764" s="9">
        <f>I1764*J1764</f>
        <v/>
      </c>
      <c r="L1764" s="9">
        <f>I1764-K1764</f>
        <v/>
      </c>
      <c r="M1764" s="9">
        <f>F1764*H1764</f>
        <v/>
      </c>
      <c r="N1764" s="9">
        <f>L1764-M1764</f>
        <v/>
      </c>
      <c r="O1764" s="11">
        <f>IFERROR(N1764/L1764, 0)</f>
        <v/>
      </c>
      <c r="P1764" s="8">
        <f>YEAR(C1764)</f>
        <v/>
      </c>
      <c r="Q1764" s="8">
        <f>TEXT(C1764, "yyyy-mm")</f>
        <v/>
      </c>
      <c r="R1764" s="8" t="inlineStr">
        <is>
          <t>Mobile App</t>
        </is>
      </c>
      <c r="S1764" s="8" t="inlineStr">
        <is>
          <t>REG-EU</t>
        </is>
      </c>
    </row>
    <row r="1765">
      <c r="A1765" s="8" t="inlineStr">
        <is>
          <t>DTL-0001785</t>
        </is>
      </c>
      <c r="B1765" s="8" t="inlineStr">
        <is>
          <t>ORD-000890</t>
        </is>
      </c>
      <c r="C1765" s="10" t="inlineStr">
        <is>
          <t>2025-02-12</t>
        </is>
      </c>
      <c r="D1765" s="8" t="inlineStr">
        <is>
          <t>CUST-02349</t>
        </is>
      </c>
      <c r="E1765" s="8" t="inlineStr">
        <is>
          <t>PRD-0078</t>
        </is>
      </c>
      <c r="F1765" s="8" t="n">
        <v>1</v>
      </c>
      <c r="G1765" s="9">
        <f>IFERROR(XLOOKUP(E1765, '04_Products'!$A:$A, '04_Products'!$G:$G), 417.17)</f>
        <v/>
      </c>
      <c r="H1765" s="9">
        <f>IFERROR(XLOOKUP(E1765, '04_Products'!$A:$A, '04_Products'!$F:$F), 0)</f>
        <v/>
      </c>
      <c r="I1765" s="9">
        <f>F1765*G1765</f>
        <v/>
      </c>
      <c r="J1765" s="11" t="n">
        <v>0</v>
      </c>
      <c r="K1765" s="9">
        <f>I1765*J1765</f>
        <v/>
      </c>
      <c r="L1765" s="9">
        <f>I1765-K1765</f>
        <v/>
      </c>
      <c r="M1765" s="9">
        <f>F1765*H1765</f>
        <v/>
      </c>
      <c r="N1765" s="9">
        <f>L1765-M1765</f>
        <v/>
      </c>
      <c r="O1765" s="11">
        <f>IFERROR(N1765/L1765, 0)</f>
        <v/>
      </c>
      <c r="P1765" s="8">
        <f>YEAR(C1765)</f>
        <v/>
      </c>
      <c r="Q1765" s="8">
        <f>TEXT(C1765, "yyyy-mm")</f>
        <v/>
      </c>
      <c r="R1765" s="8" t="inlineStr">
        <is>
          <t>Mobile App</t>
        </is>
      </c>
      <c r="S1765" s="8" t="inlineStr">
        <is>
          <t>REG-EU</t>
        </is>
      </c>
    </row>
    <row r="1766">
      <c r="A1766" s="8" t="inlineStr">
        <is>
          <t>DTL-0001786</t>
        </is>
      </c>
      <c r="B1766" s="8" t="inlineStr">
        <is>
          <t>ORD-000891</t>
        </is>
      </c>
      <c r="C1766" s="10" t="inlineStr">
        <is>
          <t>2023-12-18</t>
        </is>
      </c>
      <c r="D1766" s="8" t="inlineStr">
        <is>
          <t>CUST-00516</t>
        </is>
      </c>
      <c r="E1766" s="8" t="inlineStr">
        <is>
          <t>PRD-0429</t>
        </is>
      </c>
      <c r="F1766" s="8" t="n">
        <v>3</v>
      </c>
      <c r="G1766" s="9">
        <f>IFERROR(XLOOKUP(E1766, '04_Products'!$A:$A, '04_Products'!$G:$G), 790.21)</f>
        <v/>
      </c>
      <c r="H1766" s="9">
        <f>IFERROR(XLOOKUP(E1766, '04_Products'!$A:$A, '04_Products'!$F:$F), 0)</f>
        <v/>
      </c>
      <c r="I1766" s="9">
        <f>F1766*G1766</f>
        <v/>
      </c>
      <c r="J1766" s="11" t="n">
        <v>0</v>
      </c>
      <c r="K1766" s="9">
        <f>I1766*J1766</f>
        <v/>
      </c>
      <c r="L1766" s="9">
        <f>I1766-K1766</f>
        <v/>
      </c>
      <c r="M1766" s="9">
        <f>F1766*H1766</f>
        <v/>
      </c>
      <c r="N1766" s="9">
        <f>L1766-M1766</f>
        <v/>
      </c>
      <c r="O1766" s="11">
        <f>IFERROR(N1766/L1766, 0)</f>
        <v/>
      </c>
      <c r="P1766" s="8">
        <f>YEAR(C1766)</f>
        <v/>
      </c>
      <c r="Q1766" s="8">
        <f>TEXT(C1766, "yyyy-mm")</f>
        <v/>
      </c>
      <c r="R1766" s="8" t="inlineStr">
        <is>
          <t>B2B Portal</t>
        </is>
      </c>
      <c r="S1766" s="8" t="inlineStr">
        <is>
          <t>REG-EU</t>
        </is>
      </c>
    </row>
    <row r="1767">
      <c r="A1767" s="8" t="inlineStr">
        <is>
          <t>DTL-0001787</t>
        </is>
      </c>
      <c r="B1767" s="8" t="inlineStr">
        <is>
          <t>ORD-000891</t>
        </is>
      </c>
      <c r="C1767" s="10" t="inlineStr">
        <is>
          <t>2023-12-18</t>
        </is>
      </c>
      <c r="D1767" s="8" t="inlineStr">
        <is>
          <t>CUST-00516</t>
        </is>
      </c>
      <c r="E1767" s="8" t="inlineStr">
        <is>
          <t>PRD-0346</t>
        </is>
      </c>
      <c r="F1767" s="8" t="n">
        <v>1</v>
      </c>
      <c r="G1767" s="9">
        <f>IFERROR(XLOOKUP(E1767, '04_Products'!$A:$A, '04_Products'!$G:$G), 61.49)</f>
        <v/>
      </c>
      <c r="H1767" s="9">
        <f>IFERROR(XLOOKUP(E1767, '04_Products'!$A:$A, '04_Products'!$F:$F), 0)</f>
        <v/>
      </c>
      <c r="I1767" s="9">
        <f>F1767*G1767</f>
        <v/>
      </c>
      <c r="J1767" s="11" t="n">
        <v>0.1</v>
      </c>
      <c r="K1767" s="9">
        <f>I1767*J1767</f>
        <v/>
      </c>
      <c r="L1767" s="9">
        <f>I1767-K1767</f>
        <v/>
      </c>
      <c r="M1767" s="9">
        <f>F1767*H1767</f>
        <v/>
      </c>
      <c r="N1767" s="9">
        <f>L1767-M1767</f>
        <v/>
      </c>
      <c r="O1767" s="11">
        <f>IFERROR(N1767/L1767, 0)</f>
        <v/>
      </c>
      <c r="P1767" s="8">
        <f>YEAR(C1767)</f>
        <v/>
      </c>
      <c r="Q1767" s="8">
        <f>TEXT(C1767, "yyyy-mm")</f>
        <v/>
      </c>
      <c r="R1767" s="8" t="inlineStr">
        <is>
          <t>B2B Portal</t>
        </is>
      </c>
      <c r="S1767" s="8" t="inlineStr">
        <is>
          <t>REG-EU</t>
        </is>
      </c>
    </row>
    <row r="1768">
      <c r="A1768" s="8" t="inlineStr">
        <is>
          <t>DTL-0001788</t>
        </is>
      </c>
      <c r="B1768" s="8" t="inlineStr">
        <is>
          <t>ORD-000891</t>
        </is>
      </c>
      <c r="C1768" s="10" t="inlineStr">
        <is>
          <t>2023-12-18</t>
        </is>
      </c>
      <c r="D1768" s="8" t="inlineStr">
        <is>
          <t>CUST-00516</t>
        </is>
      </c>
      <c r="E1768" s="8" t="inlineStr">
        <is>
          <t>PRD-0120</t>
        </is>
      </c>
      <c r="F1768" s="8" t="n">
        <v>2</v>
      </c>
      <c r="G1768" s="9">
        <f>IFERROR(XLOOKUP(E1768, '04_Products'!$A:$A, '04_Products'!$G:$G), 1001.04)</f>
        <v/>
      </c>
      <c r="H1768" s="9">
        <f>IFERROR(XLOOKUP(E1768, '04_Products'!$A:$A, '04_Products'!$F:$F), 0)</f>
        <v/>
      </c>
      <c r="I1768" s="9">
        <f>F1768*G1768</f>
        <v/>
      </c>
      <c r="J1768" s="11" t="n">
        <v>0.15</v>
      </c>
      <c r="K1768" s="9">
        <f>I1768*J1768</f>
        <v/>
      </c>
      <c r="L1768" s="9">
        <f>I1768-K1768</f>
        <v/>
      </c>
      <c r="M1768" s="9">
        <f>F1768*H1768</f>
        <v/>
      </c>
      <c r="N1768" s="9">
        <f>L1768-M1768</f>
        <v/>
      </c>
      <c r="O1768" s="11">
        <f>IFERROR(N1768/L1768, 0)</f>
        <v/>
      </c>
      <c r="P1768" s="8">
        <f>YEAR(C1768)</f>
        <v/>
      </c>
      <c r="Q1768" s="8">
        <f>TEXT(C1768, "yyyy-mm")</f>
        <v/>
      </c>
      <c r="R1768" s="8" t="inlineStr">
        <is>
          <t>B2B Portal</t>
        </is>
      </c>
      <c r="S1768" s="8" t="inlineStr">
        <is>
          <t>REG-EU</t>
        </is>
      </c>
    </row>
    <row r="1769">
      <c r="A1769" s="8" t="inlineStr">
        <is>
          <t>DTL-0001789</t>
        </is>
      </c>
      <c r="B1769" s="8" t="inlineStr">
        <is>
          <t>ORD-000891</t>
        </is>
      </c>
      <c r="C1769" s="10" t="inlineStr">
        <is>
          <t>2023-12-18</t>
        </is>
      </c>
      <c r="D1769" s="8" t="inlineStr">
        <is>
          <t>CUST-00516</t>
        </is>
      </c>
      <c r="E1769" s="8" t="inlineStr">
        <is>
          <t>PRD-0148</t>
        </is>
      </c>
      <c r="F1769" s="8" t="n">
        <v>1</v>
      </c>
      <c r="G1769" s="9">
        <f>IFERROR(XLOOKUP(E1769, '04_Products'!$A:$A, '04_Products'!$G:$G), 641.47)</f>
        <v/>
      </c>
      <c r="H1769" s="9">
        <f>IFERROR(XLOOKUP(E1769, '04_Products'!$A:$A, '04_Products'!$F:$F), 0)</f>
        <v/>
      </c>
      <c r="I1769" s="9">
        <f>F1769*G1769</f>
        <v/>
      </c>
      <c r="J1769" s="11" t="n">
        <v>0</v>
      </c>
      <c r="K1769" s="9">
        <f>I1769*J1769</f>
        <v/>
      </c>
      <c r="L1769" s="9">
        <f>I1769-K1769</f>
        <v/>
      </c>
      <c r="M1769" s="9">
        <f>F1769*H1769</f>
        <v/>
      </c>
      <c r="N1769" s="9">
        <f>L1769-M1769</f>
        <v/>
      </c>
      <c r="O1769" s="11">
        <f>IFERROR(N1769/L1769, 0)</f>
        <v/>
      </c>
      <c r="P1769" s="8">
        <f>YEAR(C1769)</f>
        <v/>
      </c>
      <c r="Q1769" s="8">
        <f>TEXT(C1769, "yyyy-mm")</f>
        <v/>
      </c>
      <c r="R1769" s="8" t="inlineStr">
        <is>
          <t>B2B Portal</t>
        </is>
      </c>
      <c r="S1769" s="8" t="inlineStr">
        <is>
          <t>REG-EU</t>
        </is>
      </c>
    </row>
    <row r="1770">
      <c r="A1770" s="8" t="inlineStr">
        <is>
          <t>DTL-0001790</t>
        </is>
      </c>
      <c r="B1770" s="8" t="inlineStr">
        <is>
          <t>ORD-000892</t>
        </is>
      </c>
      <c r="C1770" s="10" t="inlineStr">
        <is>
          <t>2024-04-15</t>
        </is>
      </c>
      <c r="D1770" s="8" t="inlineStr">
        <is>
          <t>CUST-03057</t>
        </is>
      </c>
      <c r="E1770" s="8" t="inlineStr">
        <is>
          <t>PRD-0412</t>
        </is>
      </c>
      <c r="F1770" s="8" t="n">
        <v>4</v>
      </c>
      <c r="G1770" s="9">
        <f>IFERROR(XLOOKUP(E1770, '04_Products'!$A:$A, '04_Products'!$G:$G), 298.15)</f>
        <v/>
      </c>
      <c r="H1770" s="9">
        <f>IFERROR(XLOOKUP(E1770, '04_Products'!$A:$A, '04_Products'!$F:$F), 0)</f>
        <v/>
      </c>
      <c r="I1770" s="9">
        <f>F1770*G1770</f>
        <v/>
      </c>
      <c r="J1770" s="11" t="n">
        <v>0</v>
      </c>
      <c r="K1770" s="9">
        <f>I1770*J1770</f>
        <v/>
      </c>
      <c r="L1770" s="9">
        <f>I1770-K1770</f>
        <v/>
      </c>
      <c r="M1770" s="9">
        <f>F1770*H1770</f>
        <v/>
      </c>
      <c r="N1770" s="9">
        <f>L1770-M1770</f>
        <v/>
      </c>
      <c r="O1770" s="11">
        <f>IFERROR(N1770/L1770, 0)</f>
        <v/>
      </c>
      <c r="P1770" s="8">
        <f>YEAR(C1770)</f>
        <v/>
      </c>
      <c r="Q1770" s="8">
        <f>TEXT(C1770, "yyyy-mm")</f>
        <v/>
      </c>
      <c r="R1770" s="8" t="inlineStr">
        <is>
          <t>Direct Web</t>
        </is>
      </c>
      <c r="S1770" s="8" t="inlineStr">
        <is>
          <t>REG-NA</t>
        </is>
      </c>
    </row>
    <row r="1771">
      <c r="A1771" s="8" t="inlineStr">
        <is>
          <t>DTL-0001791</t>
        </is>
      </c>
      <c r="B1771" s="8" t="inlineStr">
        <is>
          <t>ORD-000892</t>
        </is>
      </c>
      <c r="C1771" s="10" t="inlineStr">
        <is>
          <t>2024-04-15</t>
        </is>
      </c>
      <c r="D1771" s="8" t="inlineStr">
        <is>
          <t>CUST-03057</t>
        </is>
      </c>
      <c r="E1771" s="8" t="inlineStr">
        <is>
          <t>PRD-0420</t>
        </is>
      </c>
      <c r="F1771" s="8" t="n">
        <v>2</v>
      </c>
      <c r="G1771" s="9">
        <f>IFERROR(XLOOKUP(E1771, '04_Products'!$A:$A, '04_Products'!$G:$G), 923.98)</f>
        <v/>
      </c>
      <c r="H1771" s="9">
        <f>IFERROR(XLOOKUP(E1771, '04_Products'!$A:$A, '04_Products'!$F:$F), 0)</f>
        <v/>
      </c>
      <c r="I1771" s="9">
        <f>F1771*G1771</f>
        <v/>
      </c>
      <c r="J1771" s="11" t="n">
        <v>0.1</v>
      </c>
      <c r="K1771" s="9">
        <f>I1771*J1771</f>
        <v/>
      </c>
      <c r="L1771" s="9">
        <f>I1771-K1771</f>
        <v/>
      </c>
      <c r="M1771" s="9">
        <f>F1771*H1771</f>
        <v/>
      </c>
      <c r="N1771" s="9">
        <f>L1771-M1771</f>
        <v/>
      </c>
      <c r="O1771" s="11">
        <f>IFERROR(N1771/L1771, 0)</f>
        <v/>
      </c>
      <c r="P1771" s="8">
        <f>YEAR(C1771)</f>
        <v/>
      </c>
      <c r="Q1771" s="8">
        <f>TEXT(C1771, "yyyy-mm")</f>
        <v/>
      </c>
      <c r="R1771" s="8" t="inlineStr">
        <is>
          <t>Direct Web</t>
        </is>
      </c>
      <c r="S1771" s="8" t="inlineStr">
        <is>
          <t>REG-NA</t>
        </is>
      </c>
    </row>
    <row r="1772">
      <c r="A1772" s="8" t="inlineStr">
        <is>
          <t>DTL-0001792</t>
        </is>
      </c>
      <c r="B1772" s="8" t="inlineStr">
        <is>
          <t>ORD-000893</t>
        </is>
      </c>
      <c r="C1772" s="10" t="inlineStr">
        <is>
          <t>2023-11-22</t>
        </is>
      </c>
      <c r="D1772" s="8" t="inlineStr">
        <is>
          <t>CUST-01572</t>
        </is>
      </c>
      <c r="E1772" s="8" t="inlineStr">
        <is>
          <t>PRD-0395</t>
        </is>
      </c>
      <c r="F1772" s="8" t="n">
        <v>1</v>
      </c>
      <c r="G1772" s="9">
        <f>IFERROR(XLOOKUP(E1772, '04_Products'!$A:$A, '04_Products'!$G:$G), 875.57)</f>
        <v/>
      </c>
      <c r="H1772" s="9">
        <f>IFERROR(XLOOKUP(E1772, '04_Products'!$A:$A, '04_Products'!$F:$F), 0)</f>
        <v/>
      </c>
      <c r="I1772" s="9">
        <f>F1772*G1772</f>
        <v/>
      </c>
      <c r="J1772" s="11" t="n">
        <v>0</v>
      </c>
      <c r="K1772" s="9">
        <f>I1772*J1772</f>
        <v/>
      </c>
      <c r="L1772" s="9">
        <f>I1772-K1772</f>
        <v/>
      </c>
      <c r="M1772" s="9">
        <f>F1772*H1772</f>
        <v/>
      </c>
      <c r="N1772" s="9">
        <f>L1772-M1772</f>
        <v/>
      </c>
      <c r="O1772" s="11">
        <f>IFERROR(N1772/L1772, 0)</f>
        <v/>
      </c>
      <c r="P1772" s="8">
        <f>YEAR(C1772)</f>
        <v/>
      </c>
      <c r="Q1772" s="8">
        <f>TEXT(C1772, "yyyy-mm")</f>
        <v/>
      </c>
      <c r="R1772" s="8" t="inlineStr">
        <is>
          <t>Mobile App</t>
        </is>
      </c>
      <c r="S1772" s="8" t="inlineStr">
        <is>
          <t>REG-NA</t>
        </is>
      </c>
    </row>
    <row r="1773">
      <c r="A1773" s="8" t="inlineStr">
        <is>
          <t>DTL-0001793</t>
        </is>
      </c>
      <c r="B1773" s="8" t="inlineStr">
        <is>
          <t>ORD-000893</t>
        </is>
      </c>
      <c r="C1773" s="10" t="inlineStr">
        <is>
          <t>2023-11-22</t>
        </is>
      </c>
      <c r="D1773" s="8" t="inlineStr">
        <is>
          <t>CUST-01572</t>
        </is>
      </c>
      <c r="E1773" s="8" t="inlineStr">
        <is>
          <t>PRD-0325</t>
        </is>
      </c>
      <c r="F1773" s="8" t="n">
        <v>1</v>
      </c>
      <c r="G1773" s="9">
        <f>IFERROR(XLOOKUP(E1773, '04_Products'!$A:$A, '04_Products'!$G:$G), 759.52)</f>
        <v/>
      </c>
      <c r="H1773" s="9">
        <f>IFERROR(XLOOKUP(E1773, '04_Products'!$A:$A, '04_Products'!$F:$F), 0)</f>
        <v/>
      </c>
      <c r="I1773" s="9">
        <f>F1773*G1773</f>
        <v/>
      </c>
      <c r="J1773" s="11" t="n">
        <v>0.1</v>
      </c>
      <c r="K1773" s="9">
        <f>I1773*J1773</f>
        <v/>
      </c>
      <c r="L1773" s="9">
        <f>I1773-K1773</f>
        <v/>
      </c>
      <c r="M1773" s="9">
        <f>F1773*H1773</f>
        <v/>
      </c>
      <c r="N1773" s="9">
        <f>L1773-M1773</f>
        <v/>
      </c>
      <c r="O1773" s="11">
        <f>IFERROR(N1773/L1773, 0)</f>
        <v/>
      </c>
      <c r="P1773" s="8">
        <f>YEAR(C1773)</f>
        <v/>
      </c>
      <c r="Q1773" s="8">
        <f>TEXT(C1773, "yyyy-mm")</f>
        <v/>
      </c>
      <c r="R1773" s="8" t="inlineStr">
        <is>
          <t>Mobile App</t>
        </is>
      </c>
      <c r="S1773" s="8" t="inlineStr">
        <is>
          <t>REG-NA</t>
        </is>
      </c>
    </row>
    <row r="1774">
      <c r="A1774" s="8" t="inlineStr">
        <is>
          <t>DTL-0001795</t>
        </is>
      </c>
      <c r="B1774" s="8" t="inlineStr">
        <is>
          <t>ORD-000895</t>
        </is>
      </c>
      <c r="C1774" s="10" t="inlineStr">
        <is>
          <t>2024-11-10</t>
        </is>
      </c>
      <c r="D1774" s="8" t="inlineStr">
        <is>
          <t>CUST-06691</t>
        </is>
      </c>
      <c r="E1774" s="8" t="inlineStr">
        <is>
          <t>PRD-0439</t>
        </is>
      </c>
      <c r="F1774" s="8" t="n">
        <v>1</v>
      </c>
      <c r="G1774" s="9">
        <f>IFERROR(XLOOKUP(E1774, '04_Products'!$A:$A, '04_Products'!$G:$G), 807.98)</f>
        <v/>
      </c>
      <c r="H1774" s="9">
        <f>IFERROR(XLOOKUP(E1774, '04_Products'!$A:$A, '04_Products'!$F:$F), 0)</f>
        <v/>
      </c>
      <c r="I1774" s="9">
        <f>F1774*G1774</f>
        <v/>
      </c>
      <c r="J1774" s="11" t="n">
        <v>0</v>
      </c>
      <c r="K1774" s="9">
        <f>I1774*J1774</f>
        <v/>
      </c>
      <c r="L1774" s="9">
        <f>I1774-K1774</f>
        <v/>
      </c>
      <c r="M1774" s="9">
        <f>F1774*H1774</f>
        <v/>
      </c>
      <c r="N1774" s="9">
        <f>L1774-M1774</f>
        <v/>
      </c>
      <c r="O1774" s="11">
        <f>IFERROR(N1774/L1774, 0)</f>
        <v/>
      </c>
      <c r="P1774" s="8">
        <f>YEAR(C1774)</f>
        <v/>
      </c>
      <c r="Q1774" s="8">
        <f>TEXT(C1774, "yyyy-mm")</f>
        <v/>
      </c>
      <c r="R1774" s="8" t="inlineStr">
        <is>
          <t>Direct Web</t>
        </is>
      </c>
      <c r="S1774" s="8" t="inlineStr">
        <is>
          <t>REG-NA</t>
        </is>
      </c>
    </row>
    <row r="1775">
      <c r="A1775" s="8" t="inlineStr">
        <is>
          <t>DTL-0001796</t>
        </is>
      </c>
      <c r="B1775" s="8" t="inlineStr">
        <is>
          <t>ORD-000895</t>
        </is>
      </c>
      <c r="C1775" s="10" t="inlineStr">
        <is>
          <t>2024-11-10</t>
        </is>
      </c>
      <c r="D1775" s="8" t="inlineStr">
        <is>
          <t>CUST-06691</t>
        </is>
      </c>
      <c r="E1775" s="8" t="inlineStr">
        <is>
          <t>PRD-0388</t>
        </is>
      </c>
      <c r="F1775" s="8" t="n">
        <v>2</v>
      </c>
      <c r="G1775" s="9">
        <f>IFERROR(XLOOKUP(E1775, '04_Products'!$A:$A, '04_Products'!$G:$G), 318.52)</f>
        <v/>
      </c>
      <c r="H1775" s="9">
        <f>IFERROR(XLOOKUP(E1775, '04_Products'!$A:$A, '04_Products'!$F:$F), 0)</f>
        <v/>
      </c>
      <c r="I1775" s="9">
        <f>F1775*G1775</f>
        <v/>
      </c>
      <c r="J1775" s="11" t="n">
        <v>0.05</v>
      </c>
      <c r="K1775" s="9">
        <f>I1775*J1775</f>
        <v/>
      </c>
      <c r="L1775" s="9">
        <f>I1775-K1775</f>
        <v/>
      </c>
      <c r="M1775" s="9">
        <f>F1775*H1775</f>
        <v/>
      </c>
      <c r="N1775" s="9">
        <f>L1775-M1775</f>
        <v/>
      </c>
      <c r="O1775" s="11">
        <f>IFERROR(N1775/L1775, 0)</f>
        <v/>
      </c>
      <c r="P1775" s="8">
        <f>YEAR(C1775)</f>
        <v/>
      </c>
      <c r="Q1775" s="8">
        <f>TEXT(C1775, "yyyy-mm")</f>
        <v/>
      </c>
      <c r="R1775" s="8" t="inlineStr">
        <is>
          <t>Direct Web</t>
        </is>
      </c>
      <c r="S1775" s="8" t="inlineStr">
        <is>
          <t>REG-NA</t>
        </is>
      </c>
    </row>
    <row r="1776">
      <c r="A1776" s="8" t="inlineStr">
        <is>
          <t>DTL-0001797</t>
        </is>
      </c>
      <c r="B1776" s="8" t="inlineStr">
        <is>
          <t>ORD-000895</t>
        </is>
      </c>
      <c r="C1776" s="10" t="inlineStr">
        <is>
          <t>2024-11-10</t>
        </is>
      </c>
      <c r="D1776" s="8" t="inlineStr">
        <is>
          <t>CUST-06691</t>
        </is>
      </c>
      <c r="E1776" s="8" t="inlineStr">
        <is>
          <t>PRD-0274</t>
        </is>
      </c>
      <c r="F1776" s="8" t="n">
        <v>1</v>
      </c>
      <c r="G1776" s="9">
        <f>IFERROR(XLOOKUP(E1776, '04_Products'!$A:$A, '04_Products'!$G:$G), 74.99)</f>
        <v/>
      </c>
      <c r="H1776" s="9">
        <f>IFERROR(XLOOKUP(E1776, '04_Products'!$A:$A, '04_Products'!$F:$F), 0)</f>
        <v/>
      </c>
      <c r="I1776" s="9">
        <f>F1776*G1776</f>
        <v/>
      </c>
      <c r="J1776" s="11" t="n">
        <v>0.2</v>
      </c>
      <c r="K1776" s="9">
        <f>I1776*J1776</f>
        <v/>
      </c>
      <c r="L1776" s="9">
        <f>I1776-K1776</f>
        <v/>
      </c>
      <c r="M1776" s="9">
        <f>F1776*H1776</f>
        <v/>
      </c>
      <c r="N1776" s="9">
        <f>L1776-M1776</f>
        <v/>
      </c>
      <c r="O1776" s="11">
        <f>IFERROR(N1776/L1776, 0)</f>
        <v/>
      </c>
      <c r="P1776" s="8">
        <f>YEAR(C1776)</f>
        <v/>
      </c>
      <c r="Q1776" s="8">
        <f>TEXT(C1776, "yyyy-mm")</f>
        <v/>
      </c>
      <c r="R1776" s="8" t="inlineStr">
        <is>
          <t>Direct Web</t>
        </is>
      </c>
      <c r="S1776" s="8" t="inlineStr">
        <is>
          <t>REG-NA</t>
        </is>
      </c>
    </row>
    <row r="1777">
      <c r="A1777" s="8" t="inlineStr">
        <is>
          <t>DTL-0001798</t>
        </is>
      </c>
      <c r="B1777" s="8" t="inlineStr">
        <is>
          <t>ORD-000896</t>
        </is>
      </c>
      <c r="C1777" s="10" t="inlineStr">
        <is>
          <t>2024-01-01</t>
        </is>
      </c>
      <c r="D1777" s="8" t="inlineStr">
        <is>
          <t>CUST-01603</t>
        </is>
      </c>
      <c r="E1777" s="8" t="inlineStr">
        <is>
          <t>PRD-0427</t>
        </is>
      </c>
      <c r="F1777" s="8" t="n">
        <v>3</v>
      </c>
      <c r="G1777" s="9">
        <f>IFERROR(XLOOKUP(E1777, '04_Products'!$A:$A, '04_Products'!$G:$G), 108.94)</f>
        <v/>
      </c>
      <c r="H1777" s="9">
        <f>IFERROR(XLOOKUP(E1777, '04_Products'!$A:$A, '04_Products'!$F:$F), 0)</f>
        <v/>
      </c>
      <c r="I1777" s="9">
        <f>F1777*G1777</f>
        <v/>
      </c>
      <c r="J1777" s="11" t="n">
        <v>0</v>
      </c>
      <c r="K1777" s="9">
        <f>I1777*J1777</f>
        <v/>
      </c>
      <c r="L1777" s="9">
        <f>I1777-K1777</f>
        <v/>
      </c>
      <c r="M1777" s="9">
        <f>F1777*H1777</f>
        <v/>
      </c>
      <c r="N1777" s="9">
        <f>L1777-M1777</f>
        <v/>
      </c>
      <c r="O1777" s="11">
        <f>IFERROR(N1777/L1777, 0)</f>
        <v/>
      </c>
      <c r="P1777" s="8">
        <f>YEAR(C1777)</f>
        <v/>
      </c>
      <c r="Q1777" s="8">
        <f>TEXT(C1777, "yyyy-mm")</f>
        <v/>
      </c>
      <c r="R1777" s="8" t="inlineStr">
        <is>
          <t>Direct Web</t>
        </is>
      </c>
      <c r="S1777" s="8" t="inlineStr">
        <is>
          <t>REG-LATAM</t>
        </is>
      </c>
    </row>
    <row r="1778">
      <c r="A1778" s="8" t="inlineStr">
        <is>
          <t>DTL-0001799</t>
        </is>
      </c>
      <c r="B1778" s="8" t="inlineStr">
        <is>
          <t>ORD-000896</t>
        </is>
      </c>
      <c r="C1778" s="10" t="inlineStr">
        <is>
          <t>2024-01-01</t>
        </is>
      </c>
      <c r="D1778" s="8" t="inlineStr">
        <is>
          <t>CUST-01603</t>
        </is>
      </c>
      <c r="E1778" s="8" t="inlineStr">
        <is>
          <t>PRD-0403</t>
        </is>
      </c>
      <c r="F1778" s="8" t="n">
        <v>1</v>
      </c>
      <c r="G1778" s="9">
        <f>IFERROR(XLOOKUP(E1778, '04_Products'!$A:$A, '04_Products'!$G:$G), 213.25)</f>
        <v/>
      </c>
      <c r="H1778" s="9">
        <f>IFERROR(XLOOKUP(E1778, '04_Products'!$A:$A, '04_Products'!$F:$F), 0)</f>
        <v/>
      </c>
      <c r="I1778" s="9">
        <f>F1778*G1778</f>
        <v/>
      </c>
      <c r="J1778" s="11" t="n">
        <v>0.05</v>
      </c>
      <c r="K1778" s="9">
        <f>I1778*J1778</f>
        <v/>
      </c>
      <c r="L1778" s="9">
        <f>I1778-K1778</f>
        <v/>
      </c>
      <c r="M1778" s="9">
        <f>F1778*H1778</f>
        <v/>
      </c>
      <c r="N1778" s="9">
        <f>L1778-M1778</f>
        <v/>
      </c>
      <c r="O1778" s="11">
        <f>IFERROR(N1778/L1778, 0)</f>
        <v/>
      </c>
      <c r="P1778" s="8">
        <f>YEAR(C1778)</f>
        <v/>
      </c>
      <c r="Q1778" s="8">
        <f>TEXT(C1778, "yyyy-mm")</f>
        <v/>
      </c>
      <c r="R1778" s="8" t="inlineStr">
        <is>
          <t>Direct Web</t>
        </is>
      </c>
      <c r="S1778" s="8" t="inlineStr">
        <is>
          <t>REG-LATAM</t>
        </is>
      </c>
    </row>
    <row r="1779">
      <c r="A1779" s="8" t="inlineStr">
        <is>
          <t>DTL-0001800</t>
        </is>
      </c>
      <c r="B1779" s="8" t="inlineStr">
        <is>
          <t>ORD-000897</t>
        </is>
      </c>
      <c r="C1779" s="10" t="inlineStr">
        <is>
          <t>2023-10-21</t>
        </is>
      </c>
      <c r="D1779" s="8" t="inlineStr">
        <is>
          <t>CUST-03611</t>
        </is>
      </c>
      <c r="E1779" s="8" t="inlineStr">
        <is>
          <t>PRD-0219</t>
        </is>
      </c>
      <c r="F1779" s="8" t="n">
        <v>2</v>
      </c>
      <c r="G1779" s="9">
        <f>IFERROR(XLOOKUP(E1779, '04_Products'!$A:$A, '04_Products'!$G:$G), 20.51)</f>
        <v/>
      </c>
      <c r="H1779" s="9">
        <f>IFERROR(XLOOKUP(E1779, '04_Products'!$A:$A, '04_Products'!$F:$F), 0)</f>
        <v/>
      </c>
      <c r="I1779" s="9">
        <f>F1779*G1779</f>
        <v/>
      </c>
      <c r="J1779" s="11" t="n">
        <v>0.1</v>
      </c>
      <c r="K1779" s="9">
        <f>I1779*J1779</f>
        <v/>
      </c>
      <c r="L1779" s="9">
        <f>I1779-K1779</f>
        <v/>
      </c>
      <c r="M1779" s="9">
        <f>F1779*H1779</f>
        <v/>
      </c>
      <c r="N1779" s="9">
        <f>L1779-M1779</f>
        <v/>
      </c>
      <c r="O1779" s="11">
        <f>IFERROR(N1779/L1779, 0)</f>
        <v/>
      </c>
      <c r="P1779" s="8">
        <f>YEAR(C1779)</f>
        <v/>
      </c>
      <c r="Q1779" s="8">
        <f>TEXT(C1779, "yyyy-mm")</f>
        <v/>
      </c>
      <c r="R1779" s="8" t="inlineStr">
        <is>
          <t>Direct Web</t>
        </is>
      </c>
      <c r="S1779" s="8" t="inlineStr">
        <is>
          <t>REG-EU</t>
        </is>
      </c>
    </row>
    <row r="1780">
      <c r="A1780" s="8" t="inlineStr">
        <is>
          <t>DTL-0001801</t>
        </is>
      </c>
      <c r="B1780" s="8" t="inlineStr">
        <is>
          <t>ORD-000897</t>
        </is>
      </c>
      <c r="C1780" s="10" t="inlineStr">
        <is>
          <t>2023-10-21</t>
        </is>
      </c>
      <c r="D1780" s="8" t="inlineStr">
        <is>
          <t>CUST-03611</t>
        </is>
      </c>
      <c r="E1780" s="8" t="inlineStr">
        <is>
          <t>PRD-0007</t>
        </is>
      </c>
      <c r="F1780" s="8" t="n">
        <v>1</v>
      </c>
      <c r="G1780" s="9">
        <f>IFERROR(XLOOKUP(E1780, '04_Products'!$A:$A, '04_Products'!$G:$G), 254.43)</f>
        <v/>
      </c>
      <c r="H1780" s="9">
        <f>IFERROR(XLOOKUP(E1780, '04_Products'!$A:$A, '04_Products'!$F:$F), 0)</f>
        <v/>
      </c>
      <c r="I1780" s="9">
        <f>F1780*G1780</f>
        <v/>
      </c>
      <c r="J1780" s="11" t="n">
        <v>0</v>
      </c>
      <c r="K1780" s="9">
        <f>I1780*J1780</f>
        <v/>
      </c>
      <c r="L1780" s="9">
        <f>I1780-K1780</f>
        <v/>
      </c>
      <c r="M1780" s="9">
        <f>F1780*H1780</f>
        <v/>
      </c>
      <c r="N1780" s="9">
        <f>L1780-M1780</f>
        <v/>
      </c>
      <c r="O1780" s="11">
        <f>IFERROR(N1780/L1780, 0)</f>
        <v/>
      </c>
      <c r="P1780" s="8">
        <f>YEAR(C1780)</f>
        <v/>
      </c>
      <c r="Q1780" s="8">
        <f>TEXT(C1780, "yyyy-mm")</f>
        <v/>
      </c>
      <c r="R1780" s="8" t="inlineStr">
        <is>
          <t>Direct Web</t>
        </is>
      </c>
      <c r="S1780" s="8" t="inlineStr">
        <is>
          <t>REG-EU</t>
        </is>
      </c>
    </row>
    <row r="1781">
      <c r="A1781" s="8" t="inlineStr">
        <is>
          <t>DTL-0001802</t>
        </is>
      </c>
      <c r="B1781" s="8" t="inlineStr">
        <is>
          <t>ORD-000898</t>
        </is>
      </c>
      <c r="C1781" s="10" t="inlineStr">
        <is>
          <t>2023-06-24</t>
        </is>
      </c>
      <c r="D1781" s="8" t="inlineStr">
        <is>
          <t>CUST-01929</t>
        </is>
      </c>
      <c r="E1781" s="8" t="inlineStr">
        <is>
          <t>PRD-0294</t>
        </is>
      </c>
      <c r="F1781" s="8" t="n">
        <v>2</v>
      </c>
      <c r="G1781" s="9">
        <f>IFERROR(XLOOKUP(E1781, '04_Products'!$A:$A, '04_Products'!$G:$G), 159.21)</f>
        <v/>
      </c>
      <c r="H1781" s="9">
        <f>IFERROR(XLOOKUP(E1781, '04_Products'!$A:$A, '04_Products'!$F:$F), 0)</f>
        <v/>
      </c>
      <c r="I1781" s="9">
        <f>F1781*G1781</f>
        <v/>
      </c>
      <c r="J1781" s="11" t="n">
        <v>0.05</v>
      </c>
      <c r="K1781" s="9">
        <f>I1781*J1781</f>
        <v/>
      </c>
      <c r="L1781" s="9">
        <f>I1781-K1781</f>
        <v/>
      </c>
      <c r="M1781" s="9">
        <f>F1781*H1781</f>
        <v/>
      </c>
      <c r="N1781" s="9">
        <f>L1781-M1781</f>
        <v/>
      </c>
      <c r="O1781" s="11">
        <f>IFERROR(N1781/L1781, 0)</f>
        <v/>
      </c>
      <c r="P1781" s="8">
        <f>YEAR(C1781)</f>
        <v/>
      </c>
      <c r="Q1781" s="8">
        <f>TEXT(C1781, "yyyy-mm")</f>
        <v/>
      </c>
      <c r="R1781" s="8" t="inlineStr">
        <is>
          <t>Mobile App</t>
        </is>
      </c>
      <c r="S1781" s="8" t="inlineStr">
        <is>
          <t>REG-EU</t>
        </is>
      </c>
    </row>
    <row r="1782">
      <c r="A1782" s="8" t="inlineStr">
        <is>
          <t>DTL-0001804</t>
        </is>
      </c>
      <c r="B1782" s="8" t="inlineStr">
        <is>
          <t>ORD-000900</t>
        </is>
      </c>
      <c r="C1782" s="10" t="inlineStr">
        <is>
          <t>2025-10-21</t>
        </is>
      </c>
      <c r="D1782" s="8" t="inlineStr">
        <is>
          <t>CUST-02151</t>
        </is>
      </c>
      <c r="E1782" s="8" t="inlineStr">
        <is>
          <t>PRD-0457</t>
        </is>
      </c>
      <c r="F1782" s="8" t="n">
        <v>1</v>
      </c>
      <c r="G1782" s="9">
        <f>IFERROR(XLOOKUP(E1782, '04_Products'!$A:$A, '04_Products'!$G:$G), 29.97)</f>
        <v/>
      </c>
      <c r="H1782" s="9">
        <f>IFERROR(XLOOKUP(E1782, '04_Products'!$A:$A, '04_Products'!$F:$F), 0)</f>
        <v/>
      </c>
      <c r="I1782" s="9">
        <f>F1782*G1782</f>
        <v/>
      </c>
      <c r="J1782" s="11" t="n">
        <v>0.1</v>
      </c>
      <c r="K1782" s="9">
        <f>I1782*J1782</f>
        <v/>
      </c>
      <c r="L1782" s="9">
        <f>I1782-K1782</f>
        <v/>
      </c>
      <c r="M1782" s="9">
        <f>F1782*H1782</f>
        <v/>
      </c>
      <c r="N1782" s="9">
        <f>L1782-M1782</f>
        <v/>
      </c>
      <c r="O1782" s="11">
        <f>IFERROR(N1782/L1782, 0)</f>
        <v/>
      </c>
      <c r="P1782" s="8">
        <f>YEAR(C1782)</f>
        <v/>
      </c>
      <c r="Q1782" s="8">
        <f>TEXT(C1782, "yyyy-mm")</f>
        <v/>
      </c>
      <c r="R1782" s="8" t="inlineStr">
        <is>
          <t>Mobile App</t>
        </is>
      </c>
      <c r="S1782" s="8" t="inlineStr">
        <is>
          <t>REG-NA</t>
        </is>
      </c>
    </row>
    <row r="1783">
      <c r="A1783" s="8" t="inlineStr">
        <is>
          <t>DTL-0001805</t>
        </is>
      </c>
      <c r="B1783" s="8" t="inlineStr">
        <is>
          <t>ORD-000900</t>
        </is>
      </c>
      <c r="C1783" s="10" t="inlineStr">
        <is>
          <t>2025-10-21</t>
        </is>
      </c>
      <c r="D1783" s="8" t="inlineStr">
        <is>
          <t>CUST-02151</t>
        </is>
      </c>
      <c r="E1783" s="8" t="inlineStr">
        <is>
          <t>PRD-0440</t>
        </is>
      </c>
      <c r="F1783" s="8" t="n">
        <v>1</v>
      </c>
      <c r="G1783" s="9">
        <f>IFERROR(XLOOKUP(E1783, '04_Products'!$A:$A, '04_Products'!$G:$G), 791.74)</f>
        <v/>
      </c>
      <c r="H1783" s="9">
        <f>IFERROR(XLOOKUP(E1783, '04_Products'!$A:$A, '04_Products'!$F:$F), 0)</f>
        <v/>
      </c>
      <c r="I1783" s="9">
        <f>F1783*G1783</f>
        <v/>
      </c>
      <c r="J1783" s="11" t="n">
        <v>0.05</v>
      </c>
      <c r="K1783" s="9">
        <f>I1783*J1783</f>
        <v/>
      </c>
      <c r="L1783" s="9">
        <f>I1783-K1783</f>
        <v/>
      </c>
      <c r="M1783" s="9">
        <f>F1783*H1783</f>
        <v/>
      </c>
      <c r="N1783" s="9">
        <f>L1783-M1783</f>
        <v/>
      </c>
      <c r="O1783" s="11">
        <f>IFERROR(N1783/L1783, 0)</f>
        <v/>
      </c>
      <c r="P1783" s="8">
        <f>YEAR(C1783)</f>
        <v/>
      </c>
      <c r="Q1783" s="8">
        <f>TEXT(C1783, "yyyy-mm")</f>
        <v/>
      </c>
      <c r="R1783" s="8" t="inlineStr">
        <is>
          <t>Mobile App</t>
        </is>
      </c>
      <c r="S1783" s="8" t="inlineStr">
        <is>
          <t>REG-NA</t>
        </is>
      </c>
    </row>
    <row r="1784">
      <c r="A1784" s="8" t="inlineStr">
        <is>
          <t>DTL-0001806</t>
        </is>
      </c>
      <c r="B1784" s="8" t="inlineStr">
        <is>
          <t>ORD-000900</t>
        </is>
      </c>
      <c r="C1784" s="10" t="inlineStr">
        <is>
          <t>2025-10-21</t>
        </is>
      </c>
      <c r="D1784" s="8" t="inlineStr">
        <is>
          <t>CUST-02151</t>
        </is>
      </c>
      <c r="E1784" s="8" t="inlineStr">
        <is>
          <t>PRD-0196</t>
        </is>
      </c>
      <c r="F1784" s="8" t="n">
        <v>1</v>
      </c>
      <c r="G1784" s="9">
        <f>IFERROR(XLOOKUP(E1784, '04_Products'!$A:$A, '04_Products'!$G:$G), 112.72)</f>
        <v/>
      </c>
      <c r="H1784" s="9">
        <f>IFERROR(XLOOKUP(E1784, '04_Products'!$A:$A, '04_Products'!$F:$F), 0)</f>
        <v/>
      </c>
      <c r="I1784" s="9">
        <f>F1784*G1784</f>
        <v/>
      </c>
      <c r="J1784" s="11" t="n">
        <v>0.1</v>
      </c>
      <c r="K1784" s="9">
        <f>I1784*J1784</f>
        <v/>
      </c>
      <c r="L1784" s="9">
        <f>I1784-K1784</f>
        <v/>
      </c>
      <c r="M1784" s="9">
        <f>F1784*H1784</f>
        <v/>
      </c>
      <c r="N1784" s="9">
        <f>L1784-M1784</f>
        <v/>
      </c>
      <c r="O1784" s="11">
        <f>IFERROR(N1784/L1784, 0)</f>
        <v/>
      </c>
      <c r="P1784" s="8">
        <f>YEAR(C1784)</f>
        <v/>
      </c>
      <c r="Q1784" s="8">
        <f>TEXT(C1784, "yyyy-mm")</f>
        <v/>
      </c>
      <c r="R1784" s="8" t="inlineStr">
        <is>
          <t>Mobile App</t>
        </is>
      </c>
      <c r="S1784" s="8" t="inlineStr">
        <is>
          <t>REG-NA</t>
        </is>
      </c>
    </row>
    <row r="1785">
      <c r="A1785" s="8" t="inlineStr">
        <is>
          <t>DTL-0001807</t>
        </is>
      </c>
      <c r="B1785" s="8" t="inlineStr">
        <is>
          <t>ORD-000900</t>
        </is>
      </c>
      <c r="C1785" s="10" t="inlineStr">
        <is>
          <t>2025-10-21</t>
        </is>
      </c>
      <c r="D1785" s="8" t="inlineStr">
        <is>
          <t>CUST-02151</t>
        </is>
      </c>
      <c r="E1785" s="8" t="inlineStr">
        <is>
          <t>PRD-0364</t>
        </is>
      </c>
      <c r="F1785" s="8" t="n">
        <v>3</v>
      </c>
      <c r="G1785" s="9">
        <f>IFERROR(XLOOKUP(E1785, '04_Products'!$A:$A, '04_Products'!$G:$G), 1083.88)</f>
        <v/>
      </c>
      <c r="H1785" s="9">
        <f>IFERROR(XLOOKUP(E1785, '04_Products'!$A:$A, '04_Products'!$F:$F), 0)</f>
        <v/>
      </c>
      <c r="I1785" s="9">
        <f>F1785*G1785</f>
        <v/>
      </c>
      <c r="J1785" s="11" t="n">
        <v>0.05</v>
      </c>
      <c r="K1785" s="9">
        <f>I1785*J1785</f>
        <v/>
      </c>
      <c r="L1785" s="9">
        <f>I1785-K1785</f>
        <v/>
      </c>
      <c r="M1785" s="9">
        <f>F1785*H1785</f>
        <v/>
      </c>
      <c r="N1785" s="9">
        <f>L1785-M1785</f>
        <v/>
      </c>
      <c r="O1785" s="11">
        <f>IFERROR(N1785/L1785, 0)</f>
        <v/>
      </c>
      <c r="P1785" s="8">
        <f>YEAR(C1785)</f>
        <v/>
      </c>
      <c r="Q1785" s="8">
        <f>TEXT(C1785, "yyyy-mm")</f>
        <v/>
      </c>
      <c r="R1785" s="8" t="inlineStr">
        <is>
          <t>Mobile App</t>
        </is>
      </c>
      <c r="S1785" s="8" t="inlineStr">
        <is>
          <t>REG-NA</t>
        </is>
      </c>
    </row>
    <row r="1786">
      <c r="A1786" s="8" t="inlineStr">
        <is>
          <t>DTL-0001808</t>
        </is>
      </c>
      <c r="B1786" s="8" t="inlineStr">
        <is>
          <t>ORD-000901</t>
        </is>
      </c>
      <c r="C1786" s="10" t="inlineStr">
        <is>
          <t>2024-05-07</t>
        </is>
      </c>
      <c r="D1786" s="8" t="inlineStr">
        <is>
          <t>CUST-06895</t>
        </is>
      </c>
      <c r="E1786" s="8" t="inlineStr">
        <is>
          <t>PRD-0024</t>
        </is>
      </c>
      <c r="F1786" s="8" t="n">
        <v>1</v>
      </c>
      <c r="G1786" s="9">
        <f>IFERROR(XLOOKUP(E1786, '04_Products'!$A:$A, '04_Products'!$G:$G), 45.49)</f>
        <v/>
      </c>
      <c r="H1786" s="9">
        <f>IFERROR(XLOOKUP(E1786, '04_Products'!$A:$A, '04_Products'!$F:$F), 0)</f>
        <v/>
      </c>
      <c r="I1786" s="9">
        <f>F1786*G1786</f>
        <v/>
      </c>
      <c r="J1786" s="11" t="n">
        <v>0</v>
      </c>
      <c r="K1786" s="9">
        <f>I1786*J1786</f>
        <v/>
      </c>
      <c r="L1786" s="9">
        <f>I1786-K1786</f>
        <v/>
      </c>
      <c r="M1786" s="9">
        <f>F1786*H1786</f>
        <v/>
      </c>
      <c r="N1786" s="9">
        <f>L1786-M1786</f>
        <v/>
      </c>
      <c r="O1786" s="11">
        <f>IFERROR(N1786/L1786, 0)</f>
        <v/>
      </c>
      <c r="P1786" s="8">
        <f>YEAR(C1786)</f>
        <v/>
      </c>
      <c r="Q1786" s="8">
        <f>TEXT(C1786, "yyyy-mm")</f>
        <v/>
      </c>
      <c r="R1786" s="8" t="inlineStr">
        <is>
          <t>Mobile App</t>
        </is>
      </c>
      <c r="S1786" s="8" t="inlineStr">
        <is>
          <t>REG-APAC</t>
        </is>
      </c>
    </row>
    <row r="1787">
      <c r="A1787" s="8" t="inlineStr">
        <is>
          <t>DTL-0001809</t>
        </is>
      </c>
      <c r="B1787" s="8" t="inlineStr">
        <is>
          <t>ORD-000901</t>
        </is>
      </c>
      <c r="C1787" s="10" t="inlineStr">
        <is>
          <t>2024-05-07</t>
        </is>
      </c>
      <c r="D1787" s="8" t="inlineStr">
        <is>
          <t>CUST-06895</t>
        </is>
      </c>
      <c r="E1787" s="8" t="inlineStr">
        <is>
          <t>PRD-0221</t>
        </is>
      </c>
      <c r="F1787" s="8" t="n">
        <v>1</v>
      </c>
      <c r="G1787" s="9">
        <f>IFERROR(XLOOKUP(E1787, '04_Products'!$A:$A, '04_Products'!$G:$G), 7.79)</f>
        <v/>
      </c>
      <c r="H1787" s="9">
        <f>IFERROR(XLOOKUP(E1787, '04_Products'!$A:$A, '04_Products'!$F:$F), 0)</f>
        <v/>
      </c>
      <c r="I1787" s="9">
        <f>F1787*G1787</f>
        <v/>
      </c>
      <c r="J1787" s="11" t="n">
        <v>0.05</v>
      </c>
      <c r="K1787" s="9">
        <f>I1787*J1787</f>
        <v/>
      </c>
      <c r="L1787" s="9">
        <f>I1787-K1787</f>
        <v/>
      </c>
      <c r="M1787" s="9">
        <f>F1787*H1787</f>
        <v/>
      </c>
      <c r="N1787" s="9">
        <f>L1787-M1787</f>
        <v/>
      </c>
      <c r="O1787" s="11">
        <f>IFERROR(N1787/L1787, 0)</f>
        <v/>
      </c>
      <c r="P1787" s="8">
        <f>YEAR(C1787)</f>
        <v/>
      </c>
      <c r="Q1787" s="8">
        <f>TEXT(C1787, "yyyy-mm")</f>
        <v/>
      </c>
      <c r="R1787" s="8" t="inlineStr">
        <is>
          <t>Mobile App</t>
        </is>
      </c>
      <c r="S1787" s="8" t="inlineStr">
        <is>
          <t>REG-APAC</t>
        </is>
      </c>
    </row>
    <row r="1788">
      <c r="A1788" s="8" t="inlineStr">
        <is>
          <t>DTL-0001810</t>
        </is>
      </c>
      <c r="B1788" s="8" t="inlineStr">
        <is>
          <t>ORD-000901</t>
        </is>
      </c>
      <c r="C1788" s="10" t="inlineStr">
        <is>
          <t>2024-05-07</t>
        </is>
      </c>
      <c r="D1788" s="8" t="inlineStr">
        <is>
          <t>CUST-06895</t>
        </is>
      </c>
      <c r="E1788" s="8" t="inlineStr">
        <is>
          <t>PRD-0457</t>
        </is>
      </c>
      <c r="F1788" s="8" t="n">
        <v>1</v>
      </c>
      <c r="G1788" s="9">
        <f>IFERROR(XLOOKUP(E1788, '04_Products'!$A:$A, '04_Products'!$G:$G), 29.97)</f>
        <v/>
      </c>
      <c r="H1788" s="9">
        <f>IFERROR(XLOOKUP(E1788, '04_Products'!$A:$A, '04_Products'!$F:$F), 0)</f>
        <v/>
      </c>
      <c r="I1788" s="9">
        <f>F1788*G1788</f>
        <v/>
      </c>
      <c r="J1788" s="11" t="n">
        <v>0</v>
      </c>
      <c r="K1788" s="9">
        <f>I1788*J1788</f>
        <v/>
      </c>
      <c r="L1788" s="9">
        <f>I1788-K1788</f>
        <v/>
      </c>
      <c r="M1788" s="9">
        <f>F1788*H1788</f>
        <v/>
      </c>
      <c r="N1788" s="9">
        <f>L1788-M1788</f>
        <v/>
      </c>
      <c r="O1788" s="11">
        <f>IFERROR(N1788/L1788, 0)</f>
        <v/>
      </c>
      <c r="P1788" s="8">
        <f>YEAR(C1788)</f>
        <v/>
      </c>
      <c r="Q1788" s="8">
        <f>TEXT(C1788, "yyyy-mm")</f>
        <v/>
      </c>
      <c r="R1788" s="8" t="inlineStr">
        <is>
          <t>Mobile App</t>
        </is>
      </c>
      <c r="S1788" s="8" t="inlineStr">
        <is>
          <t>REG-APAC</t>
        </is>
      </c>
    </row>
    <row r="1789">
      <c r="A1789" s="8" t="inlineStr">
        <is>
          <t>DTL-0001811</t>
        </is>
      </c>
      <c r="B1789" s="8" t="inlineStr">
        <is>
          <t>ORD-000902</t>
        </is>
      </c>
      <c r="C1789" s="10" t="inlineStr">
        <is>
          <t>2024-04-22</t>
        </is>
      </c>
      <c r="D1789" s="8" t="inlineStr">
        <is>
          <t>CUST-01916</t>
        </is>
      </c>
      <c r="E1789" s="8" t="inlineStr">
        <is>
          <t>PRD-0046</t>
        </is>
      </c>
      <c r="F1789" s="8" t="n">
        <v>5</v>
      </c>
      <c r="G1789" s="9">
        <f>IFERROR(XLOOKUP(E1789, '04_Products'!$A:$A, '04_Products'!$G:$G), 692.90)</f>
        <v/>
      </c>
      <c r="H1789" s="9">
        <f>IFERROR(XLOOKUP(E1789, '04_Products'!$A:$A, '04_Products'!$F:$F), 0)</f>
        <v/>
      </c>
      <c r="I1789" s="9">
        <f>F1789*G1789</f>
        <v/>
      </c>
      <c r="J1789" s="11" t="n">
        <v>0</v>
      </c>
      <c r="K1789" s="9">
        <f>I1789*J1789</f>
        <v/>
      </c>
      <c r="L1789" s="9">
        <f>I1789-K1789</f>
        <v/>
      </c>
      <c r="M1789" s="9">
        <f>F1789*H1789</f>
        <v/>
      </c>
      <c r="N1789" s="9">
        <f>L1789-M1789</f>
        <v/>
      </c>
      <c r="O1789" s="11">
        <f>IFERROR(N1789/L1789, 0)</f>
        <v/>
      </c>
      <c r="P1789" s="8">
        <f>YEAR(C1789)</f>
        <v/>
      </c>
      <c r="Q1789" s="8">
        <f>TEXT(C1789, "yyyy-mm")</f>
        <v/>
      </c>
      <c r="R1789" s="8" t="inlineStr">
        <is>
          <t>Direct Web</t>
        </is>
      </c>
      <c r="S1789" s="8" t="inlineStr">
        <is>
          <t>REG-NA</t>
        </is>
      </c>
    </row>
    <row r="1790">
      <c r="A1790" s="8" t="inlineStr">
        <is>
          <t>DTL-0001812</t>
        </is>
      </c>
      <c r="B1790" s="8" t="inlineStr">
        <is>
          <t>ORD-000902</t>
        </is>
      </c>
      <c r="C1790" s="10" t="inlineStr">
        <is>
          <t>2024-04-22</t>
        </is>
      </c>
      <c r="D1790" s="8" t="inlineStr">
        <is>
          <t>CUST-01916</t>
        </is>
      </c>
      <c r="E1790" s="8" t="inlineStr">
        <is>
          <t>PRD-0484</t>
        </is>
      </c>
      <c r="F1790" s="8" t="n">
        <v>1</v>
      </c>
      <c r="G1790" s="9">
        <f>IFERROR(XLOOKUP(E1790, '04_Products'!$A:$A, '04_Products'!$G:$G), 33.81)</f>
        <v/>
      </c>
      <c r="H1790" s="9">
        <f>IFERROR(XLOOKUP(E1790, '04_Products'!$A:$A, '04_Products'!$F:$F), 0)</f>
        <v/>
      </c>
      <c r="I1790" s="9">
        <f>F1790*G1790</f>
        <v/>
      </c>
      <c r="J1790" s="11" t="n">
        <v>0.1</v>
      </c>
      <c r="K1790" s="9">
        <f>I1790*J1790</f>
        <v/>
      </c>
      <c r="L1790" s="9">
        <f>I1790-K1790</f>
        <v/>
      </c>
      <c r="M1790" s="9">
        <f>F1790*H1790</f>
        <v/>
      </c>
      <c r="N1790" s="9">
        <f>L1790-M1790</f>
        <v/>
      </c>
      <c r="O1790" s="11">
        <f>IFERROR(N1790/L1790, 0)</f>
        <v/>
      </c>
      <c r="P1790" s="8">
        <f>YEAR(C1790)</f>
        <v/>
      </c>
      <c r="Q1790" s="8">
        <f>TEXT(C1790, "yyyy-mm")</f>
        <v/>
      </c>
      <c r="R1790" s="8" t="inlineStr">
        <is>
          <t>Direct Web</t>
        </is>
      </c>
      <c r="S1790" s="8" t="inlineStr">
        <is>
          <t>REG-NA</t>
        </is>
      </c>
    </row>
    <row r="1791">
      <c r="A1791" s="8" t="inlineStr">
        <is>
          <t>DTL-0001813</t>
        </is>
      </c>
      <c r="B1791" s="8" t="inlineStr">
        <is>
          <t>ORD-000903</t>
        </is>
      </c>
      <c r="C1791" s="10" t="inlineStr">
        <is>
          <t>2024-06-22</t>
        </is>
      </c>
      <c r="D1791" s="8" t="inlineStr">
        <is>
          <t>CUST-04698</t>
        </is>
      </c>
      <c r="E1791" s="8" t="inlineStr">
        <is>
          <t>PRD-0416</t>
        </is>
      </c>
      <c r="F1791" s="8" t="n">
        <v>2</v>
      </c>
      <c r="G1791" s="9">
        <f>IFERROR(XLOOKUP(E1791, '04_Products'!$A:$A, '04_Products'!$G:$G), 39.54)</f>
        <v/>
      </c>
      <c r="H1791" s="9">
        <f>IFERROR(XLOOKUP(E1791, '04_Products'!$A:$A, '04_Products'!$F:$F), 0)</f>
        <v/>
      </c>
      <c r="I1791" s="9">
        <f>F1791*G1791</f>
        <v/>
      </c>
      <c r="J1791" s="11" t="n">
        <v>0.05</v>
      </c>
      <c r="K1791" s="9">
        <f>I1791*J1791</f>
        <v/>
      </c>
      <c r="L1791" s="9">
        <f>I1791-K1791</f>
        <v/>
      </c>
      <c r="M1791" s="9">
        <f>F1791*H1791</f>
        <v/>
      </c>
      <c r="N1791" s="9">
        <f>L1791-M1791</f>
        <v/>
      </c>
      <c r="O1791" s="11">
        <f>IFERROR(N1791/L1791, 0)</f>
        <v/>
      </c>
      <c r="P1791" s="8">
        <f>YEAR(C1791)</f>
        <v/>
      </c>
      <c r="Q1791" s="8">
        <f>TEXT(C1791, "yyyy-mm")</f>
        <v/>
      </c>
      <c r="R1791" s="8" t="inlineStr">
        <is>
          <t>Direct Web</t>
        </is>
      </c>
      <c r="S1791" s="8" t="inlineStr">
        <is>
          <t>REG-NA</t>
        </is>
      </c>
    </row>
    <row r="1792">
      <c r="A1792" s="8" t="inlineStr">
        <is>
          <t>DTL-0001814</t>
        </is>
      </c>
      <c r="B1792" s="8" t="inlineStr">
        <is>
          <t>ORD-000903</t>
        </is>
      </c>
      <c r="C1792" s="10" t="inlineStr">
        <is>
          <t>2024-06-22</t>
        </is>
      </c>
      <c r="D1792" s="8" t="inlineStr">
        <is>
          <t>CUST-04698</t>
        </is>
      </c>
      <c r="E1792" s="8" t="inlineStr">
        <is>
          <t>PRD-0224</t>
        </is>
      </c>
      <c r="F1792" s="8" t="n">
        <v>3</v>
      </c>
      <c r="G1792" s="9">
        <f>IFERROR(XLOOKUP(E1792, '04_Products'!$A:$A, '04_Products'!$G:$G), 60.54)</f>
        <v/>
      </c>
      <c r="H1792" s="9">
        <f>IFERROR(XLOOKUP(E1792, '04_Products'!$A:$A, '04_Products'!$F:$F), 0)</f>
        <v/>
      </c>
      <c r="I1792" s="9">
        <f>F1792*G1792</f>
        <v/>
      </c>
      <c r="J1792" s="11" t="n">
        <v>0</v>
      </c>
      <c r="K1792" s="9">
        <f>I1792*J1792</f>
        <v/>
      </c>
      <c r="L1792" s="9">
        <f>I1792-K1792</f>
        <v/>
      </c>
      <c r="M1792" s="9">
        <f>F1792*H1792</f>
        <v/>
      </c>
      <c r="N1792" s="9">
        <f>L1792-M1792</f>
        <v/>
      </c>
      <c r="O1792" s="11">
        <f>IFERROR(N1792/L1792, 0)</f>
        <v/>
      </c>
      <c r="P1792" s="8">
        <f>YEAR(C1792)</f>
        <v/>
      </c>
      <c r="Q1792" s="8">
        <f>TEXT(C1792, "yyyy-mm")</f>
        <v/>
      </c>
      <c r="R1792" s="8" t="inlineStr">
        <is>
          <t>Direct Web</t>
        </is>
      </c>
      <c r="S1792" s="8" t="inlineStr">
        <is>
          <t>REG-NA</t>
        </is>
      </c>
    </row>
    <row r="1793">
      <c r="A1793" s="8" t="inlineStr">
        <is>
          <t>DTL-0001815</t>
        </is>
      </c>
      <c r="B1793" s="8" t="inlineStr">
        <is>
          <t>ORD-000904</t>
        </is>
      </c>
      <c r="C1793" s="10" t="inlineStr">
        <is>
          <t>2025-10-24</t>
        </is>
      </c>
      <c r="D1793" s="8" t="inlineStr">
        <is>
          <t>CUST-05401</t>
        </is>
      </c>
      <c r="E1793" s="8" t="inlineStr">
        <is>
          <t>PRD-0052</t>
        </is>
      </c>
      <c r="F1793" s="8" t="n">
        <v>10</v>
      </c>
      <c r="G1793" s="9">
        <f>IFERROR(XLOOKUP(E1793, '04_Products'!$A:$A, '04_Products'!$G:$G), 354.02)</f>
        <v/>
      </c>
      <c r="H1793" s="9">
        <f>IFERROR(XLOOKUP(E1793, '04_Products'!$A:$A, '04_Products'!$F:$F), 0)</f>
        <v/>
      </c>
      <c r="I1793" s="9">
        <f>F1793*G1793</f>
        <v/>
      </c>
      <c r="J1793" s="11" t="n">
        <v>0</v>
      </c>
      <c r="K1793" s="9">
        <f>I1793*J1793</f>
        <v/>
      </c>
      <c r="L1793" s="9">
        <f>I1793-K1793</f>
        <v/>
      </c>
      <c r="M1793" s="9">
        <f>F1793*H1793</f>
        <v/>
      </c>
      <c r="N1793" s="9">
        <f>L1793-M1793</f>
        <v/>
      </c>
      <c r="O1793" s="11">
        <f>IFERROR(N1793/L1793, 0)</f>
        <v/>
      </c>
      <c r="P1793" s="8">
        <f>YEAR(C1793)</f>
        <v/>
      </c>
      <c r="Q1793" s="8">
        <f>TEXT(C1793, "yyyy-mm")</f>
        <v/>
      </c>
      <c r="R1793" s="8" t="inlineStr">
        <is>
          <t>Direct Web</t>
        </is>
      </c>
      <c r="S1793" s="8" t="inlineStr">
        <is>
          <t>REG-NA</t>
        </is>
      </c>
    </row>
    <row r="1794">
      <c r="A1794" s="8" t="inlineStr">
        <is>
          <t>DTL-0001816</t>
        </is>
      </c>
      <c r="B1794" s="8" t="inlineStr">
        <is>
          <t>ORD-000904</t>
        </is>
      </c>
      <c r="C1794" s="10" t="inlineStr">
        <is>
          <t>2025-10-24</t>
        </is>
      </c>
      <c r="D1794" s="8" t="inlineStr">
        <is>
          <t>CUST-05401</t>
        </is>
      </c>
      <c r="E1794" s="8" t="inlineStr">
        <is>
          <t>PRD-0403</t>
        </is>
      </c>
      <c r="F1794" s="8" t="n">
        <v>2</v>
      </c>
      <c r="G1794" s="9">
        <f>IFERROR(XLOOKUP(E1794, '04_Products'!$A:$A, '04_Products'!$G:$G), 213.25)</f>
        <v/>
      </c>
      <c r="H1794" s="9">
        <f>IFERROR(XLOOKUP(E1794, '04_Products'!$A:$A, '04_Products'!$F:$F), 0)</f>
        <v/>
      </c>
      <c r="I1794" s="9">
        <f>F1794*G1794</f>
        <v/>
      </c>
      <c r="J1794" s="11" t="n">
        <v>0.05</v>
      </c>
      <c r="K1794" s="9">
        <f>I1794*J1794</f>
        <v/>
      </c>
      <c r="L1794" s="9">
        <f>I1794-K1794</f>
        <v/>
      </c>
      <c r="M1794" s="9">
        <f>F1794*H1794</f>
        <v/>
      </c>
      <c r="N1794" s="9">
        <f>L1794-M1794</f>
        <v/>
      </c>
      <c r="O1794" s="11">
        <f>IFERROR(N1794/L1794, 0)</f>
        <v/>
      </c>
      <c r="P1794" s="8">
        <f>YEAR(C1794)</f>
        <v/>
      </c>
      <c r="Q1794" s="8">
        <f>TEXT(C1794, "yyyy-mm")</f>
        <v/>
      </c>
      <c r="R1794" s="8" t="inlineStr">
        <is>
          <t>Direct Web</t>
        </is>
      </c>
      <c r="S1794" s="8" t="inlineStr">
        <is>
          <t>REG-NA</t>
        </is>
      </c>
    </row>
    <row r="1795">
      <c r="A1795" s="8" t="inlineStr">
        <is>
          <t>DTL-0001817</t>
        </is>
      </c>
      <c r="B1795" s="8" t="inlineStr">
        <is>
          <t>ORD-000905</t>
        </is>
      </c>
      <c r="C1795" s="10" t="inlineStr">
        <is>
          <t>2023-10-09</t>
        </is>
      </c>
      <c r="D1795" s="8" t="inlineStr">
        <is>
          <t>CUST-03147</t>
        </is>
      </c>
      <c r="E1795" s="8" t="inlineStr">
        <is>
          <t>PRD-0004</t>
        </is>
      </c>
      <c r="F1795" s="8" t="n">
        <v>1</v>
      </c>
      <c r="G1795" s="9">
        <f>IFERROR(XLOOKUP(E1795, '04_Products'!$A:$A, '04_Products'!$G:$G), 13.71)</f>
        <v/>
      </c>
      <c r="H1795" s="9">
        <f>IFERROR(XLOOKUP(E1795, '04_Products'!$A:$A, '04_Products'!$F:$F), 0)</f>
        <v/>
      </c>
      <c r="I1795" s="9">
        <f>F1795*G1795</f>
        <v/>
      </c>
      <c r="J1795" s="11" t="n">
        <v>0.15</v>
      </c>
      <c r="K1795" s="9">
        <f>I1795*J1795</f>
        <v/>
      </c>
      <c r="L1795" s="9">
        <f>I1795-K1795</f>
        <v/>
      </c>
      <c r="M1795" s="9">
        <f>F1795*H1795</f>
        <v/>
      </c>
      <c r="N1795" s="9">
        <f>L1795-M1795</f>
        <v/>
      </c>
      <c r="O1795" s="11">
        <f>IFERROR(N1795/L1795, 0)</f>
        <v/>
      </c>
      <c r="P1795" s="8">
        <f>YEAR(C1795)</f>
        <v/>
      </c>
      <c r="Q1795" s="8">
        <f>TEXT(C1795, "yyyy-mm")</f>
        <v/>
      </c>
      <c r="R1795" s="8" t="inlineStr">
        <is>
          <t>B2B Portal</t>
        </is>
      </c>
      <c r="S1795" s="8" t="inlineStr">
        <is>
          <t>REG-NA</t>
        </is>
      </c>
    </row>
    <row r="1796">
      <c r="A1796" s="8" t="inlineStr">
        <is>
          <t>DTL-0001818</t>
        </is>
      </c>
      <c r="B1796" s="8" t="inlineStr">
        <is>
          <t>ORD-000905</t>
        </is>
      </c>
      <c r="C1796" s="10" t="inlineStr">
        <is>
          <t>2023-10-09</t>
        </is>
      </c>
      <c r="D1796" s="8" t="inlineStr">
        <is>
          <t>CUST-03147</t>
        </is>
      </c>
      <c r="E1796" s="8" t="inlineStr">
        <is>
          <t>PRD-0212</t>
        </is>
      </c>
      <c r="F1796" s="8" t="n">
        <v>2</v>
      </c>
      <c r="G1796" s="9">
        <f>IFERROR(XLOOKUP(E1796, '04_Products'!$A:$A, '04_Products'!$G:$G), 15.71)</f>
        <v/>
      </c>
      <c r="H1796" s="9">
        <f>IFERROR(XLOOKUP(E1796, '04_Products'!$A:$A, '04_Products'!$F:$F), 0)</f>
        <v/>
      </c>
      <c r="I1796" s="9">
        <f>F1796*G1796</f>
        <v/>
      </c>
      <c r="J1796" s="11" t="n">
        <v>0</v>
      </c>
      <c r="K1796" s="9">
        <f>I1796*J1796</f>
        <v/>
      </c>
      <c r="L1796" s="9">
        <f>I1796-K1796</f>
        <v/>
      </c>
      <c r="M1796" s="9">
        <f>F1796*H1796</f>
        <v/>
      </c>
      <c r="N1796" s="9">
        <f>L1796-M1796</f>
        <v/>
      </c>
      <c r="O1796" s="11">
        <f>IFERROR(N1796/L1796, 0)</f>
        <v/>
      </c>
      <c r="P1796" s="8">
        <f>YEAR(C1796)</f>
        <v/>
      </c>
      <c r="Q1796" s="8">
        <f>TEXT(C1796, "yyyy-mm")</f>
        <v/>
      </c>
      <c r="R1796" s="8" t="inlineStr">
        <is>
          <t>B2B Portal</t>
        </is>
      </c>
      <c r="S1796" s="8" t="inlineStr">
        <is>
          <t>REG-NA</t>
        </is>
      </c>
    </row>
    <row r="1797">
      <c r="A1797" s="8" t="inlineStr">
        <is>
          <t>DTL-0001819</t>
        </is>
      </c>
      <c r="B1797" s="8" t="inlineStr">
        <is>
          <t>ORD-000905</t>
        </is>
      </c>
      <c r="C1797" s="10" t="inlineStr">
        <is>
          <t>2023-10-09</t>
        </is>
      </c>
      <c r="D1797" s="8" t="inlineStr">
        <is>
          <t>CUST-03147</t>
        </is>
      </c>
      <c r="E1797" s="8" t="inlineStr">
        <is>
          <t>PRD-0393</t>
        </is>
      </c>
      <c r="F1797" s="8" t="n">
        <v>1</v>
      </c>
      <c r="G1797" s="9">
        <f>IFERROR(XLOOKUP(E1797, '04_Products'!$A:$A, '04_Products'!$G:$G), 577.02)</f>
        <v/>
      </c>
      <c r="H1797" s="9">
        <f>IFERROR(XLOOKUP(E1797, '04_Products'!$A:$A, '04_Products'!$F:$F), 0)</f>
        <v/>
      </c>
      <c r="I1797" s="9">
        <f>F1797*G1797</f>
        <v/>
      </c>
      <c r="J1797" s="11" t="n">
        <v>0.1</v>
      </c>
      <c r="K1797" s="9">
        <f>I1797*J1797</f>
        <v/>
      </c>
      <c r="L1797" s="9">
        <f>I1797-K1797</f>
        <v/>
      </c>
      <c r="M1797" s="9">
        <f>F1797*H1797</f>
        <v/>
      </c>
      <c r="N1797" s="9">
        <f>L1797-M1797</f>
        <v/>
      </c>
      <c r="O1797" s="11">
        <f>IFERROR(N1797/L1797, 0)</f>
        <v/>
      </c>
      <c r="P1797" s="8">
        <f>YEAR(C1797)</f>
        <v/>
      </c>
      <c r="Q1797" s="8">
        <f>TEXT(C1797, "yyyy-mm")</f>
        <v/>
      </c>
      <c r="R1797" s="8" t="inlineStr">
        <is>
          <t>B2B Portal</t>
        </is>
      </c>
      <c r="S1797" s="8" t="inlineStr">
        <is>
          <t>REG-NA</t>
        </is>
      </c>
    </row>
    <row r="1798">
      <c r="A1798" s="8" t="inlineStr">
        <is>
          <t>DTL-0001820</t>
        </is>
      </c>
      <c r="B1798" s="8" t="inlineStr">
        <is>
          <t>ORD-000906</t>
        </is>
      </c>
      <c r="C1798" s="10" t="inlineStr">
        <is>
          <t>2023-03-10</t>
        </is>
      </c>
      <c r="D1798" s="8" t="inlineStr">
        <is>
          <t>CUST-05607</t>
        </is>
      </c>
      <c r="E1798" s="8" t="inlineStr">
        <is>
          <t>PRD-0155</t>
        </is>
      </c>
      <c r="F1798" s="8" t="n">
        <v>1</v>
      </c>
      <c r="G1798" s="9">
        <f>IFERROR(XLOOKUP(E1798, '04_Products'!$A:$A, '04_Products'!$G:$G), 472.85)</f>
        <v/>
      </c>
      <c r="H1798" s="9">
        <f>IFERROR(XLOOKUP(E1798, '04_Products'!$A:$A, '04_Products'!$F:$F), 0)</f>
        <v/>
      </c>
      <c r="I1798" s="9">
        <f>F1798*G1798</f>
        <v/>
      </c>
      <c r="J1798" s="11" t="n">
        <v>0.15</v>
      </c>
      <c r="K1798" s="9">
        <f>I1798*J1798</f>
        <v/>
      </c>
      <c r="L1798" s="9">
        <f>I1798-K1798</f>
        <v/>
      </c>
      <c r="M1798" s="9">
        <f>F1798*H1798</f>
        <v/>
      </c>
      <c r="N1798" s="9">
        <f>L1798-M1798</f>
        <v/>
      </c>
      <c r="O1798" s="11">
        <f>IFERROR(N1798/L1798, 0)</f>
        <v/>
      </c>
      <c r="P1798" s="8">
        <f>YEAR(C1798)</f>
        <v/>
      </c>
      <c r="Q1798" s="8">
        <f>TEXT(C1798, "yyyy-mm")</f>
        <v/>
      </c>
      <c r="R1798" s="8" t="inlineStr">
        <is>
          <t>B2B Portal</t>
        </is>
      </c>
      <c r="S1798" s="8" t="inlineStr">
        <is>
          <t>REG-EU</t>
        </is>
      </c>
    </row>
    <row r="1799">
      <c r="A1799" s="8" t="inlineStr">
        <is>
          <t>DTL-0001821</t>
        </is>
      </c>
      <c r="B1799" s="8" t="inlineStr">
        <is>
          <t>ORD-000907</t>
        </is>
      </c>
      <c r="C1799" s="10" t="inlineStr">
        <is>
          <t>2023-04-05</t>
        </is>
      </c>
      <c r="D1799" s="8" t="inlineStr">
        <is>
          <t>CUST-03274</t>
        </is>
      </c>
      <c r="E1799" s="8" t="inlineStr">
        <is>
          <t>PRD-0433</t>
        </is>
      </c>
      <c r="F1799" s="8" t="n">
        <v>1</v>
      </c>
      <c r="G1799" s="9">
        <f>IFERROR(XLOOKUP(E1799, '04_Products'!$A:$A, '04_Products'!$G:$G), 545.86)</f>
        <v/>
      </c>
      <c r="H1799" s="9">
        <f>IFERROR(XLOOKUP(E1799, '04_Products'!$A:$A, '04_Products'!$F:$F), 0)</f>
        <v/>
      </c>
      <c r="I1799" s="9">
        <f>F1799*G1799</f>
        <v/>
      </c>
      <c r="J1799" s="11" t="n">
        <v>0</v>
      </c>
      <c r="K1799" s="9">
        <f>I1799*J1799</f>
        <v/>
      </c>
      <c r="L1799" s="9">
        <f>I1799-K1799</f>
        <v/>
      </c>
      <c r="M1799" s="9">
        <f>F1799*H1799</f>
        <v/>
      </c>
      <c r="N1799" s="9">
        <f>L1799-M1799</f>
        <v/>
      </c>
      <c r="O1799" s="11">
        <f>IFERROR(N1799/L1799, 0)</f>
        <v/>
      </c>
      <c r="P1799" s="8">
        <f>YEAR(C1799)</f>
        <v/>
      </c>
      <c r="Q1799" s="8">
        <f>TEXT(C1799, "yyyy-mm")</f>
        <v/>
      </c>
      <c r="R1799" s="8" t="inlineStr">
        <is>
          <t>Mobile App</t>
        </is>
      </c>
      <c r="S1799" s="8" t="inlineStr">
        <is>
          <t>REG-NA</t>
        </is>
      </c>
    </row>
    <row r="1800">
      <c r="A1800" s="8" t="inlineStr">
        <is>
          <t>DTL-0001822</t>
        </is>
      </c>
      <c r="B1800" s="8" t="inlineStr">
        <is>
          <t>ORD-000907</t>
        </is>
      </c>
      <c r="C1800" s="10" t="inlineStr">
        <is>
          <t>2023-04-05</t>
        </is>
      </c>
      <c r="D1800" s="8" t="inlineStr">
        <is>
          <t>CUST-03274</t>
        </is>
      </c>
      <c r="E1800" s="8" t="inlineStr">
        <is>
          <t>PRD-0082</t>
        </is>
      </c>
      <c r="F1800" s="8" t="n">
        <v>3</v>
      </c>
      <c r="G1800" s="9">
        <f>IFERROR(XLOOKUP(E1800, '04_Products'!$A:$A, '04_Products'!$G:$G), 629.04)</f>
        <v/>
      </c>
      <c r="H1800" s="9">
        <f>IFERROR(XLOOKUP(E1800, '04_Products'!$A:$A, '04_Products'!$F:$F), 0)</f>
        <v/>
      </c>
      <c r="I1800" s="9">
        <f>F1800*G1800</f>
        <v/>
      </c>
      <c r="J1800" s="11" t="n">
        <v>0.05</v>
      </c>
      <c r="K1800" s="9">
        <f>I1800*J1800</f>
        <v/>
      </c>
      <c r="L1800" s="9">
        <f>I1800-K1800</f>
        <v/>
      </c>
      <c r="M1800" s="9">
        <f>F1800*H1800</f>
        <v/>
      </c>
      <c r="N1800" s="9">
        <f>L1800-M1800</f>
        <v/>
      </c>
      <c r="O1800" s="11">
        <f>IFERROR(N1800/L1800, 0)</f>
        <v/>
      </c>
      <c r="P1800" s="8">
        <f>YEAR(C1800)</f>
        <v/>
      </c>
      <c r="Q1800" s="8">
        <f>TEXT(C1800, "yyyy-mm")</f>
        <v/>
      </c>
      <c r="R1800" s="8" t="inlineStr">
        <is>
          <t>Mobile App</t>
        </is>
      </c>
      <c r="S1800" s="8" t="inlineStr">
        <is>
          <t>REG-NA</t>
        </is>
      </c>
    </row>
    <row r="1801">
      <c r="A1801" s="8" t="inlineStr">
        <is>
          <t>DTL-0001823</t>
        </is>
      </c>
      <c r="B1801" s="8" t="inlineStr">
        <is>
          <t>ORD-000908</t>
        </is>
      </c>
      <c r="C1801" s="10" t="inlineStr">
        <is>
          <t>2025-03-22</t>
        </is>
      </c>
      <c r="D1801" s="8" t="inlineStr">
        <is>
          <t>CUST-06503</t>
        </is>
      </c>
      <c r="E1801" s="8" t="inlineStr">
        <is>
          <t>PRD-0116</t>
        </is>
      </c>
      <c r="F1801" s="8" t="n">
        <v>1</v>
      </c>
      <c r="G1801" s="9">
        <f>IFERROR(XLOOKUP(E1801, '04_Products'!$A:$A, '04_Products'!$G:$G), 177.13)</f>
        <v/>
      </c>
      <c r="H1801" s="9">
        <f>IFERROR(XLOOKUP(E1801, '04_Products'!$A:$A, '04_Products'!$F:$F), 0)</f>
        <v/>
      </c>
      <c r="I1801" s="9">
        <f>F1801*G1801</f>
        <v/>
      </c>
      <c r="J1801" s="11" t="n">
        <v>0.1</v>
      </c>
      <c r="K1801" s="9">
        <f>I1801*J1801</f>
        <v/>
      </c>
      <c r="L1801" s="9">
        <f>I1801-K1801</f>
        <v/>
      </c>
      <c r="M1801" s="9">
        <f>F1801*H1801</f>
        <v/>
      </c>
      <c r="N1801" s="9">
        <f>L1801-M1801</f>
        <v/>
      </c>
      <c r="O1801" s="11">
        <f>IFERROR(N1801/L1801, 0)</f>
        <v/>
      </c>
      <c r="P1801" s="8">
        <f>YEAR(C1801)</f>
        <v/>
      </c>
      <c r="Q1801" s="8">
        <f>TEXT(C1801, "yyyy-mm")</f>
        <v/>
      </c>
      <c r="R1801" s="8" t="inlineStr">
        <is>
          <t>Mobile App</t>
        </is>
      </c>
      <c r="S1801" s="8" t="inlineStr">
        <is>
          <t>REG-NA</t>
        </is>
      </c>
    </row>
    <row r="1802">
      <c r="A1802" s="8" t="inlineStr">
        <is>
          <t>DTL-0001824</t>
        </is>
      </c>
      <c r="B1802" s="8" t="inlineStr">
        <is>
          <t>ORD-000908</t>
        </is>
      </c>
      <c r="C1802" s="10" t="inlineStr">
        <is>
          <t>2025-03-22</t>
        </is>
      </c>
      <c r="D1802" s="8" t="inlineStr">
        <is>
          <t>CUST-06503</t>
        </is>
      </c>
      <c r="E1802" s="8" t="inlineStr">
        <is>
          <t>PRD-0083</t>
        </is>
      </c>
      <c r="F1802" s="8" t="n">
        <v>3</v>
      </c>
      <c r="G1802" s="9">
        <f>IFERROR(XLOOKUP(E1802, '04_Products'!$A:$A, '04_Products'!$G:$G), 73.41)</f>
        <v/>
      </c>
      <c r="H1802" s="9">
        <f>IFERROR(XLOOKUP(E1802, '04_Products'!$A:$A, '04_Products'!$F:$F), 0)</f>
        <v/>
      </c>
      <c r="I1802" s="9">
        <f>F1802*G1802</f>
        <v/>
      </c>
      <c r="J1802" s="11" t="n">
        <v>0</v>
      </c>
      <c r="K1802" s="9">
        <f>I1802*J1802</f>
        <v/>
      </c>
      <c r="L1802" s="9">
        <f>I1802-K1802</f>
        <v/>
      </c>
      <c r="M1802" s="9">
        <f>F1802*H1802</f>
        <v/>
      </c>
      <c r="N1802" s="9">
        <f>L1802-M1802</f>
        <v/>
      </c>
      <c r="O1802" s="11">
        <f>IFERROR(N1802/L1802, 0)</f>
        <v/>
      </c>
      <c r="P1802" s="8">
        <f>YEAR(C1802)</f>
        <v/>
      </c>
      <c r="Q1802" s="8">
        <f>TEXT(C1802, "yyyy-mm")</f>
        <v/>
      </c>
      <c r="R1802" s="8" t="inlineStr">
        <is>
          <t>Mobile App</t>
        </is>
      </c>
      <c r="S1802" s="8" t="inlineStr">
        <is>
          <t>REG-NA</t>
        </is>
      </c>
    </row>
    <row r="1803">
      <c r="A1803" s="8" t="inlineStr">
        <is>
          <t>DTL-0001825</t>
        </is>
      </c>
      <c r="B1803" s="8" t="inlineStr">
        <is>
          <t>ORD-000909</t>
        </is>
      </c>
      <c r="C1803" s="10" t="inlineStr">
        <is>
          <t>2024-11-09</t>
        </is>
      </c>
      <c r="D1803" s="8" t="inlineStr">
        <is>
          <t>CUST-01854</t>
        </is>
      </c>
      <c r="E1803" s="8" t="inlineStr">
        <is>
          <t>PRD-0496</t>
        </is>
      </c>
      <c r="F1803" s="8" t="n">
        <v>1</v>
      </c>
      <c r="G1803" s="9">
        <f>IFERROR(XLOOKUP(E1803, '04_Products'!$A:$A, '04_Products'!$G:$G), 555.47)</f>
        <v/>
      </c>
      <c r="H1803" s="9">
        <f>IFERROR(XLOOKUP(E1803, '04_Products'!$A:$A, '04_Products'!$F:$F), 0)</f>
        <v/>
      </c>
      <c r="I1803" s="9">
        <f>F1803*G1803</f>
        <v/>
      </c>
      <c r="J1803" s="11" t="n">
        <v>0.05</v>
      </c>
      <c r="K1803" s="9">
        <f>I1803*J1803</f>
        <v/>
      </c>
      <c r="L1803" s="9">
        <f>I1803-K1803</f>
        <v/>
      </c>
      <c r="M1803" s="9">
        <f>F1803*H1803</f>
        <v/>
      </c>
      <c r="N1803" s="9">
        <f>L1803-M1803</f>
        <v/>
      </c>
      <c r="O1803" s="11">
        <f>IFERROR(N1803/L1803, 0)</f>
        <v/>
      </c>
      <c r="P1803" s="8">
        <f>YEAR(C1803)</f>
        <v/>
      </c>
      <c r="Q1803" s="8">
        <f>TEXT(C1803, "yyyy-mm")</f>
        <v/>
      </c>
      <c r="R1803" s="8" t="inlineStr">
        <is>
          <t>Mobile App</t>
        </is>
      </c>
      <c r="S1803" s="8" t="inlineStr">
        <is>
          <t>REG-NA</t>
        </is>
      </c>
    </row>
    <row r="1804">
      <c r="A1804" s="8" t="inlineStr">
        <is>
          <t>DTL-0001826</t>
        </is>
      </c>
      <c r="B1804" s="8" t="inlineStr">
        <is>
          <t>ORD-000909</t>
        </is>
      </c>
      <c r="C1804" s="10" t="inlineStr">
        <is>
          <t>2024-11-09</t>
        </is>
      </c>
      <c r="D1804" s="8" t="inlineStr">
        <is>
          <t>CUST-01854</t>
        </is>
      </c>
      <c r="E1804" s="8" t="inlineStr">
        <is>
          <t>PRD-0379</t>
        </is>
      </c>
      <c r="F1804" s="8" t="n">
        <v>1</v>
      </c>
      <c r="G1804" s="9">
        <f>IFERROR(XLOOKUP(E1804, '04_Products'!$A:$A, '04_Products'!$G:$G), 626.40)</f>
        <v/>
      </c>
      <c r="H1804" s="9">
        <f>IFERROR(XLOOKUP(E1804, '04_Products'!$A:$A, '04_Products'!$F:$F), 0)</f>
        <v/>
      </c>
      <c r="I1804" s="9">
        <f>F1804*G1804</f>
        <v/>
      </c>
      <c r="J1804" s="11" t="n">
        <v>0.3</v>
      </c>
      <c r="K1804" s="9">
        <f>I1804*J1804</f>
        <v/>
      </c>
      <c r="L1804" s="9">
        <f>I1804-K1804</f>
        <v/>
      </c>
      <c r="M1804" s="9">
        <f>F1804*H1804</f>
        <v/>
      </c>
      <c r="N1804" s="9">
        <f>L1804-M1804</f>
        <v/>
      </c>
      <c r="O1804" s="11">
        <f>IFERROR(N1804/L1804, 0)</f>
        <v/>
      </c>
      <c r="P1804" s="8">
        <f>YEAR(C1804)</f>
        <v/>
      </c>
      <c r="Q1804" s="8">
        <f>TEXT(C1804, "yyyy-mm")</f>
        <v/>
      </c>
      <c r="R1804" s="8" t="inlineStr">
        <is>
          <t>Mobile App</t>
        </is>
      </c>
      <c r="S1804" s="8" t="inlineStr">
        <is>
          <t>REG-NA</t>
        </is>
      </c>
    </row>
    <row r="1805">
      <c r="A1805" s="8" t="inlineStr">
        <is>
          <t>DTL-0001827</t>
        </is>
      </c>
      <c r="B1805" s="8" t="inlineStr">
        <is>
          <t>ORD-000910</t>
        </is>
      </c>
      <c r="C1805" s="10" t="inlineStr">
        <is>
          <t>2024-02-08</t>
        </is>
      </c>
      <c r="D1805" s="8" t="inlineStr">
        <is>
          <t>CUST-04423</t>
        </is>
      </c>
      <c r="E1805" s="8" t="inlineStr">
        <is>
          <t>PRD-0196</t>
        </is>
      </c>
      <c r="F1805" s="8" t="n">
        <v>4</v>
      </c>
      <c r="G1805" s="9">
        <f>IFERROR(XLOOKUP(E1805, '04_Products'!$A:$A, '04_Products'!$G:$G), 112.72)</f>
        <v/>
      </c>
      <c r="H1805" s="9">
        <f>IFERROR(XLOOKUP(E1805, '04_Products'!$A:$A, '04_Products'!$F:$F), 0)</f>
        <v/>
      </c>
      <c r="I1805" s="9">
        <f>F1805*G1805</f>
        <v/>
      </c>
      <c r="J1805" s="11" t="n">
        <v>0.15</v>
      </c>
      <c r="K1805" s="9">
        <f>I1805*J1805</f>
        <v/>
      </c>
      <c r="L1805" s="9">
        <f>I1805-K1805</f>
        <v/>
      </c>
      <c r="M1805" s="9">
        <f>F1805*H1805</f>
        <v/>
      </c>
      <c r="N1805" s="9">
        <f>L1805-M1805</f>
        <v/>
      </c>
      <c r="O1805" s="11">
        <f>IFERROR(N1805/L1805, 0)</f>
        <v/>
      </c>
      <c r="P1805" s="8">
        <f>YEAR(C1805)</f>
        <v/>
      </c>
      <c r="Q1805" s="8">
        <f>TEXT(C1805, "yyyy-mm")</f>
        <v/>
      </c>
      <c r="R1805" s="8" t="inlineStr">
        <is>
          <t>Direct Web</t>
        </is>
      </c>
      <c r="S1805" s="8" t="inlineStr">
        <is>
          <t>REG-APAC</t>
        </is>
      </c>
    </row>
    <row r="1806">
      <c r="A1806" s="8" t="inlineStr">
        <is>
          <t>DTL-0001828</t>
        </is>
      </c>
      <c r="B1806" s="8" t="inlineStr">
        <is>
          <t>ORD-000911</t>
        </is>
      </c>
      <c r="C1806" s="10" t="inlineStr">
        <is>
          <t>2024-05-29</t>
        </is>
      </c>
      <c r="D1806" s="8" t="inlineStr">
        <is>
          <t>CUST-04370</t>
        </is>
      </c>
      <c r="E1806" s="8" t="inlineStr">
        <is>
          <t>PRD-0415</t>
        </is>
      </c>
      <c r="F1806" s="8" t="n">
        <v>1</v>
      </c>
      <c r="G1806" s="9">
        <f>IFERROR(XLOOKUP(E1806, '04_Products'!$A:$A, '04_Products'!$G:$G), 934.21)</f>
        <v/>
      </c>
      <c r="H1806" s="9">
        <f>IFERROR(XLOOKUP(E1806, '04_Products'!$A:$A, '04_Products'!$F:$F), 0)</f>
        <v/>
      </c>
      <c r="I1806" s="9">
        <f>F1806*G1806</f>
        <v/>
      </c>
      <c r="J1806" s="11" t="n">
        <v>0</v>
      </c>
      <c r="K1806" s="9">
        <f>I1806*J1806</f>
        <v/>
      </c>
      <c r="L1806" s="9">
        <f>I1806-K1806</f>
        <v/>
      </c>
      <c r="M1806" s="9">
        <f>F1806*H1806</f>
        <v/>
      </c>
      <c r="N1806" s="9">
        <f>L1806-M1806</f>
        <v/>
      </c>
      <c r="O1806" s="11">
        <f>IFERROR(N1806/L1806, 0)</f>
        <v/>
      </c>
      <c r="P1806" s="8">
        <f>YEAR(C1806)</f>
        <v/>
      </c>
      <c r="Q1806" s="8">
        <f>TEXT(C1806, "yyyy-mm")</f>
        <v/>
      </c>
      <c r="R1806" s="8" t="inlineStr">
        <is>
          <t>Direct Web</t>
        </is>
      </c>
      <c r="S1806" s="8" t="inlineStr">
        <is>
          <t>REG-NA</t>
        </is>
      </c>
    </row>
    <row r="1807">
      <c r="A1807" s="8" t="inlineStr">
        <is>
          <t>DTL-0001829</t>
        </is>
      </c>
      <c r="B1807" s="8" t="inlineStr">
        <is>
          <t>ORD-000912</t>
        </is>
      </c>
      <c r="C1807" s="10" t="inlineStr">
        <is>
          <t>2025-01-23</t>
        </is>
      </c>
      <c r="D1807" s="8" t="inlineStr">
        <is>
          <t>CUST-06120</t>
        </is>
      </c>
      <c r="E1807" s="8" t="inlineStr">
        <is>
          <t>PRD-0160</t>
        </is>
      </c>
      <c r="F1807" s="8" t="n">
        <v>2</v>
      </c>
      <c r="G1807" s="9">
        <f>IFERROR(XLOOKUP(E1807, '04_Products'!$A:$A, '04_Products'!$G:$G), 1076.82)</f>
        <v/>
      </c>
      <c r="H1807" s="9">
        <f>IFERROR(XLOOKUP(E1807, '04_Products'!$A:$A, '04_Products'!$F:$F), 0)</f>
        <v/>
      </c>
      <c r="I1807" s="9">
        <f>F1807*G1807</f>
        <v/>
      </c>
      <c r="J1807" s="11" t="n">
        <v>0.2</v>
      </c>
      <c r="K1807" s="9">
        <f>I1807*J1807</f>
        <v/>
      </c>
      <c r="L1807" s="9">
        <f>I1807-K1807</f>
        <v/>
      </c>
      <c r="M1807" s="9">
        <f>F1807*H1807</f>
        <v/>
      </c>
      <c r="N1807" s="9">
        <f>L1807-M1807</f>
        <v/>
      </c>
      <c r="O1807" s="11">
        <f>IFERROR(N1807/L1807, 0)</f>
        <v/>
      </c>
      <c r="P1807" s="8">
        <f>YEAR(C1807)</f>
        <v/>
      </c>
      <c r="Q1807" s="8">
        <f>TEXT(C1807, "yyyy-mm")</f>
        <v/>
      </c>
      <c r="R1807" s="8" t="inlineStr">
        <is>
          <t>Direct Web</t>
        </is>
      </c>
      <c r="S1807" s="8" t="inlineStr">
        <is>
          <t>REG-NA</t>
        </is>
      </c>
    </row>
    <row r="1808">
      <c r="A1808" s="8" t="inlineStr">
        <is>
          <t>DTL-0001830</t>
        </is>
      </c>
      <c r="B1808" s="8" t="inlineStr">
        <is>
          <t>ORD-000913</t>
        </is>
      </c>
      <c r="C1808" s="10" t="inlineStr">
        <is>
          <t>2023-03-03</t>
        </is>
      </c>
      <c r="D1808" s="8" t="inlineStr">
        <is>
          <t>CUST-00564</t>
        </is>
      </c>
      <c r="E1808" s="8" t="inlineStr">
        <is>
          <t>PRD-0182</t>
        </is>
      </c>
      <c r="F1808" s="8" t="n">
        <v>1</v>
      </c>
      <c r="G1808" s="9">
        <f>IFERROR(XLOOKUP(E1808, '04_Products'!$A:$A, '04_Products'!$G:$G), 1423.65)</f>
        <v/>
      </c>
      <c r="H1808" s="9">
        <f>IFERROR(XLOOKUP(E1808, '04_Products'!$A:$A, '04_Products'!$F:$F), 0)</f>
        <v/>
      </c>
      <c r="I1808" s="9">
        <f>F1808*G1808</f>
        <v/>
      </c>
      <c r="J1808" s="11" t="n">
        <v>0</v>
      </c>
      <c r="K1808" s="9">
        <f>I1808*J1808</f>
        <v/>
      </c>
      <c r="L1808" s="9">
        <f>I1808-K1808</f>
        <v/>
      </c>
      <c r="M1808" s="9">
        <f>F1808*H1808</f>
        <v/>
      </c>
      <c r="N1808" s="9">
        <f>L1808-M1808</f>
        <v/>
      </c>
      <c r="O1808" s="11">
        <f>IFERROR(N1808/L1808, 0)</f>
        <v/>
      </c>
      <c r="P1808" s="8">
        <f>YEAR(C1808)</f>
        <v/>
      </c>
      <c r="Q1808" s="8">
        <f>TEXT(C1808, "yyyy-mm")</f>
        <v/>
      </c>
      <c r="R1808" s="8" t="inlineStr">
        <is>
          <t>Direct Web</t>
        </is>
      </c>
      <c r="S1808" s="8" t="inlineStr">
        <is>
          <t>REG-EU</t>
        </is>
      </c>
    </row>
    <row r="1809">
      <c r="A1809" s="8" t="inlineStr">
        <is>
          <t>DTL-0001831</t>
        </is>
      </c>
      <c r="B1809" s="8" t="inlineStr">
        <is>
          <t>ORD-000914</t>
        </is>
      </c>
      <c r="C1809" s="10" t="inlineStr">
        <is>
          <t>2024-07-13</t>
        </is>
      </c>
      <c r="D1809" s="8" t="inlineStr">
        <is>
          <t>CUST-03046</t>
        </is>
      </c>
      <c r="E1809" s="8" t="inlineStr">
        <is>
          <t>PRD-0489</t>
        </is>
      </c>
      <c r="F1809" s="8" t="n">
        <v>3</v>
      </c>
      <c r="G1809" s="9">
        <f>IFERROR(XLOOKUP(E1809, '04_Products'!$A:$A, '04_Products'!$G:$G), 61.45)</f>
        <v/>
      </c>
      <c r="H1809" s="9">
        <f>IFERROR(XLOOKUP(E1809, '04_Products'!$A:$A, '04_Products'!$F:$F), 0)</f>
        <v/>
      </c>
      <c r="I1809" s="9">
        <f>F1809*G1809</f>
        <v/>
      </c>
      <c r="J1809" s="11" t="n">
        <v>0</v>
      </c>
      <c r="K1809" s="9">
        <f>I1809*J1809</f>
        <v/>
      </c>
      <c r="L1809" s="9">
        <f>I1809-K1809</f>
        <v/>
      </c>
      <c r="M1809" s="9">
        <f>F1809*H1809</f>
        <v/>
      </c>
      <c r="N1809" s="9">
        <f>L1809-M1809</f>
        <v/>
      </c>
      <c r="O1809" s="11">
        <f>IFERROR(N1809/L1809, 0)</f>
        <v/>
      </c>
      <c r="P1809" s="8">
        <f>YEAR(C1809)</f>
        <v/>
      </c>
      <c r="Q1809" s="8">
        <f>TEXT(C1809, "yyyy-mm")</f>
        <v/>
      </c>
      <c r="R1809" s="8" t="inlineStr">
        <is>
          <t>Mobile App</t>
        </is>
      </c>
      <c r="S1809" s="8" t="inlineStr">
        <is>
          <t>REG-EU</t>
        </is>
      </c>
    </row>
    <row r="1810">
      <c r="A1810" s="8" t="inlineStr">
        <is>
          <t>DTL-0001832</t>
        </is>
      </c>
      <c r="B1810" s="8" t="inlineStr">
        <is>
          <t>ORD-000914</t>
        </is>
      </c>
      <c r="C1810" s="10" t="inlineStr">
        <is>
          <t>2024-07-13</t>
        </is>
      </c>
      <c r="D1810" s="8" t="inlineStr">
        <is>
          <t>CUST-03046</t>
        </is>
      </c>
      <c r="E1810" s="8" t="inlineStr">
        <is>
          <t>PRD-0492</t>
        </is>
      </c>
      <c r="F1810" s="8" t="n">
        <v>3</v>
      </c>
      <c r="G1810" s="9">
        <f>IFERROR(XLOOKUP(E1810, '04_Products'!$A:$A, '04_Products'!$G:$G), 16.71)</f>
        <v/>
      </c>
      <c r="H1810" s="9">
        <f>IFERROR(XLOOKUP(E1810, '04_Products'!$A:$A, '04_Products'!$F:$F), 0)</f>
        <v/>
      </c>
      <c r="I1810" s="9">
        <f>F1810*G1810</f>
        <v/>
      </c>
      <c r="J1810" s="11" t="n">
        <v>0.05</v>
      </c>
      <c r="K1810" s="9">
        <f>I1810*J1810</f>
        <v/>
      </c>
      <c r="L1810" s="9">
        <f>I1810-K1810</f>
        <v/>
      </c>
      <c r="M1810" s="9">
        <f>F1810*H1810</f>
        <v/>
      </c>
      <c r="N1810" s="9">
        <f>L1810-M1810</f>
        <v/>
      </c>
      <c r="O1810" s="11">
        <f>IFERROR(N1810/L1810, 0)</f>
        <v/>
      </c>
      <c r="P1810" s="8">
        <f>YEAR(C1810)</f>
        <v/>
      </c>
      <c r="Q1810" s="8">
        <f>TEXT(C1810, "yyyy-mm")</f>
        <v/>
      </c>
      <c r="R1810" s="8" t="inlineStr">
        <is>
          <t>Mobile App</t>
        </is>
      </c>
      <c r="S1810" s="8" t="inlineStr">
        <is>
          <t>REG-EU</t>
        </is>
      </c>
    </row>
    <row r="1811">
      <c r="A1811" s="8" t="inlineStr">
        <is>
          <t>DTL-0001833</t>
        </is>
      </c>
      <c r="B1811" s="8" t="inlineStr">
        <is>
          <t>ORD-000914</t>
        </is>
      </c>
      <c r="C1811" s="10" t="inlineStr">
        <is>
          <t>2024-07-13</t>
        </is>
      </c>
      <c r="D1811" s="8" t="inlineStr">
        <is>
          <t>CUST-03046</t>
        </is>
      </c>
      <c r="E1811" s="8" t="inlineStr">
        <is>
          <t>PRD-0257</t>
        </is>
      </c>
      <c r="F1811" s="8" t="n">
        <v>1</v>
      </c>
      <c r="G1811" s="9">
        <f>IFERROR(XLOOKUP(E1811, '04_Products'!$A:$A, '04_Products'!$G:$G), 31.28)</f>
        <v/>
      </c>
      <c r="H1811" s="9">
        <f>IFERROR(XLOOKUP(E1811, '04_Products'!$A:$A, '04_Products'!$F:$F), 0)</f>
        <v/>
      </c>
      <c r="I1811" s="9">
        <f>F1811*G1811</f>
        <v/>
      </c>
      <c r="J1811" s="11" t="n">
        <v>0.1</v>
      </c>
      <c r="K1811" s="9">
        <f>I1811*J1811</f>
        <v/>
      </c>
      <c r="L1811" s="9">
        <f>I1811-K1811</f>
        <v/>
      </c>
      <c r="M1811" s="9">
        <f>F1811*H1811</f>
        <v/>
      </c>
      <c r="N1811" s="9">
        <f>L1811-M1811</f>
        <v/>
      </c>
      <c r="O1811" s="11">
        <f>IFERROR(N1811/L1811, 0)</f>
        <v/>
      </c>
      <c r="P1811" s="8">
        <f>YEAR(C1811)</f>
        <v/>
      </c>
      <c r="Q1811" s="8">
        <f>TEXT(C1811, "yyyy-mm")</f>
        <v/>
      </c>
      <c r="R1811" s="8" t="inlineStr">
        <is>
          <t>Mobile App</t>
        </is>
      </c>
      <c r="S1811" s="8" t="inlineStr">
        <is>
          <t>REG-EU</t>
        </is>
      </c>
    </row>
    <row r="1812">
      <c r="A1812" s="8" t="inlineStr">
        <is>
          <t>DTL-0001834</t>
        </is>
      </c>
      <c r="B1812" s="8" t="inlineStr">
        <is>
          <t>ORD-000915</t>
        </is>
      </c>
      <c r="C1812" s="10" t="inlineStr">
        <is>
          <t>2025-06-20</t>
        </is>
      </c>
      <c r="D1812" s="8" t="inlineStr">
        <is>
          <t>CUST-02882</t>
        </is>
      </c>
      <c r="E1812" s="8" t="inlineStr">
        <is>
          <t>PRD-0497</t>
        </is>
      </c>
      <c r="F1812" s="8" t="n">
        <v>1</v>
      </c>
      <c r="G1812" s="9">
        <f>IFERROR(XLOOKUP(E1812, '04_Products'!$A:$A, '04_Products'!$G:$G), 620.15)</f>
        <v/>
      </c>
      <c r="H1812" s="9">
        <f>IFERROR(XLOOKUP(E1812, '04_Products'!$A:$A, '04_Products'!$F:$F), 0)</f>
        <v/>
      </c>
      <c r="I1812" s="9">
        <f>F1812*G1812</f>
        <v/>
      </c>
      <c r="J1812" s="11" t="n">
        <v>0.2</v>
      </c>
      <c r="K1812" s="9">
        <f>I1812*J1812</f>
        <v/>
      </c>
      <c r="L1812" s="9">
        <f>I1812-K1812</f>
        <v/>
      </c>
      <c r="M1812" s="9">
        <f>F1812*H1812</f>
        <v/>
      </c>
      <c r="N1812" s="9">
        <f>L1812-M1812</f>
        <v/>
      </c>
      <c r="O1812" s="11">
        <f>IFERROR(N1812/L1812, 0)</f>
        <v/>
      </c>
      <c r="P1812" s="8">
        <f>YEAR(C1812)</f>
        <v/>
      </c>
      <c r="Q1812" s="8">
        <f>TEXT(C1812, "yyyy-mm")</f>
        <v/>
      </c>
      <c r="R1812" s="8" t="inlineStr">
        <is>
          <t>Direct Web</t>
        </is>
      </c>
      <c r="S1812" s="8" t="inlineStr">
        <is>
          <t>REG-EU</t>
        </is>
      </c>
    </row>
    <row r="1813">
      <c r="A1813" s="8" t="inlineStr">
        <is>
          <t>DTL-0001835</t>
        </is>
      </c>
      <c r="B1813" s="8" t="inlineStr">
        <is>
          <t>ORD-000916</t>
        </is>
      </c>
      <c r="C1813" s="10" t="inlineStr">
        <is>
          <t>2024-11-01</t>
        </is>
      </c>
      <c r="D1813" s="8" t="inlineStr">
        <is>
          <t>CUST-06787</t>
        </is>
      </c>
      <c r="E1813" s="8" t="inlineStr">
        <is>
          <t>PRD-0380</t>
        </is>
      </c>
      <c r="F1813" s="8" t="n">
        <v>2</v>
      </c>
      <c r="G1813" s="9">
        <f>IFERROR(XLOOKUP(E1813, '04_Products'!$A:$A, '04_Products'!$G:$G), 141.11)</f>
        <v/>
      </c>
      <c r="H1813" s="9">
        <f>IFERROR(XLOOKUP(E1813, '04_Products'!$A:$A, '04_Products'!$F:$F), 0)</f>
        <v/>
      </c>
      <c r="I1813" s="9">
        <f>F1813*G1813</f>
        <v/>
      </c>
      <c r="J1813" s="11" t="n">
        <v>0</v>
      </c>
      <c r="K1813" s="9">
        <f>I1813*J1813</f>
        <v/>
      </c>
      <c r="L1813" s="9">
        <f>I1813-K1813</f>
        <v/>
      </c>
      <c r="M1813" s="9">
        <f>F1813*H1813</f>
        <v/>
      </c>
      <c r="N1813" s="9">
        <f>L1813-M1813</f>
        <v/>
      </c>
      <c r="O1813" s="11">
        <f>IFERROR(N1813/L1813, 0)</f>
        <v/>
      </c>
      <c r="P1813" s="8">
        <f>YEAR(C1813)</f>
        <v/>
      </c>
      <c r="Q1813" s="8">
        <f>TEXT(C1813, "yyyy-mm")</f>
        <v/>
      </c>
      <c r="R1813" s="8" t="inlineStr">
        <is>
          <t>Direct Web</t>
        </is>
      </c>
      <c r="S1813" s="8" t="inlineStr">
        <is>
          <t>REG-EU</t>
        </is>
      </c>
    </row>
    <row r="1814">
      <c r="A1814" s="8" t="inlineStr">
        <is>
          <t>DTL-0001836</t>
        </is>
      </c>
      <c r="B1814" s="8" t="inlineStr">
        <is>
          <t>ORD-000917</t>
        </is>
      </c>
      <c r="C1814" s="10" t="inlineStr">
        <is>
          <t>2025-05-22</t>
        </is>
      </c>
      <c r="D1814" s="8" t="inlineStr">
        <is>
          <t>CUST-02060</t>
        </is>
      </c>
      <c r="E1814" s="8" t="inlineStr">
        <is>
          <t>PRD-0500</t>
        </is>
      </c>
      <c r="F1814" s="8" t="n">
        <v>1</v>
      </c>
      <c r="G1814" s="9">
        <f>IFERROR(XLOOKUP(E1814, '04_Products'!$A:$A, '04_Products'!$G:$G), 27.13)</f>
        <v/>
      </c>
      <c r="H1814" s="9">
        <f>IFERROR(XLOOKUP(E1814, '04_Products'!$A:$A, '04_Products'!$F:$F), 0)</f>
        <v/>
      </c>
      <c r="I1814" s="9">
        <f>F1814*G1814</f>
        <v/>
      </c>
      <c r="J1814" s="11" t="n">
        <v>0.1</v>
      </c>
      <c r="K1814" s="9">
        <f>I1814*J1814</f>
        <v/>
      </c>
      <c r="L1814" s="9">
        <f>I1814-K1814</f>
        <v/>
      </c>
      <c r="M1814" s="9">
        <f>F1814*H1814</f>
        <v/>
      </c>
      <c r="N1814" s="9">
        <f>L1814-M1814</f>
        <v/>
      </c>
      <c r="O1814" s="11">
        <f>IFERROR(N1814/L1814, 0)</f>
        <v/>
      </c>
      <c r="P1814" s="8">
        <f>YEAR(C1814)</f>
        <v/>
      </c>
      <c r="Q1814" s="8">
        <f>TEXT(C1814, "yyyy-mm")</f>
        <v/>
      </c>
      <c r="R1814" s="8" t="inlineStr">
        <is>
          <t>Mobile App</t>
        </is>
      </c>
      <c r="S1814" s="8" t="inlineStr">
        <is>
          <t>REG-NA</t>
        </is>
      </c>
    </row>
    <row r="1815">
      <c r="A1815" s="8" t="inlineStr">
        <is>
          <t>DTL-0001840</t>
        </is>
      </c>
      <c r="B1815" s="8" t="inlineStr">
        <is>
          <t>ORD-000919</t>
        </is>
      </c>
      <c r="C1815" s="10" t="inlineStr">
        <is>
          <t>2025-11-30</t>
        </is>
      </c>
      <c r="D1815" s="8" t="inlineStr">
        <is>
          <t>CUST-02119</t>
        </is>
      </c>
      <c r="E1815" s="8" t="inlineStr">
        <is>
          <t>PRD-0245</t>
        </is>
      </c>
      <c r="F1815" s="8" t="n">
        <v>3</v>
      </c>
      <c r="G1815" s="9">
        <f>IFERROR(XLOOKUP(E1815, '04_Products'!$A:$A, '04_Products'!$G:$G), 202.50)</f>
        <v/>
      </c>
      <c r="H1815" s="9">
        <f>IFERROR(XLOOKUP(E1815, '04_Products'!$A:$A, '04_Products'!$F:$F), 0)</f>
        <v/>
      </c>
      <c r="I1815" s="9">
        <f>F1815*G1815</f>
        <v/>
      </c>
      <c r="J1815" s="11" t="n">
        <v>0</v>
      </c>
      <c r="K1815" s="9">
        <f>I1815*J1815</f>
        <v/>
      </c>
      <c r="L1815" s="9">
        <f>I1815-K1815</f>
        <v/>
      </c>
      <c r="M1815" s="9">
        <f>F1815*H1815</f>
        <v/>
      </c>
      <c r="N1815" s="9">
        <f>L1815-M1815</f>
        <v/>
      </c>
      <c r="O1815" s="11">
        <f>IFERROR(N1815/L1815, 0)</f>
        <v/>
      </c>
      <c r="P1815" s="8">
        <f>YEAR(C1815)</f>
        <v/>
      </c>
      <c r="Q1815" s="8">
        <f>TEXT(C1815, "yyyy-mm")</f>
        <v/>
      </c>
      <c r="R1815" s="8" t="inlineStr">
        <is>
          <t>Mobile App</t>
        </is>
      </c>
      <c r="S1815" s="8" t="inlineStr">
        <is>
          <t>REG-EU</t>
        </is>
      </c>
    </row>
    <row r="1816">
      <c r="A1816" s="8" t="inlineStr">
        <is>
          <t>DTL-0001841</t>
        </is>
      </c>
      <c r="B1816" s="8" t="inlineStr">
        <is>
          <t>ORD-000919</t>
        </is>
      </c>
      <c r="C1816" s="10" t="inlineStr">
        <is>
          <t>2025-11-30</t>
        </is>
      </c>
      <c r="D1816" s="8" t="inlineStr">
        <is>
          <t>CUST-02119</t>
        </is>
      </c>
      <c r="E1816" s="8" t="inlineStr">
        <is>
          <t>PRD-0471</t>
        </is>
      </c>
      <c r="F1816" s="8" t="n">
        <v>2</v>
      </c>
      <c r="G1816" s="9">
        <f>IFERROR(XLOOKUP(E1816, '04_Products'!$A:$A, '04_Products'!$G:$G), 642.74)</f>
        <v/>
      </c>
      <c r="H1816" s="9">
        <f>IFERROR(XLOOKUP(E1816, '04_Products'!$A:$A, '04_Products'!$F:$F), 0)</f>
        <v/>
      </c>
      <c r="I1816" s="9">
        <f>F1816*G1816</f>
        <v/>
      </c>
      <c r="J1816" s="11" t="n">
        <v>0.15</v>
      </c>
      <c r="K1816" s="9">
        <f>I1816*J1816</f>
        <v/>
      </c>
      <c r="L1816" s="9">
        <f>I1816-K1816</f>
        <v/>
      </c>
      <c r="M1816" s="9">
        <f>F1816*H1816</f>
        <v/>
      </c>
      <c r="N1816" s="9">
        <f>L1816-M1816</f>
        <v/>
      </c>
      <c r="O1816" s="11">
        <f>IFERROR(N1816/L1816, 0)</f>
        <v/>
      </c>
      <c r="P1816" s="8">
        <f>YEAR(C1816)</f>
        <v/>
      </c>
      <c r="Q1816" s="8">
        <f>TEXT(C1816, "yyyy-mm")</f>
        <v/>
      </c>
      <c r="R1816" s="8" t="inlineStr">
        <is>
          <t>Mobile App</t>
        </is>
      </c>
      <c r="S1816" s="8" t="inlineStr">
        <is>
          <t>REG-EU</t>
        </is>
      </c>
    </row>
    <row r="1817">
      <c r="A1817" s="8" t="inlineStr">
        <is>
          <t>DTL-0001842</t>
        </is>
      </c>
      <c r="B1817" s="8" t="inlineStr">
        <is>
          <t>ORD-000919</t>
        </is>
      </c>
      <c r="C1817" s="10" t="inlineStr">
        <is>
          <t>2025-11-30</t>
        </is>
      </c>
      <c r="D1817" s="8" t="inlineStr">
        <is>
          <t>CUST-02119</t>
        </is>
      </c>
      <c r="E1817" s="8" t="inlineStr">
        <is>
          <t>PRD-0393</t>
        </is>
      </c>
      <c r="F1817" s="8" t="n">
        <v>1</v>
      </c>
      <c r="G1817" s="9">
        <f>IFERROR(XLOOKUP(E1817, '04_Products'!$A:$A, '04_Products'!$G:$G), 577.02)</f>
        <v/>
      </c>
      <c r="H1817" s="9">
        <f>IFERROR(XLOOKUP(E1817, '04_Products'!$A:$A, '04_Products'!$F:$F), 0)</f>
        <v/>
      </c>
      <c r="I1817" s="9">
        <f>F1817*G1817</f>
        <v/>
      </c>
      <c r="J1817" s="11" t="n">
        <v>0</v>
      </c>
      <c r="K1817" s="9">
        <f>I1817*J1817</f>
        <v/>
      </c>
      <c r="L1817" s="9">
        <f>I1817-K1817</f>
        <v/>
      </c>
      <c r="M1817" s="9">
        <f>F1817*H1817</f>
        <v/>
      </c>
      <c r="N1817" s="9">
        <f>L1817-M1817</f>
        <v/>
      </c>
      <c r="O1817" s="11">
        <f>IFERROR(N1817/L1817, 0)</f>
        <v/>
      </c>
      <c r="P1817" s="8">
        <f>YEAR(C1817)</f>
        <v/>
      </c>
      <c r="Q1817" s="8">
        <f>TEXT(C1817, "yyyy-mm")</f>
        <v/>
      </c>
      <c r="R1817" s="8" t="inlineStr">
        <is>
          <t>Mobile App</t>
        </is>
      </c>
      <c r="S1817" s="8" t="inlineStr">
        <is>
          <t>REG-EU</t>
        </is>
      </c>
    </row>
    <row r="1818">
      <c r="A1818" s="8" t="inlineStr">
        <is>
          <t>DTL-0001843</t>
        </is>
      </c>
      <c r="B1818" s="8" t="inlineStr">
        <is>
          <t>ORD-000920</t>
        </is>
      </c>
      <c r="C1818" s="10" t="inlineStr">
        <is>
          <t>2025-03-13</t>
        </is>
      </c>
      <c r="D1818" s="8" t="inlineStr">
        <is>
          <t>CUST-07124</t>
        </is>
      </c>
      <c r="E1818" s="8" t="inlineStr">
        <is>
          <t>PRD-0455</t>
        </is>
      </c>
      <c r="F1818" s="8" t="n">
        <v>1</v>
      </c>
      <c r="G1818" s="9">
        <f>IFERROR(XLOOKUP(E1818, '04_Products'!$A:$A, '04_Products'!$G:$G), 63.62)</f>
        <v/>
      </c>
      <c r="H1818" s="9">
        <f>IFERROR(XLOOKUP(E1818, '04_Products'!$A:$A, '04_Products'!$F:$F), 0)</f>
        <v/>
      </c>
      <c r="I1818" s="9">
        <f>F1818*G1818</f>
        <v/>
      </c>
      <c r="J1818" s="11" t="n">
        <v>0.25</v>
      </c>
      <c r="K1818" s="9">
        <f>I1818*J1818</f>
        <v/>
      </c>
      <c r="L1818" s="9">
        <f>I1818-K1818</f>
        <v/>
      </c>
      <c r="M1818" s="9">
        <f>F1818*H1818</f>
        <v/>
      </c>
      <c r="N1818" s="9">
        <f>L1818-M1818</f>
        <v/>
      </c>
      <c r="O1818" s="11">
        <f>IFERROR(N1818/L1818, 0)</f>
        <v/>
      </c>
      <c r="P1818" s="8">
        <f>YEAR(C1818)</f>
        <v/>
      </c>
      <c r="Q1818" s="8">
        <f>TEXT(C1818, "yyyy-mm")</f>
        <v/>
      </c>
      <c r="R1818" s="8" t="inlineStr">
        <is>
          <t>Direct Web</t>
        </is>
      </c>
      <c r="S1818" s="8" t="inlineStr">
        <is>
          <t>REG-NA</t>
        </is>
      </c>
    </row>
    <row r="1819">
      <c r="A1819" s="8" t="inlineStr">
        <is>
          <t>DTL-0001844</t>
        </is>
      </c>
      <c r="B1819" s="8" t="inlineStr">
        <is>
          <t>ORD-000921</t>
        </is>
      </c>
      <c r="C1819" s="10" t="inlineStr">
        <is>
          <t>2024-03-11</t>
        </is>
      </c>
      <c r="D1819" s="8" t="inlineStr">
        <is>
          <t>CUST-06462</t>
        </is>
      </c>
      <c r="E1819" s="8" t="inlineStr">
        <is>
          <t>PRD-0400</t>
        </is>
      </c>
      <c r="F1819" s="8" t="n">
        <v>1</v>
      </c>
      <c r="G1819" s="9">
        <f>IFERROR(XLOOKUP(E1819, '04_Products'!$A:$A, '04_Products'!$G:$G), 409.11)</f>
        <v/>
      </c>
      <c r="H1819" s="9">
        <f>IFERROR(XLOOKUP(E1819, '04_Products'!$A:$A, '04_Products'!$F:$F), 0)</f>
        <v/>
      </c>
      <c r="I1819" s="9">
        <f>F1819*G1819</f>
        <v/>
      </c>
      <c r="J1819" s="11" t="n">
        <v>0.1</v>
      </c>
      <c r="K1819" s="9">
        <f>I1819*J1819</f>
        <v/>
      </c>
      <c r="L1819" s="9">
        <f>I1819-K1819</f>
        <v/>
      </c>
      <c r="M1819" s="9">
        <f>F1819*H1819</f>
        <v/>
      </c>
      <c r="N1819" s="9">
        <f>L1819-M1819</f>
        <v/>
      </c>
      <c r="O1819" s="11">
        <f>IFERROR(N1819/L1819, 0)</f>
        <v/>
      </c>
      <c r="P1819" s="8">
        <f>YEAR(C1819)</f>
        <v/>
      </c>
      <c r="Q1819" s="8">
        <f>TEXT(C1819, "yyyy-mm")</f>
        <v/>
      </c>
      <c r="R1819" s="8" t="inlineStr">
        <is>
          <t>Direct Web</t>
        </is>
      </c>
      <c r="S1819" s="8" t="inlineStr">
        <is>
          <t>REG-EU</t>
        </is>
      </c>
    </row>
    <row r="1820">
      <c r="A1820" s="8" t="inlineStr">
        <is>
          <t>DTL-0001845</t>
        </is>
      </c>
      <c r="B1820" s="8" t="inlineStr">
        <is>
          <t>ORD-000922</t>
        </is>
      </c>
      <c r="C1820" s="10" t="inlineStr">
        <is>
          <t>2024-11-14</t>
        </is>
      </c>
      <c r="D1820" s="8" t="inlineStr">
        <is>
          <t>CUST-07042</t>
        </is>
      </c>
      <c r="E1820" s="8" t="inlineStr">
        <is>
          <t>PRD-0251</t>
        </is>
      </c>
      <c r="F1820" s="8" t="n">
        <v>1</v>
      </c>
      <c r="G1820" s="9">
        <f>IFERROR(XLOOKUP(E1820, '04_Products'!$A:$A, '04_Products'!$G:$G), 314.05)</f>
        <v/>
      </c>
      <c r="H1820" s="9">
        <f>IFERROR(XLOOKUP(E1820, '04_Products'!$A:$A, '04_Products'!$F:$F), 0)</f>
        <v/>
      </c>
      <c r="I1820" s="9">
        <f>F1820*G1820</f>
        <v/>
      </c>
      <c r="J1820" s="11" t="n">
        <v>0.3</v>
      </c>
      <c r="K1820" s="9">
        <f>I1820*J1820</f>
        <v/>
      </c>
      <c r="L1820" s="9">
        <f>I1820-K1820</f>
        <v/>
      </c>
      <c r="M1820" s="9">
        <f>F1820*H1820</f>
        <v/>
      </c>
      <c r="N1820" s="9">
        <f>L1820-M1820</f>
        <v/>
      </c>
      <c r="O1820" s="11">
        <f>IFERROR(N1820/L1820, 0)</f>
        <v/>
      </c>
      <c r="P1820" s="8">
        <f>YEAR(C1820)</f>
        <v/>
      </c>
      <c r="Q1820" s="8">
        <f>TEXT(C1820, "yyyy-mm")</f>
        <v/>
      </c>
      <c r="R1820" s="8" t="inlineStr">
        <is>
          <t>Direct Web</t>
        </is>
      </c>
      <c r="S1820" s="8" t="inlineStr">
        <is>
          <t>REG-APAC</t>
        </is>
      </c>
    </row>
    <row r="1821">
      <c r="A1821" s="8" t="inlineStr">
        <is>
          <t>DTL-0001846</t>
        </is>
      </c>
      <c r="B1821" s="8" t="inlineStr">
        <is>
          <t>ORD-000922</t>
        </is>
      </c>
      <c r="C1821" s="10" t="inlineStr">
        <is>
          <t>2024-11-14</t>
        </is>
      </c>
      <c r="D1821" s="8" t="inlineStr">
        <is>
          <t>CUST-07042</t>
        </is>
      </c>
      <c r="E1821" s="8" t="inlineStr">
        <is>
          <t>PRD-0058</t>
        </is>
      </c>
      <c r="F1821" s="8" t="n">
        <v>1</v>
      </c>
      <c r="G1821" s="9">
        <f>IFERROR(XLOOKUP(E1821, '04_Products'!$A:$A, '04_Products'!$G:$G), 809.52)</f>
        <v/>
      </c>
      <c r="H1821" s="9">
        <f>IFERROR(XLOOKUP(E1821, '04_Products'!$A:$A, '04_Products'!$F:$F), 0)</f>
        <v/>
      </c>
      <c r="I1821" s="9">
        <f>F1821*G1821</f>
        <v/>
      </c>
      <c r="J1821" s="11" t="n">
        <v>0.1</v>
      </c>
      <c r="K1821" s="9">
        <f>I1821*J1821</f>
        <v/>
      </c>
      <c r="L1821" s="9">
        <f>I1821-K1821</f>
        <v/>
      </c>
      <c r="M1821" s="9">
        <f>F1821*H1821</f>
        <v/>
      </c>
      <c r="N1821" s="9">
        <f>L1821-M1821</f>
        <v/>
      </c>
      <c r="O1821" s="11">
        <f>IFERROR(N1821/L1821, 0)</f>
        <v/>
      </c>
      <c r="P1821" s="8">
        <f>YEAR(C1821)</f>
        <v/>
      </c>
      <c r="Q1821" s="8">
        <f>TEXT(C1821, "yyyy-mm")</f>
        <v/>
      </c>
      <c r="R1821" s="8" t="inlineStr">
        <is>
          <t>Direct Web</t>
        </is>
      </c>
      <c r="S1821" s="8" t="inlineStr">
        <is>
          <t>REG-APAC</t>
        </is>
      </c>
    </row>
    <row r="1822">
      <c r="A1822" s="8" t="inlineStr">
        <is>
          <t>DTL-0001847</t>
        </is>
      </c>
      <c r="B1822" s="8" t="inlineStr">
        <is>
          <t>ORD-000923</t>
        </is>
      </c>
      <c r="C1822" s="10" t="inlineStr">
        <is>
          <t>2024-08-30</t>
        </is>
      </c>
      <c r="D1822" s="8" t="inlineStr">
        <is>
          <t>CUST-04731</t>
        </is>
      </c>
      <c r="E1822" s="8" t="inlineStr">
        <is>
          <t>PRD-0044</t>
        </is>
      </c>
      <c r="F1822" s="8" t="n">
        <v>1</v>
      </c>
      <c r="G1822" s="9">
        <f>IFERROR(XLOOKUP(E1822, '04_Products'!$A:$A, '04_Products'!$G:$G), 24.94)</f>
        <v/>
      </c>
      <c r="H1822" s="9">
        <f>IFERROR(XLOOKUP(E1822, '04_Products'!$A:$A, '04_Products'!$F:$F), 0)</f>
        <v/>
      </c>
      <c r="I1822" s="9">
        <f>F1822*G1822</f>
        <v/>
      </c>
      <c r="J1822" s="11" t="n">
        <v>0</v>
      </c>
      <c r="K1822" s="9">
        <f>I1822*J1822</f>
        <v/>
      </c>
      <c r="L1822" s="9">
        <f>I1822-K1822</f>
        <v/>
      </c>
      <c r="M1822" s="9">
        <f>F1822*H1822</f>
        <v/>
      </c>
      <c r="N1822" s="9">
        <f>L1822-M1822</f>
        <v/>
      </c>
      <c r="O1822" s="11">
        <f>IFERROR(N1822/L1822, 0)</f>
        <v/>
      </c>
      <c r="P1822" s="8">
        <f>YEAR(C1822)</f>
        <v/>
      </c>
      <c r="Q1822" s="8">
        <f>TEXT(C1822, "yyyy-mm")</f>
        <v/>
      </c>
      <c r="R1822" s="8" t="inlineStr">
        <is>
          <t>Direct Web</t>
        </is>
      </c>
      <c r="S1822" s="8" t="inlineStr">
        <is>
          <t>REG-NA</t>
        </is>
      </c>
    </row>
    <row r="1823">
      <c r="A1823" s="8" t="inlineStr">
        <is>
          <t>DTL-0001848</t>
        </is>
      </c>
      <c r="B1823" s="8" t="inlineStr">
        <is>
          <t>ORD-000924</t>
        </is>
      </c>
      <c r="C1823" s="10" t="inlineStr">
        <is>
          <t>2024-12-05</t>
        </is>
      </c>
      <c r="D1823" s="8" t="inlineStr">
        <is>
          <t>CUST-04074</t>
        </is>
      </c>
      <c r="E1823" s="8" t="inlineStr">
        <is>
          <t>PRD-0305</t>
        </is>
      </c>
      <c r="F1823" s="8" t="n">
        <v>2</v>
      </c>
      <c r="G1823" s="9">
        <f>IFERROR(XLOOKUP(E1823, '04_Products'!$A:$A, '04_Products'!$G:$G), 713.99)</f>
        <v/>
      </c>
      <c r="H1823" s="9">
        <f>IFERROR(XLOOKUP(E1823, '04_Products'!$A:$A, '04_Products'!$F:$F), 0)</f>
        <v/>
      </c>
      <c r="I1823" s="9">
        <f>F1823*G1823</f>
        <v/>
      </c>
      <c r="J1823" s="11" t="n">
        <v>0.2</v>
      </c>
      <c r="K1823" s="9">
        <f>I1823*J1823</f>
        <v/>
      </c>
      <c r="L1823" s="9">
        <f>I1823-K1823</f>
        <v/>
      </c>
      <c r="M1823" s="9">
        <f>F1823*H1823</f>
        <v/>
      </c>
      <c r="N1823" s="9">
        <f>L1823-M1823</f>
        <v/>
      </c>
      <c r="O1823" s="11">
        <f>IFERROR(N1823/L1823, 0)</f>
        <v/>
      </c>
      <c r="P1823" s="8">
        <f>YEAR(C1823)</f>
        <v/>
      </c>
      <c r="Q1823" s="8">
        <f>TEXT(C1823, "yyyy-mm")</f>
        <v/>
      </c>
      <c r="R1823" s="8" t="inlineStr">
        <is>
          <t>B2B Portal</t>
        </is>
      </c>
      <c r="S1823" s="8" t="inlineStr">
        <is>
          <t>REG-EU</t>
        </is>
      </c>
    </row>
    <row r="1824">
      <c r="A1824" s="8" t="inlineStr">
        <is>
          <t>DTL-0001849</t>
        </is>
      </c>
      <c r="B1824" s="8" t="inlineStr">
        <is>
          <t>ORD-000925</t>
        </is>
      </c>
      <c r="C1824" s="10" t="inlineStr">
        <is>
          <t>2024-01-07</t>
        </is>
      </c>
      <c r="D1824" s="8" t="inlineStr">
        <is>
          <t>CUST-06703</t>
        </is>
      </c>
      <c r="E1824" s="8" t="inlineStr">
        <is>
          <t>PRD-0117</t>
        </is>
      </c>
      <c r="F1824" s="8" t="n">
        <v>1</v>
      </c>
      <c r="G1824" s="9">
        <f>IFERROR(XLOOKUP(E1824, '04_Products'!$A:$A, '04_Products'!$G:$G), 655.40)</f>
        <v/>
      </c>
      <c r="H1824" s="9">
        <f>IFERROR(XLOOKUP(E1824, '04_Products'!$A:$A, '04_Products'!$F:$F), 0)</f>
        <v/>
      </c>
      <c r="I1824" s="9">
        <f>F1824*G1824</f>
        <v/>
      </c>
      <c r="J1824" s="11" t="n">
        <v>0</v>
      </c>
      <c r="K1824" s="9">
        <f>I1824*J1824</f>
        <v/>
      </c>
      <c r="L1824" s="9">
        <f>I1824-K1824</f>
        <v/>
      </c>
      <c r="M1824" s="9">
        <f>F1824*H1824</f>
        <v/>
      </c>
      <c r="N1824" s="9">
        <f>L1824-M1824</f>
        <v/>
      </c>
      <c r="O1824" s="11">
        <f>IFERROR(N1824/L1824, 0)</f>
        <v/>
      </c>
      <c r="P1824" s="8">
        <f>YEAR(C1824)</f>
        <v/>
      </c>
      <c r="Q1824" s="8">
        <f>TEXT(C1824, "yyyy-mm")</f>
        <v/>
      </c>
      <c r="R1824" s="8" t="inlineStr">
        <is>
          <t>Direct Web</t>
        </is>
      </c>
      <c r="S1824" s="8" t="inlineStr">
        <is>
          <t>REG-EU</t>
        </is>
      </c>
    </row>
    <row r="1825">
      <c r="A1825" s="8" t="inlineStr">
        <is>
          <t>DTL-0001850</t>
        </is>
      </c>
      <c r="B1825" s="8" t="inlineStr">
        <is>
          <t>ORD-000926</t>
        </is>
      </c>
      <c r="C1825" s="10" t="inlineStr">
        <is>
          <t>2023-02-07</t>
        </is>
      </c>
      <c r="D1825" s="8" t="inlineStr">
        <is>
          <t>CUST-01693</t>
        </is>
      </c>
      <c r="E1825" s="8" t="inlineStr">
        <is>
          <t>PRD-0335</t>
        </is>
      </c>
      <c r="F1825" s="8" t="n">
        <v>2</v>
      </c>
      <c r="G1825" s="9">
        <f>IFERROR(XLOOKUP(E1825, '04_Products'!$A:$A, '04_Products'!$G:$G), 226.07)</f>
        <v/>
      </c>
      <c r="H1825" s="9">
        <f>IFERROR(XLOOKUP(E1825, '04_Products'!$A:$A, '04_Products'!$F:$F), 0)</f>
        <v/>
      </c>
      <c r="I1825" s="9">
        <f>F1825*G1825</f>
        <v/>
      </c>
      <c r="J1825" s="11" t="n">
        <v>0</v>
      </c>
      <c r="K1825" s="9">
        <f>I1825*J1825</f>
        <v/>
      </c>
      <c r="L1825" s="9">
        <f>I1825-K1825</f>
        <v/>
      </c>
      <c r="M1825" s="9">
        <f>F1825*H1825</f>
        <v/>
      </c>
      <c r="N1825" s="9">
        <f>L1825-M1825</f>
        <v/>
      </c>
      <c r="O1825" s="11">
        <f>IFERROR(N1825/L1825, 0)</f>
        <v/>
      </c>
      <c r="P1825" s="8">
        <f>YEAR(C1825)</f>
        <v/>
      </c>
      <c r="Q1825" s="8">
        <f>TEXT(C1825, "yyyy-mm")</f>
        <v/>
      </c>
      <c r="R1825" s="8" t="inlineStr">
        <is>
          <t>Mobile App</t>
        </is>
      </c>
      <c r="S1825" s="8" t="inlineStr">
        <is>
          <t>REG-EU</t>
        </is>
      </c>
    </row>
    <row r="1826">
      <c r="A1826" s="8" t="inlineStr">
        <is>
          <t>DTL-0001851</t>
        </is>
      </c>
      <c r="B1826" s="8" t="inlineStr">
        <is>
          <t>ORD-000926</t>
        </is>
      </c>
      <c r="C1826" s="10" t="inlineStr">
        <is>
          <t>2023-02-07</t>
        </is>
      </c>
      <c r="D1826" s="8" t="inlineStr">
        <is>
          <t>CUST-01693</t>
        </is>
      </c>
      <c r="E1826" s="8" t="inlineStr">
        <is>
          <t>PRD-0182</t>
        </is>
      </c>
      <c r="F1826" s="8" t="n">
        <v>3</v>
      </c>
      <c r="G1826" s="9">
        <f>IFERROR(XLOOKUP(E1826, '04_Products'!$A:$A, '04_Products'!$G:$G), 1423.65)</f>
        <v/>
      </c>
      <c r="H1826" s="9">
        <f>IFERROR(XLOOKUP(E1826, '04_Products'!$A:$A, '04_Products'!$F:$F), 0)</f>
        <v/>
      </c>
      <c r="I1826" s="9">
        <f>F1826*G1826</f>
        <v/>
      </c>
      <c r="J1826" s="11" t="n">
        <v>0</v>
      </c>
      <c r="K1826" s="9">
        <f>I1826*J1826</f>
        <v/>
      </c>
      <c r="L1826" s="9">
        <f>I1826-K1826</f>
        <v/>
      </c>
      <c r="M1826" s="9">
        <f>F1826*H1826</f>
        <v/>
      </c>
      <c r="N1826" s="9">
        <f>L1826-M1826</f>
        <v/>
      </c>
      <c r="O1826" s="11">
        <f>IFERROR(N1826/L1826, 0)</f>
        <v/>
      </c>
      <c r="P1826" s="8">
        <f>YEAR(C1826)</f>
        <v/>
      </c>
      <c r="Q1826" s="8">
        <f>TEXT(C1826, "yyyy-mm")</f>
        <v/>
      </c>
      <c r="R1826" s="8" t="inlineStr">
        <is>
          <t>Mobile App</t>
        </is>
      </c>
      <c r="S1826" s="8" t="inlineStr">
        <is>
          <t>REG-EU</t>
        </is>
      </c>
    </row>
    <row r="1827">
      <c r="A1827" s="8" t="inlineStr">
        <is>
          <t>DTL-0001852</t>
        </is>
      </c>
      <c r="B1827" s="8" t="inlineStr">
        <is>
          <t>ORD-000926</t>
        </is>
      </c>
      <c r="C1827" s="10" t="inlineStr">
        <is>
          <t>2023-02-07</t>
        </is>
      </c>
      <c r="D1827" s="8" t="inlineStr">
        <is>
          <t>CUST-01693</t>
        </is>
      </c>
      <c r="E1827" s="8" t="inlineStr">
        <is>
          <t>PRD-0435</t>
        </is>
      </c>
      <c r="F1827" s="8" t="n">
        <v>1</v>
      </c>
      <c r="G1827" s="9">
        <f>IFERROR(XLOOKUP(E1827, '04_Products'!$A:$A, '04_Products'!$G:$G), 446.59)</f>
        <v/>
      </c>
      <c r="H1827" s="9">
        <f>IFERROR(XLOOKUP(E1827, '04_Products'!$A:$A, '04_Products'!$F:$F), 0)</f>
        <v/>
      </c>
      <c r="I1827" s="9">
        <f>F1827*G1827</f>
        <v/>
      </c>
      <c r="J1827" s="11" t="n">
        <v>0.1</v>
      </c>
      <c r="K1827" s="9">
        <f>I1827*J1827</f>
        <v/>
      </c>
      <c r="L1827" s="9">
        <f>I1827-K1827</f>
        <v/>
      </c>
      <c r="M1827" s="9">
        <f>F1827*H1827</f>
        <v/>
      </c>
      <c r="N1827" s="9">
        <f>L1827-M1827</f>
        <v/>
      </c>
      <c r="O1827" s="11">
        <f>IFERROR(N1827/L1827, 0)</f>
        <v/>
      </c>
      <c r="P1827" s="8">
        <f>YEAR(C1827)</f>
        <v/>
      </c>
      <c r="Q1827" s="8">
        <f>TEXT(C1827, "yyyy-mm")</f>
        <v/>
      </c>
      <c r="R1827" s="8" t="inlineStr">
        <is>
          <t>Mobile App</t>
        </is>
      </c>
      <c r="S1827" s="8" t="inlineStr">
        <is>
          <t>REG-EU</t>
        </is>
      </c>
    </row>
    <row r="1828">
      <c r="A1828" s="8" t="inlineStr">
        <is>
          <t>DTL-0001853</t>
        </is>
      </c>
      <c r="B1828" s="8" t="inlineStr">
        <is>
          <t>ORD-000927</t>
        </is>
      </c>
      <c r="C1828" s="10" t="inlineStr">
        <is>
          <t>2023-10-05</t>
        </is>
      </c>
      <c r="D1828" s="8" t="inlineStr">
        <is>
          <t>CUST-04088</t>
        </is>
      </c>
      <c r="E1828" s="8" t="inlineStr">
        <is>
          <t>PRD-0095</t>
        </is>
      </c>
      <c r="F1828" s="8" t="n">
        <v>1</v>
      </c>
      <c r="G1828" s="9">
        <f>IFERROR(XLOOKUP(E1828, '04_Products'!$A:$A, '04_Products'!$G:$G), 477.87)</f>
        <v/>
      </c>
      <c r="H1828" s="9">
        <f>IFERROR(XLOOKUP(E1828, '04_Products'!$A:$A, '04_Products'!$F:$F), 0)</f>
        <v/>
      </c>
      <c r="I1828" s="9">
        <f>F1828*G1828</f>
        <v/>
      </c>
      <c r="J1828" s="11" t="n">
        <v>0.1</v>
      </c>
      <c r="K1828" s="9">
        <f>I1828*J1828</f>
        <v/>
      </c>
      <c r="L1828" s="9">
        <f>I1828-K1828</f>
        <v/>
      </c>
      <c r="M1828" s="9">
        <f>F1828*H1828</f>
        <v/>
      </c>
      <c r="N1828" s="9">
        <f>L1828-M1828</f>
        <v/>
      </c>
      <c r="O1828" s="11">
        <f>IFERROR(N1828/L1828, 0)</f>
        <v/>
      </c>
      <c r="P1828" s="8">
        <f>YEAR(C1828)</f>
        <v/>
      </c>
      <c r="Q1828" s="8">
        <f>TEXT(C1828, "yyyy-mm")</f>
        <v/>
      </c>
      <c r="R1828" s="8" t="inlineStr">
        <is>
          <t>Mobile App</t>
        </is>
      </c>
      <c r="S1828" s="8" t="inlineStr">
        <is>
          <t>REG-APAC</t>
        </is>
      </c>
    </row>
    <row r="1829">
      <c r="A1829" s="8" t="inlineStr">
        <is>
          <t>DTL-0001854</t>
        </is>
      </c>
      <c r="B1829" s="8" t="inlineStr">
        <is>
          <t>ORD-000928</t>
        </is>
      </c>
      <c r="C1829" s="10" t="inlineStr">
        <is>
          <t>2025-06-27</t>
        </is>
      </c>
      <c r="D1829" s="8" t="inlineStr">
        <is>
          <t>CUST-06939</t>
        </is>
      </c>
      <c r="E1829" s="8" t="inlineStr">
        <is>
          <t>PRD-0318</t>
        </is>
      </c>
      <c r="F1829" s="8" t="n">
        <v>1</v>
      </c>
      <c r="G1829" s="9">
        <f>IFERROR(XLOOKUP(E1829, '04_Products'!$A:$A, '04_Products'!$G:$G), 130.98)</f>
        <v/>
      </c>
      <c r="H1829" s="9">
        <f>IFERROR(XLOOKUP(E1829, '04_Products'!$A:$A, '04_Products'!$F:$F), 0)</f>
        <v/>
      </c>
      <c r="I1829" s="9">
        <f>F1829*G1829</f>
        <v/>
      </c>
      <c r="J1829" s="11" t="n">
        <v>0.3</v>
      </c>
      <c r="K1829" s="9">
        <f>I1829*J1829</f>
        <v/>
      </c>
      <c r="L1829" s="9">
        <f>I1829-K1829</f>
        <v/>
      </c>
      <c r="M1829" s="9">
        <f>F1829*H1829</f>
        <v/>
      </c>
      <c r="N1829" s="9">
        <f>L1829-M1829</f>
        <v/>
      </c>
      <c r="O1829" s="11">
        <f>IFERROR(N1829/L1829, 0)</f>
        <v/>
      </c>
      <c r="P1829" s="8">
        <f>YEAR(C1829)</f>
        <v/>
      </c>
      <c r="Q1829" s="8">
        <f>TEXT(C1829, "yyyy-mm")</f>
        <v/>
      </c>
      <c r="R1829" s="8" t="inlineStr">
        <is>
          <t>Mobile App</t>
        </is>
      </c>
      <c r="S1829" s="8" t="inlineStr">
        <is>
          <t>REG-NA</t>
        </is>
      </c>
    </row>
    <row r="1830">
      <c r="A1830" s="8" t="inlineStr">
        <is>
          <t>DTL-0001855</t>
        </is>
      </c>
      <c r="B1830" s="8" t="inlineStr">
        <is>
          <t>ORD-000928</t>
        </is>
      </c>
      <c r="C1830" s="10" t="inlineStr">
        <is>
          <t>2025-06-27</t>
        </is>
      </c>
      <c r="D1830" s="8" t="inlineStr">
        <is>
          <t>CUST-06939</t>
        </is>
      </c>
      <c r="E1830" s="8" t="inlineStr">
        <is>
          <t>PRD-0451</t>
        </is>
      </c>
      <c r="F1830" s="8" t="n">
        <v>1</v>
      </c>
      <c r="G1830" s="9">
        <f>IFERROR(XLOOKUP(E1830, '04_Products'!$A:$A, '04_Products'!$G:$G), 664.94)</f>
        <v/>
      </c>
      <c r="H1830" s="9">
        <f>IFERROR(XLOOKUP(E1830, '04_Products'!$A:$A, '04_Products'!$F:$F), 0)</f>
        <v/>
      </c>
      <c r="I1830" s="9">
        <f>F1830*G1830</f>
        <v/>
      </c>
      <c r="J1830" s="11" t="n">
        <v>0.05</v>
      </c>
      <c r="K1830" s="9">
        <f>I1830*J1830</f>
        <v/>
      </c>
      <c r="L1830" s="9">
        <f>I1830-K1830</f>
        <v/>
      </c>
      <c r="M1830" s="9">
        <f>F1830*H1830</f>
        <v/>
      </c>
      <c r="N1830" s="9">
        <f>L1830-M1830</f>
        <v/>
      </c>
      <c r="O1830" s="11">
        <f>IFERROR(N1830/L1830, 0)</f>
        <v/>
      </c>
      <c r="P1830" s="8">
        <f>YEAR(C1830)</f>
        <v/>
      </c>
      <c r="Q1830" s="8">
        <f>TEXT(C1830, "yyyy-mm")</f>
        <v/>
      </c>
      <c r="R1830" s="8" t="inlineStr">
        <is>
          <t>Mobile App</t>
        </is>
      </c>
      <c r="S1830" s="8" t="inlineStr">
        <is>
          <t>REG-NA</t>
        </is>
      </c>
    </row>
    <row r="1831">
      <c r="A1831" s="8" t="inlineStr">
        <is>
          <t>DTL-0001856</t>
        </is>
      </c>
      <c r="B1831" s="8" t="inlineStr">
        <is>
          <t>ORD-000929</t>
        </is>
      </c>
      <c r="C1831" s="10" t="inlineStr">
        <is>
          <t>2023-03-11</t>
        </is>
      </c>
      <c r="D1831" s="8" t="inlineStr">
        <is>
          <t>CUST-01488</t>
        </is>
      </c>
      <c r="E1831" s="8" t="inlineStr">
        <is>
          <t>PRD-0193</t>
        </is>
      </c>
      <c r="F1831" s="8" t="n">
        <v>1</v>
      </c>
      <c r="G1831" s="9">
        <f>IFERROR(XLOOKUP(E1831, '04_Products'!$A:$A, '04_Products'!$G:$G), 791.50)</f>
        <v/>
      </c>
      <c r="H1831" s="9">
        <f>IFERROR(XLOOKUP(E1831, '04_Products'!$A:$A, '04_Products'!$F:$F), 0)</f>
        <v/>
      </c>
      <c r="I1831" s="9">
        <f>F1831*G1831</f>
        <v/>
      </c>
      <c r="J1831" s="11" t="n">
        <v>0.1</v>
      </c>
      <c r="K1831" s="9">
        <f>I1831*J1831</f>
        <v/>
      </c>
      <c r="L1831" s="9">
        <f>I1831-K1831</f>
        <v/>
      </c>
      <c r="M1831" s="9">
        <f>F1831*H1831</f>
        <v/>
      </c>
      <c r="N1831" s="9">
        <f>L1831-M1831</f>
        <v/>
      </c>
      <c r="O1831" s="11">
        <f>IFERROR(N1831/L1831, 0)</f>
        <v/>
      </c>
      <c r="P1831" s="8">
        <f>YEAR(C1831)</f>
        <v/>
      </c>
      <c r="Q1831" s="8">
        <f>TEXT(C1831, "yyyy-mm")</f>
        <v/>
      </c>
      <c r="R1831" s="8" t="inlineStr">
        <is>
          <t>Mobile App</t>
        </is>
      </c>
      <c r="S1831" s="8" t="inlineStr">
        <is>
          <t>REG-LATAM</t>
        </is>
      </c>
    </row>
    <row r="1832">
      <c r="A1832" s="8" t="inlineStr">
        <is>
          <t>DTL-0001857</t>
        </is>
      </c>
      <c r="B1832" s="8" t="inlineStr">
        <is>
          <t>ORD-000929</t>
        </is>
      </c>
      <c r="C1832" s="10" t="inlineStr">
        <is>
          <t>2023-03-11</t>
        </is>
      </c>
      <c r="D1832" s="8" t="inlineStr">
        <is>
          <t>CUST-01488</t>
        </is>
      </c>
      <c r="E1832" s="8" t="inlineStr">
        <is>
          <t>PRD-0444</t>
        </is>
      </c>
      <c r="F1832" s="8" t="n">
        <v>1</v>
      </c>
      <c r="G1832" s="9">
        <f>IFERROR(XLOOKUP(E1832, '04_Products'!$A:$A, '04_Products'!$G:$G), 11.24)</f>
        <v/>
      </c>
      <c r="H1832" s="9">
        <f>IFERROR(XLOOKUP(E1832, '04_Products'!$A:$A, '04_Products'!$F:$F), 0)</f>
        <v/>
      </c>
      <c r="I1832" s="9">
        <f>F1832*G1832</f>
        <v/>
      </c>
      <c r="J1832" s="11" t="n">
        <v>0.1</v>
      </c>
      <c r="K1832" s="9">
        <f>I1832*J1832</f>
        <v/>
      </c>
      <c r="L1832" s="9">
        <f>I1832-K1832</f>
        <v/>
      </c>
      <c r="M1832" s="9">
        <f>F1832*H1832</f>
        <v/>
      </c>
      <c r="N1832" s="9">
        <f>L1832-M1832</f>
        <v/>
      </c>
      <c r="O1832" s="11">
        <f>IFERROR(N1832/L1832, 0)</f>
        <v/>
      </c>
      <c r="P1832" s="8">
        <f>YEAR(C1832)</f>
        <v/>
      </c>
      <c r="Q1832" s="8">
        <f>TEXT(C1832, "yyyy-mm")</f>
        <v/>
      </c>
      <c r="R1832" s="8" t="inlineStr">
        <is>
          <t>Mobile App</t>
        </is>
      </c>
      <c r="S1832" s="8" t="inlineStr">
        <is>
          <t>REG-LATAM</t>
        </is>
      </c>
    </row>
    <row r="1833">
      <c r="A1833" s="8" t="inlineStr">
        <is>
          <t>DTL-0001858</t>
        </is>
      </c>
      <c r="B1833" s="8" t="inlineStr">
        <is>
          <t>ORD-000930</t>
        </is>
      </c>
      <c r="C1833" s="10" t="inlineStr">
        <is>
          <t>2024-02-24</t>
        </is>
      </c>
      <c r="D1833" s="8" t="inlineStr">
        <is>
          <t>CUST-06229</t>
        </is>
      </c>
      <c r="E1833" s="8" t="inlineStr">
        <is>
          <t>PRD-0449</t>
        </is>
      </c>
      <c r="F1833" s="8" t="n">
        <v>1</v>
      </c>
      <c r="G1833" s="9">
        <f>IFERROR(XLOOKUP(E1833, '04_Products'!$A:$A, '04_Products'!$G:$G), 856.09)</f>
        <v/>
      </c>
      <c r="H1833" s="9">
        <f>IFERROR(XLOOKUP(E1833, '04_Products'!$A:$A, '04_Products'!$F:$F), 0)</f>
        <v/>
      </c>
      <c r="I1833" s="9">
        <f>F1833*G1833</f>
        <v/>
      </c>
      <c r="J1833" s="11" t="n">
        <v>0.15</v>
      </c>
      <c r="K1833" s="9">
        <f>I1833*J1833</f>
        <v/>
      </c>
      <c r="L1833" s="9">
        <f>I1833-K1833</f>
        <v/>
      </c>
      <c r="M1833" s="9">
        <f>F1833*H1833</f>
        <v/>
      </c>
      <c r="N1833" s="9">
        <f>L1833-M1833</f>
        <v/>
      </c>
      <c r="O1833" s="11">
        <f>IFERROR(N1833/L1833, 0)</f>
        <v/>
      </c>
      <c r="P1833" s="8">
        <f>YEAR(C1833)</f>
        <v/>
      </c>
      <c r="Q1833" s="8">
        <f>TEXT(C1833, "yyyy-mm")</f>
        <v/>
      </c>
      <c r="R1833" s="8" t="inlineStr">
        <is>
          <t>Mobile App</t>
        </is>
      </c>
      <c r="S1833" s="8" t="inlineStr">
        <is>
          <t>REG-EU</t>
        </is>
      </c>
    </row>
    <row r="1834">
      <c r="A1834" s="8" t="inlineStr">
        <is>
          <t>DTL-0001859</t>
        </is>
      </c>
      <c r="B1834" s="8" t="inlineStr">
        <is>
          <t>ORD-000931</t>
        </is>
      </c>
      <c r="C1834" s="10" t="inlineStr">
        <is>
          <t>2023-05-14</t>
        </is>
      </c>
      <c r="D1834" s="8" t="inlineStr">
        <is>
          <t>CUST-02649</t>
        </is>
      </c>
      <c r="E1834" s="8" t="inlineStr">
        <is>
          <t>PRD-0289</t>
        </is>
      </c>
      <c r="F1834" s="8" t="n">
        <v>5</v>
      </c>
      <c r="G1834" s="9">
        <f>IFERROR(XLOOKUP(E1834, '04_Products'!$A:$A, '04_Products'!$G:$G), 579.40)</f>
        <v/>
      </c>
      <c r="H1834" s="9">
        <f>IFERROR(XLOOKUP(E1834, '04_Products'!$A:$A, '04_Products'!$F:$F), 0)</f>
        <v/>
      </c>
      <c r="I1834" s="9">
        <f>F1834*G1834</f>
        <v/>
      </c>
      <c r="J1834" s="11" t="n">
        <v>0.3</v>
      </c>
      <c r="K1834" s="9">
        <f>I1834*J1834</f>
        <v/>
      </c>
      <c r="L1834" s="9">
        <f>I1834-K1834</f>
        <v/>
      </c>
      <c r="M1834" s="9">
        <f>F1834*H1834</f>
        <v/>
      </c>
      <c r="N1834" s="9">
        <f>L1834-M1834</f>
        <v/>
      </c>
      <c r="O1834" s="11">
        <f>IFERROR(N1834/L1834, 0)</f>
        <v/>
      </c>
      <c r="P1834" s="8">
        <f>YEAR(C1834)</f>
        <v/>
      </c>
      <c r="Q1834" s="8">
        <f>TEXT(C1834, "yyyy-mm")</f>
        <v/>
      </c>
      <c r="R1834" s="8" t="inlineStr">
        <is>
          <t>Direct Web</t>
        </is>
      </c>
      <c r="S1834" s="8" t="inlineStr">
        <is>
          <t>REG-NA</t>
        </is>
      </c>
    </row>
    <row r="1835">
      <c r="A1835" s="8" t="inlineStr">
        <is>
          <t>DTL-0001860</t>
        </is>
      </c>
      <c r="B1835" s="8" t="inlineStr">
        <is>
          <t>ORD-000932</t>
        </is>
      </c>
      <c r="C1835" s="10" t="inlineStr">
        <is>
          <t>2023-09-01</t>
        </is>
      </c>
      <c r="D1835" s="8" t="inlineStr">
        <is>
          <t>CUST-00546</t>
        </is>
      </c>
      <c r="E1835" s="8" t="inlineStr">
        <is>
          <t>PRD-0108</t>
        </is>
      </c>
      <c r="F1835" s="8" t="n">
        <v>1</v>
      </c>
      <c r="G1835" s="9">
        <f>IFERROR(XLOOKUP(E1835, '04_Products'!$A:$A, '04_Products'!$G:$G), 217.90)</f>
        <v/>
      </c>
      <c r="H1835" s="9">
        <f>IFERROR(XLOOKUP(E1835, '04_Products'!$A:$A, '04_Products'!$F:$F), 0)</f>
        <v/>
      </c>
      <c r="I1835" s="9">
        <f>F1835*G1835</f>
        <v/>
      </c>
      <c r="J1835" s="11" t="n">
        <v>0.1</v>
      </c>
      <c r="K1835" s="9">
        <f>I1835*J1835</f>
        <v/>
      </c>
      <c r="L1835" s="9">
        <f>I1835-K1835</f>
        <v/>
      </c>
      <c r="M1835" s="9">
        <f>F1835*H1835</f>
        <v/>
      </c>
      <c r="N1835" s="9">
        <f>L1835-M1835</f>
        <v/>
      </c>
      <c r="O1835" s="11">
        <f>IFERROR(N1835/L1835, 0)</f>
        <v/>
      </c>
      <c r="P1835" s="8">
        <f>YEAR(C1835)</f>
        <v/>
      </c>
      <c r="Q1835" s="8">
        <f>TEXT(C1835, "yyyy-mm")</f>
        <v/>
      </c>
      <c r="R1835" s="8" t="inlineStr">
        <is>
          <t>Mobile App</t>
        </is>
      </c>
      <c r="S1835" s="8" t="inlineStr">
        <is>
          <t>REG-LATAM</t>
        </is>
      </c>
    </row>
    <row r="1836">
      <c r="A1836" s="8" t="inlineStr">
        <is>
          <t>DTL-0001861</t>
        </is>
      </c>
      <c r="B1836" s="8" t="inlineStr">
        <is>
          <t>ORD-000933</t>
        </is>
      </c>
      <c r="C1836" s="10" t="inlineStr">
        <is>
          <t>2023-09-02</t>
        </is>
      </c>
      <c r="D1836" s="8" t="inlineStr">
        <is>
          <t>CUST-06017</t>
        </is>
      </c>
      <c r="E1836" s="8" t="inlineStr">
        <is>
          <t>PRD-0154</t>
        </is>
      </c>
      <c r="F1836" s="8" t="n">
        <v>2</v>
      </c>
      <c r="G1836" s="9">
        <f>IFERROR(XLOOKUP(E1836, '04_Products'!$A:$A, '04_Products'!$G:$G), 168.94)</f>
        <v/>
      </c>
      <c r="H1836" s="9">
        <f>IFERROR(XLOOKUP(E1836, '04_Products'!$A:$A, '04_Products'!$F:$F), 0)</f>
        <v/>
      </c>
      <c r="I1836" s="9">
        <f>F1836*G1836</f>
        <v/>
      </c>
      <c r="J1836" s="11" t="n">
        <v>0.15</v>
      </c>
      <c r="K1836" s="9">
        <f>I1836*J1836</f>
        <v/>
      </c>
      <c r="L1836" s="9">
        <f>I1836-K1836</f>
        <v/>
      </c>
      <c r="M1836" s="9">
        <f>F1836*H1836</f>
        <v/>
      </c>
      <c r="N1836" s="9">
        <f>L1836-M1836</f>
        <v/>
      </c>
      <c r="O1836" s="11">
        <f>IFERROR(N1836/L1836, 0)</f>
        <v/>
      </c>
      <c r="P1836" s="8">
        <f>YEAR(C1836)</f>
        <v/>
      </c>
      <c r="Q1836" s="8">
        <f>TEXT(C1836, "yyyy-mm")</f>
        <v/>
      </c>
      <c r="R1836" s="8" t="inlineStr">
        <is>
          <t>Direct Web</t>
        </is>
      </c>
      <c r="S1836" s="8" t="inlineStr">
        <is>
          <t>REG-NA</t>
        </is>
      </c>
    </row>
    <row r="1837">
      <c r="A1837" s="8" t="inlineStr">
        <is>
          <t>DTL-0001862</t>
        </is>
      </c>
      <c r="B1837" s="8" t="inlineStr">
        <is>
          <t>ORD-000933</t>
        </is>
      </c>
      <c r="C1837" s="10" t="inlineStr">
        <is>
          <t>2023-09-02</t>
        </is>
      </c>
      <c r="D1837" s="8" t="inlineStr">
        <is>
          <t>CUST-06017</t>
        </is>
      </c>
      <c r="E1837" s="8" t="inlineStr">
        <is>
          <t>PRD-0036</t>
        </is>
      </c>
      <c r="F1837" s="8" t="n">
        <v>10</v>
      </c>
      <c r="G1837" s="9">
        <f>IFERROR(XLOOKUP(E1837, '04_Products'!$A:$A, '04_Products'!$G:$G), 574.88)</f>
        <v/>
      </c>
      <c r="H1837" s="9">
        <f>IFERROR(XLOOKUP(E1837, '04_Products'!$A:$A, '04_Products'!$F:$F), 0)</f>
        <v/>
      </c>
      <c r="I1837" s="9">
        <f>F1837*G1837</f>
        <v/>
      </c>
      <c r="J1837" s="11" t="n">
        <v>0</v>
      </c>
      <c r="K1837" s="9">
        <f>I1837*J1837</f>
        <v/>
      </c>
      <c r="L1837" s="9">
        <f>I1837-K1837</f>
        <v/>
      </c>
      <c r="M1837" s="9">
        <f>F1837*H1837</f>
        <v/>
      </c>
      <c r="N1837" s="9">
        <f>L1837-M1837</f>
        <v/>
      </c>
      <c r="O1837" s="11">
        <f>IFERROR(N1837/L1837, 0)</f>
        <v/>
      </c>
      <c r="P1837" s="8">
        <f>YEAR(C1837)</f>
        <v/>
      </c>
      <c r="Q1837" s="8">
        <f>TEXT(C1837, "yyyy-mm")</f>
        <v/>
      </c>
      <c r="R1837" s="8" t="inlineStr">
        <is>
          <t>Direct Web</t>
        </is>
      </c>
      <c r="S1837" s="8" t="inlineStr">
        <is>
          <t>REG-NA</t>
        </is>
      </c>
    </row>
    <row r="1838">
      <c r="A1838" s="8" t="inlineStr">
        <is>
          <t>DTL-0001863</t>
        </is>
      </c>
      <c r="B1838" s="8" t="inlineStr">
        <is>
          <t>ORD-000934</t>
        </is>
      </c>
      <c r="C1838" s="10" t="inlineStr">
        <is>
          <t>2024-12-16</t>
        </is>
      </c>
      <c r="D1838" s="8" t="inlineStr">
        <is>
          <t>CUST-06165</t>
        </is>
      </c>
      <c r="E1838" s="8" t="inlineStr">
        <is>
          <t>PRD-0030</t>
        </is>
      </c>
      <c r="F1838" s="8" t="n">
        <v>2</v>
      </c>
      <c r="G1838" s="9">
        <f>IFERROR(XLOOKUP(E1838, '04_Products'!$A:$A, '04_Products'!$G:$G), 298.29)</f>
        <v/>
      </c>
      <c r="H1838" s="9">
        <f>IFERROR(XLOOKUP(E1838, '04_Products'!$A:$A, '04_Products'!$F:$F), 0)</f>
        <v/>
      </c>
      <c r="I1838" s="9">
        <f>F1838*G1838</f>
        <v/>
      </c>
      <c r="J1838" s="11" t="n">
        <v>0</v>
      </c>
      <c r="K1838" s="9">
        <f>I1838*J1838</f>
        <v/>
      </c>
      <c r="L1838" s="9">
        <f>I1838-K1838</f>
        <v/>
      </c>
      <c r="M1838" s="9">
        <f>F1838*H1838</f>
        <v/>
      </c>
      <c r="N1838" s="9">
        <f>L1838-M1838</f>
        <v/>
      </c>
      <c r="O1838" s="11">
        <f>IFERROR(N1838/L1838, 0)</f>
        <v/>
      </c>
      <c r="P1838" s="8">
        <f>YEAR(C1838)</f>
        <v/>
      </c>
      <c r="Q1838" s="8">
        <f>TEXT(C1838, "yyyy-mm")</f>
        <v/>
      </c>
      <c r="R1838" s="8" t="inlineStr">
        <is>
          <t>Direct Web</t>
        </is>
      </c>
      <c r="S1838" s="8" t="inlineStr">
        <is>
          <t>REG-EU</t>
        </is>
      </c>
    </row>
    <row r="1839">
      <c r="A1839" s="8" t="inlineStr">
        <is>
          <t>DTL-0001864</t>
        </is>
      </c>
      <c r="B1839" s="8" t="inlineStr">
        <is>
          <t>ORD-000935</t>
        </is>
      </c>
      <c r="C1839" s="10" t="inlineStr">
        <is>
          <t>2023-09-27</t>
        </is>
      </c>
      <c r="D1839" s="8" t="inlineStr">
        <is>
          <t>CUST-04399</t>
        </is>
      </c>
      <c r="E1839" s="8" t="inlineStr">
        <is>
          <t>PRD-0063</t>
        </is>
      </c>
      <c r="F1839" s="8" t="n">
        <v>2</v>
      </c>
      <c r="G1839" s="9">
        <f>IFERROR(XLOOKUP(E1839, '04_Products'!$A:$A, '04_Products'!$G:$G), 62.68)</f>
        <v/>
      </c>
      <c r="H1839" s="9">
        <f>IFERROR(XLOOKUP(E1839, '04_Products'!$A:$A, '04_Products'!$F:$F), 0)</f>
        <v/>
      </c>
      <c r="I1839" s="9">
        <f>F1839*G1839</f>
        <v/>
      </c>
      <c r="J1839" s="11" t="n">
        <v>0.05</v>
      </c>
      <c r="K1839" s="9">
        <f>I1839*J1839</f>
        <v/>
      </c>
      <c r="L1839" s="9">
        <f>I1839-K1839</f>
        <v/>
      </c>
      <c r="M1839" s="9">
        <f>F1839*H1839</f>
        <v/>
      </c>
      <c r="N1839" s="9">
        <f>L1839-M1839</f>
        <v/>
      </c>
      <c r="O1839" s="11">
        <f>IFERROR(N1839/L1839, 0)</f>
        <v/>
      </c>
      <c r="P1839" s="8">
        <f>YEAR(C1839)</f>
        <v/>
      </c>
      <c r="Q1839" s="8">
        <f>TEXT(C1839, "yyyy-mm")</f>
        <v/>
      </c>
      <c r="R1839" s="8" t="inlineStr">
        <is>
          <t>Direct Web</t>
        </is>
      </c>
      <c r="S1839" s="8" t="inlineStr">
        <is>
          <t>REG-EU</t>
        </is>
      </c>
    </row>
    <row r="1840">
      <c r="A1840" s="8" t="inlineStr">
        <is>
          <t>DTL-0001865</t>
        </is>
      </c>
      <c r="B1840" s="8" t="inlineStr">
        <is>
          <t>ORD-000935</t>
        </is>
      </c>
      <c r="C1840" s="10" t="inlineStr">
        <is>
          <t>2023-09-27</t>
        </is>
      </c>
      <c r="D1840" s="8" t="inlineStr">
        <is>
          <t>CUST-04399</t>
        </is>
      </c>
      <c r="E1840" s="8" t="inlineStr">
        <is>
          <t>PRD-0069</t>
        </is>
      </c>
      <c r="F1840" s="8" t="n">
        <v>3</v>
      </c>
      <c r="G1840" s="9">
        <f>IFERROR(XLOOKUP(E1840, '04_Products'!$A:$A, '04_Products'!$G:$G), 58.36)</f>
        <v/>
      </c>
      <c r="H1840" s="9">
        <f>IFERROR(XLOOKUP(E1840, '04_Products'!$A:$A, '04_Products'!$F:$F), 0)</f>
        <v/>
      </c>
      <c r="I1840" s="9">
        <f>F1840*G1840</f>
        <v/>
      </c>
      <c r="J1840" s="11" t="n">
        <v>0</v>
      </c>
      <c r="K1840" s="9">
        <f>I1840*J1840</f>
        <v/>
      </c>
      <c r="L1840" s="9">
        <f>I1840-K1840</f>
        <v/>
      </c>
      <c r="M1840" s="9">
        <f>F1840*H1840</f>
        <v/>
      </c>
      <c r="N1840" s="9">
        <f>L1840-M1840</f>
        <v/>
      </c>
      <c r="O1840" s="11">
        <f>IFERROR(N1840/L1840, 0)</f>
        <v/>
      </c>
      <c r="P1840" s="8">
        <f>YEAR(C1840)</f>
        <v/>
      </c>
      <c r="Q1840" s="8">
        <f>TEXT(C1840, "yyyy-mm")</f>
        <v/>
      </c>
      <c r="R1840" s="8" t="inlineStr">
        <is>
          <t>Direct Web</t>
        </is>
      </c>
      <c r="S1840" s="8" t="inlineStr">
        <is>
          <t>REG-EU</t>
        </is>
      </c>
    </row>
    <row r="1841">
      <c r="A1841" s="8" t="inlineStr">
        <is>
          <t>DTL-0001866</t>
        </is>
      </c>
      <c r="B1841" s="8" t="inlineStr">
        <is>
          <t>ORD-000935</t>
        </is>
      </c>
      <c r="C1841" s="10" t="inlineStr">
        <is>
          <t>2023-09-27</t>
        </is>
      </c>
      <c r="D1841" s="8" t="inlineStr">
        <is>
          <t>CUST-04399</t>
        </is>
      </c>
      <c r="E1841" s="8" t="inlineStr">
        <is>
          <t>PRD-0365</t>
        </is>
      </c>
      <c r="F1841" s="8" t="n">
        <v>2</v>
      </c>
      <c r="G1841" s="9">
        <f>IFERROR(XLOOKUP(E1841, '04_Products'!$A:$A, '04_Products'!$G:$G), 81.70)</f>
        <v/>
      </c>
      <c r="H1841" s="9">
        <f>IFERROR(XLOOKUP(E1841, '04_Products'!$A:$A, '04_Products'!$F:$F), 0)</f>
        <v/>
      </c>
      <c r="I1841" s="9">
        <f>F1841*G1841</f>
        <v/>
      </c>
      <c r="J1841" s="11" t="n">
        <v>0</v>
      </c>
      <c r="K1841" s="9">
        <f>I1841*J1841</f>
        <v/>
      </c>
      <c r="L1841" s="9">
        <f>I1841-K1841</f>
        <v/>
      </c>
      <c r="M1841" s="9">
        <f>F1841*H1841</f>
        <v/>
      </c>
      <c r="N1841" s="9">
        <f>L1841-M1841</f>
        <v/>
      </c>
      <c r="O1841" s="11">
        <f>IFERROR(N1841/L1841, 0)</f>
        <v/>
      </c>
      <c r="P1841" s="8">
        <f>YEAR(C1841)</f>
        <v/>
      </c>
      <c r="Q1841" s="8">
        <f>TEXT(C1841, "yyyy-mm")</f>
        <v/>
      </c>
      <c r="R1841" s="8" t="inlineStr">
        <is>
          <t>Direct Web</t>
        </is>
      </c>
      <c r="S1841" s="8" t="inlineStr">
        <is>
          <t>REG-EU</t>
        </is>
      </c>
    </row>
    <row r="1842">
      <c r="A1842" s="8" t="inlineStr">
        <is>
          <t>DTL-0001867</t>
        </is>
      </c>
      <c r="B1842" s="8" t="inlineStr">
        <is>
          <t>ORD-000936</t>
        </is>
      </c>
      <c r="C1842" s="10" t="inlineStr">
        <is>
          <t>2023-12-03</t>
        </is>
      </c>
      <c r="D1842" s="8" t="inlineStr">
        <is>
          <t>CUST-01919</t>
        </is>
      </c>
      <c r="E1842" s="8" t="inlineStr">
        <is>
          <t>PRD-0400</t>
        </is>
      </c>
      <c r="F1842" s="8" t="n">
        <v>2</v>
      </c>
      <c r="G1842" s="9">
        <f>IFERROR(XLOOKUP(E1842, '04_Products'!$A:$A, '04_Products'!$G:$G), 409.11)</f>
        <v/>
      </c>
      <c r="H1842" s="9">
        <f>IFERROR(XLOOKUP(E1842, '04_Products'!$A:$A, '04_Products'!$F:$F), 0)</f>
        <v/>
      </c>
      <c r="I1842" s="9">
        <f>F1842*G1842</f>
        <v/>
      </c>
      <c r="J1842" s="11" t="n">
        <v>0.05</v>
      </c>
      <c r="K1842" s="9">
        <f>I1842*J1842</f>
        <v/>
      </c>
      <c r="L1842" s="9">
        <f>I1842-K1842</f>
        <v/>
      </c>
      <c r="M1842" s="9">
        <f>F1842*H1842</f>
        <v/>
      </c>
      <c r="N1842" s="9">
        <f>L1842-M1842</f>
        <v/>
      </c>
      <c r="O1842" s="11">
        <f>IFERROR(N1842/L1842, 0)</f>
        <v/>
      </c>
      <c r="P1842" s="8">
        <f>YEAR(C1842)</f>
        <v/>
      </c>
      <c r="Q1842" s="8">
        <f>TEXT(C1842, "yyyy-mm")</f>
        <v/>
      </c>
      <c r="R1842" s="8" t="inlineStr">
        <is>
          <t>Mobile App</t>
        </is>
      </c>
      <c r="S1842" s="8" t="inlineStr">
        <is>
          <t>REG-NA</t>
        </is>
      </c>
    </row>
    <row r="1843">
      <c r="A1843" s="8" t="inlineStr">
        <is>
          <t>DTL-0001868</t>
        </is>
      </c>
      <c r="B1843" s="8" t="inlineStr">
        <is>
          <t>ORD-000937</t>
        </is>
      </c>
      <c r="C1843" s="10" t="inlineStr">
        <is>
          <t>2025-10-09</t>
        </is>
      </c>
      <c r="D1843" s="8" t="inlineStr">
        <is>
          <t>CUST-04029</t>
        </is>
      </c>
      <c r="E1843" s="8" t="inlineStr">
        <is>
          <t>PRD-0348</t>
        </is>
      </c>
      <c r="F1843" s="8" t="n">
        <v>1</v>
      </c>
      <c r="G1843" s="9">
        <f>IFERROR(XLOOKUP(E1843, '04_Products'!$A:$A, '04_Products'!$G:$G), 792.82)</f>
        <v/>
      </c>
      <c r="H1843" s="9">
        <f>IFERROR(XLOOKUP(E1843, '04_Products'!$A:$A, '04_Products'!$F:$F), 0)</f>
        <v/>
      </c>
      <c r="I1843" s="9">
        <f>F1843*G1843</f>
        <v/>
      </c>
      <c r="J1843" s="11" t="n">
        <v>0</v>
      </c>
      <c r="K1843" s="9">
        <f>I1843*J1843</f>
        <v/>
      </c>
      <c r="L1843" s="9">
        <f>I1843-K1843</f>
        <v/>
      </c>
      <c r="M1843" s="9">
        <f>F1843*H1843</f>
        <v/>
      </c>
      <c r="N1843" s="9">
        <f>L1843-M1843</f>
        <v/>
      </c>
      <c r="O1843" s="11">
        <f>IFERROR(N1843/L1843, 0)</f>
        <v/>
      </c>
      <c r="P1843" s="8">
        <f>YEAR(C1843)</f>
        <v/>
      </c>
      <c r="Q1843" s="8">
        <f>TEXT(C1843, "yyyy-mm")</f>
        <v/>
      </c>
      <c r="R1843" s="8" t="inlineStr">
        <is>
          <t>Affiliate Partner</t>
        </is>
      </c>
      <c r="S1843" s="8" t="inlineStr">
        <is>
          <t>REG-NA</t>
        </is>
      </c>
    </row>
    <row r="1844">
      <c r="A1844" s="8" t="inlineStr">
        <is>
          <t>DTL-0001869</t>
        </is>
      </c>
      <c r="B1844" s="8" t="inlineStr">
        <is>
          <t>ORD-000937</t>
        </is>
      </c>
      <c r="C1844" s="10" t="inlineStr">
        <is>
          <t>2025-10-09</t>
        </is>
      </c>
      <c r="D1844" s="8" t="inlineStr">
        <is>
          <t>CUST-04029</t>
        </is>
      </c>
      <c r="E1844" s="8" t="inlineStr">
        <is>
          <t>PRD-0272</t>
        </is>
      </c>
      <c r="F1844" s="8" t="n">
        <v>2</v>
      </c>
      <c r="G1844" s="9">
        <f>IFERROR(XLOOKUP(E1844, '04_Products'!$A:$A, '04_Products'!$G:$G), 109.11)</f>
        <v/>
      </c>
      <c r="H1844" s="9">
        <f>IFERROR(XLOOKUP(E1844, '04_Products'!$A:$A, '04_Products'!$F:$F), 0)</f>
        <v/>
      </c>
      <c r="I1844" s="9">
        <f>F1844*G1844</f>
        <v/>
      </c>
      <c r="J1844" s="11" t="n">
        <v>0.1</v>
      </c>
      <c r="K1844" s="9">
        <f>I1844*J1844</f>
        <v/>
      </c>
      <c r="L1844" s="9">
        <f>I1844-K1844</f>
        <v/>
      </c>
      <c r="M1844" s="9">
        <f>F1844*H1844</f>
        <v/>
      </c>
      <c r="N1844" s="9">
        <f>L1844-M1844</f>
        <v/>
      </c>
      <c r="O1844" s="11">
        <f>IFERROR(N1844/L1844, 0)</f>
        <v/>
      </c>
      <c r="P1844" s="8">
        <f>YEAR(C1844)</f>
        <v/>
      </c>
      <c r="Q1844" s="8">
        <f>TEXT(C1844, "yyyy-mm")</f>
        <v/>
      </c>
      <c r="R1844" s="8" t="inlineStr">
        <is>
          <t>Affiliate Partner</t>
        </is>
      </c>
      <c r="S1844" s="8" t="inlineStr">
        <is>
          <t>REG-NA</t>
        </is>
      </c>
    </row>
    <row r="1845">
      <c r="A1845" s="8" t="inlineStr">
        <is>
          <t>DTL-0001870</t>
        </is>
      </c>
      <c r="B1845" s="8" t="inlineStr">
        <is>
          <t>ORD-000937</t>
        </is>
      </c>
      <c r="C1845" s="10" t="inlineStr">
        <is>
          <t>2025-10-09</t>
        </is>
      </c>
      <c r="D1845" s="8" t="inlineStr">
        <is>
          <t>CUST-04029</t>
        </is>
      </c>
      <c r="E1845" s="8" t="inlineStr">
        <is>
          <t>PRD-0058</t>
        </is>
      </c>
      <c r="F1845" s="8" t="n">
        <v>2</v>
      </c>
      <c r="G1845" s="9">
        <f>IFERROR(XLOOKUP(E1845, '04_Products'!$A:$A, '04_Products'!$G:$G), 809.52)</f>
        <v/>
      </c>
      <c r="H1845" s="9">
        <f>IFERROR(XLOOKUP(E1845, '04_Products'!$A:$A, '04_Products'!$F:$F), 0)</f>
        <v/>
      </c>
      <c r="I1845" s="9">
        <f>F1845*G1845</f>
        <v/>
      </c>
      <c r="J1845" s="11" t="n">
        <v>0.3</v>
      </c>
      <c r="K1845" s="9">
        <f>I1845*J1845</f>
        <v/>
      </c>
      <c r="L1845" s="9">
        <f>I1845-K1845</f>
        <v/>
      </c>
      <c r="M1845" s="9">
        <f>F1845*H1845</f>
        <v/>
      </c>
      <c r="N1845" s="9">
        <f>L1845-M1845</f>
        <v/>
      </c>
      <c r="O1845" s="11">
        <f>IFERROR(N1845/L1845, 0)</f>
        <v/>
      </c>
      <c r="P1845" s="8">
        <f>YEAR(C1845)</f>
        <v/>
      </c>
      <c r="Q1845" s="8">
        <f>TEXT(C1845, "yyyy-mm")</f>
        <v/>
      </c>
      <c r="R1845" s="8" t="inlineStr">
        <is>
          <t>Affiliate Partner</t>
        </is>
      </c>
      <c r="S1845" s="8" t="inlineStr">
        <is>
          <t>REG-NA</t>
        </is>
      </c>
    </row>
    <row r="1846">
      <c r="A1846" s="8" t="inlineStr">
        <is>
          <t>DTL-0001871</t>
        </is>
      </c>
      <c r="B1846" s="8" t="inlineStr">
        <is>
          <t>ORD-000937</t>
        </is>
      </c>
      <c r="C1846" s="10" t="inlineStr">
        <is>
          <t>2025-10-09</t>
        </is>
      </c>
      <c r="D1846" s="8" t="inlineStr">
        <is>
          <t>CUST-04029</t>
        </is>
      </c>
      <c r="E1846" s="8" t="inlineStr">
        <is>
          <t>PRD-0027</t>
        </is>
      </c>
      <c r="F1846" s="8" t="n">
        <v>1</v>
      </c>
      <c r="G1846" s="9">
        <f>IFERROR(XLOOKUP(E1846, '04_Products'!$A:$A, '04_Products'!$G:$G), 11.10)</f>
        <v/>
      </c>
      <c r="H1846" s="9">
        <f>IFERROR(XLOOKUP(E1846, '04_Products'!$A:$A, '04_Products'!$F:$F), 0)</f>
        <v/>
      </c>
      <c r="I1846" s="9">
        <f>F1846*G1846</f>
        <v/>
      </c>
      <c r="J1846" s="11" t="n">
        <v>0.05</v>
      </c>
      <c r="K1846" s="9">
        <f>I1846*J1846</f>
        <v/>
      </c>
      <c r="L1846" s="9">
        <f>I1846-K1846</f>
        <v/>
      </c>
      <c r="M1846" s="9">
        <f>F1846*H1846</f>
        <v/>
      </c>
      <c r="N1846" s="9">
        <f>L1846-M1846</f>
        <v/>
      </c>
      <c r="O1846" s="11">
        <f>IFERROR(N1846/L1846, 0)</f>
        <v/>
      </c>
      <c r="P1846" s="8">
        <f>YEAR(C1846)</f>
        <v/>
      </c>
      <c r="Q1846" s="8">
        <f>TEXT(C1846, "yyyy-mm")</f>
        <v/>
      </c>
      <c r="R1846" s="8" t="inlineStr">
        <is>
          <t>Affiliate Partner</t>
        </is>
      </c>
      <c r="S1846" s="8" t="inlineStr">
        <is>
          <t>REG-NA</t>
        </is>
      </c>
    </row>
    <row r="1847">
      <c r="A1847" s="8" t="inlineStr">
        <is>
          <t>DTL-0001872</t>
        </is>
      </c>
      <c r="B1847" s="8" t="inlineStr">
        <is>
          <t>ORD-000937</t>
        </is>
      </c>
      <c r="C1847" s="10" t="inlineStr">
        <is>
          <t>2025-10-09</t>
        </is>
      </c>
      <c r="D1847" s="8" t="inlineStr">
        <is>
          <t>CUST-04029</t>
        </is>
      </c>
      <c r="E1847" s="8" t="inlineStr">
        <is>
          <t>PRD-0394</t>
        </is>
      </c>
      <c r="F1847" s="8" t="n">
        <v>2</v>
      </c>
      <c r="G1847" s="9">
        <f>IFERROR(XLOOKUP(E1847, '04_Products'!$A:$A, '04_Products'!$G:$G), 405.61)</f>
        <v/>
      </c>
      <c r="H1847" s="9">
        <f>IFERROR(XLOOKUP(E1847, '04_Products'!$A:$A, '04_Products'!$F:$F), 0)</f>
        <v/>
      </c>
      <c r="I1847" s="9">
        <f>F1847*G1847</f>
        <v/>
      </c>
      <c r="J1847" s="11" t="n">
        <v>0.05</v>
      </c>
      <c r="K1847" s="9">
        <f>I1847*J1847</f>
        <v/>
      </c>
      <c r="L1847" s="9">
        <f>I1847-K1847</f>
        <v/>
      </c>
      <c r="M1847" s="9">
        <f>F1847*H1847</f>
        <v/>
      </c>
      <c r="N1847" s="9">
        <f>L1847-M1847</f>
        <v/>
      </c>
      <c r="O1847" s="11">
        <f>IFERROR(N1847/L1847, 0)</f>
        <v/>
      </c>
      <c r="P1847" s="8">
        <f>YEAR(C1847)</f>
        <v/>
      </c>
      <c r="Q1847" s="8">
        <f>TEXT(C1847, "yyyy-mm")</f>
        <v/>
      </c>
      <c r="R1847" s="8" t="inlineStr">
        <is>
          <t>Affiliate Partner</t>
        </is>
      </c>
      <c r="S1847" s="8" t="inlineStr">
        <is>
          <t>REG-NA</t>
        </is>
      </c>
    </row>
    <row r="1848">
      <c r="A1848" s="8" t="inlineStr">
        <is>
          <t>DTL-0001873</t>
        </is>
      </c>
      <c r="B1848" s="8" t="inlineStr">
        <is>
          <t>ORD-000938</t>
        </is>
      </c>
      <c r="C1848" s="10" t="inlineStr">
        <is>
          <t>2023-10-06</t>
        </is>
      </c>
      <c r="D1848" s="8" t="inlineStr">
        <is>
          <t>CUST-03011</t>
        </is>
      </c>
      <c r="E1848" s="8" t="inlineStr">
        <is>
          <t>PRD-0210</t>
        </is>
      </c>
      <c r="F1848" s="8" t="n">
        <v>1</v>
      </c>
      <c r="G1848" s="9">
        <f>IFERROR(XLOOKUP(E1848, '04_Products'!$A:$A, '04_Products'!$G:$G), 920.55)</f>
        <v/>
      </c>
      <c r="H1848" s="9">
        <f>IFERROR(XLOOKUP(E1848, '04_Products'!$A:$A, '04_Products'!$F:$F), 0)</f>
        <v/>
      </c>
      <c r="I1848" s="9">
        <f>F1848*G1848</f>
        <v/>
      </c>
      <c r="J1848" s="11" t="n">
        <v>0.05</v>
      </c>
      <c r="K1848" s="9">
        <f>I1848*J1848</f>
        <v/>
      </c>
      <c r="L1848" s="9">
        <f>I1848-K1848</f>
        <v/>
      </c>
      <c r="M1848" s="9">
        <f>F1848*H1848</f>
        <v/>
      </c>
      <c r="N1848" s="9">
        <f>L1848-M1848</f>
        <v/>
      </c>
      <c r="O1848" s="11">
        <f>IFERROR(N1848/L1848, 0)</f>
        <v/>
      </c>
      <c r="P1848" s="8">
        <f>YEAR(C1848)</f>
        <v/>
      </c>
      <c r="Q1848" s="8">
        <f>TEXT(C1848, "yyyy-mm")</f>
        <v/>
      </c>
      <c r="R1848" s="8" t="inlineStr">
        <is>
          <t>Affiliate Partner</t>
        </is>
      </c>
      <c r="S1848" s="8" t="inlineStr">
        <is>
          <t>REG-NA</t>
        </is>
      </c>
    </row>
    <row r="1849">
      <c r="A1849" s="8" t="inlineStr">
        <is>
          <t>DTL-0001874</t>
        </is>
      </c>
      <c r="B1849" s="8" t="inlineStr">
        <is>
          <t>ORD-000939</t>
        </is>
      </c>
      <c r="C1849" s="10" t="inlineStr">
        <is>
          <t>2024-11-01</t>
        </is>
      </c>
      <c r="D1849" s="8" t="inlineStr">
        <is>
          <t>CUST-05805</t>
        </is>
      </c>
      <c r="E1849" s="8" t="inlineStr">
        <is>
          <t>PRD-0418</t>
        </is>
      </c>
      <c r="F1849" s="8" t="n">
        <v>1</v>
      </c>
      <c r="G1849" s="9">
        <f>IFERROR(XLOOKUP(E1849, '04_Products'!$A:$A, '04_Products'!$G:$G), 287.35)</f>
        <v/>
      </c>
      <c r="H1849" s="9">
        <f>IFERROR(XLOOKUP(E1849, '04_Products'!$A:$A, '04_Products'!$F:$F), 0)</f>
        <v/>
      </c>
      <c r="I1849" s="9">
        <f>F1849*G1849</f>
        <v/>
      </c>
      <c r="J1849" s="11" t="n">
        <v>0</v>
      </c>
      <c r="K1849" s="9">
        <f>I1849*J1849</f>
        <v/>
      </c>
      <c r="L1849" s="9">
        <f>I1849-K1849</f>
        <v/>
      </c>
      <c r="M1849" s="9">
        <f>F1849*H1849</f>
        <v/>
      </c>
      <c r="N1849" s="9">
        <f>L1849-M1849</f>
        <v/>
      </c>
      <c r="O1849" s="11">
        <f>IFERROR(N1849/L1849, 0)</f>
        <v/>
      </c>
      <c r="P1849" s="8">
        <f>YEAR(C1849)</f>
        <v/>
      </c>
      <c r="Q1849" s="8">
        <f>TEXT(C1849, "yyyy-mm")</f>
        <v/>
      </c>
      <c r="R1849" s="8" t="inlineStr">
        <is>
          <t>B2B Portal</t>
        </is>
      </c>
      <c r="S1849" s="8" t="inlineStr">
        <is>
          <t>REG-APAC</t>
        </is>
      </c>
    </row>
    <row r="1850">
      <c r="A1850" s="8" t="inlineStr">
        <is>
          <t>DTL-0001875</t>
        </is>
      </c>
      <c r="B1850" s="8" t="inlineStr">
        <is>
          <t>ORD-000940</t>
        </is>
      </c>
      <c r="C1850" s="10" t="inlineStr">
        <is>
          <t>2024-09-16</t>
        </is>
      </c>
      <c r="D1850" s="8" t="inlineStr">
        <is>
          <t>CUST-03355</t>
        </is>
      </c>
      <c r="E1850" s="8" t="inlineStr">
        <is>
          <t>PRD-0274</t>
        </is>
      </c>
      <c r="F1850" s="8" t="n">
        <v>1</v>
      </c>
      <c r="G1850" s="9">
        <f>IFERROR(XLOOKUP(E1850, '04_Products'!$A:$A, '04_Products'!$G:$G), 74.99)</f>
        <v/>
      </c>
      <c r="H1850" s="9">
        <f>IFERROR(XLOOKUP(E1850, '04_Products'!$A:$A, '04_Products'!$F:$F), 0)</f>
        <v/>
      </c>
      <c r="I1850" s="9">
        <f>F1850*G1850</f>
        <v/>
      </c>
      <c r="J1850" s="11" t="n">
        <v>0.05</v>
      </c>
      <c r="K1850" s="9">
        <f>I1850*J1850</f>
        <v/>
      </c>
      <c r="L1850" s="9">
        <f>I1850-K1850</f>
        <v/>
      </c>
      <c r="M1850" s="9">
        <f>F1850*H1850</f>
        <v/>
      </c>
      <c r="N1850" s="9">
        <f>L1850-M1850</f>
        <v/>
      </c>
      <c r="O1850" s="11">
        <f>IFERROR(N1850/L1850, 0)</f>
        <v/>
      </c>
      <c r="P1850" s="8">
        <f>YEAR(C1850)</f>
        <v/>
      </c>
      <c r="Q1850" s="8">
        <f>TEXT(C1850, "yyyy-mm")</f>
        <v/>
      </c>
      <c r="R1850" s="8" t="inlineStr">
        <is>
          <t>Direct Web</t>
        </is>
      </c>
      <c r="S1850" s="8" t="inlineStr">
        <is>
          <t>REG-NA</t>
        </is>
      </c>
    </row>
    <row r="1851">
      <c r="A1851" s="8" t="inlineStr">
        <is>
          <t>DTL-0001876</t>
        </is>
      </c>
      <c r="B1851" s="8" t="inlineStr">
        <is>
          <t>ORD-000940</t>
        </is>
      </c>
      <c r="C1851" s="10" t="inlineStr">
        <is>
          <t>2024-09-16</t>
        </is>
      </c>
      <c r="D1851" s="8" t="inlineStr">
        <is>
          <t>CUST-03355</t>
        </is>
      </c>
      <c r="E1851" s="8" t="inlineStr">
        <is>
          <t>PRD-0154</t>
        </is>
      </c>
      <c r="F1851" s="8" t="n">
        <v>1</v>
      </c>
      <c r="G1851" s="9">
        <f>IFERROR(XLOOKUP(E1851, '04_Products'!$A:$A, '04_Products'!$G:$G), 168.94)</f>
        <v/>
      </c>
      <c r="H1851" s="9">
        <f>IFERROR(XLOOKUP(E1851, '04_Products'!$A:$A, '04_Products'!$F:$F), 0)</f>
        <v/>
      </c>
      <c r="I1851" s="9">
        <f>F1851*G1851</f>
        <v/>
      </c>
      <c r="J1851" s="11" t="n">
        <v>0.1</v>
      </c>
      <c r="K1851" s="9">
        <f>I1851*J1851</f>
        <v/>
      </c>
      <c r="L1851" s="9">
        <f>I1851-K1851</f>
        <v/>
      </c>
      <c r="M1851" s="9">
        <f>F1851*H1851</f>
        <v/>
      </c>
      <c r="N1851" s="9">
        <f>L1851-M1851</f>
        <v/>
      </c>
      <c r="O1851" s="11">
        <f>IFERROR(N1851/L1851, 0)</f>
        <v/>
      </c>
      <c r="P1851" s="8">
        <f>YEAR(C1851)</f>
        <v/>
      </c>
      <c r="Q1851" s="8">
        <f>TEXT(C1851, "yyyy-mm")</f>
        <v/>
      </c>
      <c r="R1851" s="8" t="inlineStr">
        <is>
          <t>Direct Web</t>
        </is>
      </c>
      <c r="S1851" s="8" t="inlineStr">
        <is>
          <t>REG-NA</t>
        </is>
      </c>
    </row>
    <row r="1852">
      <c r="A1852" s="8" t="inlineStr">
        <is>
          <t>DTL-0001877</t>
        </is>
      </c>
      <c r="B1852" s="8" t="inlineStr">
        <is>
          <t>ORD-000941</t>
        </is>
      </c>
      <c r="C1852" s="10" t="inlineStr">
        <is>
          <t>2024-01-01</t>
        </is>
      </c>
      <c r="D1852" s="8" t="inlineStr">
        <is>
          <t>CUST-03008</t>
        </is>
      </c>
      <c r="E1852" s="8" t="inlineStr">
        <is>
          <t>PRD-0343</t>
        </is>
      </c>
      <c r="F1852" s="8" t="n">
        <v>1</v>
      </c>
      <c r="G1852" s="9">
        <f>IFERROR(XLOOKUP(E1852, '04_Products'!$A:$A, '04_Products'!$G:$G), 52.81)</f>
        <v/>
      </c>
      <c r="H1852" s="9">
        <f>IFERROR(XLOOKUP(E1852, '04_Products'!$A:$A, '04_Products'!$F:$F), 0)</f>
        <v/>
      </c>
      <c r="I1852" s="9">
        <f>F1852*G1852</f>
        <v/>
      </c>
      <c r="J1852" s="11" t="n">
        <v>0.1</v>
      </c>
      <c r="K1852" s="9">
        <f>I1852*J1852</f>
        <v/>
      </c>
      <c r="L1852" s="9">
        <f>I1852-K1852</f>
        <v/>
      </c>
      <c r="M1852" s="9">
        <f>F1852*H1852</f>
        <v/>
      </c>
      <c r="N1852" s="9">
        <f>L1852-M1852</f>
        <v/>
      </c>
      <c r="O1852" s="11">
        <f>IFERROR(N1852/L1852, 0)</f>
        <v/>
      </c>
      <c r="P1852" s="8">
        <f>YEAR(C1852)</f>
        <v/>
      </c>
      <c r="Q1852" s="8">
        <f>TEXT(C1852, "yyyy-mm")</f>
        <v/>
      </c>
      <c r="R1852" s="8" t="inlineStr">
        <is>
          <t>Direct Web</t>
        </is>
      </c>
      <c r="S1852" s="8" t="inlineStr">
        <is>
          <t>REG-NA</t>
        </is>
      </c>
    </row>
    <row r="1853">
      <c r="A1853" s="8" t="inlineStr">
        <is>
          <t>DTL-0001878</t>
        </is>
      </c>
      <c r="B1853" s="8" t="inlineStr">
        <is>
          <t>ORD-000941</t>
        </is>
      </c>
      <c r="C1853" s="10" t="inlineStr">
        <is>
          <t>2024-01-01</t>
        </is>
      </c>
      <c r="D1853" s="8" t="inlineStr">
        <is>
          <t>CUST-03008</t>
        </is>
      </c>
      <c r="E1853" s="8" t="inlineStr">
        <is>
          <t>PRD-0434</t>
        </is>
      </c>
      <c r="F1853" s="8" t="n">
        <v>1</v>
      </c>
      <c r="G1853" s="9">
        <f>IFERROR(XLOOKUP(E1853, '04_Products'!$A:$A, '04_Products'!$G:$G), 899.59)</f>
        <v/>
      </c>
      <c r="H1853" s="9">
        <f>IFERROR(XLOOKUP(E1853, '04_Products'!$A:$A, '04_Products'!$F:$F), 0)</f>
        <v/>
      </c>
      <c r="I1853" s="9">
        <f>F1853*G1853</f>
        <v/>
      </c>
      <c r="J1853" s="11" t="n">
        <v>0.05</v>
      </c>
      <c r="K1853" s="9">
        <f>I1853*J1853</f>
        <v/>
      </c>
      <c r="L1853" s="9">
        <f>I1853-K1853</f>
        <v/>
      </c>
      <c r="M1853" s="9">
        <f>F1853*H1853</f>
        <v/>
      </c>
      <c r="N1853" s="9">
        <f>L1853-M1853</f>
        <v/>
      </c>
      <c r="O1853" s="11">
        <f>IFERROR(N1853/L1853, 0)</f>
        <v/>
      </c>
      <c r="P1853" s="8">
        <f>YEAR(C1853)</f>
        <v/>
      </c>
      <c r="Q1853" s="8">
        <f>TEXT(C1853, "yyyy-mm")</f>
        <v/>
      </c>
      <c r="R1853" s="8" t="inlineStr">
        <is>
          <t>Direct Web</t>
        </is>
      </c>
      <c r="S1853" s="8" t="inlineStr">
        <is>
          <t>REG-NA</t>
        </is>
      </c>
    </row>
    <row r="1854">
      <c r="A1854" s="8" t="inlineStr">
        <is>
          <t>DTL-0001879</t>
        </is>
      </c>
      <c r="B1854" s="8" t="inlineStr">
        <is>
          <t>ORD-000942</t>
        </is>
      </c>
      <c r="C1854" s="10" t="inlineStr">
        <is>
          <t>2024-05-20</t>
        </is>
      </c>
      <c r="D1854" s="8" t="inlineStr">
        <is>
          <t>CUST-03599</t>
        </is>
      </c>
      <c r="E1854" s="8" t="inlineStr">
        <is>
          <t>PRD-0340</t>
        </is>
      </c>
      <c r="F1854" s="8" t="n">
        <v>1</v>
      </c>
      <c r="G1854" s="9">
        <f>IFERROR(XLOOKUP(E1854, '04_Products'!$A:$A, '04_Products'!$G:$G), 11.87)</f>
        <v/>
      </c>
      <c r="H1854" s="9">
        <f>IFERROR(XLOOKUP(E1854, '04_Products'!$A:$A, '04_Products'!$F:$F), 0)</f>
        <v/>
      </c>
      <c r="I1854" s="9">
        <f>F1854*G1854</f>
        <v/>
      </c>
      <c r="J1854" s="11" t="n">
        <v>0</v>
      </c>
      <c r="K1854" s="9">
        <f>I1854*J1854</f>
        <v/>
      </c>
      <c r="L1854" s="9">
        <f>I1854-K1854</f>
        <v/>
      </c>
      <c r="M1854" s="9">
        <f>F1854*H1854</f>
        <v/>
      </c>
      <c r="N1854" s="9">
        <f>L1854-M1854</f>
        <v/>
      </c>
      <c r="O1854" s="11">
        <f>IFERROR(N1854/L1854, 0)</f>
        <v/>
      </c>
      <c r="P1854" s="8">
        <f>YEAR(C1854)</f>
        <v/>
      </c>
      <c r="Q1854" s="8">
        <f>TEXT(C1854, "yyyy-mm")</f>
        <v/>
      </c>
      <c r="R1854" s="8" t="inlineStr">
        <is>
          <t>Mobile App</t>
        </is>
      </c>
      <c r="S1854" s="8" t="inlineStr">
        <is>
          <t>REG-EU</t>
        </is>
      </c>
    </row>
    <row r="1855">
      <c r="A1855" s="8" t="inlineStr">
        <is>
          <t>DTL-0001880</t>
        </is>
      </c>
      <c r="B1855" s="8" t="inlineStr">
        <is>
          <t>ORD-000943</t>
        </is>
      </c>
      <c r="C1855" s="10" t="inlineStr">
        <is>
          <t>2023-01-04</t>
        </is>
      </c>
      <c r="D1855" s="8" t="inlineStr">
        <is>
          <t>CUST-06633</t>
        </is>
      </c>
      <c r="E1855" s="8" t="inlineStr">
        <is>
          <t>PRD-0312</t>
        </is>
      </c>
      <c r="F1855" s="8" t="n">
        <v>5</v>
      </c>
      <c r="G1855" s="9">
        <f>IFERROR(XLOOKUP(E1855, '04_Products'!$A:$A, '04_Products'!$G:$G), 59.31)</f>
        <v/>
      </c>
      <c r="H1855" s="9">
        <f>IFERROR(XLOOKUP(E1855, '04_Products'!$A:$A, '04_Products'!$F:$F), 0)</f>
        <v/>
      </c>
      <c r="I1855" s="9">
        <f>F1855*G1855</f>
        <v/>
      </c>
      <c r="J1855" s="11" t="n">
        <v>0</v>
      </c>
      <c r="K1855" s="9">
        <f>I1855*J1855</f>
        <v/>
      </c>
      <c r="L1855" s="9">
        <f>I1855-K1855</f>
        <v/>
      </c>
      <c r="M1855" s="9">
        <f>F1855*H1855</f>
        <v/>
      </c>
      <c r="N1855" s="9">
        <f>L1855-M1855</f>
        <v/>
      </c>
      <c r="O1855" s="11">
        <f>IFERROR(N1855/L1855, 0)</f>
        <v/>
      </c>
      <c r="P1855" s="8">
        <f>YEAR(C1855)</f>
        <v/>
      </c>
      <c r="Q1855" s="8">
        <f>TEXT(C1855, "yyyy-mm")</f>
        <v/>
      </c>
      <c r="R1855" s="8" t="inlineStr">
        <is>
          <t>B2B Portal</t>
        </is>
      </c>
      <c r="S1855" s="8" t="inlineStr">
        <is>
          <t>REG-APAC</t>
        </is>
      </c>
    </row>
    <row r="1856">
      <c r="A1856" s="8" t="inlineStr">
        <is>
          <t>DTL-0001881</t>
        </is>
      </c>
      <c r="B1856" s="8" t="inlineStr">
        <is>
          <t>ORD-000943</t>
        </is>
      </c>
      <c r="C1856" s="10" t="inlineStr">
        <is>
          <t>2023-01-04</t>
        </is>
      </c>
      <c r="D1856" s="8" t="inlineStr">
        <is>
          <t>CUST-06633</t>
        </is>
      </c>
      <c r="E1856" s="8" t="inlineStr">
        <is>
          <t>PRD-0331</t>
        </is>
      </c>
      <c r="F1856" s="8" t="n">
        <v>3</v>
      </c>
      <c r="G1856" s="9">
        <f>IFERROR(XLOOKUP(E1856, '04_Products'!$A:$A, '04_Products'!$G:$G), 1076.14)</f>
        <v/>
      </c>
      <c r="H1856" s="9">
        <f>IFERROR(XLOOKUP(E1856, '04_Products'!$A:$A, '04_Products'!$F:$F), 0)</f>
        <v/>
      </c>
      <c r="I1856" s="9">
        <f>F1856*G1856</f>
        <v/>
      </c>
      <c r="J1856" s="11" t="n">
        <v>0</v>
      </c>
      <c r="K1856" s="9">
        <f>I1856*J1856</f>
        <v/>
      </c>
      <c r="L1856" s="9">
        <f>I1856-K1856</f>
        <v/>
      </c>
      <c r="M1856" s="9">
        <f>F1856*H1856</f>
        <v/>
      </c>
      <c r="N1856" s="9">
        <f>L1856-M1856</f>
        <v/>
      </c>
      <c r="O1856" s="11">
        <f>IFERROR(N1856/L1856, 0)</f>
        <v/>
      </c>
      <c r="P1856" s="8">
        <f>YEAR(C1856)</f>
        <v/>
      </c>
      <c r="Q1856" s="8">
        <f>TEXT(C1856, "yyyy-mm")</f>
        <v/>
      </c>
      <c r="R1856" s="8" t="inlineStr">
        <is>
          <t>B2B Portal</t>
        </is>
      </c>
      <c r="S1856" s="8" t="inlineStr">
        <is>
          <t>REG-APAC</t>
        </is>
      </c>
    </row>
    <row r="1857">
      <c r="A1857" s="8" t="inlineStr">
        <is>
          <t>DTL-0001882</t>
        </is>
      </c>
      <c r="B1857" s="8" t="inlineStr">
        <is>
          <t>ORD-000944</t>
        </is>
      </c>
      <c r="C1857" s="10" t="inlineStr">
        <is>
          <t>2023-11-24</t>
        </is>
      </c>
      <c r="D1857" s="8" t="inlineStr">
        <is>
          <t>CUST-02792</t>
        </is>
      </c>
      <c r="E1857" s="8" t="inlineStr">
        <is>
          <t>PRD-0478</t>
        </is>
      </c>
      <c r="F1857" s="8" t="n">
        <v>1</v>
      </c>
      <c r="G1857" s="9">
        <f>IFERROR(XLOOKUP(E1857, '04_Products'!$A:$A, '04_Products'!$G:$G), 61.50)</f>
        <v/>
      </c>
      <c r="H1857" s="9">
        <f>IFERROR(XLOOKUP(E1857, '04_Products'!$A:$A, '04_Products'!$F:$F), 0)</f>
        <v/>
      </c>
      <c r="I1857" s="9">
        <f>F1857*G1857</f>
        <v/>
      </c>
      <c r="J1857" s="11" t="n">
        <v>0.15</v>
      </c>
      <c r="K1857" s="9">
        <f>I1857*J1857</f>
        <v/>
      </c>
      <c r="L1857" s="9">
        <f>I1857-K1857</f>
        <v/>
      </c>
      <c r="M1857" s="9">
        <f>F1857*H1857</f>
        <v/>
      </c>
      <c r="N1857" s="9">
        <f>L1857-M1857</f>
        <v/>
      </c>
      <c r="O1857" s="11">
        <f>IFERROR(N1857/L1857, 0)</f>
        <v/>
      </c>
      <c r="P1857" s="8">
        <f>YEAR(C1857)</f>
        <v/>
      </c>
      <c r="Q1857" s="8">
        <f>TEXT(C1857, "yyyy-mm")</f>
        <v/>
      </c>
      <c r="R1857" s="8" t="inlineStr">
        <is>
          <t>Direct Web</t>
        </is>
      </c>
      <c r="S1857" s="8" t="inlineStr">
        <is>
          <t>REG-LATAM</t>
        </is>
      </c>
    </row>
    <row r="1858">
      <c r="A1858" s="8" t="inlineStr">
        <is>
          <t>DTL-0001883</t>
        </is>
      </c>
      <c r="B1858" s="8" t="inlineStr">
        <is>
          <t>ORD-000945</t>
        </is>
      </c>
      <c r="C1858" s="10" t="inlineStr">
        <is>
          <t>2023-10-22</t>
        </is>
      </c>
      <c r="D1858" s="8" t="inlineStr">
        <is>
          <t>CUST-00177</t>
        </is>
      </c>
      <c r="E1858" s="8" t="inlineStr">
        <is>
          <t>PRD-0103</t>
        </is>
      </c>
      <c r="F1858" s="8" t="n">
        <v>1</v>
      </c>
      <c r="G1858" s="9">
        <f>IFERROR(XLOOKUP(E1858, '04_Products'!$A:$A, '04_Products'!$G:$G), 33.68)</f>
        <v/>
      </c>
      <c r="H1858" s="9">
        <f>IFERROR(XLOOKUP(E1858, '04_Products'!$A:$A, '04_Products'!$F:$F), 0)</f>
        <v/>
      </c>
      <c r="I1858" s="9">
        <f>F1858*G1858</f>
        <v/>
      </c>
      <c r="J1858" s="11" t="n">
        <v>0</v>
      </c>
      <c r="K1858" s="9">
        <f>I1858*J1858</f>
        <v/>
      </c>
      <c r="L1858" s="9">
        <f>I1858-K1858</f>
        <v/>
      </c>
      <c r="M1858" s="9">
        <f>F1858*H1858</f>
        <v/>
      </c>
      <c r="N1858" s="9">
        <f>L1858-M1858</f>
        <v/>
      </c>
      <c r="O1858" s="11">
        <f>IFERROR(N1858/L1858, 0)</f>
        <v/>
      </c>
      <c r="P1858" s="8">
        <f>YEAR(C1858)</f>
        <v/>
      </c>
      <c r="Q1858" s="8">
        <f>TEXT(C1858, "yyyy-mm")</f>
        <v/>
      </c>
      <c r="R1858" s="8" t="inlineStr">
        <is>
          <t>Direct Web</t>
        </is>
      </c>
      <c r="S1858" s="8" t="inlineStr">
        <is>
          <t>REG-APAC</t>
        </is>
      </c>
    </row>
    <row r="1859">
      <c r="A1859" s="8" t="inlineStr">
        <is>
          <t>DTL-0001884</t>
        </is>
      </c>
      <c r="B1859" s="8" t="inlineStr">
        <is>
          <t>ORD-000946</t>
        </is>
      </c>
      <c r="C1859" s="10" t="inlineStr">
        <is>
          <t>2023-04-29</t>
        </is>
      </c>
      <c r="D1859" s="8" t="inlineStr">
        <is>
          <t>CUST-01883</t>
        </is>
      </c>
      <c r="E1859" s="8" t="inlineStr">
        <is>
          <t>PRD-0255</t>
        </is>
      </c>
      <c r="F1859" s="8" t="n">
        <v>1</v>
      </c>
      <c r="G1859" s="9">
        <f>IFERROR(XLOOKUP(E1859, '04_Products'!$A:$A, '04_Products'!$G:$G), 151.28)</f>
        <v/>
      </c>
      <c r="H1859" s="9">
        <f>IFERROR(XLOOKUP(E1859, '04_Products'!$A:$A, '04_Products'!$F:$F), 0)</f>
        <v/>
      </c>
      <c r="I1859" s="9">
        <f>F1859*G1859</f>
        <v/>
      </c>
      <c r="J1859" s="11" t="n">
        <v>0.05</v>
      </c>
      <c r="K1859" s="9">
        <f>I1859*J1859</f>
        <v/>
      </c>
      <c r="L1859" s="9">
        <f>I1859-K1859</f>
        <v/>
      </c>
      <c r="M1859" s="9">
        <f>F1859*H1859</f>
        <v/>
      </c>
      <c r="N1859" s="9">
        <f>L1859-M1859</f>
        <v/>
      </c>
      <c r="O1859" s="11">
        <f>IFERROR(N1859/L1859, 0)</f>
        <v/>
      </c>
      <c r="P1859" s="8">
        <f>YEAR(C1859)</f>
        <v/>
      </c>
      <c r="Q1859" s="8">
        <f>TEXT(C1859, "yyyy-mm")</f>
        <v/>
      </c>
      <c r="R1859" s="8" t="inlineStr">
        <is>
          <t>Affiliate Partner</t>
        </is>
      </c>
      <c r="S1859" s="8" t="inlineStr">
        <is>
          <t>REG-APAC</t>
        </is>
      </c>
    </row>
    <row r="1860">
      <c r="A1860" s="8" t="inlineStr">
        <is>
          <t>DTL-0001885</t>
        </is>
      </c>
      <c r="B1860" s="8" t="inlineStr">
        <is>
          <t>ORD-000946</t>
        </is>
      </c>
      <c r="C1860" s="10" t="inlineStr">
        <is>
          <t>2023-04-29</t>
        </is>
      </c>
      <c r="D1860" s="8" t="inlineStr">
        <is>
          <t>CUST-01883</t>
        </is>
      </c>
      <c r="E1860" s="8" t="inlineStr">
        <is>
          <t>PRD-0421</t>
        </is>
      </c>
      <c r="F1860" s="8" t="n">
        <v>4</v>
      </c>
      <c r="G1860" s="9">
        <f>IFERROR(XLOOKUP(E1860, '04_Products'!$A:$A, '04_Products'!$G:$G), 50.08)</f>
        <v/>
      </c>
      <c r="H1860" s="9">
        <f>IFERROR(XLOOKUP(E1860, '04_Products'!$A:$A, '04_Products'!$F:$F), 0)</f>
        <v/>
      </c>
      <c r="I1860" s="9">
        <f>F1860*G1860</f>
        <v/>
      </c>
      <c r="J1860" s="11" t="n">
        <v>0</v>
      </c>
      <c r="K1860" s="9">
        <f>I1860*J1860</f>
        <v/>
      </c>
      <c r="L1860" s="9">
        <f>I1860-K1860</f>
        <v/>
      </c>
      <c r="M1860" s="9">
        <f>F1860*H1860</f>
        <v/>
      </c>
      <c r="N1860" s="9">
        <f>L1860-M1860</f>
        <v/>
      </c>
      <c r="O1860" s="11">
        <f>IFERROR(N1860/L1860, 0)</f>
        <v/>
      </c>
      <c r="P1860" s="8">
        <f>YEAR(C1860)</f>
        <v/>
      </c>
      <c r="Q1860" s="8">
        <f>TEXT(C1860, "yyyy-mm")</f>
        <v/>
      </c>
      <c r="R1860" s="8" t="inlineStr">
        <is>
          <t>Affiliate Partner</t>
        </is>
      </c>
      <c r="S1860" s="8" t="inlineStr">
        <is>
          <t>REG-APAC</t>
        </is>
      </c>
    </row>
    <row r="1861">
      <c r="A1861" s="8" t="inlineStr">
        <is>
          <t>DTL-0001886</t>
        </is>
      </c>
      <c r="B1861" s="8" t="inlineStr">
        <is>
          <t>ORD-000946</t>
        </is>
      </c>
      <c r="C1861" s="10" t="inlineStr">
        <is>
          <t>2023-04-29</t>
        </is>
      </c>
      <c r="D1861" s="8" t="inlineStr">
        <is>
          <t>CUST-01883</t>
        </is>
      </c>
      <c r="E1861" s="8" t="inlineStr">
        <is>
          <t>PRD-0162</t>
        </is>
      </c>
      <c r="F1861" s="8" t="n">
        <v>1</v>
      </c>
      <c r="G1861" s="9">
        <f>IFERROR(XLOOKUP(E1861, '04_Products'!$A:$A, '04_Products'!$G:$G), 192.43)</f>
        <v/>
      </c>
      <c r="H1861" s="9">
        <f>IFERROR(XLOOKUP(E1861, '04_Products'!$A:$A, '04_Products'!$F:$F), 0)</f>
        <v/>
      </c>
      <c r="I1861" s="9">
        <f>F1861*G1861</f>
        <v/>
      </c>
      <c r="J1861" s="11" t="n">
        <v>0</v>
      </c>
      <c r="K1861" s="9">
        <f>I1861*J1861</f>
        <v/>
      </c>
      <c r="L1861" s="9">
        <f>I1861-K1861</f>
        <v/>
      </c>
      <c r="M1861" s="9">
        <f>F1861*H1861</f>
        <v/>
      </c>
      <c r="N1861" s="9">
        <f>L1861-M1861</f>
        <v/>
      </c>
      <c r="O1861" s="11">
        <f>IFERROR(N1861/L1861, 0)</f>
        <v/>
      </c>
      <c r="P1861" s="8">
        <f>YEAR(C1861)</f>
        <v/>
      </c>
      <c r="Q1861" s="8">
        <f>TEXT(C1861, "yyyy-mm")</f>
        <v/>
      </c>
      <c r="R1861" s="8" t="inlineStr">
        <is>
          <t>Affiliate Partner</t>
        </is>
      </c>
      <c r="S1861" s="8" t="inlineStr">
        <is>
          <t>REG-APAC</t>
        </is>
      </c>
    </row>
    <row r="1862">
      <c r="A1862" s="8" t="inlineStr">
        <is>
          <t>DTL-0001887</t>
        </is>
      </c>
      <c r="B1862" s="8" t="inlineStr">
        <is>
          <t>ORD-000947</t>
        </is>
      </c>
      <c r="C1862" s="10" t="inlineStr">
        <is>
          <t>2023-05-30</t>
        </is>
      </c>
      <c r="D1862" s="8" t="inlineStr">
        <is>
          <t>CUST-01402</t>
        </is>
      </c>
      <c r="E1862" s="8" t="inlineStr">
        <is>
          <t>PRD-0112</t>
        </is>
      </c>
      <c r="F1862" s="8" t="n">
        <v>1</v>
      </c>
      <c r="G1862" s="9">
        <f>IFERROR(XLOOKUP(E1862, '04_Products'!$A:$A, '04_Products'!$G:$G), 54.82)</f>
        <v/>
      </c>
      <c r="H1862" s="9">
        <f>IFERROR(XLOOKUP(E1862, '04_Products'!$A:$A, '04_Products'!$F:$F), 0)</f>
        <v/>
      </c>
      <c r="I1862" s="9">
        <f>F1862*G1862</f>
        <v/>
      </c>
      <c r="J1862" s="11" t="n">
        <v>0.25</v>
      </c>
      <c r="K1862" s="9">
        <f>I1862*J1862</f>
        <v/>
      </c>
      <c r="L1862" s="9">
        <f>I1862-K1862</f>
        <v/>
      </c>
      <c r="M1862" s="9">
        <f>F1862*H1862</f>
        <v/>
      </c>
      <c r="N1862" s="9">
        <f>L1862-M1862</f>
        <v/>
      </c>
      <c r="O1862" s="11">
        <f>IFERROR(N1862/L1862, 0)</f>
        <v/>
      </c>
      <c r="P1862" s="8">
        <f>YEAR(C1862)</f>
        <v/>
      </c>
      <c r="Q1862" s="8">
        <f>TEXT(C1862, "yyyy-mm")</f>
        <v/>
      </c>
      <c r="R1862" s="8" t="inlineStr">
        <is>
          <t>Direct Web</t>
        </is>
      </c>
      <c r="S1862" s="8" t="inlineStr">
        <is>
          <t>REG-NA</t>
        </is>
      </c>
    </row>
    <row r="1863">
      <c r="A1863" s="8" t="inlineStr">
        <is>
          <t>DTL-0001888</t>
        </is>
      </c>
      <c r="B1863" s="8" t="inlineStr">
        <is>
          <t>ORD-000947</t>
        </is>
      </c>
      <c r="C1863" s="10" t="inlineStr">
        <is>
          <t>2023-05-30</t>
        </is>
      </c>
      <c r="D1863" s="8" t="inlineStr">
        <is>
          <t>CUST-01402</t>
        </is>
      </c>
      <c r="E1863" s="8" t="inlineStr">
        <is>
          <t>PRD-0133</t>
        </is>
      </c>
      <c r="F1863" s="8" t="n">
        <v>1</v>
      </c>
      <c r="G1863" s="9">
        <f>IFERROR(XLOOKUP(E1863, '04_Products'!$A:$A, '04_Products'!$G:$G), 673.35)</f>
        <v/>
      </c>
      <c r="H1863" s="9">
        <f>IFERROR(XLOOKUP(E1863, '04_Products'!$A:$A, '04_Products'!$F:$F), 0)</f>
        <v/>
      </c>
      <c r="I1863" s="9">
        <f>F1863*G1863</f>
        <v/>
      </c>
      <c r="J1863" s="11" t="n">
        <v>0.1</v>
      </c>
      <c r="K1863" s="9">
        <f>I1863*J1863</f>
        <v/>
      </c>
      <c r="L1863" s="9">
        <f>I1863-K1863</f>
        <v/>
      </c>
      <c r="M1863" s="9">
        <f>F1863*H1863</f>
        <v/>
      </c>
      <c r="N1863" s="9">
        <f>L1863-M1863</f>
        <v/>
      </c>
      <c r="O1863" s="11">
        <f>IFERROR(N1863/L1863, 0)</f>
        <v/>
      </c>
      <c r="P1863" s="8">
        <f>YEAR(C1863)</f>
        <v/>
      </c>
      <c r="Q1863" s="8">
        <f>TEXT(C1863, "yyyy-mm")</f>
        <v/>
      </c>
      <c r="R1863" s="8" t="inlineStr">
        <is>
          <t>Direct Web</t>
        </is>
      </c>
      <c r="S1863" s="8" t="inlineStr">
        <is>
          <t>REG-NA</t>
        </is>
      </c>
    </row>
    <row r="1864">
      <c r="A1864" s="8" t="inlineStr">
        <is>
          <t>DTL-0001889</t>
        </is>
      </c>
      <c r="B1864" s="8" t="inlineStr">
        <is>
          <t>ORD-000948</t>
        </is>
      </c>
      <c r="C1864" s="10" t="inlineStr">
        <is>
          <t>2024-08-18</t>
        </is>
      </c>
      <c r="D1864" s="8" t="inlineStr">
        <is>
          <t>CUST-04297</t>
        </is>
      </c>
      <c r="E1864" s="8" t="inlineStr">
        <is>
          <t>PRD-0417</t>
        </is>
      </c>
      <c r="F1864" s="8" t="n">
        <v>1</v>
      </c>
      <c r="G1864" s="9">
        <f>IFERROR(XLOOKUP(E1864, '04_Products'!$A:$A, '04_Products'!$G:$G), 134.04)</f>
        <v/>
      </c>
      <c r="H1864" s="9">
        <f>IFERROR(XLOOKUP(E1864, '04_Products'!$A:$A, '04_Products'!$F:$F), 0)</f>
        <v/>
      </c>
      <c r="I1864" s="9">
        <f>F1864*G1864</f>
        <v/>
      </c>
      <c r="J1864" s="11" t="n">
        <v>0.1</v>
      </c>
      <c r="K1864" s="9">
        <f>I1864*J1864</f>
        <v/>
      </c>
      <c r="L1864" s="9">
        <f>I1864-K1864</f>
        <v/>
      </c>
      <c r="M1864" s="9">
        <f>F1864*H1864</f>
        <v/>
      </c>
      <c r="N1864" s="9">
        <f>L1864-M1864</f>
        <v/>
      </c>
      <c r="O1864" s="11">
        <f>IFERROR(N1864/L1864, 0)</f>
        <v/>
      </c>
      <c r="P1864" s="8">
        <f>YEAR(C1864)</f>
        <v/>
      </c>
      <c r="Q1864" s="8">
        <f>TEXT(C1864, "yyyy-mm")</f>
        <v/>
      </c>
      <c r="R1864" s="8" t="inlineStr">
        <is>
          <t>Mobile App</t>
        </is>
      </c>
      <c r="S1864" s="8" t="inlineStr">
        <is>
          <t>REG-NA</t>
        </is>
      </c>
    </row>
    <row r="1865">
      <c r="A1865" s="8" t="inlineStr">
        <is>
          <t>DTL-0001890</t>
        </is>
      </c>
      <c r="B1865" s="8" t="inlineStr">
        <is>
          <t>ORD-000948</t>
        </is>
      </c>
      <c r="C1865" s="10" t="inlineStr">
        <is>
          <t>2024-08-18</t>
        </is>
      </c>
      <c r="D1865" s="8" t="inlineStr">
        <is>
          <t>CUST-04297</t>
        </is>
      </c>
      <c r="E1865" s="8" t="inlineStr">
        <is>
          <t>PRD-0487</t>
        </is>
      </c>
      <c r="F1865" s="8" t="n">
        <v>1</v>
      </c>
      <c r="G1865" s="9">
        <f>IFERROR(XLOOKUP(E1865, '04_Products'!$A:$A, '04_Products'!$G:$G), 183.38)</f>
        <v/>
      </c>
      <c r="H1865" s="9">
        <f>IFERROR(XLOOKUP(E1865, '04_Products'!$A:$A, '04_Products'!$F:$F), 0)</f>
        <v/>
      </c>
      <c r="I1865" s="9">
        <f>F1865*G1865</f>
        <v/>
      </c>
      <c r="J1865" s="11" t="n">
        <v>0.15</v>
      </c>
      <c r="K1865" s="9">
        <f>I1865*J1865</f>
        <v/>
      </c>
      <c r="L1865" s="9">
        <f>I1865-K1865</f>
        <v/>
      </c>
      <c r="M1865" s="9">
        <f>F1865*H1865</f>
        <v/>
      </c>
      <c r="N1865" s="9">
        <f>L1865-M1865</f>
        <v/>
      </c>
      <c r="O1865" s="11">
        <f>IFERROR(N1865/L1865, 0)</f>
        <v/>
      </c>
      <c r="P1865" s="8">
        <f>YEAR(C1865)</f>
        <v/>
      </c>
      <c r="Q1865" s="8">
        <f>TEXT(C1865, "yyyy-mm")</f>
        <v/>
      </c>
      <c r="R1865" s="8" t="inlineStr">
        <is>
          <t>Mobile App</t>
        </is>
      </c>
      <c r="S1865" s="8" t="inlineStr">
        <is>
          <t>REG-NA</t>
        </is>
      </c>
    </row>
    <row r="1866">
      <c r="A1866" s="8" t="inlineStr">
        <is>
          <t>DTL-0001891</t>
        </is>
      </c>
      <c r="B1866" s="8" t="inlineStr">
        <is>
          <t>ORD-000948</t>
        </is>
      </c>
      <c r="C1866" s="10" t="inlineStr">
        <is>
          <t>2024-08-18</t>
        </is>
      </c>
      <c r="D1866" s="8" t="inlineStr">
        <is>
          <t>CUST-04297</t>
        </is>
      </c>
      <c r="E1866" s="8" t="inlineStr">
        <is>
          <t>PRD-0075</t>
        </is>
      </c>
      <c r="F1866" s="8" t="n">
        <v>1</v>
      </c>
      <c r="G1866" s="9">
        <f>IFERROR(XLOOKUP(E1866, '04_Products'!$A:$A, '04_Products'!$G:$G), 20.47)</f>
        <v/>
      </c>
      <c r="H1866" s="9">
        <f>IFERROR(XLOOKUP(E1866, '04_Products'!$A:$A, '04_Products'!$F:$F), 0)</f>
        <v/>
      </c>
      <c r="I1866" s="9">
        <f>F1866*G1866</f>
        <v/>
      </c>
      <c r="J1866" s="11" t="n">
        <v>0.05</v>
      </c>
      <c r="K1866" s="9">
        <f>I1866*J1866</f>
        <v/>
      </c>
      <c r="L1866" s="9">
        <f>I1866-K1866</f>
        <v/>
      </c>
      <c r="M1866" s="9">
        <f>F1866*H1866</f>
        <v/>
      </c>
      <c r="N1866" s="9">
        <f>L1866-M1866</f>
        <v/>
      </c>
      <c r="O1866" s="11">
        <f>IFERROR(N1866/L1866, 0)</f>
        <v/>
      </c>
      <c r="P1866" s="8">
        <f>YEAR(C1866)</f>
        <v/>
      </c>
      <c r="Q1866" s="8">
        <f>TEXT(C1866, "yyyy-mm")</f>
        <v/>
      </c>
      <c r="R1866" s="8" t="inlineStr">
        <is>
          <t>Mobile App</t>
        </is>
      </c>
      <c r="S1866" s="8" t="inlineStr">
        <is>
          <t>REG-NA</t>
        </is>
      </c>
    </row>
    <row r="1867">
      <c r="A1867" s="8" t="inlineStr">
        <is>
          <t>DTL-0001892</t>
        </is>
      </c>
      <c r="B1867" s="8" t="inlineStr">
        <is>
          <t>ORD-000949</t>
        </is>
      </c>
      <c r="C1867" s="10" t="inlineStr">
        <is>
          <t>2024-07-14</t>
        </is>
      </c>
      <c r="D1867" s="8" t="inlineStr">
        <is>
          <t>CUST-07982</t>
        </is>
      </c>
      <c r="E1867" s="8" t="inlineStr">
        <is>
          <t>PRD-0290</t>
        </is>
      </c>
      <c r="F1867" s="8" t="n">
        <v>1</v>
      </c>
      <c r="G1867" s="9">
        <f>IFERROR(XLOOKUP(E1867, '04_Products'!$A:$A, '04_Products'!$G:$G), 404.49)</f>
        <v/>
      </c>
      <c r="H1867" s="9">
        <f>IFERROR(XLOOKUP(E1867, '04_Products'!$A:$A, '04_Products'!$F:$F), 0)</f>
        <v/>
      </c>
      <c r="I1867" s="9">
        <f>F1867*G1867</f>
        <v/>
      </c>
      <c r="J1867" s="11" t="n">
        <v>0</v>
      </c>
      <c r="K1867" s="9">
        <f>I1867*J1867</f>
        <v/>
      </c>
      <c r="L1867" s="9">
        <f>I1867-K1867</f>
        <v/>
      </c>
      <c r="M1867" s="9">
        <f>F1867*H1867</f>
        <v/>
      </c>
      <c r="N1867" s="9">
        <f>L1867-M1867</f>
        <v/>
      </c>
      <c r="O1867" s="11">
        <f>IFERROR(N1867/L1867, 0)</f>
        <v/>
      </c>
      <c r="P1867" s="8">
        <f>YEAR(C1867)</f>
        <v/>
      </c>
      <c r="Q1867" s="8">
        <f>TEXT(C1867, "yyyy-mm")</f>
        <v/>
      </c>
      <c r="R1867" s="8" t="inlineStr">
        <is>
          <t>Direct Web</t>
        </is>
      </c>
      <c r="S1867" s="8" t="inlineStr">
        <is>
          <t>REG-NA</t>
        </is>
      </c>
    </row>
    <row r="1868">
      <c r="A1868" s="8" t="inlineStr">
        <is>
          <t>DTL-0001893</t>
        </is>
      </c>
      <c r="B1868" s="8" t="inlineStr">
        <is>
          <t>ORD-000949</t>
        </is>
      </c>
      <c r="C1868" s="10" t="inlineStr">
        <is>
          <t>2024-07-14</t>
        </is>
      </c>
      <c r="D1868" s="8" t="inlineStr">
        <is>
          <t>CUST-07982</t>
        </is>
      </c>
      <c r="E1868" s="8" t="inlineStr">
        <is>
          <t>PRD-0016</t>
        </is>
      </c>
      <c r="F1868" s="8" t="n">
        <v>1</v>
      </c>
      <c r="G1868" s="9">
        <f>IFERROR(XLOOKUP(E1868, '04_Products'!$A:$A, '04_Products'!$G:$G), 160.40)</f>
        <v/>
      </c>
      <c r="H1868" s="9">
        <f>IFERROR(XLOOKUP(E1868, '04_Products'!$A:$A, '04_Products'!$F:$F), 0)</f>
        <v/>
      </c>
      <c r="I1868" s="9">
        <f>F1868*G1868</f>
        <v/>
      </c>
      <c r="J1868" s="11" t="n">
        <v>0</v>
      </c>
      <c r="K1868" s="9">
        <f>I1868*J1868</f>
        <v/>
      </c>
      <c r="L1868" s="9">
        <f>I1868-K1868</f>
        <v/>
      </c>
      <c r="M1868" s="9">
        <f>F1868*H1868</f>
        <v/>
      </c>
      <c r="N1868" s="9">
        <f>L1868-M1868</f>
        <v/>
      </c>
      <c r="O1868" s="11">
        <f>IFERROR(N1868/L1868, 0)</f>
        <v/>
      </c>
      <c r="P1868" s="8">
        <f>YEAR(C1868)</f>
        <v/>
      </c>
      <c r="Q1868" s="8">
        <f>TEXT(C1868, "yyyy-mm")</f>
        <v/>
      </c>
      <c r="R1868" s="8" t="inlineStr">
        <is>
          <t>Direct Web</t>
        </is>
      </c>
      <c r="S1868" s="8" t="inlineStr">
        <is>
          <t>REG-NA</t>
        </is>
      </c>
    </row>
    <row r="1869">
      <c r="A1869" s="8" t="inlineStr">
        <is>
          <t>DTL-0001894</t>
        </is>
      </c>
      <c r="B1869" s="8" t="inlineStr">
        <is>
          <t>ORD-000950</t>
        </is>
      </c>
      <c r="C1869" s="10" t="inlineStr">
        <is>
          <t>2025-12-30</t>
        </is>
      </c>
      <c r="D1869" s="8" t="inlineStr">
        <is>
          <t>CUST-01490</t>
        </is>
      </c>
      <c r="E1869" s="8" t="inlineStr">
        <is>
          <t>PRD-0038</t>
        </is>
      </c>
      <c r="F1869" s="8" t="n">
        <v>1</v>
      </c>
      <c r="G1869" s="9">
        <f>IFERROR(XLOOKUP(E1869, '04_Products'!$A:$A, '04_Products'!$G:$G), 220.46)</f>
        <v/>
      </c>
      <c r="H1869" s="9">
        <f>IFERROR(XLOOKUP(E1869, '04_Products'!$A:$A, '04_Products'!$F:$F), 0)</f>
        <v/>
      </c>
      <c r="I1869" s="9">
        <f>F1869*G1869</f>
        <v/>
      </c>
      <c r="J1869" s="11" t="n">
        <v>0</v>
      </c>
      <c r="K1869" s="9">
        <f>I1869*J1869</f>
        <v/>
      </c>
      <c r="L1869" s="9">
        <f>I1869-K1869</f>
        <v/>
      </c>
      <c r="M1869" s="9">
        <f>F1869*H1869</f>
        <v/>
      </c>
      <c r="N1869" s="9">
        <f>L1869-M1869</f>
        <v/>
      </c>
      <c r="O1869" s="11">
        <f>IFERROR(N1869/L1869, 0)</f>
        <v/>
      </c>
      <c r="P1869" s="8">
        <f>YEAR(C1869)</f>
        <v/>
      </c>
      <c r="Q1869" s="8">
        <f>TEXT(C1869, "yyyy-mm")</f>
        <v/>
      </c>
      <c r="R1869" s="8" t="inlineStr">
        <is>
          <t>Mobile App</t>
        </is>
      </c>
      <c r="S1869" s="8" t="inlineStr">
        <is>
          <t>REG-EU</t>
        </is>
      </c>
    </row>
    <row r="1870">
      <c r="A1870" s="8" t="inlineStr">
        <is>
          <t>DTL-0001895</t>
        </is>
      </c>
      <c r="B1870" s="8" t="inlineStr">
        <is>
          <t>ORD-000950</t>
        </is>
      </c>
      <c r="C1870" s="10" t="inlineStr">
        <is>
          <t>2025-12-30</t>
        </is>
      </c>
      <c r="D1870" s="8" t="inlineStr">
        <is>
          <t>CUST-01490</t>
        </is>
      </c>
      <c r="E1870" s="8" t="inlineStr">
        <is>
          <t>PRD-0449</t>
        </is>
      </c>
      <c r="F1870" s="8" t="n">
        <v>8</v>
      </c>
      <c r="G1870" s="9">
        <f>IFERROR(XLOOKUP(E1870, '04_Products'!$A:$A, '04_Products'!$G:$G), 856.09)</f>
        <v/>
      </c>
      <c r="H1870" s="9">
        <f>IFERROR(XLOOKUP(E1870, '04_Products'!$A:$A, '04_Products'!$F:$F), 0)</f>
        <v/>
      </c>
      <c r="I1870" s="9">
        <f>F1870*G1870</f>
        <v/>
      </c>
      <c r="J1870" s="11" t="n">
        <v>0</v>
      </c>
      <c r="K1870" s="9">
        <f>I1870*J1870</f>
        <v/>
      </c>
      <c r="L1870" s="9">
        <f>I1870-K1870</f>
        <v/>
      </c>
      <c r="M1870" s="9">
        <f>F1870*H1870</f>
        <v/>
      </c>
      <c r="N1870" s="9">
        <f>L1870-M1870</f>
        <v/>
      </c>
      <c r="O1870" s="11">
        <f>IFERROR(N1870/L1870, 0)</f>
        <v/>
      </c>
      <c r="P1870" s="8">
        <f>YEAR(C1870)</f>
        <v/>
      </c>
      <c r="Q1870" s="8">
        <f>TEXT(C1870, "yyyy-mm")</f>
        <v/>
      </c>
      <c r="R1870" s="8" t="inlineStr">
        <is>
          <t>Mobile App</t>
        </is>
      </c>
      <c r="S1870" s="8" t="inlineStr">
        <is>
          <t>REG-EU</t>
        </is>
      </c>
    </row>
    <row r="1871">
      <c r="A1871" s="8" t="inlineStr">
        <is>
          <t>DTL-0001896</t>
        </is>
      </c>
      <c r="B1871" s="8" t="inlineStr">
        <is>
          <t>ORD-000950</t>
        </is>
      </c>
      <c r="C1871" s="10" t="inlineStr">
        <is>
          <t>2025-12-30</t>
        </is>
      </c>
      <c r="D1871" s="8" t="inlineStr">
        <is>
          <t>CUST-01490</t>
        </is>
      </c>
      <c r="E1871" s="8" t="inlineStr">
        <is>
          <t>PRD-0055</t>
        </is>
      </c>
      <c r="F1871" s="8" t="n">
        <v>5</v>
      </c>
      <c r="G1871" s="9">
        <f>IFERROR(XLOOKUP(E1871, '04_Products'!$A:$A, '04_Products'!$G:$G), 600.42)</f>
        <v/>
      </c>
      <c r="H1871" s="9">
        <f>IFERROR(XLOOKUP(E1871, '04_Products'!$A:$A, '04_Products'!$F:$F), 0)</f>
        <v/>
      </c>
      <c r="I1871" s="9">
        <f>F1871*G1871</f>
        <v/>
      </c>
      <c r="J1871" s="11" t="n">
        <v>0</v>
      </c>
      <c r="K1871" s="9">
        <f>I1871*J1871</f>
        <v/>
      </c>
      <c r="L1871" s="9">
        <f>I1871-K1871</f>
        <v/>
      </c>
      <c r="M1871" s="9">
        <f>F1871*H1871</f>
        <v/>
      </c>
      <c r="N1871" s="9">
        <f>L1871-M1871</f>
        <v/>
      </c>
      <c r="O1871" s="11">
        <f>IFERROR(N1871/L1871, 0)</f>
        <v/>
      </c>
      <c r="P1871" s="8">
        <f>YEAR(C1871)</f>
        <v/>
      </c>
      <c r="Q1871" s="8">
        <f>TEXT(C1871, "yyyy-mm")</f>
        <v/>
      </c>
      <c r="R1871" s="8" t="inlineStr">
        <is>
          <t>Mobile App</t>
        </is>
      </c>
      <c r="S1871" s="8" t="inlineStr">
        <is>
          <t>REG-EU</t>
        </is>
      </c>
    </row>
    <row r="1872">
      <c r="A1872" s="8" t="inlineStr">
        <is>
          <t>DTL-0001897</t>
        </is>
      </c>
      <c r="B1872" s="8" t="inlineStr">
        <is>
          <t>ORD-000950</t>
        </is>
      </c>
      <c r="C1872" s="10" t="inlineStr">
        <is>
          <t>2025-12-30</t>
        </is>
      </c>
      <c r="D1872" s="8" t="inlineStr">
        <is>
          <t>CUST-01490</t>
        </is>
      </c>
      <c r="E1872" s="8" t="inlineStr">
        <is>
          <t>PRD-0345</t>
        </is>
      </c>
      <c r="F1872" s="8" t="n">
        <v>1</v>
      </c>
      <c r="G1872" s="9">
        <f>IFERROR(XLOOKUP(E1872, '04_Products'!$A:$A, '04_Products'!$G:$G), 59.07)</f>
        <v/>
      </c>
      <c r="H1872" s="9">
        <f>IFERROR(XLOOKUP(E1872, '04_Products'!$A:$A, '04_Products'!$F:$F), 0)</f>
        <v/>
      </c>
      <c r="I1872" s="9">
        <f>F1872*G1872</f>
        <v/>
      </c>
      <c r="J1872" s="11" t="n">
        <v>0</v>
      </c>
      <c r="K1872" s="9">
        <f>I1872*J1872</f>
        <v/>
      </c>
      <c r="L1872" s="9">
        <f>I1872-K1872</f>
        <v/>
      </c>
      <c r="M1872" s="9">
        <f>F1872*H1872</f>
        <v/>
      </c>
      <c r="N1872" s="9">
        <f>L1872-M1872</f>
        <v/>
      </c>
      <c r="O1872" s="11">
        <f>IFERROR(N1872/L1872, 0)</f>
        <v/>
      </c>
      <c r="P1872" s="8">
        <f>YEAR(C1872)</f>
        <v/>
      </c>
      <c r="Q1872" s="8">
        <f>TEXT(C1872, "yyyy-mm")</f>
        <v/>
      </c>
      <c r="R1872" s="8" t="inlineStr">
        <is>
          <t>Mobile App</t>
        </is>
      </c>
      <c r="S1872" s="8" t="inlineStr">
        <is>
          <t>REG-EU</t>
        </is>
      </c>
    </row>
    <row r="1873">
      <c r="A1873" s="8" t="inlineStr">
        <is>
          <t>DTL-0001898</t>
        </is>
      </c>
      <c r="B1873" s="8" t="inlineStr">
        <is>
          <t>ORD-000951</t>
        </is>
      </c>
      <c r="C1873" s="10" t="inlineStr">
        <is>
          <t>2024-10-06</t>
        </is>
      </c>
      <c r="D1873" s="8" t="inlineStr">
        <is>
          <t>CUST-04480</t>
        </is>
      </c>
      <c r="E1873" s="8" t="inlineStr">
        <is>
          <t>PRD-0441</t>
        </is>
      </c>
      <c r="F1873" s="8" t="n">
        <v>1</v>
      </c>
      <c r="G1873" s="9">
        <f>IFERROR(XLOOKUP(E1873, '04_Products'!$A:$A, '04_Products'!$G:$G), 1128.16)</f>
        <v/>
      </c>
      <c r="H1873" s="9">
        <f>IFERROR(XLOOKUP(E1873, '04_Products'!$A:$A, '04_Products'!$F:$F), 0)</f>
        <v/>
      </c>
      <c r="I1873" s="9">
        <f>F1873*G1873</f>
        <v/>
      </c>
      <c r="J1873" s="11" t="n">
        <v>0</v>
      </c>
      <c r="K1873" s="9">
        <f>I1873*J1873</f>
        <v/>
      </c>
      <c r="L1873" s="9">
        <f>I1873-K1873</f>
        <v/>
      </c>
      <c r="M1873" s="9">
        <f>F1873*H1873</f>
        <v/>
      </c>
      <c r="N1873" s="9">
        <f>L1873-M1873</f>
        <v/>
      </c>
      <c r="O1873" s="11">
        <f>IFERROR(N1873/L1873, 0)</f>
        <v/>
      </c>
      <c r="P1873" s="8">
        <f>YEAR(C1873)</f>
        <v/>
      </c>
      <c r="Q1873" s="8">
        <f>TEXT(C1873, "yyyy-mm")</f>
        <v/>
      </c>
      <c r="R1873" s="8" t="inlineStr">
        <is>
          <t>B2B Portal</t>
        </is>
      </c>
      <c r="S1873" s="8" t="inlineStr">
        <is>
          <t>REG-APAC</t>
        </is>
      </c>
    </row>
    <row r="1874">
      <c r="A1874" s="8" t="inlineStr">
        <is>
          <t>DTL-0001899</t>
        </is>
      </c>
      <c r="B1874" s="8" t="inlineStr">
        <is>
          <t>ORD-000951</t>
        </is>
      </c>
      <c r="C1874" s="10" t="inlineStr">
        <is>
          <t>2024-10-06</t>
        </is>
      </c>
      <c r="D1874" s="8" t="inlineStr">
        <is>
          <t>CUST-04480</t>
        </is>
      </c>
      <c r="E1874" s="8" t="inlineStr">
        <is>
          <t>PRD-0027</t>
        </is>
      </c>
      <c r="F1874" s="8" t="n">
        <v>1</v>
      </c>
      <c r="G1874" s="9">
        <f>IFERROR(XLOOKUP(E1874, '04_Products'!$A:$A, '04_Products'!$G:$G), 11.10)</f>
        <v/>
      </c>
      <c r="H1874" s="9">
        <f>IFERROR(XLOOKUP(E1874, '04_Products'!$A:$A, '04_Products'!$F:$F), 0)</f>
        <v/>
      </c>
      <c r="I1874" s="9">
        <f>F1874*G1874</f>
        <v/>
      </c>
      <c r="J1874" s="11" t="n">
        <v>0</v>
      </c>
      <c r="K1874" s="9">
        <f>I1874*J1874</f>
        <v/>
      </c>
      <c r="L1874" s="9">
        <f>I1874-K1874</f>
        <v/>
      </c>
      <c r="M1874" s="9">
        <f>F1874*H1874</f>
        <v/>
      </c>
      <c r="N1874" s="9">
        <f>L1874-M1874</f>
        <v/>
      </c>
      <c r="O1874" s="11">
        <f>IFERROR(N1874/L1874, 0)</f>
        <v/>
      </c>
      <c r="P1874" s="8">
        <f>YEAR(C1874)</f>
        <v/>
      </c>
      <c r="Q1874" s="8">
        <f>TEXT(C1874, "yyyy-mm")</f>
        <v/>
      </c>
      <c r="R1874" s="8" t="inlineStr">
        <is>
          <t>B2B Portal</t>
        </is>
      </c>
      <c r="S1874" s="8" t="inlineStr">
        <is>
          <t>REG-APAC</t>
        </is>
      </c>
    </row>
    <row r="1875">
      <c r="A1875" s="8" t="inlineStr">
        <is>
          <t>DTL-0001900</t>
        </is>
      </c>
      <c r="B1875" s="8" t="inlineStr">
        <is>
          <t>ORD-000952</t>
        </is>
      </c>
      <c r="C1875" s="10" t="inlineStr">
        <is>
          <t>2023-10-03</t>
        </is>
      </c>
      <c r="D1875" s="8" t="inlineStr">
        <is>
          <t>CUST-04374</t>
        </is>
      </c>
      <c r="E1875" s="8" t="inlineStr">
        <is>
          <t>PRD-0163</t>
        </is>
      </c>
      <c r="F1875" s="8" t="n">
        <v>2</v>
      </c>
      <c r="G1875" s="9">
        <f>IFERROR(XLOOKUP(E1875, '04_Products'!$A:$A, '04_Products'!$G:$G), 101.40)</f>
        <v/>
      </c>
      <c r="H1875" s="9">
        <f>IFERROR(XLOOKUP(E1875, '04_Products'!$A:$A, '04_Products'!$F:$F), 0)</f>
        <v/>
      </c>
      <c r="I1875" s="9">
        <f>F1875*G1875</f>
        <v/>
      </c>
      <c r="J1875" s="11" t="n">
        <v>0.1</v>
      </c>
      <c r="K1875" s="9">
        <f>I1875*J1875</f>
        <v/>
      </c>
      <c r="L1875" s="9">
        <f>I1875-K1875</f>
        <v/>
      </c>
      <c r="M1875" s="9">
        <f>F1875*H1875</f>
        <v/>
      </c>
      <c r="N1875" s="9">
        <f>L1875-M1875</f>
        <v/>
      </c>
      <c r="O1875" s="11">
        <f>IFERROR(N1875/L1875, 0)</f>
        <v/>
      </c>
      <c r="P1875" s="8">
        <f>YEAR(C1875)</f>
        <v/>
      </c>
      <c r="Q1875" s="8">
        <f>TEXT(C1875, "yyyy-mm")</f>
        <v/>
      </c>
      <c r="R1875" s="8" t="inlineStr">
        <is>
          <t>Direct Web</t>
        </is>
      </c>
      <c r="S1875" s="8" t="inlineStr">
        <is>
          <t>REG-NA</t>
        </is>
      </c>
    </row>
    <row r="1876">
      <c r="A1876" s="8" t="inlineStr">
        <is>
          <t>DTL-0001901</t>
        </is>
      </c>
      <c r="B1876" s="8" t="inlineStr">
        <is>
          <t>ORD-000953</t>
        </is>
      </c>
      <c r="C1876" s="10" t="inlineStr">
        <is>
          <t>2025-04-18</t>
        </is>
      </c>
      <c r="D1876" s="8" t="inlineStr">
        <is>
          <t>CUST-01062</t>
        </is>
      </c>
      <c r="E1876" s="8" t="inlineStr">
        <is>
          <t>PRD-0094</t>
        </is>
      </c>
      <c r="F1876" s="8" t="n">
        <v>3</v>
      </c>
      <c r="G1876" s="9">
        <f>IFERROR(XLOOKUP(E1876, '04_Products'!$A:$A, '04_Products'!$G:$G), 282.30)</f>
        <v/>
      </c>
      <c r="H1876" s="9">
        <f>IFERROR(XLOOKUP(E1876, '04_Products'!$A:$A, '04_Products'!$F:$F), 0)</f>
        <v/>
      </c>
      <c r="I1876" s="9">
        <f>F1876*G1876</f>
        <v/>
      </c>
      <c r="J1876" s="11" t="n">
        <v>0</v>
      </c>
      <c r="K1876" s="9">
        <f>I1876*J1876</f>
        <v/>
      </c>
      <c r="L1876" s="9">
        <f>I1876-K1876</f>
        <v/>
      </c>
      <c r="M1876" s="9">
        <f>F1876*H1876</f>
        <v/>
      </c>
      <c r="N1876" s="9">
        <f>L1876-M1876</f>
        <v/>
      </c>
      <c r="O1876" s="11">
        <f>IFERROR(N1876/L1876, 0)</f>
        <v/>
      </c>
      <c r="P1876" s="8">
        <f>YEAR(C1876)</f>
        <v/>
      </c>
      <c r="Q1876" s="8">
        <f>TEXT(C1876, "yyyy-mm")</f>
        <v/>
      </c>
      <c r="R1876" s="8" t="inlineStr">
        <is>
          <t>Direct Web</t>
        </is>
      </c>
      <c r="S1876" s="8" t="inlineStr">
        <is>
          <t>REG-NA</t>
        </is>
      </c>
    </row>
    <row r="1877">
      <c r="A1877" s="8" t="inlineStr">
        <is>
          <t>DTL-0001902</t>
        </is>
      </c>
      <c r="B1877" s="8" t="inlineStr">
        <is>
          <t>ORD-000953</t>
        </is>
      </c>
      <c r="C1877" s="10" t="inlineStr">
        <is>
          <t>2025-04-18</t>
        </is>
      </c>
      <c r="D1877" s="8" t="inlineStr">
        <is>
          <t>CUST-01062</t>
        </is>
      </c>
      <c r="E1877" s="8" t="inlineStr">
        <is>
          <t>PRD-0424</t>
        </is>
      </c>
      <c r="F1877" s="8" t="n">
        <v>1</v>
      </c>
      <c r="G1877" s="9">
        <f>IFERROR(XLOOKUP(E1877, '04_Products'!$A:$A, '04_Products'!$G:$G), 268.72)</f>
        <v/>
      </c>
      <c r="H1877" s="9">
        <f>IFERROR(XLOOKUP(E1877, '04_Products'!$A:$A, '04_Products'!$F:$F), 0)</f>
        <v/>
      </c>
      <c r="I1877" s="9">
        <f>F1877*G1877</f>
        <v/>
      </c>
      <c r="J1877" s="11" t="n">
        <v>0</v>
      </c>
      <c r="K1877" s="9">
        <f>I1877*J1877</f>
        <v/>
      </c>
      <c r="L1877" s="9">
        <f>I1877-K1877</f>
        <v/>
      </c>
      <c r="M1877" s="9">
        <f>F1877*H1877</f>
        <v/>
      </c>
      <c r="N1877" s="9">
        <f>L1877-M1877</f>
        <v/>
      </c>
      <c r="O1877" s="11">
        <f>IFERROR(N1877/L1877, 0)</f>
        <v/>
      </c>
      <c r="P1877" s="8">
        <f>YEAR(C1877)</f>
        <v/>
      </c>
      <c r="Q1877" s="8">
        <f>TEXT(C1877, "yyyy-mm")</f>
        <v/>
      </c>
      <c r="R1877" s="8" t="inlineStr">
        <is>
          <t>Direct Web</t>
        </is>
      </c>
      <c r="S1877" s="8" t="inlineStr">
        <is>
          <t>REG-NA</t>
        </is>
      </c>
    </row>
    <row r="1878">
      <c r="A1878" s="8" t="inlineStr">
        <is>
          <t>DTL-0001903</t>
        </is>
      </c>
      <c r="B1878" s="8" t="inlineStr">
        <is>
          <t>ORD-000954</t>
        </is>
      </c>
      <c r="C1878" s="10" t="inlineStr">
        <is>
          <t>2025-01-28</t>
        </is>
      </c>
      <c r="D1878" s="8" t="inlineStr">
        <is>
          <t>CUST-04058</t>
        </is>
      </c>
      <c r="E1878" s="8" t="inlineStr">
        <is>
          <t>PRD-0193</t>
        </is>
      </c>
      <c r="F1878" s="8" t="n">
        <v>1</v>
      </c>
      <c r="G1878" s="9">
        <f>IFERROR(XLOOKUP(E1878, '04_Products'!$A:$A, '04_Products'!$G:$G), 791.50)</f>
        <v/>
      </c>
      <c r="H1878" s="9">
        <f>IFERROR(XLOOKUP(E1878, '04_Products'!$A:$A, '04_Products'!$F:$F), 0)</f>
        <v/>
      </c>
      <c r="I1878" s="9">
        <f>F1878*G1878</f>
        <v/>
      </c>
      <c r="J1878" s="11" t="n">
        <v>0</v>
      </c>
      <c r="K1878" s="9">
        <f>I1878*J1878</f>
        <v/>
      </c>
      <c r="L1878" s="9">
        <f>I1878-K1878</f>
        <v/>
      </c>
      <c r="M1878" s="9">
        <f>F1878*H1878</f>
        <v/>
      </c>
      <c r="N1878" s="9">
        <f>L1878-M1878</f>
        <v/>
      </c>
      <c r="O1878" s="11">
        <f>IFERROR(N1878/L1878, 0)</f>
        <v/>
      </c>
      <c r="P1878" s="8">
        <f>YEAR(C1878)</f>
        <v/>
      </c>
      <c r="Q1878" s="8">
        <f>TEXT(C1878, "yyyy-mm")</f>
        <v/>
      </c>
      <c r="R1878" s="8" t="inlineStr">
        <is>
          <t>B2B Portal</t>
        </is>
      </c>
      <c r="S1878" s="8" t="inlineStr">
        <is>
          <t>REG-APAC</t>
        </is>
      </c>
    </row>
    <row r="1879">
      <c r="A1879" s="8" t="inlineStr">
        <is>
          <t>DTL-0001904</t>
        </is>
      </c>
      <c r="B1879" s="8" t="inlineStr">
        <is>
          <t>ORD-000955</t>
        </is>
      </c>
      <c r="C1879" s="10" t="inlineStr">
        <is>
          <t>2023-04-13</t>
        </is>
      </c>
      <c r="D1879" s="8" t="inlineStr">
        <is>
          <t>CUST-07459</t>
        </is>
      </c>
      <c r="E1879" s="8" t="inlineStr">
        <is>
          <t>PRD-0049</t>
        </is>
      </c>
      <c r="F1879" s="8" t="n">
        <v>1</v>
      </c>
      <c r="G1879" s="9">
        <f>IFERROR(XLOOKUP(E1879, '04_Products'!$A:$A, '04_Products'!$G:$G), 742.52)</f>
        <v/>
      </c>
      <c r="H1879" s="9">
        <f>IFERROR(XLOOKUP(E1879, '04_Products'!$A:$A, '04_Products'!$F:$F), 0)</f>
        <v/>
      </c>
      <c r="I1879" s="9">
        <f>F1879*G1879</f>
        <v/>
      </c>
      <c r="J1879" s="11" t="n">
        <v>0</v>
      </c>
      <c r="K1879" s="9">
        <f>I1879*J1879</f>
        <v/>
      </c>
      <c r="L1879" s="9">
        <f>I1879-K1879</f>
        <v/>
      </c>
      <c r="M1879" s="9">
        <f>F1879*H1879</f>
        <v/>
      </c>
      <c r="N1879" s="9">
        <f>L1879-M1879</f>
        <v/>
      </c>
      <c r="O1879" s="11">
        <f>IFERROR(N1879/L1879, 0)</f>
        <v/>
      </c>
      <c r="P1879" s="8">
        <f>YEAR(C1879)</f>
        <v/>
      </c>
      <c r="Q1879" s="8">
        <f>TEXT(C1879, "yyyy-mm")</f>
        <v/>
      </c>
      <c r="R1879" s="8" t="inlineStr">
        <is>
          <t>Mobile App</t>
        </is>
      </c>
      <c r="S1879" s="8" t="inlineStr">
        <is>
          <t>REG-APAC</t>
        </is>
      </c>
    </row>
    <row r="1880">
      <c r="A1880" s="8" t="inlineStr">
        <is>
          <t>DTL-0001905</t>
        </is>
      </c>
      <c r="B1880" s="8" t="inlineStr">
        <is>
          <t>ORD-000956</t>
        </is>
      </c>
      <c r="C1880" s="10" t="inlineStr">
        <is>
          <t>2023-09-19</t>
        </is>
      </c>
      <c r="D1880" s="8" t="inlineStr">
        <is>
          <t>CUST-01670</t>
        </is>
      </c>
      <c r="E1880" s="8" t="inlineStr">
        <is>
          <t>PRD-0351</t>
        </is>
      </c>
      <c r="F1880" s="8" t="n">
        <v>4</v>
      </c>
      <c r="G1880" s="9">
        <f>IFERROR(XLOOKUP(E1880, '04_Products'!$A:$A, '04_Products'!$G:$G), 65.14)</f>
        <v/>
      </c>
      <c r="H1880" s="9">
        <f>IFERROR(XLOOKUP(E1880, '04_Products'!$A:$A, '04_Products'!$F:$F), 0)</f>
        <v/>
      </c>
      <c r="I1880" s="9">
        <f>F1880*G1880</f>
        <v/>
      </c>
      <c r="J1880" s="11" t="n">
        <v>0.2</v>
      </c>
      <c r="K1880" s="9">
        <f>I1880*J1880</f>
        <v/>
      </c>
      <c r="L1880" s="9">
        <f>I1880-K1880</f>
        <v/>
      </c>
      <c r="M1880" s="9">
        <f>F1880*H1880</f>
        <v/>
      </c>
      <c r="N1880" s="9">
        <f>L1880-M1880</f>
        <v/>
      </c>
      <c r="O1880" s="11">
        <f>IFERROR(N1880/L1880, 0)</f>
        <v/>
      </c>
      <c r="P1880" s="8">
        <f>YEAR(C1880)</f>
        <v/>
      </c>
      <c r="Q1880" s="8">
        <f>TEXT(C1880, "yyyy-mm")</f>
        <v/>
      </c>
      <c r="R1880" s="8" t="inlineStr">
        <is>
          <t>Affiliate Partner</t>
        </is>
      </c>
      <c r="S1880" s="8" t="inlineStr">
        <is>
          <t>REG-NA</t>
        </is>
      </c>
    </row>
    <row r="1881">
      <c r="A1881" s="8" t="inlineStr">
        <is>
          <t>DTL-0001906</t>
        </is>
      </c>
      <c r="B1881" s="8" t="inlineStr">
        <is>
          <t>ORD-000957</t>
        </is>
      </c>
      <c r="C1881" s="10" t="inlineStr">
        <is>
          <t>2024-08-25</t>
        </is>
      </c>
      <c r="D1881" s="8" t="inlineStr">
        <is>
          <t>CUST-01496</t>
        </is>
      </c>
      <c r="E1881" s="8" t="inlineStr">
        <is>
          <t>PRD-0420</t>
        </is>
      </c>
      <c r="F1881" s="8" t="n">
        <v>2</v>
      </c>
      <c r="G1881" s="9">
        <f>IFERROR(XLOOKUP(E1881, '04_Products'!$A:$A, '04_Products'!$G:$G), 923.98)</f>
        <v/>
      </c>
      <c r="H1881" s="9">
        <f>IFERROR(XLOOKUP(E1881, '04_Products'!$A:$A, '04_Products'!$F:$F), 0)</f>
        <v/>
      </c>
      <c r="I1881" s="9">
        <f>F1881*G1881</f>
        <v/>
      </c>
      <c r="J1881" s="11" t="n">
        <v>0</v>
      </c>
      <c r="K1881" s="9">
        <f>I1881*J1881</f>
        <v/>
      </c>
      <c r="L1881" s="9">
        <f>I1881-K1881</f>
        <v/>
      </c>
      <c r="M1881" s="9">
        <f>F1881*H1881</f>
        <v/>
      </c>
      <c r="N1881" s="9">
        <f>L1881-M1881</f>
        <v/>
      </c>
      <c r="O1881" s="11">
        <f>IFERROR(N1881/L1881, 0)</f>
        <v/>
      </c>
      <c r="P1881" s="8">
        <f>YEAR(C1881)</f>
        <v/>
      </c>
      <c r="Q1881" s="8">
        <f>TEXT(C1881, "yyyy-mm")</f>
        <v/>
      </c>
      <c r="R1881" s="8" t="inlineStr">
        <is>
          <t>Mobile App</t>
        </is>
      </c>
      <c r="S1881" s="8" t="inlineStr">
        <is>
          <t>REG-EU</t>
        </is>
      </c>
    </row>
    <row r="1882">
      <c r="A1882" s="8" t="inlineStr">
        <is>
          <t>DTL-0001907</t>
        </is>
      </c>
      <c r="B1882" s="8" t="inlineStr">
        <is>
          <t>ORD-000957</t>
        </is>
      </c>
      <c r="C1882" s="10" t="inlineStr">
        <is>
          <t>2024-08-25</t>
        </is>
      </c>
      <c r="D1882" s="8" t="inlineStr">
        <is>
          <t>CUST-01496</t>
        </is>
      </c>
      <c r="E1882" s="8" t="inlineStr">
        <is>
          <t>PRD-0479</t>
        </is>
      </c>
      <c r="F1882" s="8" t="n">
        <v>1</v>
      </c>
      <c r="G1882" s="9">
        <f>IFERROR(XLOOKUP(E1882, '04_Products'!$A:$A, '04_Products'!$G:$G), 816.11)</f>
        <v/>
      </c>
      <c r="H1882" s="9">
        <f>IFERROR(XLOOKUP(E1882, '04_Products'!$A:$A, '04_Products'!$F:$F), 0)</f>
        <v/>
      </c>
      <c r="I1882" s="9">
        <f>F1882*G1882</f>
        <v/>
      </c>
      <c r="J1882" s="11" t="n">
        <v>0.25</v>
      </c>
      <c r="K1882" s="9">
        <f>I1882*J1882</f>
        <v/>
      </c>
      <c r="L1882" s="9">
        <f>I1882-K1882</f>
        <v/>
      </c>
      <c r="M1882" s="9">
        <f>F1882*H1882</f>
        <v/>
      </c>
      <c r="N1882" s="9">
        <f>L1882-M1882</f>
        <v/>
      </c>
      <c r="O1882" s="11">
        <f>IFERROR(N1882/L1882, 0)</f>
        <v/>
      </c>
      <c r="P1882" s="8">
        <f>YEAR(C1882)</f>
        <v/>
      </c>
      <c r="Q1882" s="8">
        <f>TEXT(C1882, "yyyy-mm")</f>
        <v/>
      </c>
      <c r="R1882" s="8" t="inlineStr">
        <is>
          <t>Mobile App</t>
        </is>
      </c>
      <c r="S1882" s="8" t="inlineStr">
        <is>
          <t>REG-EU</t>
        </is>
      </c>
    </row>
    <row r="1883">
      <c r="A1883" s="8" t="inlineStr">
        <is>
          <t>DTL-0001908</t>
        </is>
      </c>
      <c r="B1883" s="8" t="inlineStr">
        <is>
          <t>ORD-000958</t>
        </is>
      </c>
      <c r="C1883" s="10" t="inlineStr">
        <is>
          <t>2025-12-14</t>
        </is>
      </c>
      <c r="D1883" s="8" t="inlineStr">
        <is>
          <t>CUST-03129</t>
        </is>
      </c>
      <c r="E1883" s="8" t="inlineStr">
        <is>
          <t>PRD-0438</t>
        </is>
      </c>
      <c r="F1883" s="8" t="n">
        <v>1</v>
      </c>
      <c r="G1883" s="9">
        <f>IFERROR(XLOOKUP(E1883, '04_Products'!$A:$A, '04_Products'!$G:$G), 981.00)</f>
        <v/>
      </c>
      <c r="H1883" s="9">
        <f>IFERROR(XLOOKUP(E1883, '04_Products'!$A:$A, '04_Products'!$F:$F), 0)</f>
        <v/>
      </c>
      <c r="I1883" s="9">
        <f>F1883*G1883</f>
        <v/>
      </c>
      <c r="J1883" s="11" t="n">
        <v>0.3</v>
      </c>
      <c r="K1883" s="9">
        <f>I1883*J1883</f>
        <v/>
      </c>
      <c r="L1883" s="9">
        <f>I1883-K1883</f>
        <v/>
      </c>
      <c r="M1883" s="9">
        <f>F1883*H1883</f>
        <v/>
      </c>
      <c r="N1883" s="9">
        <f>L1883-M1883</f>
        <v/>
      </c>
      <c r="O1883" s="11">
        <f>IFERROR(N1883/L1883, 0)</f>
        <v/>
      </c>
      <c r="P1883" s="8">
        <f>YEAR(C1883)</f>
        <v/>
      </c>
      <c r="Q1883" s="8">
        <f>TEXT(C1883, "yyyy-mm")</f>
        <v/>
      </c>
      <c r="R1883" s="8" t="inlineStr">
        <is>
          <t>B2B Portal</t>
        </is>
      </c>
      <c r="S1883" s="8" t="inlineStr">
        <is>
          <t>REG-NA</t>
        </is>
      </c>
    </row>
    <row r="1884">
      <c r="A1884" s="8" t="inlineStr">
        <is>
          <t>DTL-0001909</t>
        </is>
      </c>
      <c r="B1884" s="8" t="inlineStr">
        <is>
          <t>ORD-000958</t>
        </is>
      </c>
      <c r="C1884" s="10" t="inlineStr">
        <is>
          <t>2025-12-14</t>
        </is>
      </c>
      <c r="D1884" s="8" t="inlineStr">
        <is>
          <t>CUST-03129</t>
        </is>
      </c>
      <c r="E1884" s="8" t="inlineStr">
        <is>
          <t>PRD-0482</t>
        </is>
      </c>
      <c r="F1884" s="8" t="n">
        <v>4</v>
      </c>
      <c r="G1884" s="9">
        <f>IFERROR(XLOOKUP(E1884, '04_Products'!$A:$A, '04_Products'!$G:$G), 1206.95)</f>
        <v/>
      </c>
      <c r="H1884" s="9">
        <f>IFERROR(XLOOKUP(E1884, '04_Products'!$A:$A, '04_Products'!$F:$F), 0)</f>
        <v/>
      </c>
      <c r="I1884" s="9">
        <f>F1884*G1884</f>
        <v/>
      </c>
      <c r="J1884" s="11" t="n">
        <v>0</v>
      </c>
      <c r="K1884" s="9">
        <f>I1884*J1884</f>
        <v/>
      </c>
      <c r="L1884" s="9">
        <f>I1884-K1884</f>
        <v/>
      </c>
      <c r="M1884" s="9">
        <f>F1884*H1884</f>
        <v/>
      </c>
      <c r="N1884" s="9">
        <f>L1884-M1884</f>
        <v/>
      </c>
      <c r="O1884" s="11">
        <f>IFERROR(N1884/L1884, 0)</f>
        <v/>
      </c>
      <c r="P1884" s="8">
        <f>YEAR(C1884)</f>
        <v/>
      </c>
      <c r="Q1884" s="8">
        <f>TEXT(C1884, "yyyy-mm")</f>
        <v/>
      </c>
      <c r="R1884" s="8" t="inlineStr">
        <is>
          <t>B2B Portal</t>
        </is>
      </c>
      <c r="S1884" s="8" t="inlineStr">
        <is>
          <t>REG-NA</t>
        </is>
      </c>
    </row>
    <row r="1885">
      <c r="A1885" s="8" t="inlineStr">
        <is>
          <t>DTL-0001910</t>
        </is>
      </c>
      <c r="B1885" s="8" t="inlineStr">
        <is>
          <t>ORD-000958</t>
        </is>
      </c>
      <c r="C1885" s="10" t="inlineStr">
        <is>
          <t>2025-12-14</t>
        </is>
      </c>
      <c r="D1885" s="8" t="inlineStr">
        <is>
          <t>CUST-03129</t>
        </is>
      </c>
      <c r="E1885" s="8" t="inlineStr">
        <is>
          <t>PRD-0486</t>
        </is>
      </c>
      <c r="F1885" s="8" t="n">
        <v>1</v>
      </c>
      <c r="G1885" s="9">
        <f>IFERROR(XLOOKUP(E1885, '04_Products'!$A:$A, '04_Products'!$G:$G), 499.02)</f>
        <v/>
      </c>
      <c r="H1885" s="9">
        <f>IFERROR(XLOOKUP(E1885, '04_Products'!$A:$A, '04_Products'!$F:$F), 0)</f>
        <v/>
      </c>
      <c r="I1885" s="9">
        <f>F1885*G1885</f>
        <v/>
      </c>
      <c r="J1885" s="11" t="n">
        <v>0.05</v>
      </c>
      <c r="K1885" s="9">
        <f>I1885*J1885</f>
        <v/>
      </c>
      <c r="L1885" s="9">
        <f>I1885-K1885</f>
        <v/>
      </c>
      <c r="M1885" s="9">
        <f>F1885*H1885</f>
        <v/>
      </c>
      <c r="N1885" s="9">
        <f>L1885-M1885</f>
        <v/>
      </c>
      <c r="O1885" s="11">
        <f>IFERROR(N1885/L1885, 0)</f>
        <v/>
      </c>
      <c r="P1885" s="8">
        <f>YEAR(C1885)</f>
        <v/>
      </c>
      <c r="Q1885" s="8">
        <f>TEXT(C1885, "yyyy-mm")</f>
        <v/>
      </c>
      <c r="R1885" s="8" t="inlineStr">
        <is>
          <t>B2B Portal</t>
        </is>
      </c>
      <c r="S1885" s="8" t="inlineStr">
        <is>
          <t>REG-NA</t>
        </is>
      </c>
    </row>
    <row r="1886">
      <c r="A1886" s="8" t="inlineStr">
        <is>
          <t>DTL-0001911</t>
        </is>
      </c>
      <c r="B1886" s="8" t="inlineStr">
        <is>
          <t>ORD-000959</t>
        </is>
      </c>
      <c r="C1886" s="10" t="inlineStr">
        <is>
          <t>2023-10-18</t>
        </is>
      </c>
      <c r="D1886" s="8" t="inlineStr">
        <is>
          <t>CUST-05134</t>
        </is>
      </c>
      <c r="E1886" s="8" t="inlineStr">
        <is>
          <t>PRD-0007</t>
        </is>
      </c>
      <c r="F1886" s="8" t="n">
        <v>2</v>
      </c>
      <c r="G1886" s="9">
        <f>IFERROR(XLOOKUP(E1886, '04_Products'!$A:$A, '04_Products'!$G:$G), 254.43)</f>
        <v/>
      </c>
      <c r="H1886" s="9">
        <f>IFERROR(XLOOKUP(E1886, '04_Products'!$A:$A, '04_Products'!$F:$F), 0)</f>
        <v/>
      </c>
      <c r="I1886" s="9">
        <f>F1886*G1886</f>
        <v/>
      </c>
      <c r="J1886" s="11" t="n">
        <v>0</v>
      </c>
      <c r="K1886" s="9">
        <f>I1886*J1886</f>
        <v/>
      </c>
      <c r="L1886" s="9">
        <f>I1886-K1886</f>
        <v/>
      </c>
      <c r="M1886" s="9">
        <f>F1886*H1886</f>
        <v/>
      </c>
      <c r="N1886" s="9">
        <f>L1886-M1886</f>
        <v/>
      </c>
      <c r="O1886" s="11">
        <f>IFERROR(N1886/L1886, 0)</f>
        <v/>
      </c>
      <c r="P1886" s="8">
        <f>YEAR(C1886)</f>
        <v/>
      </c>
      <c r="Q1886" s="8">
        <f>TEXT(C1886, "yyyy-mm")</f>
        <v/>
      </c>
      <c r="R1886" s="8" t="inlineStr">
        <is>
          <t>Mobile App</t>
        </is>
      </c>
      <c r="S1886" s="8" t="inlineStr">
        <is>
          <t>REG-LATAM</t>
        </is>
      </c>
    </row>
    <row r="1887">
      <c r="A1887" s="8" t="inlineStr">
        <is>
          <t>DTL-0001912</t>
        </is>
      </c>
      <c r="B1887" s="8" t="inlineStr">
        <is>
          <t>ORD-000960</t>
        </is>
      </c>
      <c r="C1887" s="10" t="inlineStr">
        <is>
          <t>2023-11-29</t>
        </is>
      </c>
      <c r="D1887" s="8" t="inlineStr">
        <is>
          <t>CUST-07698</t>
        </is>
      </c>
      <c r="E1887" s="8" t="inlineStr">
        <is>
          <t>PRD-0348</t>
        </is>
      </c>
      <c r="F1887" s="8" t="n">
        <v>2</v>
      </c>
      <c r="G1887" s="9">
        <f>IFERROR(XLOOKUP(E1887, '04_Products'!$A:$A, '04_Products'!$G:$G), 792.82)</f>
        <v/>
      </c>
      <c r="H1887" s="9">
        <f>IFERROR(XLOOKUP(E1887, '04_Products'!$A:$A, '04_Products'!$F:$F), 0)</f>
        <v/>
      </c>
      <c r="I1887" s="9">
        <f>F1887*G1887</f>
        <v/>
      </c>
      <c r="J1887" s="11" t="n">
        <v>0</v>
      </c>
      <c r="K1887" s="9">
        <f>I1887*J1887</f>
        <v/>
      </c>
      <c r="L1887" s="9">
        <f>I1887-K1887</f>
        <v/>
      </c>
      <c r="M1887" s="9">
        <f>F1887*H1887</f>
        <v/>
      </c>
      <c r="N1887" s="9">
        <f>L1887-M1887</f>
        <v/>
      </c>
      <c r="O1887" s="11">
        <f>IFERROR(N1887/L1887, 0)</f>
        <v/>
      </c>
      <c r="P1887" s="8">
        <f>YEAR(C1887)</f>
        <v/>
      </c>
      <c r="Q1887" s="8">
        <f>TEXT(C1887, "yyyy-mm")</f>
        <v/>
      </c>
      <c r="R1887" s="8" t="inlineStr">
        <is>
          <t>Direct Web</t>
        </is>
      </c>
      <c r="S1887" s="8" t="inlineStr">
        <is>
          <t>REG-LATAM</t>
        </is>
      </c>
    </row>
    <row r="1888">
      <c r="A1888" s="8" t="inlineStr">
        <is>
          <t>DTL-0001913</t>
        </is>
      </c>
      <c r="B1888" s="8" t="inlineStr">
        <is>
          <t>ORD-000961</t>
        </is>
      </c>
      <c r="C1888" s="10" t="inlineStr">
        <is>
          <t>2025-12-07</t>
        </is>
      </c>
      <c r="D1888" s="8" t="inlineStr">
        <is>
          <t>CUST-00168</t>
        </is>
      </c>
      <c r="E1888" s="8" t="inlineStr">
        <is>
          <t>PRD-0412</t>
        </is>
      </c>
      <c r="F1888" s="8" t="n">
        <v>2</v>
      </c>
      <c r="G1888" s="9">
        <f>IFERROR(XLOOKUP(E1888, '04_Products'!$A:$A, '04_Products'!$G:$G), 298.15)</f>
        <v/>
      </c>
      <c r="H1888" s="9">
        <f>IFERROR(XLOOKUP(E1888, '04_Products'!$A:$A, '04_Products'!$F:$F), 0)</f>
        <v/>
      </c>
      <c r="I1888" s="9">
        <f>F1888*G1888</f>
        <v/>
      </c>
      <c r="J1888" s="11" t="n">
        <v>0.1</v>
      </c>
      <c r="K1888" s="9">
        <f>I1888*J1888</f>
        <v/>
      </c>
      <c r="L1888" s="9">
        <f>I1888-K1888</f>
        <v/>
      </c>
      <c r="M1888" s="9">
        <f>F1888*H1888</f>
        <v/>
      </c>
      <c r="N1888" s="9">
        <f>L1888-M1888</f>
        <v/>
      </c>
      <c r="O1888" s="11">
        <f>IFERROR(N1888/L1888, 0)</f>
        <v/>
      </c>
      <c r="P1888" s="8">
        <f>YEAR(C1888)</f>
        <v/>
      </c>
      <c r="Q1888" s="8">
        <f>TEXT(C1888, "yyyy-mm")</f>
        <v/>
      </c>
      <c r="R1888" s="8" t="inlineStr">
        <is>
          <t>Direct Web</t>
        </is>
      </c>
      <c r="S1888" s="8" t="inlineStr">
        <is>
          <t>REG-NA</t>
        </is>
      </c>
    </row>
    <row r="1889">
      <c r="A1889" s="8" t="inlineStr">
        <is>
          <t>DTL-0001914</t>
        </is>
      </c>
      <c r="B1889" s="8" t="inlineStr">
        <is>
          <t>ORD-000961</t>
        </is>
      </c>
      <c r="C1889" s="10" t="inlineStr">
        <is>
          <t>2025-12-07</t>
        </is>
      </c>
      <c r="D1889" s="8" t="inlineStr">
        <is>
          <t>CUST-00168</t>
        </is>
      </c>
      <c r="E1889" s="8" t="inlineStr">
        <is>
          <t>PRD-0328</t>
        </is>
      </c>
      <c r="F1889" s="8" t="n">
        <v>1</v>
      </c>
      <c r="G1889" s="9">
        <f>IFERROR(XLOOKUP(E1889, '04_Products'!$A:$A, '04_Products'!$G:$G), 1149.59)</f>
        <v/>
      </c>
      <c r="H1889" s="9">
        <f>IFERROR(XLOOKUP(E1889, '04_Products'!$A:$A, '04_Products'!$F:$F), 0)</f>
        <v/>
      </c>
      <c r="I1889" s="9">
        <f>F1889*G1889</f>
        <v/>
      </c>
      <c r="J1889" s="11" t="n">
        <v>0.05</v>
      </c>
      <c r="K1889" s="9">
        <f>I1889*J1889</f>
        <v/>
      </c>
      <c r="L1889" s="9">
        <f>I1889-K1889</f>
        <v/>
      </c>
      <c r="M1889" s="9">
        <f>F1889*H1889</f>
        <v/>
      </c>
      <c r="N1889" s="9">
        <f>L1889-M1889</f>
        <v/>
      </c>
      <c r="O1889" s="11">
        <f>IFERROR(N1889/L1889, 0)</f>
        <v/>
      </c>
      <c r="P1889" s="8">
        <f>YEAR(C1889)</f>
        <v/>
      </c>
      <c r="Q1889" s="8">
        <f>TEXT(C1889, "yyyy-mm")</f>
        <v/>
      </c>
      <c r="R1889" s="8" t="inlineStr">
        <is>
          <t>Direct Web</t>
        </is>
      </c>
      <c r="S1889" s="8" t="inlineStr">
        <is>
          <t>REG-NA</t>
        </is>
      </c>
    </row>
    <row r="1890">
      <c r="A1890" s="8" t="inlineStr">
        <is>
          <t>DTL-0001915</t>
        </is>
      </c>
      <c r="B1890" s="8" t="inlineStr">
        <is>
          <t>ORD-000961</t>
        </is>
      </c>
      <c r="C1890" s="10" t="inlineStr">
        <is>
          <t>2025-12-07</t>
        </is>
      </c>
      <c r="D1890" s="8" t="inlineStr">
        <is>
          <t>CUST-00168</t>
        </is>
      </c>
      <c r="E1890" s="8" t="inlineStr">
        <is>
          <t>PRD-0071</t>
        </is>
      </c>
      <c r="F1890" s="8" t="n">
        <v>2</v>
      </c>
      <c r="G1890" s="9">
        <f>IFERROR(XLOOKUP(E1890, '04_Products'!$A:$A, '04_Products'!$G:$G), 993.21)</f>
        <v/>
      </c>
      <c r="H1890" s="9">
        <f>IFERROR(XLOOKUP(E1890, '04_Products'!$A:$A, '04_Products'!$F:$F), 0)</f>
        <v/>
      </c>
      <c r="I1890" s="9">
        <f>F1890*G1890</f>
        <v/>
      </c>
      <c r="J1890" s="11" t="n">
        <v>0</v>
      </c>
      <c r="K1890" s="9">
        <f>I1890*J1890</f>
        <v/>
      </c>
      <c r="L1890" s="9">
        <f>I1890-K1890</f>
        <v/>
      </c>
      <c r="M1890" s="9">
        <f>F1890*H1890</f>
        <v/>
      </c>
      <c r="N1890" s="9">
        <f>L1890-M1890</f>
        <v/>
      </c>
      <c r="O1890" s="11">
        <f>IFERROR(N1890/L1890, 0)</f>
        <v/>
      </c>
      <c r="P1890" s="8">
        <f>YEAR(C1890)</f>
        <v/>
      </c>
      <c r="Q1890" s="8">
        <f>TEXT(C1890, "yyyy-mm")</f>
        <v/>
      </c>
      <c r="R1890" s="8" t="inlineStr">
        <is>
          <t>Direct Web</t>
        </is>
      </c>
      <c r="S1890" s="8" t="inlineStr">
        <is>
          <t>REG-NA</t>
        </is>
      </c>
    </row>
    <row r="1891">
      <c r="A1891" s="8" t="inlineStr">
        <is>
          <t>DTL-0001916</t>
        </is>
      </c>
      <c r="B1891" s="8" t="inlineStr">
        <is>
          <t>ORD-000961</t>
        </is>
      </c>
      <c r="C1891" s="10" t="inlineStr">
        <is>
          <t>2025-12-07</t>
        </is>
      </c>
      <c r="D1891" s="8" t="inlineStr">
        <is>
          <t>CUST-00168</t>
        </is>
      </c>
      <c r="E1891" s="8" t="inlineStr">
        <is>
          <t>PRD-0376</t>
        </is>
      </c>
      <c r="F1891" s="8" t="n">
        <v>1</v>
      </c>
      <c r="G1891" s="9">
        <f>IFERROR(XLOOKUP(E1891, '04_Products'!$A:$A, '04_Products'!$G:$G), 219.88)</f>
        <v/>
      </c>
      <c r="H1891" s="9">
        <f>IFERROR(XLOOKUP(E1891, '04_Products'!$A:$A, '04_Products'!$F:$F), 0)</f>
        <v/>
      </c>
      <c r="I1891" s="9">
        <f>F1891*G1891</f>
        <v/>
      </c>
      <c r="J1891" s="11" t="n">
        <v>0</v>
      </c>
      <c r="K1891" s="9">
        <f>I1891*J1891</f>
        <v/>
      </c>
      <c r="L1891" s="9">
        <f>I1891-K1891</f>
        <v/>
      </c>
      <c r="M1891" s="9">
        <f>F1891*H1891</f>
        <v/>
      </c>
      <c r="N1891" s="9">
        <f>L1891-M1891</f>
        <v/>
      </c>
      <c r="O1891" s="11">
        <f>IFERROR(N1891/L1891, 0)</f>
        <v/>
      </c>
      <c r="P1891" s="8">
        <f>YEAR(C1891)</f>
        <v/>
      </c>
      <c r="Q1891" s="8">
        <f>TEXT(C1891, "yyyy-mm")</f>
        <v/>
      </c>
      <c r="R1891" s="8" t="inlineStr">
        <is>
          <t>Direct Web</t>
        </is>
      </c>
      <c r="S1891" s="8" t="inlineStr">
        <is>
          <t>REG-NA</t>
        </is>
      </c>
    </row>
    <row r="1892">
      <c r="A1892" s="8" t="inlineStr">
        <is>
          <t>DTL-0001917</t>
        </is>
      </c>
      <c r="B1892" s="8" t="inlineStr">
        <is>
          <t>ORD-000962</t>
        </is>
      </c>
      <c r="C1892" s="10" t="inlineStr">
        <is>
          <t>2023-07-19</t>
        </is>
      </c>
      <c r="D1892" s="8" t="inlineStr">
        <is>
          <t>CUST-06286</t>
        </is>
      </c>
      <c r="E1892" s="8" t="inlineStr">
        <is>
          <t>PRD-0187</t>
        </is>
      </c>
      <c r="F1892" s="8" t="n">
        <v>1</v>
      </c>
      <c r="G1892" s="9">
        <f>IFERROR(XLOOKUP(E1892, '04_Products'!$A:$A, '04_Products'!$G:$G), 777.18)</f>
        <v/>
      </c>
      <c r="H1892" s="9">
        <f>IFERROR(XLOOKUP(E1892, '04_Products'!$A:$A, '04_Products'!$F:$F), 0)</f>
        <v/>
      </c>
      <c r="I1892" s="9">
        <f>F1892*G1892</f>
        <v/>
      </c>
      <c r="J1892" s="11" t="n">
        <v>0.15</v>
      </c>
      <c r="K1892" s="9">
        <f>I1892*J1892</f>
        <v/>
      </c>
      <c r="L1892" s="9">
        <f>I1892-K1892</f>
        <v/>
      </c>
      <c r="M1892" s="9">
        <f>F1892*H1892</f>
        <v/>
      </c>
      <c r="N1892" s="9">
        <f>L1892-M1892</f>
        <v/>
      </c>
      <c r="O1892" s="11">
        <f>IFERROR(N1892/L1892, 0)</f>
        <v/>
      </c>
      <c r="P1892" s="8">
        <f>YEAR(C1892)</f>
        <v/>
      </c>
      <c r="Q1892" s="8">
        <f>TEXT(C1892, "yyyy-mm")</f>
        <v/>
      </c>
      <c r="R1892" s="8" t="inlineStr">
        <is>
          <t>Direct Web</t>
        </is>
      </c>
      <c r="S1892" s="8" t="inlineStr">
        <is>
          <t>REG-EU</t>
        </is>
      </c>
    </row>
    <row r="1893">
      <c r="A1893" s="8" t="inlineStr">
        <is>
          <t>DTL-0001918</t>
        </is>
      </c>
      <c r="B1893" s="8" t="inlineStr">
        <is>
          <t>ORD-000962</t>
        </is>
      </c>
      <c r="C1893" s="10" t="inlineStr">
        <is>
          <t>2023-07-19</t>
        </is>
      </c>
      <c r="D1893" s="8" t="inlineStr">
        <is>
          <t>CUST-06286</t>
        </is>
      </c>
      <c r="E1893" s="8" t="inlineStr">
        <is>
          <t>PRD-0178</t>
        </is>
      </c>
      <c r="F1893" s="8" t="n">
        <v>1</v>
      </c>
      <c r="G1893" s="9">
        <f>IFERROR(XLOOKUP(E1893, '04_Products'!$A:$A, '04_Products'!$G:$G), 9.07)</f>
        <v/>
      </c>
      <c r="H1893" s="9">
        <f>IFERROR(XLOOKUP(E1893, '04_Products'!$A:$A, '04_Products'!$F:$F), 0)</f>
        <v/>
      </c>
      <c r="I1893" s="9">
        <f>F1893*G1893</f>
        <v/>
      </c>
      <c r="J1893" s="11" t="n">
        <v>0.05</v>
      </c>
      <c r="K1893" s="9">
        <f>I1893*J1893</f>
        <v/>
      </c>
      <c r="L1893" s="9">
        <f>I1893-K1893</f>
        <v/>
      </c>
      <c r="M1893" s="9">
        <f>F1893*H1893</f>
        <v/>
      </c>
      <c r="N1893" s="9">
        <f>L1893-M1893</f>
        <v/>
      </c>
      <c r="O1893" s="11">
        <f>IFERROR(N1893/L1893, 0)</f>
        <v/>
      </c>
      <c r="P1893" s="8">
        <f>YEAR(C1893)</f>
        <v/>
      </c>
      <c r="Q1893" s="8">
        <f>TEXT(C1893, "yyyy-mm")</f>
        <v/>
      </c>
      <c r="R1893" s="8" t="inlineStr">
        <is>
          <t>Direct Web</t>
        </is>
      </c>
      <c r="S1893" s="8" t="inlineStr">
        <is>
          <t>REG-EU</t>
        </is>
      </c>
    </row>
    <row r="1894">
      <c r="A1894" s="8" t="inlineStr">
        <is>
          <t>DTL-0001919</t>
        </is>
      </c>
      <c r="B1894" s="8" t="inlineStr">
        <is>
          <t>ORD-000963</t>
        </is>
      </c>
      <c r="C1894" s="10" t="inlineStr">
        <is>
          <t>2024-10-05</t>
        </is>
      </c>
      <c r="D1894" s="8" t="inlineStr">
        <is>
          <t>CUST-01802</t>
        </is>
      </c>
      <c r="E1894" s="8" t="inlineStr">
        <is>
          <t>PRD-0332</t>
        </is>
      </c>
      <c r="F1894" s="8" t="n">
        <v>1</v>
      </c>
      <c r="G1894" s="9">
        <f>IFERROR(XLOOKUP(E1894, '04_Products'!$A:$A, '04_Products'!$G:$G), 82.03)</f>
        <v/>
      </c>
      <c r="H1894" s="9">
        <f>IFERROR(XLOOKUP(E1894, '04_Products'!$A:$A, '04_Products'!$F:$F), 0)</f>
        <v/>
      </c>
      <c r="I1894" s="9">
        <f>F1894*G1894</f>
        <v/>
      </c>
      <c r="J1894" s="11" t="n">
        <v>0.2</v>
      </c>
      <c r="K1894" s="9">
        <f>I1894*J1894</f>
        <v/>
      </c>
      <c r="L1894" s="9">
        <f>I1894-K1894</f>
        <v/>
      </c>
      <c r="M1894" s="9">
        <f>F1894*H1894</f>
        <v/>
      </c>
      <c r="N1894" s="9">
        <f>L1894-M1894</f>
        <v/>
      </c>
      <c r="O1894" s="11">
        <f>IFERROR(N1894/L1894, 0)</f>
        <v/>
      </c>
      <c r="P1894" s="8">
        <f>YEAR(C1894)</f>
        <v/>
      </c>
      <c r="Q1894" s="8">
        <f>TEXT(C1894, "yyyy-mm")</f>
        <v/>
      </c>
      <c r="R1894" s="8" t="inlineStr">
        <is>
          <t>Direct Web</t>
        </is>
      </c>
      <c r="S1894" s="8" t="inlineStr">
        <is>
          <t>REG-APAC</t>
        </is>
      </c>
    </row>
    <row r="1895">
      <c r="A1895" s="8" t="inlineStr">
        <is>
          <t>DTL-0001920</t>
        </is>
      </c>
      <c r="B1895" s="8" t="inlineStr">
        <is>
          <t>ORD-000963</t>
        </is>
      </c>
      <c r="C1895" s="10" t="inlineStr">
        <is>
          <t>2024-10-05</t>
        </is>
      </c>
      <c r="D1895" s="8" t="inlineStr">
        <is>
          <t>CUST-01802</t>
        </is>
      </c>
      <c r="E1895" s="8" t="inlineStr">
        <is>
          <t>PRD-0183</t>
        </is>
      </c>
      <c r="F1895" s="8" t="n">
        <v>1</v>
      </c>
      <c r="G1895" s="9">
        <f>IFERROR(XLOOKUP(E1895, '04_Products'!$A:$A, '04_Products'!$G:$G), 1047.62)</f>
        <v/>
      </c>
      <c r="H1895" s="9">
        <f>IFERROR(XLOOKUP(E1895, '04_Products'!$A:$A, '04_Products'!$F:$F), 0)</f>
        <v/>
      </c>
      <c r="I1895" s="9">
        <f>F1895*G1895</f>
        <v/>
      </c>
      <c r="J1895" s="11" t="n">
        <v>0.1</v>
      </c>
      <c r="K1895" s="9">
        <f>I1895*J1895</f>
        <v/>
      </c>
      <c r="L1895" s="9">
        <f>I1895-K1895</f>
        <v/>
      </c>
      <c r="M1895" s="9">
        <f>F1895*H1895</f>
        <v/>
      </c>
      <c r="N1895" s="9">
        <f>L1895-M1895</f>
        <v/>
      </c>
      <c r="O1895" s="11">
        <f>IFERROR(N1895/L1895, 0)</f>
        <v/>
      </c>
      <c r="P1895" s="8">
        <f>YEAR(C1895)</f>
        <v/>
      </c>
      <c r="Q1895" s="8">
        <f>TEXT(C1895, "yyyy-mm")</f>
        <v/>
      </c>
      <c r="R1895" s="8" t="inlineStr">
        <is>
          <t>Direct Web</t>
        </is>
      </c>
      <c r="S1895" s="8" t="inlineStr">
        <is>
          <t>REG-APAC</t>
        </is>
      </c>
    </row>
    <row r="1896">
      <c r="A1896" s="8" t="inlineStr">
        <is>
          <t>DTL-0001921</t>
        </is>
      </c>
      <c r="B1896" s="8" t="inlineStr">
        <is>
          <t>ORD-000964</t>
        </is>
      </c>
      <c r="C1896" s="10" t="inlineStr">
        <is>
          <t>2025-06-30</t>
        </is>
      </c>
      <c r="D1896" s="8" t="inlineStr">
        <is>
          <t>CUST-06590</t>
        </is>
      </c>
      <c r="E1896" s="8" t="inlineStr">
        <is>
          <t>PRD-0092</t>
        </is>
      </c>
      <c r="F1896" s="8" t="n">
        <v>1</v>
      </c>
      <c r="G1896" s="9">
        <f>IFERROR(XLOOKUP(E1896, '04_Products'!$A:$A, '04_Products'!$G:$G), 63.90)</f>
        <v/>
      </c>
      <c r="H1896" s="9">
        <f>IFERROR(XLOOKUP(E1896, '04_Products'!$A:$A, '04_Products'!$F:$F), 0)</f>
        <v/>
      </c>
      <c r="I1896" s="9">
        <f>F1896*G1896</f>
        <v/>
      </c>
      <c r="J1896" s="11" t="n">
        <v>0.1</v>
      </c>
      <c r="K1896" s="9">
        <f>I1896*J1896</f>
        <v/>
      </c>
      <c r="L1896" s="9">
        <f>I1896-K1896</f>
        <v/>
      </c>
      <c r="M1896" s="9">
        <f>F1896*H1896</f>
        <v/>
      </c>
      <c r="N1896" s="9">
        <f>L1896-M1896</f>
        <v/>
      </c>
      <c r="O1896" s="11">
        <f>IFERROR(N1896/L1896, 0)</f>
        <v/>
      </c>
      <c r="P1896" s="8">
        <f>YEAR(C1896)</f>
        <v/>
      </c>
      <c r="Q1896" s="8">
        <f>TEXT(C1896, "yyyy-mm")</f>
        <v/>
      </c>
      <c r="R1896" s="8" t="inlineStr">
        <is>
          <t>Direct Web</t>
        </is>
      </c>
      <c r="S1896" s="8" t="inlineStr">
        <is>
          <t>REG-NA</t>
        </is>
      </c>
    </row>
    <row r="1897">
      <c r="A1897" s="8" t="inlineStr">
        <is>
          <t>DTL-0001922</t>
        </is>
      </c>
      <c r="B1897" s="8" t="inlineStr">
        <is>
          <t>ORD-000964</t>
        </is>
      </c>
      <c r="C1897" s="10" t="inlineStr">
        <is>
          <t>2025-06-30</t>
        </is>
      </c>
      <c r="D1897" s="8" t="inlineStr">
        <is>
          <t>CUST-06590</t>
        </is>
      </c>
      <c r="E1897" s="8" t="inlineStr">
        <is>
          <t>PRD-0338</t>
        </is>
      </c>
      <c r="F1897" s="8" t="n">
        <v>1</v>
      </c>
      <c r="G1897" s="9">
        <f>IFERROR(XLOOKUP(E1897, '04_Products'!$A:$A, '04_Products'!$G:$G), 76.99)</f>
        <v/>
      </c>
      <c r="H1897" s="9">
        <f>IFERROR(XLOOKUP(E1897, '04_Products'!$A:$A, '04_Products'!$F:$F), 0)</f>
        <v/>
      </c>
      <c r="I1897" s="9">
        <f>F1897*G1897</f>
        <v/>
      </c>
      <c r="J1897" s="11" t="n">
        <v>0</v>
      </c>
      <c r="K1897" s="9">
        <f>I1897*J1897</f>
        <v/>
      </c>
      <c r="L1897" s="9">
        <f>I1897-K1897</f>
        <v/>
      </c>
      <c r="M1897" s="9">
        <f>F1897*H1897</f>
        <v/>
      </c>
      <c r="N1897" s="9">
        <f>L1897-M1897</f>
        <v/>
      </c>
      <c r="O1897" s="11">
        <f>IFERROR(N1897/L1897, 0)</f>
        <v/>
      </c>
      <c r="P1897" s="8">
        <f>YEAR(C1897)</f>
        <v/>
      </c>
      <c r="Q1897" s="8">
        <f>TEXT(C1897, "yyyy-mm")</f>
        <v/>
      </c>
      <c r="R1897" s="8" t="inlineStr">
        <is>
          <t>Direct Web</t>
        </is>
      </c>
      <c r="S1897" s="8" t="inlineStr">
        <is>
          <t>REG-NA</t>
        </is>
      </c>
    </row>
    <row r="1898">
      <c r="A1898" s="8" t="inlineStr">
        <is>
          <t>DTL-0001923</t>
        </is>
      </c>
      <c r="B1898" s="8" t="inlineStr">
        <is>
          <t>ORD-000965</t>
        </is>
      </c>
      <c r="C1898" s="10" t="inlineStr">
        <is>
          <t>2023-08-26</t>
        </is>
      </c>
      <c r="D1898" s="8" t="inlineStr">
        <is>
          <t>CUST-05793</t>
        </is>
      </c>
      <c r="E1898" s="8" t="inlineStr">
        <is>
          <t>PRD-0119</t>
        </is>
      </c>
      <c r="F1898" s="8" t="n">
        <v>3</v>
      </c>
      <c r="G1898" s="9">
        <f>IFERROR(XLOOKUP(E1898, '04_Products'!$A:$A, '04_Products'!$G:$G), 11.35)</f>
        <v/>
      </c>
      <c r="H1898" s="9">
        <f>IFERROR(XLOOKUP(E1898, '04_Products'!$A:$A, '04_Products'!$F:$F), 0)</f>
        <v/>
      </c>
      <c r="I1898" s="9">
        <f>F1898*G1898</f>
        <v/>
      </c>
      <c r="J1898" s="11" t="n">
        <v>0.1</v>
      </c>
      <c r="K1898" s="9">
        <f>I1898*J1898</f>
        <v/>
      </c>
      <c r="L1898" s="9">
        <f>I1898-K1898</f>
        <v/>
      </c>
      <c r="M1898" s="9">
        <f>F1898*H1898</f>
        <v/>
      </c>
      <c r="N1898" s="9">
        <f>L1898-M1898</f>
        <v/>
      </c>
      <c r="O1898" s="11">
        <f>IFERROR(N1898/L1898, 0)</f>
        <v/>
      </c>
      <c r="P1898" s="8">
        <f>YEAR(C1898)</f>
        <v/>
      </c>
      <c r="Q1898" s="8">
        <f>TEXT(C1898, "yyyy-mm")</f>
        <v/>
      </c>
      <c r="R1898" s="8" t="inlineStr">
        <is>
          <t>Direct Web</t>
        </is>
      </c>
      <c r="S1898" s="8" t="inlineStr">
        <is>
          <t>REG-NA</t>
        </is>
      </c>
    </row>
    <row r="1899">
      <c r="A1899" s="8" t="inlineStr">
        <is>
          <t>DTL-0001924</t>
        </is>
      </c>
      <c r="B1899" s="8" t="inlineStr">
        <is>
          <t>ORD-000965</t>
        </is>
      </c>
      <c r="C1899" s="10" t="inlineStr">
        <is>
          <t>2023-08-26</t>
        </is>
      </c>
      <c r="D1899" s="8" t="inlineStr">
        <is>
          <t>CUST-05793</t>
        </is>
      </c>
      <c r="E1899" s="8" t="inlineStr">
        <is>
          <t>PRD-0198</t>
        </is>
      </c>
      <c r="F1899" s="8" t="n">
        <v>1</v>
      </c>
      <c r="G1899" s="9">
        <f>IFERROR(XLOOKUP(E1899, '04_Products'!$A:$A, '04_Products'!$G:$G), 477.92)</f>
        <v/>
      </c>
      <c r="H1899" s="9">
        <f>IFERROR(XLOOKUP(E1899, '04_Products'!$A:$A, '04_Products'!$F:$F), 0)</f>
        <v/>
      </c>
      <c r="I1899" s="9">
        <f>F1899*G1899</f>
        <v/>
      </c>
      <c r="J1899" s="11" t="n">
        <v>0</v>
      </c>
      <c r="K1899" s="9">
        <f>I1899*J1899</f>
        <v/>
      </c>
      <c r="L1899" s="9">
        <f>I1899-K1899</f>
        <v/>
      </c>
      <c r="M1899" s="9">
        <f>F1899*H1899</f>
        <v/>
      </c>
      <c r="N1899" s="9">
        <f>L1899-M1899</f>
        <v/>
      </c>
      <c r="O1899" s="11">
        <f>IFERROR(N1899/L1899, 0)</f>
        <v/>
      </c>
      <c r="P1899" s="8">
        <f>YEAR(C1899)</f>
        <v/>
      </c>
      <c r="Q1899" s="8">
        <f>TEXT(C1899, "yyyy-mm")</f>
        <v/>
      </c>
      <c r="R1899" s="8" t="inlineStr">
        <is>
          <t>Direct Web</t>
        </is>
      </c>
      <c r="S1899" s="8" t="inlineStr">
        <is>
          <t>REG-NA</t>
        </is>
      </c>
    </row>
    <row r="1900">
      <c r="A1900" s="8" t="inlineStr">
        <is>
          <t>DTL-0001925</t>
        </is>
      </c>
      <c r="B1900" s="8" t="inlineStr">
        <is>
          <t>ORD-000965</t>
        </is>
      </c>
      <c r="C1900" s="10" t="inlineStr">
        <is>
          <t>2023-08-26</t>
        </is>
      </c>
      <c r="D1900" s="8" t="inlineStr">
        <is>
          <t>CUST-05793</t>
        </is>
      </c>
      <c r="E1900" s="8" t="inlineStr">
        <is>
          <t>PRD-0252</t>
        </is>
      </c>
      <c r="F1900" s="8" t="n">
        <v>1</v>
      </c>
      <c r="G1900" s="9">
        <f>IFERROR(XLOOKUP(E1900, '04_Products'!$A:$A, '04_Products'!$G:$G), 332.85)</f>
        <v/>
      </c>
      <c r="H1900" s="9">
        <f>IFERROR(XLOOKUP(E1900, '04_Products'!$A:$A, '04_Products'!$F:$F), 0)</f>
        <v/>
      </c>
      <c r="I1900" s="9">
        <f>F1900*G1900</f>
        <v/>
      </c>
      <c r="J1900" s="11" t="n">
        <v>0</v>
      </c>
      <c r="K1900" s="9">
        <f>I1900*J1900</f>
        <v/>
      </c>
      <c r="L1900" s="9">
        <f>I1900-K1900</f>
        <v/>
      </c>
      <c r="M1900" s="9">
        <f>F1900*H1900</f>
        <v/>
      </c>
      <c r="N1900" s="9">
        <f>L1900-M1900</f>
        <v/>
      </c>
      <c r="O1900" s="11">
        <f>IFERROR(N1900/L1900, 0)</f>
        <v/>
      </c>
      <c r="P1900" s="8">
        <f>YEAR(C1900)</f>
        <v/>
      </c>
      <c r="Q1900" s="8">
        <f>TEXT(C1900, "yyyy-mm")</f>
        <v/>
      </c>
      <c r="R1900" s="8" t="inlineStr">
        <is>
          <t>Direct Web</t>
        </is>
      </c>
      <c r="S1900" s="8" t="inlineStr">
        <is>
          <t>REG-NA</t>
        </is>
      </c>
    </row>
    <row r="1901">
      <c r="A1901" s="8" t="inlineStr">
        <is>
          <t>DTL-0001926</t>
        </is>
      </c>
      <c r="B1901" s="8" t="inlineStr">
        <is>
          <t>ORD-000966</t>
        </is>
      </c>
      <c r="C1901" s="10" t="inlineStr">
        <is>
          <t>2024-10-05</t>
        </is>
      </c>
      <c r="D1901" s="8" t="inlineStr">
        <is>
          <t>CUST-01802</t>
        </is>
      </c>
      <c r="E1901" s="8" t="inlineStr">
        <is>
          <t>PRD-0293</t>
        </is>
      </c>
      <c r="F1901" s="8" t="n">
        <v>1</v>
      </c>
      <c r="G1901" s="9">
        <f>IFERROR(XLOOKUP(E1901, '04_Products'!$A:$A, '04_Products'!$G:$G), 231.64)</f>
        <v/>
      </c>
      <c r="H1901" s="9">
        <f>IFERROR(XLOOKUP(E1901, '04_Products'!$A:$A, '04_Products'!$F:$F), 0)</f>
        <v/>
      </c>
      <c r="I1901" s="9">
        <f>F1901*G1901</f>
        <v/>
      </c>
      <c r="J1901" s="11" t="n">
        <v>0</v>
      </c>
      <c r="K1901" s="9">
        <f>I1901*J1901</f>
        <v/>
      </c>
      <c r="L1901" s="9">
        <f>I1901-K1901</f>
        <v/>
      </c>
      <c r="M1901" s="9">
        <f>F1901*H1901</f>
        <v/>
      </c>
      <c r="N1901" s="9">
        <f>L1901-M1901</f>
        <v/>
      </c>
      <c r="O1901" s="11">
        <f>IFERROR(N1901/L1901, 0)</f>
        <v/>
      </c>
      <c r="P1901" s="8">
        <f>YEAR(C1901)</f>
        <v/>
      </c>
      <c r="Q1901" s="8">
        <f>TEXT(C1901, "yyyy-mm")</f>
        <v/>
      </c>
      <c r="R1901" s="8" t="inlineStr">
        <is>
          <t>Direct Web</t>
        </is>
      </c>
      <c r="S1901" s="8" t="inlineStr">
        <is>
          <t>REG-APAC</t>
        </is>
      </c>
    </row>
    <row r="1902">
      <c r="A1902" s="8" t="inlineStr">
        <is>
          <t>DTL-0001927</t>
        </is>
      </c>
      <c r="B1902" s="8" t="inlineStr">
        <is>
          <t>ORD-000967</t>
        </is>
      </c>
      <c r="C1902" s="10" t="inlineStr">
        <is>
          <t>2025-01-20</t>
        </is>
      </c>
      <c r="D1902" s="8" t="inlineStr">
        <is>
          <t>CUST-07458</t>
        </is>
      </c>
      <c r="E1902" s="8" t="inlineStr">
        <is>
          <t>PRD-0196</t>
        </is>
      </c>
      <c r="F1902" s="8" t="n">
        <v>2</v>
      </c>
      <c r="G1902" s="9">
        <f>IFERROR(XLOOKUP(E1902, '04_Products'!$A:$A, '04_Products'!$G:$G), 112.72)</f>
        <v/>
      </c>
      <c r="H1902" s="9">
        <f>IFERROR(XLOOKUP(E1902, '04_Products'!$A:$A, '04_Products'!$F:$F), 0)</f>
        <v/>
      </c>
      <c r="I1902" s="9">
        <f>F1902*G1902</f>
        <v/>
      </c>
      <c r="J1902" s="11" t="n">
        <v>0</v>
      </c>
      <c r="K1902" s="9">
        <f>I1902*J1902</f>
        <v/>
      </c>
      <c r="L1902" s="9">
        <f>I1902-K1902</f>
        <v/>
      </c>
      <c r="M1902" s="9">
        <f>F1902*H1902</f>
        <v/>
      </c>
      <c r="N1902" s="9">
        <f>L1902-M1902</f>
        <v/>
      </c>
      <c r="O1902" s="11">
        <f>IFERROR(N1902/L1902, 0)</f>
        <v/>
      </c>
      <c r="P1902" s="8">
        <f>YEAR(C1902)</f>
        <v/>
      </c>
      <c r="Q1902" s="8">
        <f>TEXT(C1902, "yyyy-mm")</f>
        <v/>
      </c>
      <c r="R1902" s="8" t="inlineStr">
        <is>
          <t>Mobile App</t>
        </is>
      </c>
      <c r="S1902" s="8" t="inlineStr">
        <is>
          <t>REG-EU</t>
        </is>
      </c>
    </row>
    <row r="1903">
      <c r="A1903" s="8" t="inlineStr">
        <is>
          <t>DTL-0001928</t>
        </is>
      </c>
      <c r="B1903" s="8" t="inlineStr">
        <is>
          <t>ORD-000967</t>
        </is>
      </c>
      <c r="C1903" s="10" t="inlineStr">
        <is>
          <t>2025-01-20</t>
        </is>
      </c>
      <c r="D1903" s="8" t="inlineStr">
        <is>
          <t>CUST-07458</t>
        </is>
      </c>
      <c r="E1903" s="8" t="inlineStr">
        <is>
          <t>PRD-0353</t>
        </is>
      </c>
      <c r="F1903" s="8" t="n">
        <v>5</v>
      </c>
      <c r="G1903" s="9">
        <f>IFERROR(XLOOKUP(E1903, '04_Products'!$A:$A, '04_Products'!$G:$G), 438.24)</f>
        <v/>
      </c>
      <c r="H1903" s="9">
        <f>IFERROR(XLOOKUP(E1903, '04_Products'!$A:$A, '04_Products'!$F:$F), 0)</f>
        <v/>
      </c>
      <c r="I1903" s="9">
        <f>F1903*G1903</f>
        <v/>
      </c>
      <c r="J1903" s="11" t="n">
        <v>0.05</v>
      </c>
      <c r="K1903" s="9">
        <f>I1903*J1903</f>
        <v/>
      </c>
      <c r="L1903" s="9">
        <f>I1903-K1903</f>
        <v/>
      </c>
      <c r="M1903" s="9">
        <f>F1903*H1903</f>
        <v/>
      </c>
      <c r="N1903" s="9">
        <f>L1903-M1903</f>
        <v/>
      </c>
      <c r="O1903" s="11">
        <f>IFERROR(N1903/L1903, 0)</f>
        <v/>
      </c>
      <c r="P1903" s="8">
        <f>YEAR(C1903)</f>
        <v/>
      </c>
      <c r="Q1903" s="8">
        <f>TEXT(C1903, "yyyy-mm")</f>
        <v/>
      </c>
      <c r="R1903" s="8" t="inlineStr">
        <is>
          <t>Mobile App</t>
        </is>
      </c>
      <c r="S1903" s="8" t="inlineStr">
        <is>
          <t>REG-EU</t>
        </is>
      </c>
    </row>
    <row r="1904">
      <c r="A1904" s="8" t="inlineStr">
        <is>
          <t>DTL-0001929</t>
        </is>
      </c>
      <c r="B1904" s="8" t="inlineStr">
        <is>
          <t>ORD-000968</t>
        </is>
      </c>
      <c r="C1904" s="10" t="inlineStr">
        <is>
          <t>2024-01-04</t>
        </is>
      </c>
      <c r="D1904" s="8" t="inlineStr">
        <is>
          <t>CUST-00205</t>
        </is>
      </c>
      <c r="E1904" s="8" t="inlineStr">
        <is>
          <t>PRD-0422</t>
        </is>
      </c>
      <c r="F1904" s="8" t="n">
        <v>2</v>
      </c>
      <c r="G1904" s="9">
        <f>IFERROR(XLOOKUP(E1904, '04_Products'!$A:$A, '04_Products'!$G:$G), 1026.96)</f>
        <v/>
      </c>
      <c r="H1904" s="9">
        <f>IFERROR(XLOOKUP(E1904, '04_Products'!$A:$A, '04_Products'!$F:$F), 0)</f>
        <v/>
      </c>
      <c r="I1904" s="9">
        <f>F1904*G1904</f>
        <v/>
      </c>
      <c r="J1904" s="11" t="n">
        <v>0.05</v>
      </c>
      <c r="K1904" s="9">
        <f>I1904*J1904</f>
        <v/>
      </c>
      <c r="L1904" s="9">
        <f>I1904-K1904</f>
        <v/>
      </c>
      <c r="M1904" s="9">
        <f>F1904*H1904</f>
        <v/>
      </c>
      <c r="N1904" s="9">
        <f>L1904-M1904</f>
        <v/>
      </c>
      <c r="O1904" s="11">
        <f>IFERROR(N1904/L1904, 0)</f>
        <v/>
      </c>
      <c r="P1904" s="8">
        <f>YEAR(C1904)</f>
        <v/>
      </c>
      <c r="Q1904" s="8">
        <f>TEXT(C1904, "yyyy-mm")</f>
        <v/>
      </c>
      <c r="R1904" s="8" t="inlineStr">
        <is>
          <t>Mobile App</t>
        </is>
      </c>
      <c r="S1904" s="8" t="inlineStr">
        <is>
          <t>REG-NA</t>
        </is>
      </c>
    </row>
    <row r="1905">
      <c r="A1905" s="8" t="inlineStr">
        <is>
          <t>DTL-0001930</t>
        </is>
      </c>
      <c r="B1905" s="8" t="inlineStr">
        <is>
          <t>ORD-000968</t>
        </is>
      </c>
      <c r="C1905" s="10" t="inlineStr">
        <is>
          <t>2024-01-04</t>
        </is>
      </c>
      <c r="D1905" s="8" t="inlineStr">
        <is>
          <t>CUST-00205</t>
        </is>
      </c>
      <c r="E1905" s="8" t="inlineStr">
        <is>
          <t>PRD-0041</t>
        </is>
      </c>
      <c r="F1905" s="8" t="n">
        <v>5</v>
      </c>
      <c r="G1905" s="9">
        <f>IFERROR(XLOOKUP(E1905, '04_Products'!$A:$A, '04_Products'!$G:$G), 71.67)</f>
        <v/>
      </c>
      <c r="H1905" s="9">
        <f>IFERROR(XLOOKUP(E1905, '04_Products'!$A:$A, '04_Products'!$F:$F), 0)</f>
        <v/>
      </c>
      <c r="I1905" s="9">
        <f>F1905*G1905</f>
        <v/>
      </c>
      <c r="J1905" s="11" t="n">
        <v>0</v>
      </c>
      <c r="K1905" s="9">
        <f>I1905*J1905</f>
        <v/>
      </c>
      <c r="L1905" s="9">
        <f>I1905-K1905</f>
        <v/>
      </c>
      <c r="M1905" s="9">
        <f>F1905*H1905</f>
        <v/>
      </c>
      <c r="N1905" s="9">
        <f>L1905-M1905</f>
        <v/>
      </c>
      <c r="O1905" s="11">
        <f>IFERROR(N1905/L1905, 0)</f>
        <v/>
      </c>
      <c r="P1905" s="8">
        <f>YEAR(C1905)</f>
        <v/>
      </c>
      <c r="Q1905" s="8">
        <f>TEXT(C1905, "yyyy-mm")</f>
        <v/>
      </c>
      <c r="R1905" s="8" t="inlineStr">
        <is>
          <t>Mobile App</t>
        </is>
      </c>
      <c r="S1905" s="8" t="inlineStr">
        <is>
          <t>REG-NA</t>
        </is>
      </c>
    </row>
    <row r="1906">
      <c r="A1906" s="8" t="inlineStr">
        <is>
          <t>DTL-0001931</t>
        </is>
      </c>
      <c r="B1906" s="8" t="inlineStr">
        <is>
          <t>ORD-000969</t>
        </is>
      </c>
      <c r="C1906" s="10" t="inlineStr">
        <is>
          <t>2025-01-28</t>
        </is>
      </c>
      <c r="D1906" s="8" t="inlineStr">
        <is>
          <t>CUST-04714</t>
        </is>
      </c>
      <c r="E1906" s="8" t="inlineStr">
        <is>
          <t>PRD-0207</t>
        </is>
      </c>
      <c r="F1906" s="8" t="n">
        <v>2</v>
      </c>
      <c r="G1906" s="9">
        <f>IFERROR(XLOOKUP(E1906, '04_Products'!$A:$A, '04_Products'!$G:$G), 1025.22)</f>
        <v/>
      </c>
      <c r="H1906" s="9">
        <f>IFERROR(XLOOKUP(E1906, '04_Products'!$A:$A, '04_Products'!$F:$F), 0)</f>
        <v/>
      </c>
      <c r="I1906" s="9">
        <f>F1906*G1906</f>
        <v/>
      </c>
      <c r="J1906" s="11" t="n">
        <v>0.05</v>
      </c>
      <c r="K1906" s="9">
        <f>I1906*J1906</f>
        <v/>
      </c>
      <c r="L1906" s="9">
        <f>I1906-K1906</f>
        <v/>
      </c>
      <c r="M1906" s="9">
        <f>F1906*H1906</f>
        <v/>
      </c>
      <c r="N1906" s="9">
        <f>L1906-M1906</f>
        <v/>
      </c>
      <c r="O1906" s="11">
        <f>IFERROR(N1906/L1906, 0)</f>
        <v/>
      </c>
      <c r="P1906" s="8">
        <f>YEAR(C1906)</f>
        <v/>
      </c>
      <c r="Q1906" s="8">
        <f>TEXT(C1906, "yyyy-mm")</f>
        <v/>
      </c>
      <c r="R1906" s="8" t="inlineStr">
        <is>
          <t>Mobile App</t>
        </is>
      </c>
      <c r="S1906" s="8" t="inlineStr">
        <is>
          <t>REG-NA</t>
        </is>
      </c>
    </row>
    <row r="1907">
      <c r="A1907" s="8" t="inlineStr">
        <is>
          <t>DTL-0001932</t>
        </is>
      </c>
      <c r="B1907" s="8" t="inlineStr">
        <is>
          <t>ORD-000970</t>
        </is>
      </c>
      <c r="C1907" s="10" t="inlineStr">
        <is>
          <t>2024-01-05</t>
        </is>
      </c>
      <c r="D1907" s="8" t="inlineStr">
        <is>
          <t>CUST-03287</t>
        </is>
      </c>
      <c r="E1907" s="8" t="inlineStr">
        <is>
          <t>PRD-0242</t>
        </is>
      </c>
      <c r="F1907" s="8" t="n">
        <v>1</v>
      </c>
      <c r="G1907" s="9">
        <f>IFERROR(XLOOKUP(E1907, '04_Products'!$A:$A, '04_Products'!$G:$G), 745.06)</f>
        <v/>
      </c>
      <c r="H1907" s="9">
        <f>IFERROR(XLOOKUP(E1907, '04_Products'!$A:$A, '04_Products'!$F:$F), 0)</f>
        <v/>
      </c>
      <c r="I1907" s="9">
        <f>F1907*G1907</f>
        <v/>
      </c>
      <c r="J1907" s="11" t="n">
        <v>0.15</v>
      </c>
      <c r="K1907" s="9">
        <f>I1907*J1907</f>
        <v/>
      </c>
      <c r="L1907" s="9">
        <f>I1907-K1907</f>
        <v/>
      </c>
      <c r="M1907" s="9">
        <f>F1907*H1907</f>
        <v/>
      </c>
      <c r="N1907" s="9">
        <f>L1907-M1907</f>
        <v/>
      </c>
      <c r="O1907" s="11">
        <f>IFERROR(N1907/L1907, 0)</f>
        <v/>
      </c>
      <c r="P1907" s="8">
        <f>YEAR(C1907)</f>
        <v/>
      </c>
      <c r="Q1907" s="8">
        <f>TEXT(C1907, "yyyy-mm")</f>
        <v/>
      </c>
      <c r="R1907" s="8" t="inlineStr">
        <is>
          <t>Direct Web</t>
        </is>
      </c>
      <c r="S1907" s="8" t="inlineStr">
        <is>
          <t>REG-EU</t>
        </is>
      </c>
    </row>
    <row r="1908">
      <c r="A1908" s="8" t="inlineStr">
        <is>
          <t>DTL-0001933</t>
        </is>
      </c>
      <c r="B1908" s="8" t="inlineStr">
        <is>
          <t>ORD-000971</t>
        </is>
      </c>
      <c r="C1908" s="10" t="inlineStr">
        <is>
          <t>2025-03-15</t>
        </is>
      </c>
      <c r="D1908" s="8" t="inlineStr">
        <is>
          <t>CUST-03006</t>
        </is>
      </c>
      <c r="E1908" s="8" t="inlineStr">
        <is>
          <t>PRD-0381</t>
        </is>
      </c>
      <c r="F1908" s="8" t="n">
        <v>2</v>
      </c>
      <c r="G1908" s="9">
        <f>IFERROR(XLOOKUP(E1908, '04_Products'!$A:$A, '04_Products'!$G:$G), 321.45)</f>
        <v/>
      </c>
      <c r="H1908" s="9">
        <f>IFERROR(XLOOKUP(E1908, '04_Products'!$A:$A, '04_Products'!$F:$F), 0)</f>
        <v/>
      </c>
      <c r="I1908" s="9">
        <f>F1908*G1908</f>
        <v/>
      </c>
      <c r="J1908" s="11" t="n">
        <v>0</v>
      </c>
      <c r="K1908" s="9">
        <f>I1908*J1908</f>
        <v/>
      </c>
      <c r="L1908" s="9">
        <f>I1908-K1908</f>
        <v/>
      </c>
      <c r="M1908" s="9">
        <f>F1908*H1908</f>
        <v/>
      </c>
      <c r="N1908" s="9">
        <f>L1908-M1908</f>
        <v/>
      </c>
      <c r="O1908" s="11">
        <f>IFERROR(N1908/L1908, 0)</f>
        <v/>
      </c>
      <c r="P1908" s="8">
        <f>YEAR(C1908)</f>
        <v/>
      </c>
      <c r="Q1908" s="8">
        <f>TEXT(C1908, "yyyy-mm")</f>
        <v/>
      </c>
      <c r="R1908" s="8" t="inlineStr">
        <is>
          <t>Affiliate Partner</t>
        </is>
      </c>
      <c r="S1908" s="8" t="inlineStr">
        <is>
          <t>REG-EU</t>
        </is>
      </c>
    </row>
    <row r="1909">
      <c r="A1909" s="8" t="inlineStr">
        <is>
          <t>DTL-0001934</t>
        </is>
      </c>
      <c r="B1909" s="8" t="inlineStr">
        <is>
          <t>ORD-000971</t>
        </is>
      </c>
      <c r="C1909" s="10" t="inlineStr">
        <is>
          <t>2025-03-15</t>
        </is>
      </c>
      <c r="D1909" s="8" t="inlineStr">
        <is>
          <t>CUST-03006</t>
        </is>
      </c>
      <c r="E1909" s="8" t="inlineStr">
        <is>
          <t>PRD-0113</t>
        </is>
      </c>
      <c r="F1909" s="8" t="n">
        <v>1</v>
      </c>
      <c r="G1909" s="9">
        <f>IFERROR(XLOOKUP(E1909, '04_Products'!$A:$A, '04_Products'!$G:$G), 70.09)</f>
        <v/>
      </c>
      <c r="H1909" s="9">
        <f>IFERROR(XLOOKUP(E1909, '04_Products'!$A:$A, '04_Products'!$F:$F), 0)</f>
        <v/>
      </c>
      <c r="I1909" s="9">
        <f>F1909*G1909</f>
        <v/>
      </c>
      <c r="J1909" s="11" t="n">
        <v>0.1</v>
      </c>
      <c r="K1909" s="9">
        <f>I1909*J1909</f>
        <v/>
      </c>
      <c r="L1909" s="9">
        <f>I1909-K1909</f>
        <v/>
      </c>
      <c r="M1909" s="9">
        <f>F1909*H1909</f>
        <v/>
      </c>
      <c r="N1909" s="9">
        <f>L1909-M1909</f>
        <v/>
      </c>
      <c r="O1909" s="11">
        <f>IFERROR(N1909/L1909, 0)</f>
        <v/>
      </c>
      <c r="P1909" s="8">
        <f>YEAR(C1909)</f>
        <v/>
      </c>
      <c r="Q1909" s="8">
        <f>TEXT(C1909, "yyyy-mm")</f>
        <v/>
      </c>
      <c r="R1909" s="8" t="inlineStr">
        <is>
          <t>Affiliate Partner</t>
        </is>
      </c>
      <c r="S1909" s="8" t="inlineStr">
        <is>
          <t>REG-EU</t>
        </is>
      </c>
    </row>
    <row r="1910">
      <c r="A1910" s="8" t="inlineStr">
        <is>
          <t>DTL-0001935</t>
        </is>
      </c>
      <c r="B1910" s="8" t="inlineStr">
        <is>
          <t>ORD-000972</t>
        </is>
      </c>
      <c r="C1910" s="10" t="inlineStr">
        <is>
          <t>2024-01-15</t>
        </is>
      </c>
      <c r="D1910" s="8" t="inlineStr">
        <is>
          <t>CUST-06080</t>
        </is>
      </c>
      <c r="E1910" s="8" t="inlineStr">
        <is>
          <t>PRD-0066</t>
        </is>
      </c>
      <c r="F1910" s="8" t="n">
        <v>3</v>
      </c>
      <c r="G1910" s="9">
        <f>IFERROR(XLOOKUP(E1910, '04_Products'!$A:$A, '04_Products'!$G:$G), 976.53)</f>
        <v/>
      </c>
      <c r="H1910" s="9">
        <f>IFERROR(XLOOKUP(E1910, '04_Products'!$A:$A, '04_Products'!$F:$F), 0)</f>
        <v/>
      </c>
      <c r="I1910" s="9">
        <f>F1910*G1910</f>
        <v/>
      </c>
      <c r="J1910" s="11" t="n">
        <v>0</v>
      </c>
      <c r="K1910" s="9">
        <f>I1910*J1910</f>
        <v/>
      </c>
      <c r="L1910" s="9">
        <f>I1910-K1910</f>
        <v/>
      </c>
      <c r="M1910" s="9">
        <f>F1910*H1910</f>
        <v/>
      </c>
      <c r="N1910" s="9">
        <f>L1910-M1910</f>
        <v/>
      </c>
      <c r="O1910" s="11">
        <f>IFERROR(N1910/L1910, 0)</f>
        <v/>
      </c>
      <c r="P1910" s="8">
        <f>YEAR(C1910)</f>
        <v/>
      </c>
      <c r="Q1910" s="8">
        <f>TEXT(C1910, "yyyy-mm")</f>
        <v/>
      </c>
      <c r="R1910" s="8" t="inlineStr">
        <is>
          <t>B2B Portal</t>
        </is>
      </c>
      <c r="S1910" s="8" t="inlineStr">
        <is>
          <t>REG-EU</t>
        </is>
      </c>
    </row>
    <row r="1911">
      <c r="A1911" s="8" t="inlineStr">
        <is>
          <t>DTL-0001936</t>
        </is>
      </c>
      <c r="B1911" s="8" t="inlineStr">
        <is>
          <t>ORD-000972</t>
        </is>
      </c>
      <c r="C1911" s="10" t="inlineStr">
        <is>
          <t>2024-01-15</t>
        </is>
      </c>
      <c r="D1911" s="8" t="inlineStr">
        <is>
          <t>CUST-06080</t>
        </is>
      </c>
      <c r="E1911" s="8" t="inlineStr">
        <is>
          <t>PRD-0213</t>
        </is>
      </c>
      <c r="F1911" s="8" t="n">
        <v>1</v>
      </c>
      <c r="G1911" s="9">
        <f>IFERROR(XLOOKUP(E1911, '04_Products'!$A:$A, '04_Products'!$G:$G), 592.90)</f>
        <v/>
      </c>
      <c r="H1911" s="9">
        <f>IFERROR(XLOOKUP(E1911, '04_Products'!$A:$A, '04_Products'!$F:$F), 0)</f>
        <v/>
      </c>
      <c r="I1911" s="9">
        <f>F1911*G1911</f>
        <v/>
      </c>
      <c r="J1911" s="11" t="n">
        <v>0.05</v>
      </c>
      <c r="K1911" s="9">
        <f>I1911*J1911</f>
        <v/>
      </c>
      <c r="L1911" s="9">
        <f>I1911-K1911</f>
        <v/>
      </c>
      <c r="M1911" s="9">
        <f>F1911*H1911</f>
        <v/>
      </c>
      <c r="N1911" s="9">
        <f>L1911-M1911</f>
        <v/>
      </c>
      <c r="O1911" s="11">
        <f>IFERROR(N1911/L1911, 0)</f>
        <v/>
      </c>
      <c r="P1911" s="8">
        <f>YEAR(C1911)</f>
        <v/>
      </c>
      <c r="Q1911" s="8">
        <f>TEXT(C1911, "yyyy-mm")</f>
        <v/>
      </c>
      <c r="R1911" s="8" t="inlineStr">
        <is>
          <t>B2B Portal</t>
        </is>
      </c>
      <c r="S1911" s="8" t="inlineStr">
        <is>
          <t>REG-EU</t>
        </is>
      </c>
    </row>
    <row r="1912">
      <c r="A1912" s="8" t="inlineStr">
        <is>
          <t>DTL-0001937</t>
        </is>
      </c>
      <c r="B1912" s="8" t="inlineStr">
        <is>
          <t>ORD-000973</t>
        </is>
      </c>
      <c r="C1912" s="10" t="inlineStr">
        <is>
          <t>2023-10-08</t>
        </is>
      </c>
      <c r="D1912" s="8" t="inlineStr">
        <is>
          <t>CUST-06036</t>
        </is>
      </c>
      <c r="E1912" s="8" t="inlineStr">
        <is>
          <t>PRD-0342</t>
        </is>
      </c>
      <c r="F1912" s="8" t="n">
        <v>1</v>
      </c>
      <c r="G1912" s="9">
        <f>IFERROR(XLOOKUP(E1912, '04_Products'!$A:$A, '04_Products'!$G:$G), 994.42)</f>
        <v/>
      </c>
      <c r="H1912" s="9">
        <f>IFERROR(XLOOKUP(E1912, '04_Products'!$A:$A, '04_Products'!$F:$F), 0)</f>
        <v/>
      </c>
      <c r="I1912" s="9">
        <f>F1912*G1912</f>
        <v/>
      </c>
      <c r="J1912" s="11" t="n">
        <v>0.3</v>
      </c>
      <c r="K1912" s="9">
        <f>I1912*J1912</f>
        <v/>
      </c>
      <c r="L1912" s="9">
        <f>I1912-K1912</f>
        <v/>
      </c>
      <c r="M1912" s="9">
        <f>F1912*H1912</f>
        <v/>
      </c>
      <c r="N1912" s="9">
        <f>L1912-M1912</f>
        <v/>
      </c>
      <c r="O1912" s="11">
        <f>IFERROR(N1912/L1912, 0)</f>
        <v/>
      </c>
      <c r="P1912" s="8">
        <f>YEAR(C1912)</f>
        <v/>
      </c>
      <c r="Q1912" s="8">
        <f>TEXT(C1912, "yyyy-mm")</f>
        <v/>
      </c>
      <c r="R1912" s="8" t="inlineStr">
        <is>
          <t>B2B Portal</t>
        </is>
      </c>
      <c r="S1912" s="8" t="inlineStr">
        <is>
          <t>REG-EU</t>
        </is>
      </c>
    </row>
    <row r="1913">
      <c r="A1913" s="8" t="inlineStr">
        <is>
          <t>DTL-0001938</t>
        </is>
      </c>
      <c r="B1913" s="8" t="inlineStr">
        <is>
          <t>ORD-000973</t>
        </is>
      </c>
      <c r="C1913" s="10" t="inlineStr">
        <is>
          <t>2023-10-08</t>
        </is>
      </c>
      <c r="D1913" s="8" t="inlineStr">
        <is>
          <t>CUST-06036</t>
        </is>
      </c>
      <c r="E1913" s="8" t="inlineStr">
        <is>
          <t>PRD-0456</t>
        </is>
      </c>
      <c r="F1913" s="8" t="n">
        <v>1</v>
      </c>
      <c r="G1913" s="9">
        <f>IFERROR(XLOOKUP(E1913, '04_Products'!$A:$A, '04_Products'!$G:$G), 148.24)</f>
        <v/>
      </c>
      <c r="H1913" s="9">
        <f>IFERROR(XLOOKUP(E1913, '04_Products'!$A:$A, '04_Products'!$F:$F), 0)</f>
        <v/>
      </c>
      <c r="I1913" s="9">
        <f>F1913*G1913</f>
        <v/>
      </c>
      <c r="J1913" s="11" t="n">
        <v>0.05</v>
      </c>
      <c r="K1913" s="9">
        <f>I1913*J1913</f>
        <v/>
      </c>
      <c r="L1913" s="9">
        <f>I1913-K1913</f>
        <v/>
      </c>
      <c r="M1913" s="9">
        <f>F1913*H1913</f>
        <v/>
      </c>
      <c r="N1913" s="9">
        <f>L1913-M1913</f>
        <v/>
      </c>
      <c r="O1913" s="11">
        <f>IFERROR(N1913/L1913, 0)</f>
        <v/>
      </c>
      <c r="P1913" s="8">
        <f>YEAR(C1913)</f>
        <v/>
      </c>
      <c r="Q1913" s="8">
        <f>TEXT(C1913, "yyyy-mm")</f>
        <v/>
      </c>
      <c r="R1913" s="8" t="inlineStr">
        <is>
          <t>B2B Portal</t>
        </is>
      </c>
      <c r="S1913" s="8" t="inlineStr">
        <is>
          <t>REG-EU</t>
        </is>
      </c>
    </row>
    <row r="1914">
      <c r="A1914" s="8" t="inlineStr">
        <is>
          <t>DTL-0001939</t>
        </is>
      </c>
      <c r="B1914" s="8" t="inlineStr">
        <is>
          <t>ORD-000973</t>
        </is>
      </c>
      <c r="C1914" s="10" t="inlineStr">
        <is>
          <t>2023-10-08</t>
        </is>
      </c>
      <c r="D1914" s="8" t="inlineStr">
        <is>
          <t>CUST-06036</t>
        </is>
      </c>
      <c r="E1914" s="8" t="inlineStr">
        <is>
          <t>PRD-0452</t>
        </is>
      </c>
      <c r="F1914" s="8" t="n">
        <v>1</v>
      </c>
      <c r="G1914" s="9">
        <f>IFERROR(XLOOKUP(E1914, '04_Products'!$A:$A, '04_Products'!$G:$G), 52.31)</f>
        <v/>
      </c>
      <c r="H1914" s="9">
        <f>IFERROR(XLOOKUP(E1914, '04_Products'!$A:$A, '04_Products'!$F:$F), 0)</f>
        <v/>
      </c>
      <c r="I1914" s="9">
        <f>F1914*G1914</f>
        <v/>
      </c>
      <c r="J1914" s="11" t="n">
        <v>0.25</v>
      </c>
      <c r="K1914" s="9">
        <f>I1914*J1914</f>
        <v/>
      </c>
      <c r="L1914" s="9">
        <f>I1914-K1914</f>
        <v/>
      </c>
      <c r="M1914" s="9">
        <f>F1914*H1914</f>
        <v/>
      </c>
      <c r="N1914" s="9">
        <f>L1914-M1914</f>
        <v/>
      </c>
      <c r="O1914" s="11">
        <f>IFERROR(N1914/L1914, 0)</f>
        <v/>
      </c>
      <c r="P1914" s="8">
        <f>YEAR(C1914)</f>
        <v/>
      </c>
      <c r="Q1914" s="8">
        <f>TEXT(C1914, "yyyy-mm")</f>
        <v/>
      </c>
      <c r="R1914" s="8" t="inlineStr">
        <is>
          <t>B2B Portal</t>
        </is>
      </c>
      <c r="S1914" s="8" t="inlineStr">
        <is>
          <t>REG-EU</t>
        </is>
      </c>
    </row>
    <row r="1915">
      <c r="A1915" s="8" t="inlineStr">
        <is>
          <t>DTL-0001940</t>
        </is>
      </c>
      <c r="B1915" s="8" t="inlineStr">
        <is>
          <t>ORD-000973</t>
        </is>
      </c>
      <c r="C1915" s="10" t="inlineStr">
        <is>
          <t>2023-10-08</t>
        </is>
      </c>
      <c r="D1915" s="8" t="inlineStr">
        <is>
          <t>CUST-06036</t>
        </is>
      </c>
      <c r="E1915" s="8" t="inlineStr">
        <is>
          <t>PRD-0221</t>
        </is>
      </c>
      <c r="F1915" s="8" t="n">
        <v>1</v>
      </c>
      <c r="G1915" s="9">
        <f>IFERROR(XLOOKUP(E1915, '04_Products'!$A:$A, '04_Products'!$G:$G), 7.79)</f>
        <v/>
      </c>
      <c r="H1915" s="9">
        <f>IFERROR(XLOOKUP(E1915, '04_Products'!$A:$A, '04_Products'!$F:$F), 0)</f>
        <v/>
      </c>
      <c r="I1915" s="9">
        <f>F1915*G1915</f>
        <v/>
      </c>
      <c r="J1915" s="11" t="n">
        <v>0</v>
      </c>
      <c r="K1915" s="9">
        <f>I1915*J1915</f>
        <v/>
      </c>
      <c r="L1915" s="9">
        <f>I1915-K1915</f>
        <v/>
      </c>
      <c r="M1915" s="9">
        <f>F1915*H1915</f>
        <v/>
      </c>
      <c r="N1915" s="9">
        <f>L1915-M1915</f>
        <v/>
      </c>
      <c r="O1915" s="11">
        <f>IFERROR(N1915/L1915, 0)</f>
        <v/>
      </c>
      <c r="P1915" s="8">
        <f>YEAR(C1915)</f>
        <v/>
      </c>
      <c r="Q1915" s="8">
        <f>TEXT(C1915, "yyyy-mm")</f>
        <v/>
      </c>
      <c r="R1915" s="8" t="inlineStr">
        <is>
          <t>B2B Portal</t>
        </is>
      </c>
      <c r="S1915" s="8" t="inlineStr">
        <is>
          <t>REG-EU</t>
        </is>
      </c>
    </row>
    <row r="1916">
      <c r="A1916" s="8" t="inlineStr">
        <is>
          <t>DTL-0001941</t>
        </is>
      </c>
      <c r="B1916" s="8" t="inlineStr">
        <is>
          <t>ORD-000974</t>
        </is>
      </c>
      <c r="C1916" s="10" t="inlineStr">
        <is>
          <t>2023-01-10</t>
        </is>
      </c>
      <c r="D1916" s="8" t="inlineStr">
        <is>
          <t>CUST-02762</t>
        </is>
      </c>
      <c r="E1916" s="8" t="inlineStr">
        <is>
          <t>PRD-0225</t>
        </is>
      </c>
      <c r="F1916" s="8" t="n">
        <v>1</v>
      </c>
      <c r="G1916" s="9">
        <f>IFERROR(XLOOKUP(E1916, '04_Products'!$A:$A, '04_Products'!$G:$G), 266.58)</f>
        <v/>
      </c>
      <c r="H1916" s="9">
        <f>IFERROR(XLOOKUP(E1916, '04_Products'!$A:$A, '04_Products'!$F:$F), 0)</f>
        <v/>
      </c>
      <c r="I1916" s="9">
        <f>F1916*G1916</f>
        <v/>
      </c>
      <c r="J1916" s="11" t="n">
        <v>0.05</v>
      </c>
      <c r="K1916" s="9">
        <f>I1916*J1916</f>
        <v/>
      </c>
      <c r="L1916" s="9">
        <f>I1916-K1916</f>
        <v/>
      </c>
      <c r="M1916" s="9">
        <f>F1916*H1916</f>
        <v/>
      </c>
      <c r="N1916" s="9">
        <f>L1916-M1916</f>
        <v/>
      </c>
      <c r="O1916" s="11">
        <f>IFERROR(N1916/L1916, 0)</f>
        <v/>
      </c>
      <c r="P1916" s="8">
        <f>YEAR(C1916)</f>
        <v/>
      </c>
      <c r="Q1916" s="8">
        <f>TEXT(C1916, "yyyy-mm")</f>
        <v/>
      </c>
      <c r="R1916" s="8" t="inlineStr">
        <is>
          <t>Direct Web</t>
        </is>
      </c>
      <c r="S1916" s="8" t="inlineStr">
        <is>
          <t>REG-NA</t>
        </is>
      </c>
    </row>
    <row r="1917">
      <c r="A1917" s="8" t="inlineStr">
        <is>
          <t>DTL-0001942</t>
        </is>
      </c>
      <c r="B1917" s="8" t="inlineStr">
        <is>
          <t>ORD-000975</t>
        </is>
      </c>
      <c r="C1917" s="10" t="inlineStr">
        <is>
          <t>2025-12-09</t>
        </is>
      </c>
      <c r="D1917" s="8" t="inlineStr">
        <is>
          <t>CUST-02868</t>
        </is>
      </c>
      <c r="E1917" s="8" t="inlineStr">
        <is>
          <t>PRD-0175</t>
        </is>
      </c>
      <c r="F1917" s="8" t="n">
        <v>1</v>
      </c>
      <c r="G1917" s="9">
        <f>IFERROR(XLOOKUP(E1917, '04_Products'!$A:$A, '04_Products'!$G:$G), 884.72)</f>
        <v/>
      </c>
      <c r="H1917" s="9">
        <f>IFERROR(XLOOKUP(E1917, '04_Products'!$A:$A, '04_Products'!$F:$F), 0)</f>
        <v/>
      </c>
      <c r="I1917" s="9">
        <f>F1917*G1917</f>
        <v/>
      </c>
      <c r="J1917" s="11" t="n">
        <v>0.05</v>
      </c>
      <c r="K1917" s="9">
        <f>I1917*J1917</f>
        <v/>
      </c>
      <c r="L1917" s="9">
        <f>I1917-K1917</f>
        <v/>
      </c>
      <c r="M1917" s="9">
        <f>F1917*H1917</f>
        <v/>
      </c>
      <c r="N1917" s="9">
        <f>L1917-M1917</f>
        <v/>
      </c>
      <c r="O1917" s="11">
        <f>IFERROR(N1917/L1917, 0)</f>
        <v/>
      </c>
      <c r="P1917" s="8">
        <f>YEAR(C1917)</f>
        <v/>
      </c>
      <c r="Q1917" s="8">
        <f>TEXT(C1917, "yyyy-mm")</f>
        <v/>
      </c>
      <c r="R1917" s="8" t="inlineStr">
        <is>
          <t>Mobile App</t>
        </is>
      </c>
      <c r="S1917" s="8" t="inlineStr">
        <is>
          <t>REG-APAC</t>
        </is>
      </c>
    </row>
    <row r="1918">
      <c r="A1918" s="8" t="inlineStr">
        <is>
          <t>DTL-0001943</t>
        </is>
      </c>
      <c r="B1918" s="8" t="inlineStr">
        <is>
          <t>ORD-000976</t>
        </is>
      </c>
      <c r="C1918" s="10" t="inlineStr">
        <is>
          <t>2025-03-18</t>
        </is>
      </c>
      <c r="D1918" s="8" t="inlineStr">
        <is>
          <t>CUST-00207</t>
        </is>
      </c>
      <c r="E1918" s="8" t="inlineStr">
        <is>
          <t>PRD-0313</t>
        </is>
      </c>
      <c r="F1918" s="8" t="n">
        <v>1</v>
      </c>
      <c r="G1918" s="9">
        <f>IFERROR(XLOOKUP(E1918, '04_Products'!$A:$A, '04_Products'!$G:$G), 1355.17)</f>
        <v/>
      </c>
      <c r="H1918" s="9">
        <f>IFERROR(XLOOKUP(E1918, '04_Products'!$A:$A, '04_Products'!$F:$F), 0)</f>
        <v/>
      </c>
      <c r="I1918" s="9">
        <f>F1918*G1918</f>
        <v/>
      </c>
      <c r="J1918" s="11" t="n">
        <v>0.05</v>
      </c>
      <c r="K1918" s="9">
        <f>I1918*J1918</f>
        <v/>
      </c>
      <c r="L1918" s="9">
        <f>I1918-K1918</f>
        <v/>
      </c>
      <c r="M1918" s="9">
        <f>F1918*H1918</f>
        <v/>
      </c>
      <c r="N1918" s="9">
        <f>L1918-M1918</f>
        <v/>
      </c>
      <c r="O1918" s="11">
        <f>IFERROR(N1918/L1918, 0)</f>
        <v/>
      </c>
      <c r="P1918" s="8">
        <f>YEAR(C1918)</f>
        <v/>
      </c>
      <c r="Q1918" s="8">
        <f>TEXT(C1918, "yyyy-mm")</f>
        <v/>
      </c>
      <c r="R1918" s="8" t="inlineStr">
        <is>
          <t>Mobile App</t>
        </is>
      </c>
      <c r="S1918" s="8" t="inlineStr">
        <is>
          <t>REG-EU</t>
        </is>
      </c>
    </row>
    <row r="1919">
      <c r="A1919" s="8" t="inlineStr">
        <is>
          <t>DTL-0001944</t>
        </is>
      </c>
      <c r="B1919" s="8" t="inlineStr">
        <is>
          <t>ORD-000976</t>
        </is>
      </c>
      <c r="C1919" s="10" t="inlineStr">
        <is>
          <t>2025-03-18</t>
        </is>
      </c>
      <c r="D1919" s="8" t="inlineStr">
        <is>
          <t>CUST-00207</t>
        </is>
      </c>
      <c r="E1919" s="8" t="inlineStr">
        <is>
          <t>PRD-0151</t>
        </is>
      </c>
      <c r="F1919" s="8" t="n">
        <v>2</v>
      </c>
      <c r="G1919" s="9">
        <f>IFERROR(XLOOKUP(E1919, '04_Products'!$A:$A, '04_Products'!$G:$G), 643.51)</f>
        <v/>
      </c>
      <c r="H1919" s="9">
        <f>IFERROR(XLOOKUP(E1919, '04_Products'!$A:$A, '04_Products'!$F:$F), 0)</f>
        <v/>
      </c>
      <c r="I1919" s="9">
        <f>F1919*G1919</f>
        <v/>
      </c>
      <c r="J1919" s="11" t="n">
        <v>0</v>
      </c>
      <c r="K1919" s="9">
        <f>I1919*J1919</f>
        <v/>
      </c>
      <c r="L1919" s="9">
        <f>I1919-K1919</f>
        <v/>
      </c>
      <c r="M1919" s="9">
        <f>F1919*H1919</f>
        <v/>
      </c>
      <c r="N1919" s="9">
        <f>L1919-M1919</f>
        <v/>
      </c>
      <c r="O1919" s="11">
        <f>IFERROR(N1919/L1919, 0)</f>
        <v/>
      </c>
      <c r="P1919" s="8">
        <f>YEAR(C1919)</f>
        <v/>
      </c>
      <c r="Q1919" s="8">
        <f>TEXT(C1919, "yyyy-mm")</f>
        <v/>
      </c>
      <c r="R1919" s="8" t="inlineStr">
        <is>
          <t>Mobile App</t>
        </is>
      </c>
      <c r="S1919" s="8" t="inlineStr">
        <is>
          <t>REG-EU</t>
        </is>
      </c>
    </row>
    <row r="1920">
      <c r="A1920" s="8" t="inlineStr">
        <is>
          <t>DTL-0001945</t>
        </is>
      </c>
      <c r="B1920" s="8" t="inlineStr">
        <is>
          <t>ORD-000977</t>
        </is>
      </c>
      <c r="C1920" s="10" t="inlineStr">
        <is>
          <t>2024-10-05</t>
        </is>
      </c>
      <c r="D1920" s="8" t="inlineStr">
        <is>
          <t>CUST-05013</t>
        </is>
      </c>
      <c r="E1920" s="8" t="inlineStr">
        <is>
          <t>PRD-0193</t>
        </is>
      </c>
      <c r="F1920" s="8" t="n">
        <v>3</v>
      </c>
      <c r="G1920" s="9">
        <f>IFERROR(XLOOKUP(E1920, '04_Products'!$A:$A, '04_Products'!$G:$G), 791.50)</f>
        <v/>
      </c>
      <c r="H1920" s="9">
        <f>IFERROR(XLOOKUP(E1920, '04_Products'!$A:$A, '04_Products'!$F:$F), 0)</f>
        <v/>
      </c>
      <c r="I1920" s="9">
        <f>F1920*G1920</f>
        <v/>
      </c>
      <c r="J1920" s="11" t="n">
        <v>0</v>
      </c>
      <c r="K1920" s="9">
        <f>I1920*J1920</f>
        <v/>
      </c>
      <c r="L1920" s="9">
        <f>I1920-K1920</f>
        <v/>
      </c>
      <c r="M1920" s="9">
        <f>F1920*H1920</f>
        <v/>
      </c>
      <c r="N1920" s="9">
        <f>L1920-M1920</f>
        <v/>
      </c>
      <c r="O1920" s="11">
        <f>IFERROR(N1920/L1920, 0)</f>
        <v/>
      </c>
      <c r="P1920" s="8">
        <f>YEAR(C1920)</f>
        <v/>
      </c>
      <c r="Q1920" s="8">
        <f>TEXT(C1920, "yyyy-mm")</f>
        <v/>
      </c>
      <c r="R1920" s="8" t="inlineStr">
        <is>
          <t>Mobile App</t>
        </is>
      </c>
      <c r="S1920" s="8" t="inlineStr">
        <is>
          <t>REG-NA</t>
        </is>
      </c>
    </row>
    <row r="1921">
      <c r="A1921" s="8" t="inlineStr">
        <is>
          <t>DTL-0001946</t>
        </is>
      </c>
      <c r="B1921" s="8" t="inlineStr">
        <is>
          <t>ORD-000977</t>
        </is>
      </c>
      <c r="C1921" s="10" t="inlineStr">
        <is>
          <t>2024-10-05</t>
        </is>
      </c>
      <c r="D1921" s="8" t="inlineStr">
        <is>
          <t>CUST-05013</t>
        </is>
      </c>
      <c r="E1921" s="8" t="inlineStr">
        <is>
          <t>PRD-0124</t>
        </is>
      </c>
      <c r="F1921" s="8" t="n">
        <v>1</v>
      </c>
      <c r="G1921" s="9">
        <f>IFERROR(XLOOKUP(E1921, '04_Products'!$A:$A, '04_Products'!$G:$G), 265.24)</f>
        <v/>
      </c>
      <c r="H1921" s="9">
        <f>IFERROR(XLOOKUP(E1921, '04_Products'!$A:$A, '04_Products'!$F:$F), 0)</f>
        <v/>
      </c>
      <c r="I1921" s="9">
        <f>F1921*G1921</f>
        <v/>
      </c>
      <c r="J1921" s="11" t="n">
        <v>0.15</v>
      </c>
      <c r="K1921" s="9">
        <f>I1921*J1921</f>
        <v/>
      </c>
      <c r="L1921" s="9">
        <f>I1921-K1921</f>
        <v/>
      </c>
      <c r="M1921" s="9">
        <f>F1921*H1921</f>
        <v/>
      </c>
      <c r="N1921" s="9">
        <f>L1921-M1921</f>
        <v/>
      </c>
      <c r="O1921" s="11">
        <f>IFERROR(N1921/L1921, 0)</f>
        <v/>
      </c>
      <c r="P1921" s="8">
        <f>YEAR(C1921)</f>
        <v/>
      </c>
      <c r="Q1921" s="8">
        <f>TEXT(C1921, "yyyy-mm")</f>
        <v/>
      </c>
      <c r="R1921" s="8" t="inlineStr">
        <is>
          <t>Mobile App</t>
        </is>
      </c>
      <c r="S1921" s="8" t="inlineStr">
        <is>
          <t>REG-NA</t>
        </is>
      </c>
    </row>
    <row r="1922">
      <c r="A1922" s="8" t="inlineStr">
        <is>
          <t>DTL-0001947</t>
        </is>
      </c>
      <c r="B1922" s="8" t="inlineStr">
        <is>
          <t>ORD-000977</t>
        </is>
      </c>
      <c r="C1922" s="10" t="inlineStr">
        <is>
          <t>2024-10-05</t>
        </is>
      </c>
      <c r="D1922" s="8" t="inlineStr">
        <is>
          <t>CUST-05013</t>
        </is>
      </c>
      <c r="E1922" s="8" t="inlineStr">
        <is>
          <t>PRD-0278</t>
        </is>
      </c>
      <c r="F1922" s="8" t="n">
        <v>1</v>
      </c>
      <c r="G1922" s="9">
        <f>IFERROR(XLOOKUP(E1922, '04_Products'!$A:$A, '04_Products'!$G:$G), 1176.56)</f>
        <v/>
      </c>
      <c r="H1922" s="9">
        <f>IFERROR(XLOOKUP(E1922, '04_Products'!$A:$A, '04_Products'!$F:$F), 0)</f>
        <v/>
      </c>
      <c r="I1922" s="9">
        <f>F1922*G1922</f>
        <v/>
      </c>
      <c r="J1922" s="11" t="n">
        <v>0.1</v>
      </c>
      <c r="K1922" s="9">
        <f>I1922*J1922</f>
        <v/>
      </c>
      <c r="L1922" s="9">
        <f>I1922-K1922</f>
        <v/>
      </c>
      <c r="M1922" s="9">
        <f>F1922*H1922</f>
        <v/>
      </c>
      <c r="N1922" s="9">
        <f>L1922-M1922</f>
        <v/>
      </c>
      <c r="O1922" s="11">
        <f>IFERROR(N1922/L1922, 0)</f>
        <v/>
      </c>
      <c r="P1922" s="8">
        <f>YEAR(C1922)</f>
        <v/>
      </c>
      <c r="Q1922" s="8">
        <f>TEXT(C1922, "yyyy-mm")</f>
        <v/>
      </c>
      <c r="R1922" s="8" t="inlineStr">
        <is>
          <t>Mobile App</t>
        </is>
      </c>
      <c r="S1922" s="8" t="inlineStr">
        <is>
          <t>REG-NA</t>
        </is>
      </c>
    </row>
    <row r="1923">
      <c r="A1923" s="8" t="inlineStr">
        <is>
          <t>DTL-0001948</t>
        </is>
      </c>
      <c r="B1923" s="8" t="inlineStr">
        <is>
          <t>ORD-000978</t>
        </is>
      </c>
      <c r="C1923" s="10" t="inlineStr">
        <is>
          <t>2023-10-18</t>
        </is>
      </c>
      <c r="D1923" s="8" t="inlineStr">
        <is>
          <t>CUST-05414</t>
        </is>
      </c>
      <c r="E1923" s="8" t="inlineStr">
        <is>
          <t>PRD-0279</t>
        </is>
      </c>
      <c r="F1923" s="8" t="n">
        <v>2</v>
      </c>
      <c r="G1923" s="9">
        <f>IFERROR(XLOOKUP(E1923, '04_Products'!$A:$A, '04_Products'!$G:$G), 783.46)</f>
        <v/>
      </c>
      <c r="H1923" s="9">
        <f>IFERROR(XLOOKUP(E1923, '04_Products'!$A:$A, '04_Products'!$F:$F), 0)</f>
        <v/>
      </c>
      <c r="I1923" s="9">
        <f>F1923*G1923</f>
        <v/>
      </c>
      <c r="J1923" s="11" t="n">
        <v>0</v>
      </c>
      <c r="K1923" s="9">
        <f>I1923*J1923</f>
        <v/>
      </c>
      <c r="L1923" s="9">
        <f>I1923-K1923</f>
        <v/>
      </c>
      <c r="M1923" s="9">
        <f>F1923*H1923</f>
        <v/>
      </c>
      <c r="N1923" s="9">
        <f>L1923-M1923</f>
        <v/>
      </c>
      <c r="O1923" s="11">
        <f>IFERROR(N1923/L1923, 0)</f>
        <v/>
      </c>
      <c r="P1923" s="8">
        <f>YEAR(C1923)</f>
        <v/>
      </c>
      <c r="Q1923" s="8">
        <f>TEXT(C1923, "yyyy-mm")</f>
        <v/>
      </c>
      <c r="R1923" s="8" t="inlineStr">
        <is>
          <t>Direct Web</t>
        </is>
      </c>
      <c r="S1923" s="8" t="inlineStr">
        <is>
          <t>REG-NA</t>
        </is>
      </c>
    </row>
    <row r="1924">
      <c r="A1924" s="8" t="inlineStr">
        <is>
          <t>DTL-0001949</t>
        </is>
      </c>
      <c r="B1924" s="8" t="inlineStr">
        <is>
          <t>ORD-000978</t>
        </is>
      </c>
      <c r="C1924" s="10" t="inlineStr">
        <is>
          <t>2023-10-18</t>
        </is>
      </c>
      <c r="D1924" s="8" t="inlineStr">
        <is>
          <t>CUST-05414</t>
        </is>
      </c>
      <c r="E1924" s="8" t="inlineStr">
        <is>
          <t>PRD-0063</t>
        </is>
      </c>
      <c r="F1924" s="8" t="n">
        <v>1</v>
      </c>
      <c r="G1924" s="9">
        <f>IFERROR(XLOOKUP(E1924, '04_Products'!$A:$A, '04_Products'!$G:$G), 62.68)</f>
        <v/>
      </c>
      <c r="H1924" s="9">
        <f>IFERROR(XLOOKUP(E1924, '04_Products'!$A:$A, '04_Products'!$F:$F), 0)</f>
        <v/>
      </c>
      <c r="I1924" s="9">
        <f>F1924*G1924</f>
        <v/>
      </c>
      <c r="J1924" s="11" t="n">
        <v>0.25</v>
      </c>
      <c r="K1924" s="9">
        <f>I1924*J1924</f>
        <v/>
      </c>
      <c r="L1924" s="9">
        <f>I1924-K1924</f>
        <v/>
      </c>
      <c r="M1924" s="9">
        <f>F1924*H1924</f>
        <v/>
      </c>
      <c r="N1924" s="9">
        <f>L1924-M1924</f>
        <v/>
      </c>
      <c r="O1924" s="11">
        <f>IFERROR(N1924/L1924, 0)</f>
        <v/>
      </c>
      <c r="P1924" s="8">
        <f>YEAR(C1924)</f>
        <v/>
      </c>
      <c r="Q1924" s="8">
        <f>TEXT(C1924, "yyyy-mm")</f>
        <v/>
      </c>
      <c r="R1924" s="8" t="inlineStr">
        <is>
          <t>Direct Web</t>
        </is>
      </c>
      <c r="S1924" s="8" t="inlineStr">
        <is>
          <t>REG-NA</t>
        </is>
      </c>
    </row>
    <row r="1925">
      <c r="A1925" s="8" t="inlineStr">
        <is>
          <t>DTL-0001950</t>
        </is>
      </c>
      <c r="B1925" s="8" t="inlineStr">
        <is>
          <t>ORD-000979</t>
        </is>
      </c>
      <c r="C1925" s="10" t="inlineStr">
        <is>
          <t>2023-01-08</t>
        </is>
      </c>
      <c r="D1925" s="8" t="inlineStr">
        <is>
          <t>CUST-00186</t>
        </is>
      </c>
      <c r="E1925" s="8" t="inlineStr">
        <is>
          <t>PRD-0377</t>
        </is>
      </c>
      <c r="F1925" s="8" t="n">
        <v>4</v>
      </c>
      <c r="G1925" s="9">
        <f>IFERROR(XLOOKUP(E1925, '04_Products'!$A:$A, '04_Products'!$G:$G), 961.48)</f>
        <v/>
      </c>
      <c r="H1925" s="9">
        <f>IFERROR(XLOOKUP(E1925, '04_Products'!$A:$A, '04_Products'!$F:$F), 0)</f>
        <v/>
      </c>
      <c r="I1925" s="9">
        <f>F1925*G1925</f>
        <v/>
      </c>
      <c r="J1925" s="11" t="n">
        <v>0.1</v>
      </c>
      <c r="K1925" s="9">
        <f>I1925*J1925</f>
        <v/>
      </c>
      <c r="L1925" s="9">
        <f>I1925-K1925</f>
        <v/>
      </c>
      <c r="M1925" s="9">
        <f>F1925*H1925</f>
        <v/>
      </c>
      <c r="N1925" s="9">
        <f>L1925-M1925</f>
        <v/>
      </c>
      <c r="O1925" s="11">
        <f>IFERROR(N1925/L1925, 0)</f>
        <v/>
      </c>
      <c r="P1925" s="8">
        <f>YEAR(C1925)</f>
        <v/>
      </c>
      <c r="Q1925" s="8">
        <f>TEXT(C1925, "yyyy-mm")</f>
        <v/>
      </c>
      <c r="R1925" s="8" t="inlineStr">
        <is>
          <t>Direct Web</t>
        </is>
      </c>
      <c r="S1925" s="8" t="inlineStr">
        <is>
          <t>REG-NA</t>
        </is>
      </c>
    </row>
    <row r="1926">
      <c r="A1926" s="8" t="inlineStr">
        <is>
          <t>DTL-0001951</t>
        </is>
      </c>
      <c r="B1926" s="8" t="inlineStr">
        <is>
          <t>ORD-000979</t>
        </is>
      </c>
      <c r="C1926" s="10" t="inlineStr">
        <is>
          <t>2023-01-08</t>
        </is>
      </c>
      <c r="D1926" s="8" t="inlineStr">
        <is>
          <t>CUST-00186</t>
        </is>
      </c>
      <c r="E1926" s="8" t="inlineStr">
        <is>
          <t>PRD-0292</t>
        </is>
      </c>
      <c r="F1926" s="8" t="n">
        <v>3</v>
      </c>
      <c r="G1926" s="9">
        <f>IFERROR(XLOOKUP(E1926, '04_Products'!$A:$A, '04_Products'!$G:$G), 44.76)</f>
        <v/>
      </c>
      <c r="H1926" s="9">
        <f>IFERROR(XLOOKUP(E1926, '04_Products'!$A:$A, '04_Products'!$F:$F), 0)</f>
        <v/>
      </c>
      <c r="I1926" s="9">
        <f>F1926*G1926</f>
        <v/>
      </c>
      <c r="J1926" s="11" t="n">
        <v>0</v>
      </c>
      <c r="K1926" s="9">
        <f>I1926*J1926</f>
        <v/>
      </c>
      <c r="L1926" s="9">
        <f>I1926-K1926</f>
        <v/>
      </c>
      <c r="M1926" s="9">
        <f>F1926*H1926</f>
        <v/>
      </c>
      <c r="N1926" s="9">
        <f>L1926-M1926</f>
        <v/>
      </c>
      <c r="O1926" s="11">
        <f>IFERROR(N1926/L1926, 0)</f>
        <v/>
      </c>
      <c r="P1926" s="8">
        <f>YEAR(C1926)</f>
        <v/>
      </c>
      <c r="Q1926" s="8">
        <f>TEXT(C1926, "yyyy-mm")</f>
        <v/>
      </c>
      <c r="R1926" s="8" t="inlineStr">
        <is>
          <t>Direct Web</t>
        </is>
      </c>
      <c r="S1926" s="8" t="inlineStr">
        <is>
          <t>REG-NA</t>
        </is>
      </c>
    </row>
    <row r="1927">
      <c r="A1927" s="8" t="inlineStr">
        <is>
          <t>DTL-0001952</t>
        </is>
      </c>
      <c r="B1927" s="8" t="inlineStr">
        <is>
          <t>ORD-000980</t>
        </is>
      </c>
      <c r="C1927" s="10" t="inlineStr">
        <is>
          <t>2024-02-15</t>
        </is>
      </c>
      <c r="D1927" s="8" t="inlineStr">
        <is>
          <t>CUST-07758</t>
        </is>
      </c>
      <c r="E1927" s="8" t="inlineStr">
        <is>
          <t>PRD-0461</t>
        </is>
      </c>
      <c r="F1927" s="8" t="n">
        <v>1</v>
      </c>
      <c r="G1927" s="9">
        <f>IFERROR(XLOOKUP(E1927, '04_Products'!$A:$A, '04_Products'!$G:$G), 724.93)</f>
        <v/>
      </c>
      <c r="H1927" s="9">
        <f>IFERROR(XLOOKUP(E1927, '04_Products'!$A:$A, '04_Products'!$F:$F), 0)</f>
        <v/>
      </c>
      <c r="I1927" s="9">
        <f>F1927*G1927</f>
        <v/>
      </c>
      <c r="J1927" s="11" t="n">
        <v>0.15</v>
      </c>
      <c r="K1927" s="9">
        <f>I1927*J1927</f>
        <v/>
      </c>
      <c r="L1927" s="9">
        <f>I1927-K1927</f>
        <v/>
      </c>
      <c r="M1927" s="9">
        <f>F1927*H1927</f>
        <v/>
      </c>
      <c r="N1927" s="9">
        <f>L1927-M1927</f>
        <v/>
      </c>
      <c r="O1927" s="11">
        <f>IFERROR(N1927/L1927, 0)</f>
        <v/>
      </c>
      <c r="P1927" s="8">
        <f>YEAR(C1927)</f>
        <v/>
      </c>
      <c r="Q1927" s="8">
        <f>TEXT(C1927, "yyyy-mm")</f>
        <v/>
      </c>
      <c r="R1927" s="8" t="inlineStr">
        <is>
          <t>Direct Web</t>
        </is>
      </c>
      <c r="S1927" s="8" t="inlineStr">
        <is>
          <t>REG-NA</t>
        </is>
      </c>
    </row>
    <row r="1928">
      <c r="A1928" s="8" t="inlineStr">
        <is>
          <t>DTL-0001953</t>
        </is>
      </c>
      <c r="B1928" s="8" t="inlineStr">
        <is>
          <t>ORD-000980</t>
        </is>
      </c>
      <c r="C1928" s="10" t="inlineStr">
        <is>
          <t>2024-02-15</t>
        </is>
      </c>
      <c r="D1928" s="8" t="inlineStr">
        <is>
          <t>CUST-07758</t>
        </is>
      </c>
      <c r="E1928" s="8" t="inlineStr">
        <is>
          <t>PRD-0112</t>
        </is>
      </c>
      <c r="F1928" s="8" t="n">
        <v>1</v>
      </c>
      <c r="G1928" s="9">
        <f>IFERROR(XLOOKUP(E1928, '04_Products'!$A:$A, '04_Products'!$G:$G), 54.82)</f>
        <v/>
      </c>
      <c r="H1928" s="9">
        <f>IFERROR(XLOOKUP(E1928, '04_Products'!$A:$A, '04_Products'!$F:$F), 0)</f>
        <v/>
      </c>
      <c r="I1928" s="9">
        <f>F1928*G1928</f>
        <v/>
      </c>
      <c r="J1928" s="11" t="n">
        <v>0.1</v>
      </c>
      <c r="K1928" s="9">
        <f>I1928*J1928</f>
        <v/>
      </c>
      <c r="L1928" s="9">
        <f>I1928-K1928</f>
        <v/>
      </c>
      <c r="M1928" s="9">
        <f>F1928*H1928</f>
        <v/>
      </c>
      <c r="N1928" s="9">
        <f>L1928-M1928</f>
        <v/>
      </c>
      <c r="O1928" s="11">
        <f>IFERROR(N1928/L1928, 0)</f>
        <v/>
      </c>
      <c r="P1928" s="8">
        <f>YEAR(C1928)</f>
        <v/>
      </c>
      <c r="Q1928" s="8">
        <f>TEXT(C1928, "yyyy-mm")</f>
        <v/>
      </c>
      <c r="R1928" s="8" t="inlineStr">
        <is>
          <t>Direct Web</t>
        </is>
      </c>
      <c r="S1928" s="8" t="inlineStr">
        <is>
          <t>REG-NA</t>
        </is>
      </c>
    </row>
    <row r="1929">
      <c r="A1929" s="8" t="inlineStr">
        <is>
          <t>DTL-0001954</t>
        </is>
      </c>
      <c r="B1929" s="8" t="inlineStr">
        <is>
          <t>ORD-000980</t>
        </is>
      </c>
      <c r="C1929" s="10" t="inlineStr">
        <is>
          <t>2024-02-15</t>
        </is>
      </c>
      <c r="D1929" s="8" t="inlineStr">
        <is>
          <t>CUST-07758</t>
        </is>
      </c>
      <c r="E1929" s="8" t="inlineStr">
        <is>
          <t>PRD-0477</t>
        </is>
      </c>
      <c r="F1929" s="8" t="n">
        <v>3</v>
      </c>
      <c r="G1929" s="9">
        <f>IFERROR(XLOOKUP(E1929, '04_Products'!$A:$A, '04_Products'!$G:$G), 38.11)</f>
        <v/>
      </c>
      <c r="H1929" s="9">
        <f>IFERROR(XLOOKUP(E1929, '04_Products'!$A:$A, '04_Products'!$F:$F), 0)</f>
        <v/>
      </c>
      <c r="I1929" s="9">
        <f>F1929*G1929</f>
        <v/>
      </c>
      <c r="J1929" s="11" t="n">
        <v>0.15</v>
      </c>
      <c r="K1929" s="9">
        <f>I1929*J1929</f>
        <v/>
      </c>
      <c r="L1929" s="9">
        <f>I1929-K1929</f>
        <v/>
      </c>
      <c r="M1929" s="9">
        <f>F1929*H1929</f>
        <v/>
      </c>
      <c r="N1929" s="9">
        <f>L1929-M1929</f>
        <v/>
      </c>
      <c r="O1929" s="11">
        <f>IFERROR(N1929/L1929, 0)</f>
        <v/>
      </c>
      <c r="P1929" s="8">
        <f>YEAR(C1929)</f>
        <v/>
      </c>
      <c r="Q1929" s="8">
        <f>TEXT(C1929, "yyyy-mm")</f>
        <v/>
      </c>
      <c r="R1929" s="8" t="inlineStr">
        <is>
          <t>Direct Web</t>
        </is>
      </c>
      <c r="S1929" s="8" t="inlineStr">
        <is>
          <t>REG-NA</t>
        </is>
      </c>
    </row>
    <row r="1930">
      <c r="A1930" s="8" t="inlineStr">
        <is>
          <t>DTL-0001955</t>
        </is>
      </c>
      <c r="B1930" s="8" t="inlineStr">
        <is>
          <t>ORD-000981</t>
        </is>
      </c>
      <c r="C1930" s="10" t="inlineStr">
        <is>
          <t>2023-04-14</t>
        </is>
      </c>
      <c r="D1930" s="8" t="inlineStr">
        <is>
          <t>CUST-06631</t>
        </is>
      </c>
      <c r="E1930" s="8" t="inlineStr">
        <is>
          <t>PRD-0160</t>
        </is>
      </c>
      <c r="F1930" s="8" t="n">
        <v>3</v>
      </c>
      <c r="G1930" s="9">
        <f>IFERROR(XLOOKUP(E1930, '04_Products'!$A:$A, '04_Products'!$G:$G), 1076.82)</f>
        <v/>
      </c>
      <c r="H1930" s="9">
        <f>IFERROR(XLOOKUP(E1930, '04_Products'!$A:$A, '04_Products'!$F:$F), 0)</f>
        <v/>
      </c>
      <c r="I1930" s="9">
        <f>F1930*G1930</f>
        <v/>
      </c>
      <c r="J1930" s="11" t="n">
        <v>0</v>
      </c>
      <c r="K1930" s="9">
        <f>I1930*J1930</f>
        <v/>
      </c>
      <c r="L1930" s="9">
        <f>I1930-K1930</f>
        <v/>
      </c>
      <c r="M1930" s="9">
        <f>F1930*H1930</f>
        <v/>
      </c>
      <c r="N1930" s="9">
        <f>L1930-M1930</f>
        <v/>
      </c>
      <c r="O1930" s="11">
        <f>IFERROR(N1930/L1930, 0)</f>
        <v/>
      </c>
      <c r="P1930" s="8">
        <f>YEAR(C1930)</f>
        <v/>
      </c>
      <c r="Q1930" s="8">
        <f>TEXT(C1930, "yyyy-mm")</f>
        <v/>
      </c>
      <c r="R1930" s="8" t="inlineStr">
        <is>
          <t>Mobile App</t>
        </is>
      </c>
      <c r="S1930" s="8" t="inlineStr">
        <is>
          <t>REG-NA</t>
        </is>
      </c>
    </row>
    <row r="1931">
      <c r="A1931" s="8" t="inlineStr">
        <is>
          <t>DTL-0001956</t>
        </is>
      </c>
      <c r="B1931" s="8" t="inlineStr">
        <is>
          <t>ORD-000982</t>
        </is>
      </c>
      <c r="C1931" s="10" t="inlineStr">
        <is>
          <t>2025-05-03</t>
        </is>
      </c>
      <c r="D1931" s="8" t="inlineStr">
        <is>
          <t>CUST-06838</t>
        </is>
      </c>
      <c r="E1931" s="8" t="inlineStr">
        <is>
          <t>PRD-0271</t>
        </is>
      </c>
      <c r="F1931" s="8" t="n">
        <v>1</v>
      </c>
      <c r="G1931" s="9">
        <f>IFERROR(XLOOKUP(E1931, '04_Products'!$A:$A, '04_Products'!$G:$G), 52.39)</f>
        <v/>
      </c>
      <c r="H1931" s="9">
        <f>IFERROR(XLOOKUP(E1931, '04_Products'!$A:$A, '04_Products'!$F:$F), 0)</f>
        <v/>
      </c>
      <c r="I1931" s="9">
        <f>F1931*G1931</f>
        <v/>
      </c>
      <c r="J1931" s="11" t="n">
        <v>0.15</v>
      </c>
      <c r="K1931" s="9">
        <f>I1931*J1931</f>
        <v/>
      </c>
      <c r="L1931" s="9">
        <f>I1931-K1931</f>
        <v/>
      </c>
      <c r="M1931" s="9">
        <f>F1931*H1931</f>
        <v/>
      </c>
      <c r="N1931" s="9">
        <f>L1931-M1931</f>
        <v/>
      </c>
      <c r="O1931" s="11">
        <f>IFERROR(N1931/L1931, 0)</f>
        <v/>
      </c>
      <c r="P1931" s="8">
        <f>YEAR(C1931)</f>
        <v/>
      </c>
      <c r="Q1931" s="8">
        <f>TEXT(C1931, "yyyy-mm")</f>
        <v/>
      </c>
      <c r="R1931" s="8" t="inlineStr">
        <is>
          <t>B2B Portal</t>
        </is>
      </c>
      <c r="S1931" s="8" t="inlineStr">
        <is>
          <t>REG-LATAM</t>
        </is>
      </c>
    </row>
    <row r="1932">
      <c r="A1932" s="8" t="inlineStr">
        <is>
          <t>DTL-0001957</t>
        </is>
      </c>
      <c r="B1932" s="8" t="inlineStr">
        <is>
          <t>ORD-000983</t>
        </is>
      </c>
      <c r="C1932" s="10" t="inlineStr">
        <is>
          <t>2023-07-20</t>
        </is>
      </c>
      <c r="D1932" s="8" t="inlineStr">
        <is>
          <t>CUST-06275</t>
        </is>
      </c>
      <c r="E1932" s="8" t="inlineStr">
        <is>
          <t>PRD-0227</t>
        </is>
      </c>
      <c r="F1932" s="8" t="n">
        <v>1</v>
      </c>
      <c r="G1932" s="9">
        <f>IFERROR(XLOOKUP(E1932, '04_Products'!$A:$A, '04_Products'!$G:$G), 56.13)</f>
        <v/>
      </c>
      <c r="H1932" s="9">
        <f>IFERROR(XLOOKUP(E1932, '04_Products'!$A:$A, '04_Products'!$F:$F), 0)</f>
        <v/>
      </c>
      <c r="I1932" s="9">
        <f>F1932*G1932</f>
        <v/>
      </c>
      <c r="J1932" s="11" t="n">
        <v>0.05</v>
      </c>
      <c r="K1932" s="9">
        <f>I1932*J1932</f>
        <v/>
      </c>
      <c r="L1932" s="9">
        <f>I1932-K1932</f>
        <v/>
      </c>
      <c r="M1932" s="9">
        <f>F1932*H1932</f>
        <v/>
      </c>
      <c r="N1932" s="9">
        <f>L1932-M1932</f>
        <v/>
      </c>
      <c r="O1932" s="11">
        <f>IFERROR(N1932/L1932, 0)</f>
        <v/>
      </c>
      <c r="P1932" s="8">
        <f>YEAR(C1932)</f>
        <v/>
      </c>
      <c r="Q1932" s="8">
        <f>TEXT(C1932, "yyyy-mm")</f>
        <v/>
      </c>
      <c r="R1932" s="8" t="inlineStr">
        <is>
          <t>Mobile App</t>
        </is>
      </c>
      <c r="S1932" s="8" t="inlineStr">
        <is>
          <t>REG-NA</t>
        </is>
      </c>
    </row>
    <row r="1933">
      <c r="A1933" s="8" t="inlineStr">
        <is>
          <t>DTL-0001958</t>
        </is>
      </c>
      <c r="B1933" s="8" t="inlineStr">
        <is>
          <t>ORD-000984</t>
        </is>
      </c>
      <c r="C1933" s="10" t="inlineStr">
        <is>
          <t>2025-07-13</t>
        </is>
      </c>
      <c r="D1933" s="8" t="inlineStr">
        <is>
          <t>CUST-06030</t>
        </is>
      </c>
      <c r="E1933" s="8" t="inlineStr">
        <is>
          <t>PRD-0047</t>
        </is>
      </c>
      <c r="F1933" s="8" t="n">
        <v>1</v>
      </c>
      <c r="G1933" s="9">
        <f>IFERROR(XLOOKUP(E1933, '04_Products'!$A:$A, '04_Products'!$G:$G), 43.83)</f>
        <v/>
      </c>
      <c r="H1933" s="9">
        <f>IFERROR(XLOOKUP(E1933, '04_Products'!$A:$A, '04_Products'!$F:$F), 0)</f>
        <v/>
      </c>
      <c r="I1933" s="9">
        <f>F1933*G1933</f>
        <v/>
      </c>
      <c r="J1933" s="11" t="n">
        <v>0.1</v>
      </c>
      <c r="K1933" s="9">
        <f>I1933*J1933</f>
        <v/>
      </c>
      <c r="L1933" s="9">
        <f>I1933-K1933</f>
        <v/>
      </c>
      <c r="M1933" s="9">
        <f>F1933*H1933</f>
        <v/>
      </c>
      <c r="N1933" s="9">
        <f>L1933-M1933</f>
        <v/>
      </c>
      <c r="O1933" s="11">
        <f>IFERROR(N1933/L1933, 0)</f>
        <v/>
      </c>
      <c r="P1933" s="8">
        <f>YEAR(C1933)</f>
        <v/>
      </c>
      <c r="Q1933" s="8">
        <f>TEXT(C1933, "yyyy-mm")</f>
        <v/>
      </c>
      <c r="R1933" s="8" t="inlineStr">
        <is>
          <t>Mobile App</t>
        </is>
      </c>
      <c r="S1933" s="8" t="inlineStr">
        <is>
          <t>REG-EU</t>
        </is>
      </c>
    </row>
    <row r="1934">
      <c r="A1934" s="8" t="inlineStr">
        <is>
          <t>DTL-0001959</t>
        </is>
      </c>
      <c r="B1934" s="8" t="inlineStr">
        <is>
          <t>ORD-000984</t>
        </is>
      </c>
      <c r="C1934" s="10" t="inlineStr">
        <is>
          <t>2025-07-13</t>
        </is>
      </c>
      <c r="D1934" s="8" t="inlineStr">
        <is>
          <t>CUST-06030</t>
        </is>
      </c>
      <c r="E1934" s="8" t="inlineStr">
        <is>
          <t>PRD-0133</t>
        </is>
      </c>
      <c r="F1934" s="8" t="n">
        <v>1</v>
      </c>
      <c r="G1934" s="9">
        <f>IFERROR(XLOOKUP(E1934, '04_Products'!$A:$A, '04_Products'!$G:$G), 673.35)</f>
        <v/>
      </c>
      <c r="H1934" s="9">
        <f>IFERROR(XLOOKUP(E1934, '04_Products'!$A:$A, '04_Products'!$F:$F), 0)</f>
        <v/>
      </c>
      <c r="I1934" s="9">
        <f>F1934*G1934</f>
        <v/>
      </c>
      <c r="J1934" s="11" t="n">
        <v>0</v>
      </c>
      <c r="K1934" s="9">
        <f>I1934*J1934</f>
        <v/>
      </c>
      <c r="L1934" s="9">
        <f>I1934-K1934</f>
        <v/>
      </c>
      <c r="M1934" s="9">
        <f>F1934*H1934</f>
        <v/>
      </c>
      <c r="N1934" s="9">
        <f>L1934-M1934</f>
        <v/>
      </c>
      <c r="O1934" s="11">
        <f>IFERROR(N1934/L1934, 0)</f>
        <v/>
      </c>
      <c r="P1934" s="8">
        <f>YEAR(C1934)</f>
        <v/>
      </c>
      <c r="Q1934" s="8">
        <f>TEXT(C1934, "yyyy-mm")</f>
        <v/>
      </c>
      <c r="R1934" s="8" t="inlineStr">
        <is>
          <t>Mobile App</t>
        </is>
      </c>
      <c r="S1934" s="8" t="inlineStr">
        <is>
          <t>REG-EU</t>
        </is>
      </c>
    </row>
    <row r="1935">
      <c r="A1935" s="8" t="inlineStr">
        <is>
          <t>DTL-0001960</t>
        </is>
      </c>
      <c r="B1935" s="8" t="inlineStr">
        <is>
          <t>ORD-000985</t>
        </is>
      </c>
      <c r="C1935" s="10" t="inlineStr">
        <is>
          <t>2025-11-08</t>
        </is>
      </c>
      <c r="D1935" s="8" t="inlineStr">
        <is>
          <t>CUST-06982</t>
        </is>
      </c>
      <c r="E1935" s="8" t="inlineStr">
        <is>
          <t>PRD-0352</t>
        </is>
      </c>
      <c r="F1935" s="8" t="n">
        <v>2</v>
      </c>
      <c r="G1935" s="9">
        <f>IFERROR(XLOOKUP(E1935, '04_Products'!$A:$A, '04_Products'!$G:$G), 840.70)</f>
        <v/>
      </c>
      <c r="H1935" s="9">
        <f>IFERROR(XLOOKUP(E1935, '04_Products'!$A:$A, '04_Products'!$F:$F), 0)</f>
        <v/>
      </c>
      <c r="I1935" s="9">
        <f>F1935*G1935</f>
        <v/>
      </c>
      <c r="J1935" s="11" t="n">
        <v>0.05</v>
      </c>
      <c r="K1935" s="9">
        <f>I1935*J1935</f>
        <v/>
      </c>
      <c r="L1935" s="9">
        <f>I1935-K1935</f>
        <v/>
      </c>
      <c r="M1935" s="9">
        <f>F1935*H1935</f>
        <v/>
      </c>
      <c r="N1935" s="9">
        <f>L1935-M1935</f>
        <v/>
      </c>
      <c r="O1935" s="11">
        <f>IFERROR(N1935/L1935, 0)</f>
        <v/>
      </c>
      <c r="P1935" s="8">
        <f>YEAR(C1935)</f>
        <v/>
      </c>
      <c r="Q1935" s="8">
        <f>TEXT(C1935, "yyyy-mm")</f>
        <v/>
      </c>
      <c r="R1935" s="8" t="inlineStr">
        <is>
          <t>Direct Web</t>
        </is>
      </c>
      <c r="S1935" s="8" t="inlineStr">
        <is>
          <t>REG-NA</t>
        </is>
      </c>
    </row>
    <row r="1936">
      <c r="A1936" s="8" t="inlineStr">
        <is>
          <t>DTL-0001961</t>
        </is>
      </c>
      <c r="B1936" s="8" t="inlineStr">
        <is>
          <t>ORD-000986</t>
        </is>
      </c>
      <c r="C1936" s="10" t="inlineStr">
        <is>
          <t>2025-06-03</t>
        </is>
      </c>
      <c r="D1936" s="8" t="inlineStr">
        <is>
          <t>CUST-06481</t>
        </is>
      </c>
      <c r="E1936" s="8" t="inlineStr">
        <is>
          <t>PRD-0233</t>
        </is>
      </c>
      <c r="F1936" s="8" t="n">
        <v>2</v>
      </c>
      <c r="G1936" s="9">
        <f>IFERROR(XLOOKUP(E1936, '04_Products'!$A:$A, '04_Products'!$G:$G), 65.61)</f>
        <v/>
      </c>
      <c r="H1936" s="9">
        <f>IFERROR(XLOOKUP(E1936, '04_Products'!$A:$A, '04_Products'!$F:$F), 0)</f>
        <v/>
      </c>
      <c r="I1936" s="9">
        <f>F1936*G1936</f>
        <v/>
      </c>
      <c r="J1936" s="11" t="n">
        <v>0</v>
      </c>
      <c r="K1936" s="9">
        <f>I1936*J1936</f>
        <v/>
      </c>
      <c r="L1936" s="9">
        <f>I1936-K1936</f>
        <v/>
      </c>
      <c r="M1936" s="9">
        <f>F1936*H1936</f>
        <v/>
      </c>
      <c r="N1936" s="9">
        <f>L1936-M1936</f>
        <v/>
      </c>
      <c r="O1936" s="11">
        <f>IFERROR(N1936/L1936, 0)</f>
        <v/>
      </c>
      <c r="P1936" s="8">
        <f>YEAR(C1936)</f>
        <v/>
      </c>
      <c r="Q1936" s="8">
        <f>TEXT(C1936, "yyyy-mm")</f>
        <v/>
      </c>
      <c r="R1936" s="8" t="inlineStr">
        <is>
          <t>Mobile App</t>
        </is>
      </c>
      <c r="S1936" s="8" t="inlineStr">
        <is>
          <t>REG-EU</t>
        </is>
      </c>
    </row>
    <row r="1937">
      <c r="A1937" s="8" t="inlineStr">
        <is>
          <t>DTL-0001962</t>
        </is>
      </c>
      <c r="B1937" s="8" t="inlineStr">
        <is>
          <t>ORD-000986</t>
        </is>
      </c>
      <c r="C1937" s="10" t="inlineStr">
        <is>
          <t>2025-06-03</t>
        </is>
      </c>
      <c r="D1937" s="8" t="inlineStr">
        <is>
          <t>CUST-06481</t>
        </is>
      </c>
      <c r="E1937" s="8" t="inlineStr">
        <is>
          <t>PRD-0037</t>
        </is>
      </c>
      <c r="F1937" s="8" t="n">
        <v>3</v>
      </c>
      <c r="G1937" s="9">
        <f>IFERROR(XLOOKUP(E1937, '04_Products'!$A:$A, '04_Products'!$G:$G), 499.93)</f>
        <v/>
      </c>
      <c r="H1937" s="9">
        <f>IFERROR(XLOOKUP(E1937, '04_Products'!$A:$A, '04_Products'!$F:$F), 0)</f>
        <v/>
      </c>
      <c r="I1937" s="9">
        <f>F1937*G1937</f>
        <v/>
      </c>
      <c r="J1937" s="11" t="n">
        <v>0.15</v>
      </c>
      <c r="K1937" s="9">
        <f>I1937*J1937</f>
        <v/>
      </c>
      <c r="L1937" s="9">
        <f>I1937-K1937</f>
        <v/>
      </c>
      <c r="M1937" s="9">
        <f>F1937*H1937</f>
        <v/>
      </c>
      <c r="N1937" s="9">
        <f>L1937-M1937</f>
        <v/>
      </c>
      <c r="O1937" s="11">
        <f>IFERROR(N1937/L1937, 0)</f>
        <v/>
      </c>
      <c r="P1937" s="8">
        <f>YEAR(C1937)</f>
        <v/>
      </c>
      <c r="Q1937" s="8">
        <f>TEXT(C1937, "yyyy-mm")</f>
        <v/>
      </c>
      <c r="R1937" s="8" t="inlineStr">
        <is>
          <t>Mobile App</t>
        </is>
      </c>
      <c r="S1937" s="8" t="inlineStr">
        <is>
          <t>REG-EU</t>
        </is>
      </c>
    </row>
    <row r="1938">
      <c r="A1938" s="8" t="inlineStr">
        <is>
          <t>DTL-0001963</t>
        </is>
      </c>
      <c r="B1938" s="8" t="inlineStr">
        <is>
          <t>ORD-000986</t>
        </is>
      </c>
      <c r="C1938" s="10" t="inlineStr">
        <is>
          <t>2025-06-03</t>
        </is>
      </c>
      <c r="D1938" s="8" t="inlineStr">
        <is>
          <t>CUST-06481</t>
        </is>
      </c>
      <c r="E1938" s="8" t="inlineStr">
        <is>
          <t>PRD-0204</t>
        </is>
      </c>
      <c r="F1938" s="8" t="n">
        <v>3</v>
      </c>
      <c r="G1938" s="9">
        <f>IFERROR(XLOOKUP(E1938, '04_Products'!$A:$A, '04_Products'!$G:$G), 46.46)</f>
        <v/>
      </c>
      <c r="H1938" s="9">
        <f>IFERROR(XLOOKUP(E1938, '04_Products'!$A:$A, '04_Products'!$F:$F), 0)</f>
        <v/>
      </c>
      <c r="I1938" s="9">
        <f>F1938*G1938</f>
        <v/>
      </c>
      <c r="J1938" s="11" t="n">
        <v>0</v>
      </c>
      <c r="K1938" s="9">
        <f>I1938*J1938</f>
        <v/>
      </c>
      <c r="L1938" s="9">
        <f>I1938-K1938</f>
        <v/>
      </c>
      <c r="M1938" s="9">
        <f>F1938*H1938</f>
        <v/>
      </c>
      <c r="N1938" s="9">
        <f>L1938-M1938</f>
        <v/>
      </c>
      <c r="O1938" s="11">
        <f>IFERROR(N1938/L1938, 0)</f>
        <v/>
      </c>
      <c r="P1938" s="8">
        <f>YEAR(C1938)</f>
        <v/>
      </c>
      <c r="Q1938" s="8">
        <f>TEXT(C1938, "yyyy-mm")</f>
        <v/>
      </c>
      <c r="R1938" s="8" t="inlineStr">
        <is>
          <t>Mobile App</t>
        </is>
      </c>
      <c r="S1938" s="8" t="inlineStr">
        <is>
          <t>REG-EU</t>
        </is>
      </c>
    </row>
    <row r="1939">
      <c r="A1939" s="8" t="inlineStr">
        <is>
          <t>DTL-0001964</t>
        </is>
      </c>
      <c r="B1939" s="8" t="inlineStr">
        <is>
          <t>ORD-000987</t>
        </is>
      </c>
      <c r="C1939" s="10" t="inlineStr">
        <is>
          <t>2023-03-23</t>
        </is>
      </c>
      <c r="D1939" s="8" t="inlineStr">
        <is>
          <t>CUST-00157</t>
        </is>
      </c>
      <c r="E1939" s="8" t="inlineStr">
        <is>
          <t>PRD-0262</t>
        </is>
      </c>
      <c r="F1939" s="8" t="n">
        <v>5</v>
      </c>
      <c r="G1939" s="9">
        <f>IFERROR(XLOOKUP(E1939, '04_Products'!$A:$A, '04_Products'!$G:$G), 621.74)</f>
        <v/>
      </c>
      <c r="H1939" s="9">
        <f>IFERROR(XLOOKUP(E1939, '04_Products'!$A:$A, '04_Products'!$F:$F), 0)</f>
        <v/>
      </c>
      <c r="I1939" s="9">
        <f>F1939*G1939</f>
        <v/>
      </c>
      <c r="J1939" s="11" t="n">
        <v>0.1</v>
      </c>
      <c r="K1939" s="9">
        <f>I1939*J1939</f>
        <v/>
      </c>
      <c r="L1939" s="9">
        <f>I1939-K1939</f>
        <v/>
      </c>
      <c r="M1939" s="9">
        <f>F1939*H1939</f>
        <v/>
      </c>
      <c r="N1939" s="9">
        <f>L1939-M1939</f>
        <v/>
      </c>
      <c r="O1939" s="11">
        <f>IFERROR(N1939/L1939, 0)</f>
        <v/>
      </c>
      <c r="P1939" s="8">
        <f>YEAR(C1939)</f>
        <v/>
      </c>
      <c r="Q1939" s="8">
        <f>TEXT(C1939, "yyyy-mm")</f>
        <v/>
      </c>
      <c r="R1939" s="8" t="inlineStr">
        <is>
          <t>Direct Web</t>
        </is>
      </c>
      <c r="S1939" s="8" t="inlineStr">
        <is>
          <t>REG-NA</t>
        </is>
      </c>
    </row>
    <row r="1940">
      <c r="A1940" s="8" t="inlineStr">
        <is>
          <t>DTL-0001965</t>
        </is>
      </c>
      <c r="B1940" s="8" t="inlineStr">
        <is>
          <t>ORD-000987</t>
        </is>
      </c>
      <c r="C1940" s="10" t="inlineStr">
        <is>
          <t>2023-03-23</t>
        </is>
      </c>
      <c r="D1940" s="8" t="inlineStr">
        <is>
          <t>CUST-00157</t>
        </is>
      </c>
      <c r="E1940" s="8" t="inlineStr">
        <is>
          <t>PRD-0421</t>
        </is>
      </c>
      <c r="F1940" s="8" t="n">
        <v>1</v>
      </c>
      <c r="G1940" s="9">
        <f>IFERROR(XLOOKUP(E1940, '04_Products'!$A:$A, '04_Products'!$G:$G), 50.08)</f>
        <v/>
      </c>
      <c r="H1940" s="9">
        <f>IFERROR(XLOOKUP(E1940, '04_Products'!$A:$A, '04_Products'!$F:$F), 0)</f>
        <v/>
      </c>
      <c r="I1940" s="9">
        <f>F1940*G1940</f>
        <v/>
      </c>
      <c r="J1940" s="11" t="n">
        <v>0</v>
      </c>
      <c r="K1940" s="9">
        <f>I1940*J1940</f>
        <v/>
      </c>
      <c r="L1940" s="9">
        <f>I1940-K1940</f>
        <v/>
      </c>
      <c r="M1940" s="9">
        <f>F1940*H1940</f>
        <v/>
      </c>
      <c r="N1940" s="9">
        <f>L1940-M1940</f>
        <v/>
      </c>
      <c r="O1940" s="11">
        <f>IFERROR(N1940/L1940, 0)</f>
        <v/>
      </c>
      <c r="P1940" s="8">
        <f>YEAR(C1940)</f>
        <v/>
      </c>
      <c r="Q1940" s="8">
        <f>TEXT(C1940, "yyyy-mm")</f>
        <v/>
      </c>
      <c r="R1940" s="8" t="inlineStr">
        <is>
          <t>Direct Web</t>
        </is>
      </c>
      <c r="S1940" s="8" t="inlineStr">
        <is>
          <t>REG-NA</t>
        </is>
      </c>
    </row>
    <row r="1941">
      <c r="A1941" s="8" t="inlineStr">
        <is>
          <t>DTL-0001966</t>
        </is>
      </c>
      <c r="B1941" s="8" t="inlineStr">
        <is>
          <t>ORD-000987</t>
        </is>
      </c>
      <c r="C1941" s="10" t="inlineStr">
        <is>
          <t>2023-03-23</t>
        </is>
      </c>
      <c r="D1941" s="8" t="inlineStr">
        <is>
          <t>CUST-00157</t>
        </is>
      </c>
      <c r="E1941" s="8" t="inlineStr">
        <is>
          <t>PRD-0227</t>
        </is>
      </c>
      <c r="F1941" s="8" t="n">
        <v>2</v>
      </c>
      <c r="G1941" s="9">
        <f>IFERROR(XLOOKUP(E1941, '04_Products'!$A:$A, '04_Products'!$G:$G), 56.13)</f>
        <v/>
      </c>
      <c r="H1941" s="9">
        <f>IFERROR(XLOOKUP(E1941, '04_Products'!$A:$A, '04_Products'!$F:$F), 0)</f>
        <v/>
      </c>
      <c r="I1941" s="9">
        <f>F1941*G1941</f>
        <v/>
      </c>
      <c r="J1941" s="11" t="n">
        <v>0</v>
      </c>
      <c r="K1941" s="9">
        <f>I1941*J1941</f>
        <v/>
      </c>
      <c r="L1941" s="9">
        <f>I1941-K1941</f>
        <v/>
      </c>
      <c r="M1941" s="9">
        <f>F1941*H1941</f>
        <v/>
      </c>
      <c r="N1941" s="9">
        <f>L1941-M1941</f>
        <v/>
      </c>
      <c r="O1941" s="11">
        <f>IFERROR(N1941/L1941, 0)</f>
        <v/>
      </c>
      <c r="P1941" s="8">
        <f>YEAR(C1941)</f>
        <v/>
      </c>
      <c r="Q1941" s="8">
        <f>TEXT(C1941, "yyyy-mm")</f>
        <v/>
      </c>
      <c r="R1941" s="8" t="inlineStr">
        <is>
          <t>Direct Web</t>
        </is>
      </c>
      <c r="S1941" s="8" t="inlineStr">
        <is>
          <t>REG-NA</t>
        </is>
      </c>
    </row>
    <row r="1942">
      <c r="A1942" s="8" t="inlineStr">
        <is>
          <t>DTL-0001967</t>
        </is>
      </c>
      <c r="B1942" s="8" t="inlineStr">
        <is>
          <t>ORD-000988</t>
        </is>
      </c>
      <c r="C1942" s="10" t="inlineStr">
        <is>
          <t>2025-03-15</t>
        </is>
      </c>
      <c r="D1942" s="8" t="inlineStr">
        <is>
          <t>CUST-03148</t>
        </is>
      </c>
      <c r="E1942" s="8" t="inlineStr">
        <is>
          <t>PRD-0485</t>
        </is>
      </c>
      <c r="F1942" s="8" t="n">
        <v>1</v>
      </c>
      <c r="G1942" s="9">
        <f>IFERROR(XLOOKUP(E1942, '04_Products'!$A:$A, '04_Products'!$G:$G), 432.36)</f>
        <v/>
      </c>
      <c r="H1942" s="9">
        <f>IFERROR(XLOOKUP(E1942, '04_Products'!$A:$A, '04_Products'!$F:$F), 0)</f>
        <v/>
      </c>
      <c r="I1942" s="9">
        <f>F1942*G1942</f>
        <v/>
      </c>
      <c r="J1942" s="11" t="n">
        <v>0</v>
      </c>
      <c r="K1942" s="9">
        <f>I1942*J1942</f>
        <v/>
      </c>
      <c r="L1942" s="9">
        <f>I1942-K1942</f>
        <v/>
      </c>
      <c r="M1942" s="9">
        <f>F1942*H1942</f>
        <v/>
      </c>
      <c r="N1942" s="9">
        <f>L1942-M1942</f>
        <v/>
      </c>
      <c r="O1942" s="11">
        <f>IFERROR(N1942/L1942, 0)</f>
        <v/>
      </c>
      <c r="P1942" s="8">
        <f>YEAR(C1942)</f>
        <v/>
      </c>
      <c r="Q1942" s="8">
        <f>TEXT(C1942, "yyyy-mm")</f>
        <v/>
      </c>
      <c r="R1942" s="8" t="inlineStr">
        <is>
          <t>Direct Web</t>
        </is>
      </c>
      <c r="S1942" s="8" t="inlineStr">
        <is>
          <t>REG-NA</t>
        </is>
      </c>
    </row>
    <row r="1943">
      <c r="A1943" s="8" t="inlineStr">
        <is>
          <t>DTL-0001968</t>
        </is>
      </c>
      <c r="B1943" s="8" t="inlineStr">
        <is>
          <t>ORD-000988</t>
        </is>
      </c>
      <c r="C1943" s="10" t="inlineStr">
        <is>
          <t>2025-03-15</t>
        </is>
      </c>
      <c r="D1943" s="8" t="inlineStr">
        <is>
          <t>CUST-03148</t>
        </is>
      </c>
      <c r="E1943" s="8" t="inlineStr">
        <is>
          <t>PRD-0382</t>
        </is>
      </c>
      <c r="F1943" s="8" t="n">
        <v>4</v>
      </c>
      <c r="G1943" s="9">
        <f>IFERROR(XLOOKUP(E1943, '04_Products'!$A:$A, '04_Products'!$G:$G), 104.39)</f>
        <v/>
      </c>
      <c r="H1943" s="9">
        <f>IFERROR(XLOOKUP(E1943, '04_Products'!$A:$A, '04_Products'!$F:$F), 0)</f>
        <v/>
      </c>
      <c r="I1943" s="9">
        <f>F1943*G1943</f>
        <v/>
      </c>
      <c r="J1943" s="11" t="n">
        <v>0</v>
      </c>
      <c r="K1943" s="9">
        <f>I1943*J1943</f>
        <v/>
      </c>
      <c r="L1943" s="9">
        <f>I1943-K1943</f>
        <v/>
      </c>
      <c r="M1943" s="9">
        <f>F1943*H1943</f>
        <v/>
      </c>
      <c r="N1943" s="9">
        <f>L1943-M1943</f>
        <v/>
      </c>
      <c r="O1943" s="11">
        <f>IFERROR(N1943/L1943, 0)</f>
        <v/>
      </c>
      <c r="P1943" s="8">
        <f>YEAR(C1943)</f>
        <v/>
      </c>
      <c r="Q1943" s="8">
        <f>TEXT(C1943, "yyyy-mm")</f>
        <v/>
      </c>
      <c r="R1943" s="8" t="inlineStr">
        <is>
          <t>Direct Web</t>
        </is>
      </c>
      <c r="S1943" s="8" t="inlineStr">
        <is>
          <t>REG-NA</t>
        </is>
      </c>
    </row>
    <row r="1944">
      <c r="A1944" s="8" t="inlineStr">
        <is>
          <t>DTL-0001969</t>
        </is>
      </c>
      <c r="B1944" s="8" t="inlineStr">
        <is>
          <t>ORD-000988</t>
        </is>
      </c>
      <c r="C1944" s="10" t="inlineStr">
        <is>
          <t>2025-03-15</t>
        </is>
      </c>
      <c r="D1944" s="8" t="inlineStr">
        <is>
          <t>CUST-03148</t>
        </is>
      </c>
      <c r="E1944" s="8" t="inlineStr">
        <is>
          <t>PRD-0344</t>
        </is>
      </c>
      <c r="F1944" s="8" t="n">
        <v>1</v>
      </c>
      <c r="G1944" s="9">
        <f>IFERROR(XLOOKUP(E1944, '04_Products'!$A:$A, '04_Products'!$G:$G), 337.02)</f>
        <v/>
      </c>
      <c r="H1944" s="9">
        <f>IFERROR(XLOOKUP(E1944, '04_Products'!$A:$A, '04_Products'!$F:$F), 0)</f>
        <v/>
      </c>
      <c r="I1944" s="9">
        <f>F1944*G1944</f>
        <v/>
      </c>
      <c r="J1944" s="11" t="n">
        <v>0.1</v>
      </c>
      <c r="K1944" s="9">
        <f>I1944*J1944</f>
        <v/>
      </c>
      <c r="L1944" s="9">
        <f>I1944-K1944</f>
        <v/>
      </c>
      <c r="M1944" s="9">
        <f>F1944*H1944</f>
        <v/>
      </c>
      <c r="N1944" s="9">
        <f>L1944-M1944</f>
        <v/>
      </c>
      <c r="O1944" s="11">
        <f>IFERROR(N1944/L1944, 0)</f>
        <v/>
      </c>
      <c r="P1944" s="8">
        <f>YEAR(C1944)</f>
        <v/>
      </c>
      <c r="Q1944" s="8">
        <f>TEXT(C1944, "yyyy-mm")</f>
        <v/>
      </c>
      <c r="R1944" s="8" t="inlineStr">
        <is>
          <t>Direct Web</t>
        </is>
      </c>
      <c r="S1944" s="8" t="inlineStr">
        <is>
          <t>REG-NA</t>
        </is>
      </c>
    </row>
    <row r="1945">
      <c r="A1945" s="8" t="inlineStr">
        <is>
          <t>DTL-0001970</t>
        </is>
      </c>
      <c r="B1945" s="8" t="inlineStr">
        <is>
          <t>ORD-000988</t>
        </is>
      </c>
      <c r="C1945" s="10" t="inlineStr">
        <is>
          <t>2025-03-15</t>
        </is>
      </c>
      <c r="D1945" s="8" t="inlineStr">
        <is>
          <t>CUST-03148</t>
        </is>
      </c>
      <c r="E1945" s="8" t="inlineStr">
        <is>
          <t>PRD-0165</t>
        </is>
      </c>
      <c r="F1945" s="8" t="n">
        <v>1</v>
      </c>
      <c r="G1945" s="9">
        <f>IFERROR(XLOOKUP(E1945, '04_Products'!$A:$A, '04_Products'!$G:$G), 37.40)</f>
        <v/>
      </c>
      <c r="H1945" s="9">
        <f>IFERROR(XLOOKUP(E1945, '04_Products'!$A:$A, '04_Products'!$F:$F), 0)</f>
        <v/>
      </c>
      <c r="I1945" s="9">
        <f>F1945*G1945</f>
        <v/>
      </c>
      <c r="J1945" s="11" t="n">
        <v>0</v>
      </c>
      <c r="K1945" s="9">
        <f>I1945*J1945</f>
        <v/>
      </c>
      <c r="L1945" s="9">
        <f>I1945-K1945</f>
        <v/>
      </c>
      <c r="M1945" s="9">
        <f>F1945*H1945</f>
        <v/>
      </c>
      <c r="N1945" s="9">
        <f>L1945-M1945</f>
        <v/>
      </c>
      <c r="O1945" s="11">
        <f>IFERROR(N1945/L1945, 0)</f>
        <v/>
      </c>
      <c r="P1945" s="8">
        <f>YEAR(C1945)</f>
        <v/>
      </c>
      <c r="Q1945" s="8">
        <f>TEXT(C1945, "yyyy-mm")</f>
        <v/>
      </c>
      <c r="R1945" s="8" t="inlineStr">
        <is>
          <t>Direct Web</t>
        </is>
      </c>
      <c r="S1945" s="8" t="inlineStr">
        <is>
          <t>REG-NA</t>
        </is>
      </c>
    </row>
    <row r="1946">
      <c r="A1946" s="8" t="inlineStr">
        <is>
          <t>DTL-0001971</t>
        </is>
      </c>
      <c r="B1946" s="8" t="inlineStr">
        <is>
          <t>ORD-000989</t>
        </is>
      </c>
      <c r="C1946" s="10" t="inlineStr">
        <is>
          <t>2024-04-27</t>
        </is>
      </c>
      <c r="D1946" s="8" t="inlineStr">
        <is>
          <t>CUST-05260</t>
        </is>
      </c>
      <c r="E1946" s="8" t="inlineStr">
        <is>
          <t>PRD-0048</t>
        </is>
      </c>
      <c r="F1946" s="8" t="n">
        <v>2</v>
      </c>
      <c r="G1946" s="9">
        <f>IFERROR(XLOOKUP(E1946, '04_Products'!$A:$A, '04_Products'!$G:$G), 39.00)</f>
        <v/>
      </c>
      <c r="H1946" s="9">
        <f>IFERROR(XLOOKUP(E1946, '04_Products'!$A:$A, '04_Products'!$F:$F), 0)</f>
        <v/>
      </c>
      <c r="I1946" s="9">
        <f>F1946*G1946</f>
        <v/>
      </c>
      <c r="J1946" s="11" t="n">
        <v>0</v>
      </c>
      <c r="K1946" s="9">
        <f>I1946*J1946</f>
        <v/>
      </c>
      <c r="L1946" s="9">
        <f>I1946-K1946</f>
        <v/>
      </c>
      <c r="M1946" s="9">
        <f>F1946*H1946</f>
        <v/>
      </c>
      <c r="N1946" s="9">
        <f>L1946-M1946</f>
        <v/>
      </c>
      <c r="O1946" s="11">
        <f>IFERROR(N1946/L1946, 0)</f>
        <v/>
      </c>
      <c r="P1946" s="8">
        <f>YEAR(C1946)</f>
        <v/>
      </c>
      <c r="Q1946" s="8">
        <f>TEXT(C1946, "yyyy-mm")</f>
        <v/>
      </c>
      <c r="R1946" s="8" t="inlineStr">
        <is>
          <t>Direct Web</t>
        </is>
      </c>
      <c r="S1946" s="8" t="inlineStr">
        <is>
          <t>REG-APAC</t>
        </is>
      </c>
    </row>
    <row r="1947">
      <c r="A1947" s="8" t="inlineStr">
        <is>
          <t>DTL-0001972</t>
        </is>
      </c>
      <c r="B1947" s="8" t="inlineStr">
        <is>
          <t>ORD-000989</t>
        </is>
      </c>
      <c r="C1947" s="10" t="inlineStr">
        <is>
          <t>2024-04-27</t>
        </is>
      </c>
      <c r="D1947" s="8" t="inlineStr">
        <is>
          <t>CUST-05260</t>
        </is>
      </c>
      <c r="E1947" s="8" t="inlineStr">
        <is>
          <t>PRD-0345</t>
        </is>
      </c>
      <c r="F1947" s="8" t="n">
        <v>1</v>
      </c>
      <c r="G1947" s="9">
        <f>IFERROR(XLOOKUP(E1947, '04_Products'!$A:$A, '04_Products'!$G:$G), 59.07)</f>
        <v/>
      </c>
      <c r="H1947" s="9">
        <f>IFERROR(XLOOKUP(E1947, '04_Products'!$A:$A, '04_Products'!$F:$F), 0)</f>
        <v/>
      </c>
      <c r="I1947" s="9">
        <f>F1947*G1947</f>
        <v/>
      </c>
      <c r="J1947" s="11" t="n">
        <v>0</v>
      </c>
      <c r="K1947" s="9">
        <f>I1947*J1947</f>
        <v/>
      </c>
      <c r="L1947" s="9">
        <f>I1947-K1947</f>
        <v/>
      </c>
      <c r="M1947" s="9">
        <f>F1947*H1947</f>
        <v/>
      </c>
      <c r="N1947" s="9">
        <f>L1947-M1947</f>
        <v/>
      </c>
      <c r="O1947" s="11">
        <f>IFERROR(N1947/L1947, 0)</f>
        <v/>
      </c>
      <c r="P1947" s="8">
        <f>YEAR(C1947)</f>
        <v/>
      </c>
      <c r="Q1947" s="8">
        <f>TEXT(C1947, "yyyy-mm")</f>
        <v/>
      </c>
      <c r="R1947" s="8" t="inlineStr">
        <is>
          <t>Direct Web</t>
        </is>
      </c>
      <c r="S1947" s="8" t="inlineStr">
        <is>
          <t>REG-APAC</t>
        </is>
      </c>
    </row>
    <row r="1948">
      <c r="A1948" s="8" t="inlineStr">
        <is>
          <t>DTL-0001973</t>
        </is>
      </c>
      <c r="B1948" s="8" t="inlineStr">
        <is>
          <t>ORD-000989</t>
        </is>
      </c>
      <c r="C1948" s="10" t="inlineStr">
        <is>
          <t>2024-04-27</t>
        </is>
      </c>
      <c r="D1948" s="8" t="inlineStr">
        <is>
          <t>CUST-05260</t>
        </is>
      </c>
      <c r="E1948" s="8" t="inlineStr">
        <is>
          <t>PRD-0285</t>
        </is>
      </c>
      <c r="F1948" s="8" t="n">
        <v>10</v>
      </c>
      <c r="G1948" s="9">
        <f>IFERROR(XLOOKUP(E1948, '04_Products'!$A:$A, '04_Products'!$G:$G), 269.59)</f>
        <v/>
      </c>
      <c r="H1948" s="9">
        <f>IFERROR(XLOOKUP(E1948, '04_Products'!$A:$A, '04_Products'!$F:$F), 0)</f>
        <v/>
      </c>
      <c r="I1948" s="9">
        <f>F1948*G1948</f>
        <v/>
      </c>
      <c r="J1948" s="11" t="n">
        <v>0</v>
      </c>
      <c r="K1948" s="9">
        <f>I1948*J1948</f>
        <v/>
      </c>
      <c r="L1948" s="9">
        <f>I1948-K1948</f>
        <v/>
      </c>
      <c r="M1948" s="9">
        <f>F1948*H1948</f>
        <v/>
      </c>
      <c r="N1948" s="9">
        <f>L1948-M1948</f>
        <v/>
      </c>
      <c r="O1948" s="11">
        <f>IFERROR(N1948/L1948, 0)</f>
        <v/>
      </c>
      <c r="P1948" s="8">
        <f>YEAR(C1948)</f>
        <v/>
      </c>
      <c r="Q1948" s="8">
        <f>TEXT(C1948, "yyyy-mm")</f>
        <v/>
      </c>
      <c r="R1948" s="8" t="inlineStr">
        <is>
          <t>Direct Web</t>
        </is>
      </c>
      <c r="S1948" s="8" t="inlineStr">
        <is>
          <t>REG-APAC</t>
        </is>
      </c>
    </row>
    <row r="1949">
      <c r="A1949" s="8" t="inlineStr">
        <is>
          <t>DTL-0001974</t>
        </is>
      </c>
      <c r="B1949" s="8" t="inlineStr">
        <is>
          <t>ORD-000989</t>
        </is>
      </c>
      <c r="C1949" s="10" t="inlineStr">
        <is>
          <t>2024-04-27</t>
        </is>
      </c>
      <c r="D1949" s="8" t="inlineStr">
        <is>
          <t>CUST-05260</t>
        </is>
      </c>
      <c r="E1949" s="8" t="inlineStr">
        <is>
          <t>PRD-0392</t>
        </is>
      </c>
      <c r="F1949" s="8" t="n">
        <v>8</v>
      </c>
      <c r="G1949" s="9">
        <f>IFERROR(XLOOKUP(E1949, '04_Products'!$A:$A, '04_Products'!$G:$G), 252.58)</f>
        <v/>
      </c>
      <c r="H1949" s="9">
        <f>IFERROR(XLOOKUP(E1949, '04_Products'!$A:$A, '04_Products'!$F:$F), 0)</f>
        <v/>
      </c>
      <c r="I1949" s="9">
        <f>F1949*G1949</f>
        <v/>
      </c>
      <c r="J1949" s="11" t="n">
        <v>0</v>
      </c>
      <c r="K1949" s="9">
        <f>I1949*J1949</f>
        <v/>
      </c>
      <c r="L1949" s="9">
        <f>I1949-K1949</f>
        <v/>
      </c>
      <c r="M1949" s="9">
        <f>F1949*H1949</f>
        <v/>
      </c>
      <c r="N1949" s="9">
        <f>L1949-M1949</f>
        <v/>
      </c>
      <c r="O1949" s="11">
        <f>IFERROR(N1949/L1949, 0)</f>
        <v/>
      </c>
      <c r="P1949" s="8">
        <f>YEAR(C1949)</f>
        <v/>
      </c>
      <c r="Q1949" s="8">
        <f>TEXT(C1949, "yyyy-mm")</f>
        <v/>
      </c>
      <c r="R1949" s="8" t="inlineStr">
        <is>
          <t>Direct Web</t>
        </is>
      </c>
      <c r="S1949" s="8" t="inlineStr">
        <is>
          <t>REG-APAC</t>
        </is>
      </c>
    </row>
    <row r="1950">
      <c r="A1950" s="8" t="inlineStr">
        <is>
          <t>DTL-0001975</t>
        </is>
      </c>
      <c r="B1950" s="8" t="inlineStr">
        <is>
          <t>ORD-000989</t>
        </is>
      </c>
      <c r="C1950" s="10" t="inlineStr">
        <is>
          <t>2024-04-27</t>
        </is>
      </c>
      <c r="D1950" s="8" t="inlineStr">
        <is>
          <t>CUST-05260</t>
        </is>
      </c>
      <c r="E1950" s="8" t="inlineStr">
        <is>
          <t>PRD-0066</t>
        </is>
      </c>
      <c r="F1950" s="8" t="n">
        <v>2</v>
      </c>
      <c r="G1950" s="9">
        <f>IFERROR(XLOOKUP(E1950, '04_Products'!$A:$A, '04_Products'!$G:$G), 976.53)</f>
        <v/>
      </c>
      <c r="H1950" s="9">
        <f>IFERROR(XLOOKUP(E1950, '04_Products'!$A:$A, '04_Products'!$F:$F), 0)</f>
        <v/>
      </c>
      <c r="I1950" s="9">
        <f>F1950*G1950</f>
        <v/>
      </c>
      <c r="J1950" s="11" t="n">
        <v>0.3</v>
      </c>
      <c r="K1950" s="9">
        <f>I1950*J1950</f>
        <v/>
      </c>
      <c r="L1950" s="9">
        <f>I1950-K1950</f>
        <v/>
      </c>
      <c r="M1950" s="9">
        <f>F1950*H1950</f>
        <v/>
      </c>
      <c r="N1950" s="9">
        <f>L1950-M1950</f>
        <v/>
      </c>
      <c r="O1950" s="11">
        <f>IFERROR(N1950/L1950, 0)</f>
        <v/>
      </c>
      <c r="P1950" s="8">
        <f>YEAR(C1950)</f>
        <v/>
      </c>
      <c r="Q1950" s="8">
        <f>TEXT(C1950, "yyyy-mm")</f>
        <v/>
      </c>
      <c r="R1950" s="8" t="inlineStr">
        <is>
          <t>Direct Web</t>
        </is>
      </c>
      <c r="S1950" s="8" t="inlineStr">
        <is>
          <t>REG-APAC</t>
        </is>
      </c>
    </row>
    <row r="1951">
      <c r="A1951" s="8" t="inlineStr">
        <is>
          <t>DTL-0001976</t>
        </is>
      </c>
      <c r="B1951" s="8" t="inlineStr">
        <is>
          <t>ORD-000990</t>
        </is>
      </c>
      <c r="C1951" s="10" t="inlineStr">
        <is>
          <t>2024-02-26</t>
        </is>
      </c>
      <c r="D1951" s="8" t="inlineStr">
        <is>
          <t>CUST-00154</t>
        </is>
      </c>
      <c r="E1951" s="8" t="inlineStr">
        <is>
          <t>PRD-0007</t>
        </is>
      </c>
      <c r="F1951" s="8" t="n">
        <v>2</v>
      </c>
      <c r="G1951" s="9">
        <f>IFERROR(XLOOKUP(E1951, '04_Products'!$A:$A, '04_Products'!$G:$G), 254.43)</f>
        <v/>
      </c>
      <c r="H1951" s="9">
        <f>IFERROR(XLOOKUP(E1951, '04_Products'!$A:$A, '04_Products'!$F:$F), 0)</f>
        <v/>
      </c>
      <c r="I1951" s="9">
        <f>F1951*G1951</f>
        <v/>
      </c>
      <c r="J1951" s="11" t="n">
        <v>0.25</v>
      </c>
      <c r="K1951" s="9">
        <f>I1951*J1951</f>
        <v/>
      </c>
      <c r="L1951" s="9">
        <f>I1951-K1951</f>
        <v/>
      </c>
      <c r="M1951" s="9">
        <f>F1951*H1951</f>
        <v/>
      </c>
      <c r="N1951" s="9">
        <f>L1951-M1951</f>
        <v/>
      </c>
      <c r="O1951" s="11">
        <f>IFERROR(N1951/L1951, 0)</f>
        <v/>
      </c>
      <c r="P1951" s="8">
        <f>YEAR(C1951)</f>
        <v/>
      </c>
      <c r="Q1951" s="8">
        <f>TEXT(C1951, "yyyy-mm")</f>
        <v/>
      </c>
      <c r="R1951" s="8" t="inlineStr">
        <is>
          <t>Mobile App</t>
        </is>
      </c>
      <c r="S1951" s="8" t="inlineStr">
        <is>
          <t>REG-APAC</t>
        </is>
      </c>
    </row>
    <row r="1952">
      <c r="A1952" s="8" t="inlineStr">
        <is>
          <t>DTL-0001977</t>
        </is>
      </c>
      <c r="B1952" s="8" t="inlineStr">
        <is>
          <t>ORD-000991</t>
        </is>
      </c>
      <c r="C1952" s="10" t="inlineStr">
        <is>
          <t>2025-12-20</t>
        </is>
      </c>
      <c r="D1952" s="8" t="inlineStr">
        <is>
          <t>CUST-01447</t>
        </is>
      </c>
      <c r="E1952" s="8" t="inlineStr">
        <is>
          <t>PRD-0010</t>
        </is>
      </c>
      <c r="F1952" s="8" t="n">
        <v>1</v>
      </c>
      <c r="G1952" s="9">
        <f>IFERROR(XLOOKUP(E1952, '04_Products'!$A:$A, '04_Products'!$G:$G), 863.30)</f>
        <v/>
      </c>
      <c r="H1952" s="9">
        <f>IFERROR(XLOOKUP(E1952, '04_Products'!$A:$A, '04_Products'!$F:$F), 0)</f>
        <v/>
      </c>
      <c r="I1952" s="9">
        <f>F1952*G1952</f>
        <v/>
      </c>
      <c r="J1952" s="11" t="n">
        <v>0</v>
      </c>
      <c r="K1952" s="9">
        <f>I1952*J1952</f>
        <v/>
      </c>
      <c r="L1952" s="9">
        <f>I1952-K1952</f>
        <v/>
      </c>
      <c r="M1952" s="9">
        <f>F1952*H1952</f>
        <v/>
      </c>
      <c r="N1952" s="9">
        <f>L1952-M1952</f>
        <v/>
      </c>
      <c r="O1952" s="11">
        <f>IFERROR(N1952/L1952, 0)</f>
        <v/>
      </c>
      <c r="P1952" s="8">
        <f>YEAR(C1952)</f>
        <v/>
      </c>
      <c r="Q1952" s="8">
        <f>TEXT(C1952, "yyyy-mm")</f>
        <v/>
      </c>
      <c r="R1952" s="8" t="inlineStr">
        <is>
          <t>Direct Web</t>
        </is>
      </c>
      <c r="S1952" s="8" t="inlineStr">
        <is>
          <t>REG-NA</t>
        </is>
      </c>
    </row>
    <row r="1953">
      <c r="A1953" s="8" t="inlineStr">
        <is>
          <t>DTL-0001978</t>
        </is>
      </c>
      <c r="B1953" s="8" t="inlineStr">
        <is>
          <t>ORD-000991</t>
        </is>
      </c>
      <c r="C1953" s="10" t="inlineStr">
        <is>
          <t>2025-12-20</t>
        </is>
      </c>
      <c r="D1953" s="8" t="inlineStr">
        <is>
          <t>CUST-01447</t>
        </is>
      </c>
      <c r="E1953" s="8" t="inlineStr">
        <is>
          <t>PRD-0111</t>
        </is>
      </c>
      <c r="F1953" s="8" t="n">
        <v>3</v>
      </c>
      <c r="G1953" s="9">
        <f>IFERROR(XLOOKUP(E1953, '04_Products'!$A:$A, '04_Products'!$G:$G), 63.37)</f>
        <v/>
      </c>
      <c r="H1953" s="9">
        <f>IFERROR(XLOOKUP(E1953, '04_Products'!$A:$A, '04_Products'!$F:$F), 0)</f>
        <v/>
      </c>
      <c r="I1953" s="9">
        <f>F1953*G1953</f>
        <v/>
      </c>
      <c r="J1953" s="11" t="n">
        <v>0.05</v>
      </c>
      <c r="K1953" s="9">
        <f>I1953*J1953</f>
        <v/>
      </c>
      <c r="L1953" s="9">
        <f>I1953-K1953</f>
        <v/>
      </c>
      <c r="M1953" s="9">
        <f>F1953*H1953</f>
        <v/>
      </c>
      <c r="N1953" s="9">
        <f>L1953-M1953</f>
        <v/>
      </c>
      <c r="O1953" s="11">
        <f>IFERROR(N1953/L1953, 0)</f>
        <v/>
      </c>
      <c r="P1953" s="8">
        <f>YEAR(C1953)</f>
        <v/>
      </c>
      <c r="Q1953" s="8">
        <f>TEXT(C1953, "yyyy-mm")</f>
        <v/>
      </c>
      <c r="R1953" s="8" t="inlineStr">
        <is>
          <t>Direct Web</t>
        </is>
      </c>
      <c r="S1953" s="8" t="inlineStr">
        <is>
          <t>REG-NA</t>
        </is>
      </c>
    </row>
    <row r="1954">
      <c r="A1954" s="8" t="inlineStr">
        <is>
          <t>DTL-0001979</t>
        </is>
      </c>
      <c r="B1954" s="8" t="inlineStr">
        <is>
          <t>ORD-000991</t>
        </is>
      </c>
      <c r="C1954" s="10" t="inlineStr">
        <is>
          <t>2025-12-20</t>
        </is>
      </c>
      <c r="D1954" s="8" t="inlineStr">
        <is>
          <t>CUST-01447</t>
        </is>
      </c>
      <c r="E1954" s="8" t="inlineStr">
        <is>
          <t>PRD-0059</t>
        </is>
      </c>
      <c r="F1954" s="8" t="n">
        <v>5</v>
      </c>
      <c r="G1954" s="9">
        <f>IFERROR(XLOOKUP(E1954, '04_Products'!$A:$A, '04_Products'!$G:$G), 532.12)</f>
        <v/>
      </c>
      <c r="H1954" s="9">
        <f>IFERROR(XLOOKUP(E1954, '04_Products'!$A:$A, '04_Products'!$F:$F), 0)</f>
        <v/>
      </c>
      <c r="I1954" s="9">
        <f>F1954*G1954</f>
        <v/>
      </c>
      <c r="J1954" s="11" t="n">
        <v>0</v>
      </c>
      <c r="K1954" s="9">
        <f>I1954*J1954</f>
        <v/>
      </c>
      <c r="L1954" s="9">
        <f>I1954-K1954</f>
        <v/>
      </c>
      <c r="M1954" s="9">
        <f>F1954*H1954</f>
        <v/>
      </c>
      <c r="N1954" s="9">
        <f>L1954-M1954</f>
        <v/>
      </c>
      <c r="O1954" s="11">
        <f>IFERROR(N1954/L1954, 0)</f>
        <v/>
      </c>
      <c r="P1954" s="8">
        <f>YEAR(C1954)</f>
        <v/>
      </c>
      <c r="Q1954" s="8">
        <f>TEXT(C1954, "yyyy-mm")</f>
        <v/>
      </c>
      <c r="R1954" s="8" t="inlineStr">
        <is>
          <t>Direct Web</t>
        </is>
      </c>
      <c r="S1954" s="8" t="inlineStr">
        <is>
          <t>REG-NA</t>
        </is>
      </c>
    </row>
    <row r="1955">
      <c r="A1955" s="8" t="inlineStr">
        <is>
          <t>DTL-0001980</t>
        </is>
      </c>
      <c r="B1955" s="8" t="inlineStr">
        <is>
          <t>ORD-000991</t>
        </is>
      </c>
      <c r="C1955" s="10" t="inlineStr">
        <is>
          <t>2025-12-20</t>
        </is>
      </c>
      <c r="D1955" s="8" t="inlineStr">
        <is>
          <t>CUST-01447</t>
        </is>
      </c>
      <c r="E1955" s="8" t="inlineStr">
        <is>
          <t>PRD-0410</t>
        </is>
      </c>
      <c r="F1955" s="8" t="n">
        <v>2</v>
      </c>
      <c r="G1955" s="9">
        <f>IFERROR(XLOOKUP(E1955, '04_Products'!$A:$A, '04_Products'!$G:$G), 13.14)</f>
        <v/>
      </c>
      <c r="H1955" s="9">
        <f>IFERROR(XLOOKUP(E1955, '04_Products'!$A:$A, '04_Products'!$F:$F), 0)</f>
        <v/>
      </c>
      <c r="I1955" s="9">
        <f>F1955*G1955</f>
        <v/>
      </c>
      <c r="J1955" s="11" t="n">
        <v>0</v>
      </c>
      <c r="K1955" s="9">
        <f>I1955*J1955</f>
        <v/>
      </c>
      <c r="L1955" s="9">
        <f>I1955-K1955</f>
        <v/>
      </c>
      <c r="M1955" s="9">
        <f>F1955*H1955</f>
        <v/>
      </c>
      <c r="N1955" s="9">
        <f>L1955-M1955</f>
        <v/>
      </c>
      <c r="O1955" s="11">
        <f>IFERROR(N1955/L1955, 0)</f>
        <v/>
      </c>
      <c r="P1955" s="8">
        <f>YEAR(C1955)</f>
        <v/>
      </c>
      <c r="Q1955" s="8">
        <f>TEXT(C1955, "yyyy-mm")</f>
        <v/>
      </c>
      <c r="R1955" s="8" t="inlineStr">
        <is>
          <t>Direct Web</t>
        </is>
      </c>
      <c r="S1955" s="8" t="inlineStr">
        <is>
          <t>REG-NA</t>
        </is>
      </c>
    </row>
    <row r="1956">
      <c r="A1956" s="8" t="inlineStr">
        <is>
          <t>DTL-0001981</t>
        </is>
      </c>
      <c r="B1956" s="8" t="inlineStr">
        <is>
          <t>ORD-000992</t>
        </is>
      </c>
      <c r="C1956" s="10" t="inlineStr">
        <is>
          <t>2024-09-18</t>
        </is>
      </c>
      <c r="D1956" s="8" t="inlineStr">
        <is>
          <t>CUST-05870</t>
        </is>
      </c>
      <c r="E1956" s="8" t="inlineStr">
        <is>
          <t>PRD-0444</t>
        </is>
      </c>
      <c r="F1956" s="8" t="n">
        <v>1</v>
      </c>
      <c r="G1956" s="9">
        <f>IFERROR(XLOOKUP(E1956, '04_Products'!$A:$A, '04_Products'!$G:$G), 11.24)</f>
        <v/>
      </c>
      <c r="H1956" s="9">
        <f>IFERROR(XLOOKUP(E1956, '04_Products'!$A:$A, '04_Products'!$F:$F), 0)</f>
        <v/>
      </c>
      <c r="I1956" s="9">
        <f>F1956*G1956</f>
        <v/>
      </c>
      <c r="J1956" s="11" t="n">
        <v>0.2</v>
      </c>
      <c r="K1956" s="9">
        <f>I1956*J1956</f>
        <v/>
      </c>
      <c r="L1956" s="9">
        <f>I1956-K1956</f>
        <v/>
      </c>
      <c r="M1956" s="9">
        <f>F1956*H1956</f>
        <v/>
      </c>
      <c r="N1956" s="9">
        <f>L1956-M1956</f>
        <v/>
      </c>
      <c r="O1956" s="11">
        <f>IFERROR(N1956/L1956, 0)</f>
        <v/>
      </c>
      <c r="P1956" s="8">
        <f>YEAR(C1956)</f>
        <v/>
      </c>
      <c r="Q1956" s="8">
        <f>TEXT(C1956, "yyyy-mm")</f>
        <v/>
      </c>
      <c r="R1956" s="8" t="inlineStr">
        <is>
          <t>Direct Web</t>
        </is>
      </c>
      <c r="S1956" s="8" t="inlineStr">
        <is>
          <t>REG-NA</t>
        </is>
      </c>
    </row>
    <row r="1957">
      <c r="A1957" s="8" t="inlineStr">
        <is>
          <t>DTL-0001982</t>
        </is>
      </c>
      <c r="B1957" s="8" t="inlineStr">
        <is>
          <t>ORD-000993</t>
        </is>
      </c>
      <c r="C1957" s="10" t="inlineStr">
        <is>
          <t>2023-10-04</t>
        </is>
      </c>
      <c r="D1957" s="8" t="inlineStr">
        <is>
          <t>CUST-07315</t>
        </is>
      </c>
      <c r="E1957" s="8" t="inlineStr">
        <is>
          <t>PRD-0222</t>
        </is>
      </c>
      <c r="F1957" s="8" t="n">
        <v>8</v>
      </c>
      <c r="G1957" s="9">
        <f>IFERROR(XLOOKUP(E1957, '04_Products'!$A:$A, '04_Products'!$G:$G), 748.03)</f>
        <v/>
      </c>
      <c r="H1957" s="9">
        <f>IFERROR(XLOOKUP(E1957, '04_Products'!$A:$A, '04_Products'!$F:$F), 0)</f>
        <v/>
      </c>
      <c r="I1957" s="9">
        <f>F1957*G1957</f>
        <v/>
      </c>
      <c r="J1957" s="11" t="n">
        <v>0.05</v>
      </c>
      <c r="K1957" s="9">
        <f>I1957*J1957</f>
        <v/>
      </c>
      <c r="L1957" s="9">
        <f>I1957-K1957</f>
        <v/>
      </c>
      <c r="M1957" s="9">
        <f>F1957*H1957</f>
        <v/>
      </c>
      <c r="N1957" s="9">
        <f>L1957-M1957</f>
        <v/>
      </c>
      <c r="O1957" s="11">
        <f>IFERROR(N1957/L1957, 0)</f>
        <v/>
      </c>
      <c r="P1957" s="8">
        <f>YEAR(C1957)</f>
        <v/>
      </c>
      <c r="Q1957" s="8">
        <f>TEXT(C1957, "yyyy-mm")</f>
        <v/>
      </c>
      <c r="R1957" s="8" t="inlineStr">
        <is>
          <t>Direct Web</t>
        </is>
      </c>
      <c r="S1957" s="8" t="inlineStr">
        <is>
          <t>REG-LATAM</t>
        </is>
      </c>
    </row>
    <row r="1958">
      <c r="A1958" s="8" t="inlineStr">
        <is>
          <t>DTL-0001983</t>
        </is>
      </c>
      <c r="B1958" s="8" t="inlineStr">
        <is>
          <t>ORD-000994</t>
        </is>
      </c>
      <c r="C1958" s="10" t="inlineStr">
        <is>
          <t>2023-12-29</t>
        </is>
      </c>
      <c r="D1958" s="8" t="inlineStr">
        <is>
          <t>CUST-06765</t>
        </is>
      </c>
      <c r="E1958" s="8" t="inlineStr">
        <is>
          <t>PRD-0332</t>
        </is>
      </c>
      <c r="F1958" s="8" t="n">
        <v>1</v>
      </c>
      <c r="G1958" s="9">
        <f>IFERROR(XLOOKUP(E1958, '04_Products'!$A:$A, '04_Products'!$G:$G), 82.03)</f>
        <v/>
      </c>
      <c r="H1958" s="9">
        <f>IFERROR(XLOOKUP(E1958, '04_Products'!$A:$A, '04_Products'!$F:$F), 0)</f>
        <v/>
      </c>
      <c r="I1958" s="9">
        <f>F1958*G1958</f>
        <v/>
      </c>
      <c r="J1958" s="11" t="n">
        <v>0</v>
      </c>
      <c r="K1958" s="9">
        <f>I1958*J1958</f>
        <v/>
      </c>
      <c r="L1958" s="9">
        <f>I1958-K1958</f>
        <v/>
      </c>
      <c r="M1958" s="9">
        <f>F1958*H1958</f>
        <v/>
      </c>
      <c r="N1958" s="9">
        <f>L1958-M1958</f>
        <v/>
      </c>
      <c r="O1958" s="11">
        <f>IFERROR(N1958/L1958, 0)</f>
        <v/>
      </c>
      <c r="P1958" s="8">
        <f>YEAR(C1958)</f>
        <v/>
      </c>
      <c r="Q1958" s="8">
        <f>TEXT(C1958, "yyyy-mm")</f>
        <v/>
      </c>
      <c r="R1958" s="8" t="inlineStr">
        <is>
          <t>Direct Web</t>
        </is>
      </c>
      <c r="S1958" s="8" t="inlineStr">
        <is>
          <t>REG-NA</t>
        </is>
      </c>
    </row>
    <row r="1959">
      <c r="A1959" s="8" t="inlineStr">
        <is>
          <t>DTL-0001984</t>
        </is>
      </c>
      <c r="B1959" s="8" t="inlineStr">
        <is>
          <t>ORD-000994</t>
        </is>
      </c>
      <c r="C1959" s="10" t="inlineStr">
        <is>
          <t>2023-12-29</t>
        </is>
      </c>
      <c r="D1959" s="8" t="inlineStr">
        <is>
          <t>CUST-06765</t>
        </is>
      </c>
      <c r="E1959" s="8" t="inlineStr">
        <is>
          <t>PRD-0101</t>
        </is>
      </c>
      <c r="F1959" s="8" t="n">
        <v>2</v>
      </c>
      <c r="G1959" s="9">
        <f>IFERROR(XLOOKUP(E1959, '04_Products'!$A:$A, '04_Products'!$G:$G), 1004.41)</f>
        <v/>
      </c>
      <c r="H1959" s="9">
        <f>IFERROR(XLOOKUP(E1959, '04_Products'!$A:$A, '04_Products'!$F:$F), 0)</f>
        <v/>
      </c>
      <c r="I1959" s="9">
        <f>F1959*G1959</f>
        <v/>
      </c>
      <c r="J1959" s="11" t="n">
        <v>0.05</v>
      </c>
      <c r="K1959" s="9">
        <f>I1959*J1959</f>
        <v/>
      </c>
      <c r="L1959" s="9">
        <f>I1959-K1959</f>
        <v/>
      </c>
      <c r="M1959" s="9">
        <f>F1959*H1959</f>
        <v/>
      </c>
      <c r="N1959" s="9">
        <f>L1959-M1959</f>
        <v/>
      </c>
      <c r="O1959" s="11">
        <f>IFERROR(N1959/L1959, 0)</f>
        <v/>
      </c>
      <c r="P1959" s="8">
        <f>YEAR(C1959)</f>
        <v/>
      </c>
      <c r="Q1959" s="8">
        <f>TEXT(C1959, "yyyy-mm")</f>
        <v/>
      </c>
      <c r="R1959" s="8" t="inlineStr">
        <is>
          <t>Direct Web</t>
        </is>
      </c>
      <c r="S1959" s="8" t="inlineStr">
        <is>
          <t>REG-NA</t>
        </is>
      </c>
    </row>
    <row r="1960">
      <c r="A1960" s="8" t="inlineStr">
        <is>
          <t>DTL-0001985</t>
        </is>
      </c>
      <c r="B1960" s="8" t="inlineStr">
        <is>
          <t>ORD-000995</t>
        </is>
      </c>
      <c r="C1960" s="10" t="inlineStr">
        <is>
          <t>2024-12-01</t>
        </is>
      </c>
      <c r="D1960" s="8" t="inlineStr">
        <is>
          <t>CUST-02095</t>
        </is>
      </c>
      <c r="E1960" s="8" t="inlineStr">
        <is>
          <t>PRD-0192</t>
        </is>
      </c>
      <c r="F1960" s="8" t="n">
        <v>2</v>
      </c>
      <c r="G1960" s="9">
        <f>IFERROR(XLOOKUP(E1960, '04_Products'!$A:$A, '04_Products'!$G:$G), 26.26)</f>
        <v/>
      </c>
      <c r="H1960" s="9">
        <f>IFERROR(XLOOKUP(E1960, '04_Products'!$A:$A, '04_Products'!$F:$F), 0)</f>
        <v/>
      </c>
      <c r="I1960" s="9">
        <f>F1960*G1960</f>
        <v/>
      </c>
      <c r="J1960" s="11" t="n">
        <v>0.05</v>
      </c>
      <c r="K1960" s="9">
        <f>I1960*J1960</f>
        <v/>
      </c>
      <c r="L1960" s="9">
        <f>I1960-K1960</f>
        <v/>
      </c>
      <c r="M1960" s="9">
        <f>F1960*H1960</f>
        <v/>
      </c>
      <c r="N1960" s="9">
        <f>L1960-M1960</f>
        <v/>
      </c>
      <c r="O1960" s="11">
        <f>IFERROR(N1960/L1960, 0)</f>
        <v/>
      </c>
      <c r="P1960" s="8">
        <f>YEAR(C1960)</f>
        <v/>
      </c>
      <c r="Q1960" s="8">
        <f>TEXT(C1960, "yyyy-mm")</f>
        <v/>
      </c>
      <c r="R1960" s="8" t="inlineStr">
        <is>
          <t>Direct Web</t>
        </is>
      </c>
      <c r="S1960" s="8" t="inlineStr">
        <is>
          <t>REG-NA</t>
        </is>
      </c>
    </row>
    <row r="1961">
      <c r="A1961" s="8" t="inlineStr">
        <is>
          <t>DTL-0001986</t>
        </is>
      </c>
      <c r="B1961" s="8" t="inlineStr">
        <is>
          <t>ORD-000996</t>
        </is>
      </c>
      <c r="C1961" s="10" t="inlineStr">
        <is>
          <t>2024-11-04</t>
        </is>
      </c>
      <c r="D1961" s="8" t="inlineStr">
        <is>
          <t>CUST-02230</t>
        </is>
      </c>
      <c r="E1961" s="8" t="inlineStr">
        <is>
          <t>PRD-0445</t>
        </is>
      </c>
      <c r="F1961" s="8" t="n">
        <v>3</v>
      </c>
      <c r="G1961" s="9">
        <f>IFERROR(XLOOKUP(E1961, '04_Products'!$A:$A, '04_Products'!$G:$G), 47.52)</f>
        <v/>
      </c>
      <c r="H1961" s="9">
        <f>IFERROR(XLOOKUP(E1961, '04_Products'!$A:$A, '04_Products'!$F:$F), 0)</f>
        <v/>
      </c>
      <c r="I1961" s="9">
        <f>F1961*G1961</f>
        <v/>
      </c>
      <c r="J1961" s="11" t="n">
        <v>0</v>
      </c>
      <c r="K1961" s="9">
        <f>I1961*J1961</f>
        <v/>
      </c>
      <c r="L1961" s="9">
        <f>I1961-K1961</f>
        <v/>
      </c>
      <c r="M1961" s="9">
        <f>F1961*H1961</f>
        <v/>
      </c>
      <c r="N1961" s="9">
        <f>L1961-M1961</f>
        <v/>
      </c>
      <c r="O1961" s="11">
        <f>IFERROR(N1961/L1961, 0)</f>
        <v/>
      </c>
      <c r="P1961" s="8">
        <f>YEAR(C1961)</f>
        <v/>
      </c>
      <c r="Q1961" s="8">
        <f>TEXT(C1961, "yyyy-mm")</f>
        <v/>
      </c>
      <c r="R1961" s="8" t="inlineStr">
        <is>
          <t>Mobile App</t>
        </is>
      </c>
      <c r="S1961" s="8" t="inlineStr">
        <is>
          <t>REG-EU</t>
        </is>
      </c>
    </row>
    <row r="1962">
      <c r="A1962" s="8" t="inlineStr">
        <is>
          <t>DTL-0001987</t>
        </is>
      </c>
      <c r="B1962" s="8" t="inlineStr">
        <is>
          <t>ORD-000997</t>
        </is>
      </c>
      <c r="C1962" s="10" t="inlineStr">
        <is>
          <t>2025-05-02</t>
        </is>
      </c>
      <c r="D1962" s="8" t="inlineStr">
        <is>
          <t>CUST-04885</t>
        </is>
      </c>
      <c r="E1962" s="8" t="inlineStr">
        <is>
          <t>PRD-0342</t>
        </is>
      </c>
      <c r="F1962" s="8" t="n">
        <v>8</v>
      </c>
      <c r="G1962" s="9">
        <f>IFERROR(XLOOKUP(E1962, '04_Products'!$A:$A, '04_Products'!$G:$G), 994.42)</f>
        <v/>
      </c>
      <c r="H1962" s="9">
        <f>IFERROR(XLOOKUP(E1962, '04_Products'!$A:$A, '04_Products'!$F:$F), 0)</f>
        <v/>
      </c>
      <c r="I1962" s="9">
        <f>F1962*G1962</f>
        <v/>
      </c>
      <c r="J1962" s="11" t="n">
        <v>0.1</v>
      </c>
      <c r="K1962" s="9">
        <f>I1962*J1962</f>
        <v/>
      </c>
      <c r="L1962" s="9">
        <f>I1962-K1962</f>
        <v/>
      </c>
      <c r="M1962" s="9">
        <f>F1962*H1962</f>
        <v/>
      </c>
      <c r="N1962" s="9">
        <f>L1962-M1962</f>
        <v/>
      </c>
      <c r="O1962" s="11">
        <f>IFERROR(N1962/L1962, 0)</f>
        <v/>
      </c>
      <c r="P1962" s="8">
        <f>YEAR(C1962)</f>
        <v/>
      </c>
      <c r="Q1962" s="8">
        <f>TEXT(C1962, "yyyy-mm")</f>
        <v/>
      </c>
      <c r="R1962" s="8" t="inlineStr">
        <is>
          <t>Mobile App</t>
        </is>
      </c>
      <c r="S1962" s="8" t="inlineStr">
        <is>
          <t>REG-EU</t>
        </is>
      </c>
    </row>
    <row r="1963">
      <c r="A1963" s="8" t="inlineStr">
        <is>
          <t>DTL-0001988</t>
        </is>
      </c>
      <c r="B1963" s="8" t="inlineStr">
        <is>
          <t>ORD-000997</t>
        </is>
      </c>
      <c r="C1963" s="10" t="inlineStr">
        <is>
          <t>2025-05-02</t>
        </is>
      </c>
      <c r="D1963" s="8" t="inlineStr">
        <is>
          <t>CUST-04885</t>
        </is>
      </c>
      <c r="E1963" s="8" t="inlineStr">
        <is>
          <t>PRD-0446</t>
        </is>
      </c>
      <c r="F1963" s="8" t="n">
        <v>2</v>
      </c>
      <c r="G1963" s="9">
        <f>IFERROR(XLOOKUP(E1963, '04_Products'!$A:$A, '04_Products'!$G:$G), 610.12)</f>
        <v/>
      </c>
      <c r="H1963" s="9">
        <f>IFERROR(XLOOKUP(E1963, '04_Products'!$A:$A, '04_Products'!$F:$F), 0)</f>
        <v/>
      </c>
      <c r="I1963" s="9">
        <f>F1963*G1963</f>
        <v/>
      </c>
      <c r="J1963" s="11" t="n">
        <v>0.05</v>
      </c>
      <c r="K1963" s="9">
        <f>I1963*J1963</f>
        <v/>
      </c>
      <c r="L1963" s="9">
        <f>I1963-K1963</f>
        <v/>
      </c>
      <c r="M1963" s="9">
        <f>F1963*H1963</f>
        <v/>
      </c>
      <c r="N1963" s="9">
        <f>L1963-M1963</f>
        <v/>
      </c>
      <c r="O1963" s="11">
        <f>IFERROR(N1963/L1963, 0)</f>
        <v/>
      </c>
      <c r="P1963" s="8">
        <f>YEAR(C1963)</f>
        <v/>
      </c>
      <c r="Q1963" s="8">
        <f>TEXT(C1963, "yyyy-mm")</f>
        <v/>
      </c>
      <c r="R1963" s="8" t="inlineStr">
        <is>
          <t>Mobile App</t>
        </is>
      </c>
      <c r="S1963" s="8" t="inlineStr">
        <is>
          <t>REG-EU</t>
        </is>
      </c>
    </row>
    <row r="1964">
      <c r="A1964" s="8" t="inlineStr">
        <is>
          <t>DTL-0001989</t>
        </is>
      </c>
      <c r="B1964" s="8" t="inlineStr">
        <is>
          <t>ORD-000997</t>
        </is>
      </c>
      <c r="C1964" s="10" t="inlineStr">
        <is>
          <t>2025-05-02</t>
        </is>
      </c>
      <c r="D1964" s="8" t="inlineStr">
        <is>
          <t>CUST-04885</t>
        </is>
      </c>
      <c r="E1964" s="8" t="inlineStr">
        <is>
          <t>PRD-0374</t>
        </is>
      </c>
      <c r="F1964" s="8" t="n">
        <v>2</v>
      </c>
      <c r="G1964" s="9">
        <f>IFERROR(XLOOKUP(E1964, '04_Products'!$A:$A, '04_Products'!$G:$G), 549.09)</f>
        <v/>
      </c>
      <c r="H1964" s="9">
        <f>IFERROR(XLOOKUP(E1964, '04_Products'!$A:$A, '04_Products'!$F:$F), 0)</f>
        <v/>
      </c>
      <c r="I1964" s="9">
        <f>F1964*G1964</f>
        <v/>
      </c>
      <c r="J1964" s="11" t="n">
        <v>0.05</v>
      </c>
      <c r="K1964" s="9">
        <f>I1964*J1964</f>
        <v/>
      </c>
      <c r="L1964" s="9">
        <f>I1964-K1964</f>
        <v/>
      </c>
      <c r="M1964" s="9">
        <f>F1964*H1964</f>
        <v/>
      </c>
      <c r="N1964" s="9">
        <f>L1964-M1964</f>
        <v/>
      </c>
      <c r="O1964" s="11">
        <f>IFERROR(N1964/L1964, 0)</f>
        <v/>
      </c>
      <c r="P1964" s="8">
        <f>YEAR(C1964)</f>
        <v/>
      </c>
      <c r="Q1964" s="8">
        <f>TEXT(C1964, "yyyy-mm")</f>
        <v/>
      </c>
      <c r="R1964" s="8" t="inlineStr">
        <is>
          <t>Mobile App</t>
        </is>
      </c>
      <c r="S1964" s="8" t="inlineStr">
        <is>
          <t>REG-EU</t>
        </is>
      </c>
    </row>
    <row r="1965">
      <c r="A1965" s="8" t="inlineStr">
        <is>
          <t>DTL-0001990</t>
        </is>
      </c>
      <c r="B1965" s="8" t="inlineStr">
        <is>
          <t>ORD-000997</t>
        </is>
      </c>
      <c r="C1965" s="10" t="inlineStr">
        <is>
          <t>2025-05-02</t>
        </is>
      </c>
      <c r="D1965" s="8" t="inlineStr">
        <is>
          <t>CUST-04885</t>
        </is>
      </c>
      <c r="E1965" s="8" t="inlineStr">
        <is>
          <t>PRD-0334</t>
        </is>
      </c>
      <c r="F1965" s="8" t="n">
        <v>10</v>
      </c>
      <c r="G1965" s="9">
        <f>IFERROR(XLOOKUP(E1965, '04_Products'!$A:$A, '04_Products'!$G:$G), 874.67)</f>
        <v/>
      </c>
      <c r="H1965" s="9">
        <f>IFERROR(XLOOKUP(E1965, '04_Products'!$A:$A, '04_Products'!$F:$F), 0)</f>
        <v/>
      </c>
      <c r="I1965" s="9">
        <f>F1965*G1965</f>
        <v/>
      </c>
      <c r="J1965" s="11" t="n">
        <v>0</v>
      </c>
      <c r="K1965" s="9">
        <f>I1965*J1965</f>
        <v/>
      </c>
      <c r="L1965" s="9">
        <f>I1965-K1965</f>
        <v/>
      </c>
      <c r="M1965" s="9">
        <f>F1965*H1965</f>
        <v/>
      </c>
      <c r="N1965" s="9">
        <f>L1965-M1965</f>
        <v/>
      </c>
      <c r="O1965" s="11">
        <f>IFERROR(N1965/L1965, 0)</f>
        <v/>
      </c>
      <c r="P1965" s="8">
        <f>YEAR(C1965)</f>
        <v/>
      </c>
      <c r="Q1965" s="8">
        <f>TEXT(C1965, "yyyy-mm")</f>
        <v/>
      </c>
      <c r="R1965" s="8" t="inlineStr">
        <is>
          <t>Mobile App</t>
        </is>
      </c>
      <c r="S1965" s="8" t="inlineStr">
        <is>
          <t>REG-EU</t>
        </is>
      </c>
    </row>
    <row r="1966">
      <c r="A1966" s="8" t="inlineStr">
        <is>
          <t>DTL-0001991</t>
        </is>
      </c>
      <c r="B1966" s="8" t="inlineStr">
        <is>
          <t>ORD-000998</t>
        </is>
      </c>
      <c r="C1966" s="10" t="inlineStr">
        <is>
          <t>2024-08-22</t>
        </is>
      </c>
      <c r="D1966" s="8" t="inlineStr">
        <is>
          <t>CUST-04903</t>
        </is>
      </c>
      <c r="E1966" s="8" t="inlineStr">
        <is>
          <t>PRD-0276</t>
        </is>
      </c>
      <c r="F1966" s="8" t="n">
        <v>1</v>
      </c>
      <c r="G1966" s="9">
        <f>IFERROR(XLOOKUP(E1966, '04_Products'!$A:$A, '04_Products'!$G:$G), 1183.89)</f>
        <v/>
      </c>
      <c r="H1966" s="9">
        <f>IFERROR(XLOOKUP(E1966, '04_Products'!$A:$A, '04_Products'!$F:$F), 0)</f>
        <v/>
      </c>
      <c r="I1966" s="9">
        <f>F1966*G1966</f>
        <v/>
      </c>
      <c r="J1966" s="11" t="n">
        <v>0.2</v>
      </c>
      <c r="K1966" s="9">
        <f>I1966*J1966</f>
        <v/>
      </c>
      <c r="L1966" s="9">
        <f>I1966-K1966</f>
        <v/>
      </c>
      <c r="M1966" s="9">
        <f>F1966*H1966</f>
        <v/>
      </c>
      <c r="N1966" s="9">
        <f>L1966-M1966</f>
        <v/>
      </c>
      <c r="O1966" s="11">
        <f>IFERROR(N1966/L1966, 0)</f>
        <v/>
      </c>
      <c r="P1966" s="8">
        <f>YEAR(C1966)</f>
        <v/>
      </c>
      <c r="Q1966" s="8">
        <f>TEXT(C1966, "yyyy-mm")</f>
        <v/>
      </c>
      <c r="R1966" s="8" t="inlineStr">
        <is>
          <t>B2B Portal</t>
        </is>
      </c>
      <c r="S1966" s="8" t="inlineStr">
        <is>
          <t>REG-NA</t>
        </is>
      </c>
    </row>
    <row r="1967">
      <c r="A1967" s="8" t="inlineStr">
        <is>
          <t>DTL-0001992</t>
        </is>
      </c>
      <c r="B1967" s="8" t="inlineStr">
        <is>
          <t>ORD-000998</t>
        </is>
      </c>
      <c r="C1967" s="10" t="inlineStr">
        <is>
          <t>2024-08-22</t>
        </is>
      </c>
      <c r="D1967" s="8" t="inlineStr">
        <is>
          <t>CUST-04903</t>
        </is>
      </c>
      <c r="E1967" s="8" t="inlineStr">
        <is>
          <t>PRD-0312</t>
        </is>
      </c>
      <c r="F1967" s="8" t="n">
        <v>2</v>
      </c>
      <c r="G1967" s="9">
        <f>IFERROR(XLOOKUP(E1967, '04_Products'!$A:$A, '04_Products'!$G:$G), 59.31)</f>
        <v/>
      </c>
      <c r="H1967" s="9">
        <f>IFERROR(XLOOKUP(E1967, '04_Products'!$A:$A, '04_Products'!$F:$F), 0)</f>
        <v/>
      </c>
      <c r="I1967" s="9">
        <f>F1967*G1967</f>
        <v/>
      </c>
      <c r="J1967" s="11" t="n">
        <v>0.2</v>
      </c>
      <c r="K1967" s="9">
        <f>I1967*J1967</f>
        <v/>
      </c>
      <c r="L1967" s="9">
        <f>I1967-K1967</f>
        <v/>
      </c>
      <c r="M1967" s="9">
        <f>F1967*H1967</f>
        <v/>
      </c>
      <c r="N1967" s="9">
        <f>L1967-M1967</f>
        <v/>
      </c>
      <c r="O1967" s="11">
        <f>IFERROR(N1967/L1967, 0)</f>
        <v/>
      </c>
      <c r="P1967" s="8">
        <f>YEAR(C1967)</f>
        <v/>
      </c>
      <c r="Q1967" s="8">
        <f>TEXT(C1967, "yyyy-mm")</f>
        <v/>
      </c>
      <c r="R1967" s="8" t="inlineStr">
        <is>
          <t>B2B Portal</t>
        </is>
      </c>
      <c r="S1967" s="8" t="inlineStr">
        <is>
          <t>REG-NA</t>
        </is>
      </c>
    </row>
    <row r="1968">
      <c r="A1968" s="8" t="inlineStr">
        <is>
          <t>DTL-0001993</t>
        </is>
      </c>
      <c r="B1968" s="8" t="inlineStr">
        <is>
          <t>ORD-000999</t>
        </is>
      </c>
      <c r="C1968" s="10" t="inlineStr">
        <is>
          <t>2025-06-20</t>
        </is>
      </c>
      <c r="D1968" s="8" t="inlineStr">
        <is>
          <t>CUST-06364</t>
        </is>
      </c>
      <c r="E1968" s="8" t="inlineStr">
        <is>
          <t>PRD-0106</t>
        </is>
      </c>
      <c r="F1968" s="8" t="n">
        <v>2</v>
      </c>
      <c r="G1968" s="9">
        <f>IFERROR(XLOOKUP(E1968, '04_Products'!$A:$A, '04_Products'!$G:$G), 49.14)</f>
        <v/>
      </c>
      <c r="H1968" s="9">
        <f>IFERROR(XLOOKUP(E1968, '04_Products'!$A:$A, '04_Products'!$F:$F), 0)</f>
        <v/>
      </c>
      <c r="I1968" s="9">
        <f>F1968*G1968</f>
        <v/>
      </c>
      <c r="J1968" s="11" t="n">
        <v>0.05</v>
      </c>
      <c r="K1968" s="9">
        <f>I1968*J1968</f>
        <v/>
      </c>
      <c r="L1968" s="9">
        <f>I1968-K1968</f>
        <v/>
      </c>
      <c r="M1968" s="9">
        <f>F1968*H1968</f>
        <v/>
      </c>
      <c r="N1968" s="9">
        <f>L1968-M1968</f>
        <v/>
      </c>
      <c r="O1968" s="11">
        <f>IFERROR(N1968/L1968, 0)</f>
        <v/>
      </c>
      <c r="P1968" s="8">
        <f>YEAR(C1968)</f>
        <v/>
      </c>
      <c r="Q1968" s="8">
        <f>TEXT(C1968, "yyyy-mm")</f>
        <v/>
      </c>
      <c r="R1968" s="8" t="inlineStr">
        <is>
          <t>Direct Web</t>
        </is>
      </c>
      <c r="S1968" s="8" t="inlineStr">
        <is>
          <t>REG-LATAM</t>
        </is>
      </c>
    </row>
    <row r="1969">
      <c r="A1969" s="8" t="inlineStr">
        <is>
          <t>DTL-0001994</t>
        </is>
      </c>
      <c r="B1969" s="8" t="inlineStr">
        <is>
          <t>ORD-001000</t>
        </is>
      </c>
      <c r="C1969" s="10" t="inlineStr">
        <is>
          <t>2025-11-22</t>
        </is>
      </c>
      <c r="D1969" s="8" t="inlineStr">
        <is>
          <t>CUST-05344</t>
        </is>
      </c>
      <c r="E1969" s="8" t="inlineStr">
        <is>
          <t>PRD-0184</t>
        </is>
      </c>
      <c r="F1969" s="8" t="n">
        <v>1</v>
      </c>
      <c r="G1969" s="9">
        <f>IFERROR(XLOOKUP(E1969, '04_Products'!$A:$A, '04_Products'!$G:$G), 79.57)</f>
        <v/>
      </c>
      <c r="H1969" s="9">
        <f>IFERROR(XLOOKUP(E1969, '04_Products'!$A:$A, '04_Products'!$F:$F), 0)</f>
        <v/>
      </c>
      <c r="I1969" s="9">
        <f>F1969*G1969</f>
        <v/>
      </c>
      <c r="J1969" s="11" t="n">
        <v>0.05</v>
      </c>
      <c r="K1969" s="9">
        <f>I1969*J1969</f>
        <v/>
      </c>
      <c r="L1969" s="9">
        <f>I1969-K1969</f>
        <v/>
      </c>
      <c r="M1969" s="9">
        <f>F1969*H1969</f>
        <v/>
      </c>
      <c r="N1969" s="9">
        <f>L1969-M1969</f>
        <v/>
      </c>
      <c r="O1969" s="11">
        <f>IFERROR(N1969/L1969, 0)</f>
        <v/>
      </c>
      <c r="P1969" s="8">
        <f>YEAR(C1969)</f>
        <v/>
      </c>
      <c r="Q1969" s="8">
        <f>TEXT(C1969, "yyyy-mm")</f>
        <v/>
      </c>
      <c r="R1969" s="8" t="inlineStr">
        <is>
          <t>Mobile App</t>
        </is>
      </c>
      <c r="S1969" s="8" t="inlineStr">
        <is>
          <t>REG-EU</t>
        </is>
      </c>
    </row>
    <row r="1970">
      <c r="A1970" s="8" t="inlineStr">
        <is>
          <t>DTL-0001995</t>
        </is>
      </c>
      <c r="B1970" s="8" t="inlineStr">
        <is>
          <t>ORD-001001</t>
        </is>
      </c>
      <c r="C1970" s="10" t="inlineStr">
        <is>
          <t>2023-10-22</t>
        </is>
      </c>
      <c r="D1970" s="8" t="inlineStr">
        <is>
          <t>CUST-04655</t>
        </is>
      </c>
      <c r="E1970" s="8" t="inlineStr">
        <is>
          <t>PRD-0299</t>
        </is>
      </c>
      <c r="F1970" s="8" t="n">
        <v>2</v>
      </c>
      <c r="G1970" s="9">
        <f>IFERROR(XLOOKUP(E1970, '04_Products'!$A:$A, '04_Products'!$G:$G), 182.90)</f>
        <v/>
      </c>
      <c r="H1970" s="9">
        <f>IFERROR(XLOOKUP(E1970, '04_Products'!$A:$A, '04_Products'!$F:$F), 0)</f>
        <v/>
      </c>
      <c r="I1970" s="9">
        <f>F1970*G1970</f>
        <v/>
      </c>
      <c r="J1970" s="11" t="n">
        <v>0</v>
      </c>
      <c r="K1970" s="9">
        <f>I1970*J1970</f>
        <v/>
      </c>
      <c r="L1970" s="9">
        <f>I1970-K1970</f>
        <v/>
      </c>
      <c r="M1970" s="9">
        <f>F1970*H1970</f>
        <v/>
      </c>
      <c r="N1970" s="9">
        <f>L1970-M1970</f>
        <v/>
      </c>
      <c r="O1970" s="11">
        <f>IFERROR(N1970/L1970, 0)</f>
        <v/>
      </c>
      <c r="P1970" s="8">
        <f>YEAR(C1970)</f>
        <v/>
      </c>
      <c r="Q1970" s="8">
        <f>TEXT(C1970, "yyyy-mm")</f>
        <v/>
      </c>
      <c r="R1970" s="8" t="inlineStr">
        <is>
          <t>Mobile App</t>
        </is>
      </c>
      <c r="S1970" s="8" t="inlineStr">
        <is>
          <t>REG-NA</t>
        </is>
      </c>
    </row>
    <row r="1971">
      <c r="A1971" s="8" t="inlineStr">
        <is>
          <t>DTL-0001996</t>
        </is>
      </c>
      <c r="B1971" s="8" t="inlineStr">
        <is>
          <t>ORD-001001</t>
        </is>
      </c>
      <c r="C1971" s="10" t="inlineStr">
        <is>
          <t>2023-10-22</t>
        </is>
      </c>
      <c r="D1971" s="8" t="inlineStr">
        <is>
          <t>CUST-04655</t>
        </is>
      </c>
      <c r="E1971" s="8" t="inlineStr">
        <is>
          <t>PRD-0033</t>
        </is>
      </c>
      <c r="F1971" s="8" t="n">
        <v>3</v>
      </c>
      <c r="G1971" s="9">
        <f>IFERROR(XLOOKUP(E1971, '04_Products'!$A:$A, '04_Products'!$G:$G), 87.68)</f>
        <v/>
      </c>
      <c r="H1971" s="9">
        <f>IFERROR(XLOOKUP(E1971, '04_Products'!$A:$A, '04_Products'!$F:$F), 0)</f>
        <v/>
      </c>
      <c r="I1971" s="9">
        <f>F1971*G1971</f>
        <v/>
      </c>
      <c r="J1971" s="11" t="n">
        <v>0</v>
      </c>
      <c r="K1971" s="9">
        <f>I1971*J1971</f>
        <v/>
      </c>
      <c r="L1971" s="9">
        <f>I1971-K1971</f>
        <v/>
      </c>
      <c r="M1971" s="9">
        <f>F1971*H1971</f>
        <v/>
      </c>
      <c r="N1971" s="9">
        <f>L1971-M1971</f>
        <v/>
      </c>
      <c r="O1971" s="11">
        <f>IFERROR(N1971/L1971, 0)</f>
        <v/>
      </c>
      <c r="P1971" s="8">
        <f>YEAR(C1971)</f>
        <v/>
      </c>
      <c r="Q1971" s="8">
        <f>TEXT(C1971, "yyyy-mm")</f>
        <v/>
      </c>
      <c r="R1971" s="8" t="inlineStr">
        <is>
          <t>Mobile App</t>
        </is>
      </c>
      <c r="S1971" s="8" t="inlineStr">
        <is>
          <t>REG-NA</t>
        </is>
      </c>
    </row>
    <row r="1972">
      <c r="A1972" s="8" t="inlineStr">
        <is>
          <t>DTL-0001997</t>
        </is>
      </c>
      <c r="B1972" s="8" t="inlineStr">
        <is>
          <t>ORD-001001</t>
        </is>
      </c>
      <c r="C1972" s="10" t="inlineStr">
        <is>
          <t>2023-10-22</t>
        </is>
      </c>
      <c r="D1972" s="8" t="inlineStr">
        <is>
          <t>CUST-04655</t>
        </is>
      </c>
      <c r="E1972" s="8" t="inlineStr">
        <is>
          <t>PRD-0234</t>
        </is>
      </c>
      <c r="F1972" s="8" t="n">
        <v>2</v>
      </c>
      <c r="G1972" s="9">
        <f>IFERROR(XLOOKUP(E1972, '04_Products'!$A:$A, '04_Products'!$G:$G), 608.75)</f>
        <v/>
      </c>
      <c r="H1972" s="9">
        <f>IFERROR(XLOOKUP(E1972, '04_Products'!$A:$A, '04_Products'!$F:$F), 0)</f>
        <v/>
      </c>
      <c r="I1972" s="9">
        <f>F1972*G1972</f>
        <v/>
      </c>
      <c r="J1972" s="11" t="n">
        <v>0.05</v>
      </c>
      <c r="K1972" s="9">
        <f>I1972*J1972</f>
        <v/>
      </c>
      <c r="L1972" s="9">
        <f>I1972-K1972</f>
        <v/>
      </c>
      <c r="M1972" s="9">
        <f>F1972*H1972</f>
        <v/>
      </c>
      <c r="N1972" s="9">
        <f>L1972-M1972</f>
        <v/>
      </c>
      <c r="O1972" s="11">
        <f>IFERROR(N1972/L1972, 0)</f>
        <v/>
      </c>
      <c r="P1972" s="8">
        <f>YEAR(C1972)</f>
        <v/>
      </c>
      <c r="Q1972" s="8">
        <f>TEXT(C1972, "yyyy-mm")</f>
        <v/>
      </c>
      <c r="R1972" s="8" t="inlineStr">
        <is>
          <t>Mobile App</t>
        </is>
      </c>
      <c r="S1972" s="8" t="inlineStr">
        <is>
          <t>REG-NA</t>
        </is>
      </c>
    </row>
    <row r="1973">
      <c r="A1973" s="8" t="inlineStr">
        <is>
          <t>DTL-0001998</t>
        </is>
      </c>
      <c r="B1973" s="8" t="inlineStr">
        <is>
          <t>ORD-001002</t>
        </is>
      </c>
      <c r="C1973" s="10" t="inlineStr">
        <is>
          <t>2024-03-02</t>
        </is>
      </c>
      <c r="D1973" s="8" t="inlineStr">
        <is>
          <t>CUST-07875</t>
        </is>
      </c>
      <c r="E1973" s="8" t="inlineStr">
        <is>
          <t>PRD-0209</t>
        </is>
      </c>
      <c r="F1973" s="8" t="n">
        <v>1</v>
      </c>
      <c r="G1973" s="9">
        <f>IFERROR(XLOOKUP(E1973, '04_Products'!$A:$A, '04_Products'!$G:$G), 306.02)</f>
        <v/>
      </c>
      <c r="H1973" s="9">
        <f>IFERROR(XLOOKUP(E1973, '04_Products'!$A:$A, '04_Products'!$F:$F), 0)</f>
        <v/>
      </c>
      <c r="I1973" s="9">
        <f>F1973*G1973</f>
        <v/>
      </c>
      <c r="J1973" s="11" t="n">
        <v>0</v>
      </c>
      <c r="K1973" s="9">
        <f>I1973*J1973</f>
        <v/>
      </c>
      <c r="L1973" s="9">
        <f>I1973-K1973</f>
        <v/>
      </c>
      <c r="M1973" s="9">
        <f>F1973*H1973</f>
        <v/>
      </c>
      <c r="N1973" s="9">
        <f>L1973-M1973</f>
        <v/>
      </c>
      <c r="O1973" s="11">
        <f>IFERROR(N1973/L1973, 0)</f>
        <v/>
      </c>
      <c r="P1973" s="8">
        <f>YEAR(C1973)</f>
        <v/>
      </c>
      <c r="Q1973" s="8">
        <f>TEXT(C1973, "yyyy-mm")</f>
        <v/>
      </c>
      <c r="R1973" s="8" t="inlineStr">
        <is>
          <t>Direct Web</t>
        </is>
      </c>
      <c r="S1973" s="8" t="inlineStr">
        <is>
          <t>REG-APAC</t>
        </is>
      </c>
    </row>
    <row r="1974">
      <c r="A1974" s="8" t="inlineStr">
        <is>
          <t>DTL-0001999</t>
        </is>
      </c>
      <c r="B1974" s="8" t="inlineStr">
        <is>
          <t>ORD-001003</t>
        </is>
      </c>
      <c r="C1974" s="10" t="inlineStr">
        <is>
          <t>2024-07-19</t>
        </is>
      </c>
      <c r="D1974" s="8" t="inlineStr">
        <is>
          <t>CUST-05333</t>
        </is>
      </c>
      <c r="E1974" s="8" t="inlineStr">
        <is>
          <t>PRD-0186</t>
        </is>
      </c>
      <c r="F1974" s="8" t="n">
        <v>1</v>
      </c>
      <c r="G1974" s="9">
        <f>IFERROR(XLOOKUP(E1974, '04_Products'!$A:$A, '04_Products'!$G:$G), 39.22)</f>
        <v/>
      </c>
      <c r="H1974" s="9">
        <f>IFERROR(XLOOKUP(E1974, '04_Products'!$A:$A, '04_Products'!$F:$F), 0)</f>
        <v/>
      </c>
      <c r="I1974" s="9">
        <f>F1974*G1974</f>
        <v/>
      </c>
      <c r="J1974" s="11" t="n">
        <v>0.25</v>
      </c>
      <c r="K1974" s="9">
        <f>I1974*J1974</f>
        <v/>
      </c>
      <c r="L1974" s="9">
        <f>I1974-K1974</f>
        <v/>
      </c>
      <c r="M1974" s="9">
        <f>F1974*H1974</f>
        <v/>
      </c>
      <c r="N1974" s="9">
        <f>L1974-M1974</f>
        <v/>
      </c>
      <c r="O1974" s="11">
        <f>IFERROR(N1974/L1974, 0)</f>
        <v/>
      </c>
      <c r="P1974" s="8">
        <f>YEAR(C1974)</f>
        <v/>
      </c>
      <c r="Q1974" s="8">
        <f>TEXT(C1974, "yyyy-mm")</f>
        <v/>
      </c>
      <c r="R1974" s="8" t="inlineStr">
        <is>
          <t>B2B Portal</t>
        </is>
      </c>
      <c r="S1974" s="8" t="inlineStr">
        <is>
          <t>REG-LATAM</t>
        </is>
      </c>
    </row>
    <row r="1975">
      <c r="A1975" s="8" t="inlineStr">
        <is>
          <t>DTL-0002000</t>
        </is>
      </c>
      <c r="B1975" s="8" t="inlineStr">
        <is>
          <t>ORD-001003</t>
        </is>
      </c>
      <c r="C1975" s="10" t="inlineStr">
        <is>
          <t>2024-07-19</t>
        </is>
      </c>
      <c r="D1975" s="8" t="inlineStr">
        <is>
          <t>CUST-05333</t>
        </is>
      </c>
      <c r="E1975" s="8" t="inlineStr">
        <is>
          <t>PRD-0253</t>
        </is>
      </c>
      <c r="F1975" s="8" t="n">
        <v>1</v>
      </c>
      <c r="G1975" s="9">
        <f>IFERROR(XLOOKUP(E1975, '04_Products'!$A:$A, '04_Products'!$G:$G), 514.94)</f>
        <v/>
      </c>
      <c r="H1975" s="9">
        <f>IFERROR(XLOOKUP(E1975, '04_Products'!$A:$A, '04_Products'!$F:$F), 0)</f>
        <v/>
      </c>
      <c r="I1975" s="9">
        <f>F1975*G1975</f>
        <v/>
      </c>
      <c r="J1975" s="11" t="n">
        <v>0</v>
      </c>
      <c r="K1975" s="9">
        <f>I1975*J1975</f>
        <v/>
      </c>
      <c r="L1975" s="9">
        <f>I1975-K1975</f>
        <v/>
      </c>
      <c r="M1975" s="9">
        <f>F1975*H1975</f>
        <v/>
      </c>
      <c r="N1975" s="9">
        <f>L1975-M1975</f>
        <v/>
      </c>
      <c r="O1975" s="11">
        <f>IFERROR(N1975/L1975, 0)</f>
        <v/>
      </c>
      <c r="P1975" s="8">
        <f>YEAR(C1975)</f>
        <v/>
      </c>
      <c r="Q1975" s="8">
        <f>TEXT(C1975, "yyyy-mm")</f>
        <v/>
      </c>
      <c r="R1975" s="8" t="inlineStr">
        <is>
          <t>B2B Portal</t>
        </is>
      </c>
      <c r="S1975" s="8" t="inlineStr">
        <is>
          <t>REG-LATAM</t>
        </is>
      </c>
    </row>
    <row r="1976">
      <c r="A1976" s="8" t="inlineStr">
        <is>
          <t>DTL-0002001</t>
        </is>
      </c>
      <c r="B1976" s="8" t="inlineStr">
        <is>
          <t>ORD-001003</t>
        </is>
      </c>
      <c r="C1976" s="10" t="inlineStr">
        <is>
          <t>2024-07-19</t>
        </is>
      </c>
      <c r="D1976" s="8" t="inlineStr">
        <is>
          <t>CUST-05333</t>
        </is>
      </c>
      <c r="E1976" s="8" t="inlineStr">
        <is>
          <t>PRD-0463</t>
        </is>
      </c>
      <c r="F1976" s="8" t="n">
        <v>2</v>
      </c>
      <c r="G1976" s="9">
        <f>IFERROR(XLOOKUP(E1976, '04_Products'!$A:$A, '04_Products'!$G:$G), 123.72)</f>
        <v/>
      </c>
      <c r="H1976" s="9">
        <f>IFERROR(XLOOKUP(E1976, '04_Products'!$A:$A, '04_Products'!$F:$F), 0)</f>
        <v/>
      </c>
      <c r="I1976" s="9">
        <f>F1976*G1976</f>
        <v/>
      </c>
      <c r="J1976" s="11" t="n">
        <v>0.3</v>
      </c>
      <c r="K1976" s="9">
        <f>I1976*J1976</f>
        <v/>
      </c>
      <c r="L1976" s="9">
        <f>I1976-K1976</f>
        <v/>
      </c>
      <c r="M1976" s="9">
        <f>F1976*H1976</f>
        <v/>
      </c>
      <c r="N1976" s="9">
        <f>L1976-M1976</f>
        <v/>
      </c>
      <c r="O1976" s="11">
        <f>IFERROR(N1976/L1976, 0)</f>
        <v/>
      </c>
      <c r="P1976" s="8">
        <f>YEAR(C1976)</f>
        <v/>
      </c>
      <c r="Q1976" s="8">
        <f>TEXT(C1976, "yyyy-mm")</f>
        <v/>
      </c>
      <c r="R1976" s="8" t="inlineStr">
        <is>
          <t>B2B Portal</t>
        </is>
      </c>
      <c r="S1976" s="8" t="inlineStr">
        <is>
          <t>REG-LATAM</t>
        </is>
      </c>
    </row>
    <row r="1977">
      <c r="A1977" s="8" t="inlineStr">
        <is>
          <t>DTL-0002002</t>
        </is>
      </c>
      <c r="B1977" s="8" t="inlineStr">
        <is>
          <t>ORD-001004</t>
        </is>
      </c>
      <c r="C1977" s="10" t="inlineStr">
        <is>
          <t>2025-08-15</t>
        </is>
      </c>
      <c r="D1977" s="8" t="inlineStr">
        <is>
          <t>CUST-04351</t>
        </is>
      </c>
      <c r="E1977" s="8" t="inlineStr">
        <is>
          <t>PRD-0171</t>
        </is>
      </c>
      <c r="F1977" s="8" t="n">
        <v>1</v>
      </c>
      <c r="G1977" s="9">
        <f>IFERROR(XLOOKUP(E1977, '04_Products'!$A:$A, '04_Products'!$G:$G), 143.61)</f>
        <v/>
      </c>
      <c r="H1977" s="9">
        <f>IFERROR(XLOOKUP(E1977, '04_Products'!$A:$A, '04_Products'!$F:$F), 0)</f>
        <v/>
      </c>
      <c r="I1977" s="9">
        <f>F1977*G1977</f>
        <v/>
      </c>
      <c r="J1977" s="11" t="n">
        <v>0.05</v>
      </c>
      <c r="K1977" s="9">
        <f>I1977*J1977</f>
        <v/>
      </c>
      <c r="L1977" s="9">
        <f>I1977-K1977</f>
        <v/>
      </c>
      <c r="M1977" s="9">
        <f>F1977*H1977</f>
        <v/>
      </c>
      <c r="N1977" s="9">
        <f>L1977-M1977</f>
        <v/>
      </c>
      <c r="O1977" s="11">
        <f>IFERROR(N1977/L1977, 0)</f>
        <v/>
      </c>
      <c r="P1977" s="8">
        <f>YEAR(C1977)</f>
        <v/>
      </c>
      <c r="Q1977" s="8">
        <f>TEXT(C1977, "yyyy-mm")</f>
        <v/>
      </c>
      <c r="R1977" s="8" t="inlineStr">
        <is>
          <t>Direct Web</t>
        </is>
      </c>
      <c r="S1977" s="8" t="inlineStr">
        <is>
          <t>REG-LATAM</t>
        </is>
      </c>
    </row>
    <row r="1978">
      <c r="A1978" s="8" t="inlineStr">
        <is>
          <t>DTL-0002003</t>
        </is>
      </c>
      <c r="B1978" s="8" t="inlineStr">
        <is>
          <t>ORD-001005</t>
        </is>
      </c>
      <c r="C1978" s="10" t="inlineStr">
        <is>
          <t>2023-09-03</t>
        </is>
      </c>
      <c r="D1978" s="8" t="inlineStr">
        <is>
          <t>CUST-06820</t>
        </is>
      </c>
      <c r="E1978" s="8" t="inlineStr">
        <is>
          <t>PRD-0088</t>
        </is>
      </c>
      <c r="F1978" s="8" t="n">
        <v>1</v>
      </c>
      <c r="G1978" s="9">
        <f>IFERROR(XLOOKUP(E1978, '04_Products'!$A:$A, '04_Products'!$G:$G), 952.03)</f>
        <v/>
      </c>
      <c r="H1978" s="9">
        <f>IFERROR(XLOOKUP(E1978, '04_Products'!$A:$A, '04_Products'!$F:$F), 0)</f>
        <v/>
      </c>
      <c r="I1978" s="9">
        <f>F1978*G1978</f>
        <v/>
      </c>
      <c r="J1978" s="11" t="n">
        <v>0.25</v>
      </c>
      <c r="K1978" s="9">
        <f>I1978*J1978</f>
        <v/>
      </c>
      <c r="L1978" s="9">
        <f>I1978-K1978</f>
        <v/>
      </c>
      <c r="M1978" s="9">
        <f>F1978*H1978</f>
        <v/>
      </c>
      <c r="N1978" s="9">
        <f>L1978-M1978</f>
        <v/>
      </c>
      <c r="O1978" s="11">
        <f>IFERROR(N1978/L1978, 0)</f>
        <v/>
      </c>
      <c r="P1978" s="8">
        <f>YEAR(C1978)</f>
        <v/>
      </c>
      <c r="Q1978" s="8">
        <f>TEXT(C1978, "yyyy-mm")</f>
        <v/>
      </c>
      <c r="R1978" s="8" t="inlineStr">
        <is>
          <t>Direct Web</t>
        </is>
      </c>
      <c r="S1978" s="8" t="inlineStr">
        <is>
          <t>REG-NA</t>
        </is>
      </c>
    </row>
    <row r="1979">
      <c r="A1979" s="8" t="inlineStr">
        <is>
          <t>DTL-0002004</t>
        </is>
      </c>
      <c r="B1979" s="8" t="inlineStr">
        <is>
          <t>ORD-001006</t>
        </is>
      </c>
      <c r="C1979" s="10" t="inlineStr">
        <is>
          <t>2023-11-29</t>
        </is>
      </c>
      <c r="D1979" s="8" t="inlineStr">
        <is>
          <t>CUST-02672</t>
        </is>
      </c>
      <c r="E1979" s="8" t="inlineStr">
        <is>
          <t>PRD-0252</t>
        </is>
      </c>
      <c r="F1979" s="8" t="n">
        <v>1</v>
      </c>
      <c r="G1979" s="9">
        <f>IFERROR(XLOOKUP(E1979, '04_Products'!$A:$A, '04_Products'!$G:$G), 332.85)</f>
        <v/>
      </c>
      <c r="H1979" s="9">
        <f>IFERROR(XLOOKUP(E1979, '04_Products'!$A:$A, '04_Products'!$F:$F), 0)</f>
        <v/>
      </c>
      <c r="I1979" s="9">
        <f>F1979*G1979</f>
        <v/>
      </c>
      <c r="J1979" s="11" t="n">
        <v>0.1</v>
      </c>
      <c r="K1979" s="9">
        <f>I1979*J1979</f>
        <v/>
      </c>
      <c r="L1979" s="9">
        <f>I1979-K1979</f>
        <v/>
      </c>
      <c r="M1979" s="9">
        <f>F1979*H1979</f>
        <v/>
      </c>
      <c r="N1979" s="9">
        <f>L1979-M1979</f>
        <v/>
      </c>
      <c r="O1979" s="11">
        <f>IFERROR(N1979/L1979, 0)</f>
        <v/>
      </c>
      <c r="P1979" s="8">
        <f>YEAR(C1979)</f>
        <v/>
      </c>
      <c r="Q1979" s="8">
        <f>TEXT(C1979, "yyyy-mm")</f>
        <v/>
      </c>
      <c r="R1979" s="8" t="inlineStr">
        <is>
          <t>Mobile App</t>
        </is>
      </c>
      <c r="S1979" s="8" t="inlineStr">
        <is>
          <t>REG-EU</t>
        </is>
      </c>
    </row>
    <row r="1980">
      <c r="A1980" s="8" t="inlineStr">
        <is>
          <t>DTL-0002005</t>
        </is>
      </c>
      <c r="B1980" s="8" t="inlineStr">
        <is>
          <t>ORD-001007</t>
        </is>
      </c>
      <c r="C1980" s="10" t="inlineStr">
        <is>
          <t>2025-03-13</t>
        </is>
      </c>
      <c r="D1980" s="8" t="inlineStr">
        <is>
          <t>CUST-01001</t>
        </is>
      </c>
      <c r="E1980" s="8" t="inlineStr">
        <is>
          <t>PRD-0289</t>
        </is>
      </c>
      <c r="F1980" s="8" t="n">
        <v>2</v>
      </c>
      <c r="G1980" s="9">
        <f>IFERROR(XLOOKUP(E1980, '04_Products'!$A:$A, '04_Products'!$G:$G), 579.40)</f>
        <v/>
      </c>
      <c r="H1980" s="9">
        <f>IFERROR(XLOOKUP(E1980, '04_Products'!$A:$A, '04_Products'!$F:$F), 0)</f>
        <v/>
      </c>
      <c r="I1980" s="9">
        <f>F1980*G1980</f>
        <v/>
      </c>
      <c r="J1980" s="11" t="n">
        <v>0</v>
      </c>
      <c r="K1980" s="9">
        <f>I1980*J1980</f>
        <v/>
      </c>
      <c r="L1980" s="9">
        <f>I1980-K1980</f>
        <v/>
      </c>
      <c r="M1980" s="9">
        <f>F1980*H1980</f>
        <v/>
      </c>
      <c r="N1980" s="9">
        <f>L1980-M1980</f>
        <v/>
      </c>
      <c r="O1980" s="11">
        <f>IFERROR(N1980/L1980, 0)</f>
        <v/>
      </c>
      <c r="P1980" s="8">
        <f>YEAR(C1980)</f>
        <v/>
      </c>
      <c r="Q1980" s="8">
        <f>TEXT(C1980, "yyyy-mm")</f>
        <v/>
      </c>
      <c r="R1980" s="8" t="inlineStr">
        <is>
          <t>Direct Web</t>
        </is>
      </c>
      <c r="S1980" s="8" t="inlineStr">
        <is>
          <t>REG-APAC</t>
        </is>
      </c>
    </row>
    <row r="1981">
      <c r="A1981" s="8" t="inlineStr">
        <is>
          <t>DTL-0002006</t>
        </is>
      </c>
      <c r="B1981" s="8" t="inlineStr">
        <is>
          <t>ORD-001007</t>
        </is>
      </c>
      <c r="C1981" s="10" t="inlineStr">
        <is>
          <t>2025-03-13</t>
        </is>
      </c>
      <c r="D1981" s="8" t="inlineStr">
        <is>
          <t>CUST-01001</t>
        </is>
      </c>
      <c r="E1981" s="8" t="inlineStr">
        <is>
          <t>PRD-0113</t>
        </is>
      </c>
      <c r="F1981" s="8" t="n">
        <v>1</v>
      </c>
      <c r="G1981" s="9">
        <f>IFERROR(XLOOKUP(E1981, '04_Products'!$A:$A, '04_Products'!$G:$G), 70.09)</f>
        <v/>
      </c>
      <c r="H1981" s="9">
        <f>IFERROR(XLOOKUP(E1981, '04_Products'!$A:$A, '04_Products'!$F:$F), 0)</f>
        <v/>
      </c>
      <c r="I1981" s="9">
        <f>F1981*G1981</f>
        <v/>
      </c>
      <c r="J1981" s="11" t="n">
        <v>0</v>
      </c>
      <c r="K1981" s="9">
        <f>I1981*J1981</f>
        <v/>
      </c>
      <c r="L1981" s="9">
        <f>I1981-K1981</f>
        <v/>
      </c>
      <c r="M1981" s="9">
        <f>F1981*H1981</f>
        <v/>
      </c>
      <c r="N1981" s="9">
        <f>L1981-M1981</f>
        <v/>
      </c>
      <c r="O1981" s="11">
        <f>IFERROR(N1981/L1981, 0)</f>
        <v/>
      </c>
      <c r="P1981" s="8">
        <f>YEAR(C1981)</f>
        <v/>
      </c>
      <c r="Q1981" s="8">
        <f>TEXT(C1981, "yyyy-mm")</f>
        <v/>
      </c>
      <c r="R1981" s="8" t="inlineStr">
        <is>
          <t>Direct Web</t>
        </is>
      </c>
      <c r="S1981" s="8" t="inlineStr">
        <is>
          <t>REG-APAC</t>
        </is>
      </c>
    </row>
    <row r="1982">
      <c r="A1982" s="8" t="inlineStr">
        <is>
          <t>DTL-0002007</t>
        </is>
      </c>
      <c r="B1982" s="8" t="inlineStr">
        <is>
          <t>ORD-001008</t>
        </is>
      </c>
      <c r="C1982" s="10" t="inlineStr">
        <is>
          <t>2024-05-26</t>
        </is>
      </c>
      <c r="D1982" s="8" t="inlineStr">
        <is>
          <t>CUST-03447</t>
        </is>
      </c>
      <c r="E1982" s="8" t="inlineStr">
        <is>
          <t>PRD-0439</t>
        </is>
      </c>
      <c r="F1982" s="8" t="n">
        <v>4</v>
      </c>
      <c r="G1982" s="9">
        <f>IFERROR(XLOOKUP(E1982, '04_Products'!$A:$A, '04_Products'!$G:$G), 807.98)</f>
        <v/>
      </c>
      <c r="H1982" s="9">
        <f>IFERROR(XLOOKUP(E1982, '04_Products'!$A:$A, '04_Products'!$F:$F), 0)</f>
        <v/>
      </c>
      <c r="I1982" s="9">
        <f>F1982*G1982</f>
        <v/>
      </c>
      <c r="J1982" s="11" t="n">
        <v>0.1</v>
      </c>
      <c r="K1982" s="9">
        <f>I1982*J1982</f>
        <v/>
      </c>
      <c r="L1982" s="9">
        <f>I1982-K1982</f>
        <v/>
      </c>
      <c r="M1982" s="9">
        <f>F1982*H1982</f>
        <v/>
      </c>
      <c r="N1982" s="9">
        <f>L1982-M1982</f>
        <v/>
      </c>
      <c r="O1982" s="11">
        <f>IFERROR(N1982/L1982, 0)</f>
        <v/>
      </c>
      <c r="P1982" s="8">
        <f>YEAR(C1982)</f>
        <v/>
      </c>
      <c r="Q1982" s="8">
        <f>TEXT(C1982, "yyyy-mm")</f>
        <v/>
      </c>
      <c r="R1982" s="8" t="inlineStr">
        <is>
          <t>B2B Portal</t>
        </is>
      </c>
      <c r="S1982" s="8" t="inlineStr">
        <is>
          <t>REG-APAC</t>
        </is>
      </c>
    </row>
    <row r="1983">
      <c r="A1983" s="8" t="inlineStr">
        <is>
          <t>DTL-0002008</t>
        </is>
      </c>
      <c r="B1983" s="8" t="inlineStr">
        <is>
          <t>ORD-001008</t>
        </is>
      </c>
      <c r="C1983" s="10" t="inlineStr">
        <is>
          <t>2024-05-26</t>
        </is>
      </c>
      <c r="D1983" s="8" t="inlineStr">
        <is>
          <t>CUST-03447</t>
        </is>
      </c>
      <c r="E1983" s="8" t="inlineStr">
        <is>
          <t>PRD-0185</t>
        </is>
      </c>
      <c r="F1983" s="8" t="n">
        <v>1</v>
      </c>
      <c r="G1983" s="9">
        <f>IFERROR(XLOOKUP(E1983, '04_Products'!$A:$A, '04_Products'!$G:$G), 1296.57)</f>
        <v/>
      </c>
      <c r="H1983" s="9">
        <f>IFERROR(XLOOKUP(E1983, '04_Products'!$A:$A, '04_Products'!$F:$F), 0)</f>
        <v/>
      </c>
      <c r="I1983" s="9">
        <f>F1983*G1983</f>
        <v/>
      </c>
      <c r="J1983" s="11" t="n">
        <v>0.1</v>
      </c>
      <c r="K1983" s="9">
        <f>I1983*J1983</f>
        <v/>
      </c>
      <c r="L1983" s="9">
        <f>I1983-K1983</f>
        <v/>
      </c>
      <c r="M1983" s="9">
        <f>F1983*H1983</f>
        <v/>
      </c>
      <c r="N1983" s="9">
        <f>L1983-M1983</f>
        <v/>
      </c>
      <c r="O1983" s="11">
        <f>IFERROR(N1983/L1983, 0)</f>
        <v/>
      </c>
      <c r="P1983" s="8">
        <f>YEAR(C1983)</f>
        <v/>
      </c>
      <c r="Q1983" s="8">
        <f>TEXT(C1983, "yyyy-mm")</f>
        <v/>
      </c>
      <c r="R1983" s="8" t="inlineStr">
        <is>
          <t>B2B Portal</t>
        </is>
      </c>
      <c r="S1983" s="8" t="inlineStr">
        <is>
          <t>REG-APAC</t>
        </is>
      </c>
    </row>
    <row r="1984">
      <c r="A1984" s="8" t="inlineStr">
        <is>
          <t>DTL-0002009</t>
        </is>
      </c>
      <c r="B1984" s="8" t="inlineStr">
        <is>
          <t>ORD-001008</t>
        </is>
      </c>
      <c r="C1984" s="10" t="inlineStr">
        <is>
          <t>2024-05-26</t>
        </is>
      </c>
      <c r="D1984" s="8" t="inlineStr">
        <is>
          <t>CUST-03447</t>
        </is>
      </c>
      <c r="E1984" s="8" t="inlineStr">
        <is>
          <t>PRD-0263</t>
        </is>
      </c>
      <c r="F1984" s="8" t="n">
        <v>4</v>
      </c>
      <c r="G1984" s="9">
        <f>IFERROR(XLOOKUP(E1984, '04_Products'!$A:$A, '04_Products'!$G:$G), 59.33)</f>
        <v/>
      </c>
      <c r="H1984" s="9">
        <f>IFERROR(XLOOKUP(E1984, '04_Products'!$A:$A, '04_Products'!$F:$F), 0)</f>
        <v/>
      </c>
      <c r="I1984" s="9">
        <f>F1984*G1984</f>
        <v/>
      </c>
      <c r="J1984" s="11" t="n">
        <v>0</v>
      </c>
      <c r="K1984" s="9">
        <f>I1984*J1984</f>
        <v/>
      </c>
      <c r="L1984" s="9">
        <f>I1984-K1984</f>
        <v/>
      </c>
      <c r="M1984" s="9">
        <f>F1984*H1984</f>
        <v/>
      </c>
      <c r="N1984" s="9">
        <f>L1984-M1984</f>
        <v/>
      </c>
      <c r="O1984" s="11">
        <f>IFERROR(N1984/L1984, 0)</f>
        <v/>
      </c>
      <c r="P1984" s="8">
        <f>YEAR(C1984)</f>
        <v/>
      </c>
      <c r="Q1984" s="8">
        <f>TEXT(C1984, "yyyy-mm")</f>
        <v/>
      </c>
      <c r="R1984" s="8" t="inlineStr">
        <is>
          <t>B2B Portal</t>
        </is>
      </c>
      <c r="S1984" s="8" t="inlineStr">
        <is>
          <t>REG-APAC</t>
        </is>
      </c>
    </row>
    <row r="1985">
      <c r="A1985" s="8" t="inlineStr">
        <is>
          <t>DTL-0002010</t>
        </is>
      </c>
      <c r="B1985" s="8" t="inlineStr">
        <is>
          <t>ORD-001008</t>
        </is>
      </c>
      <c r="C1985" s="10" t="inlineStr">
        <is>
          <t>2024-05-26</t>
        </is>
      </c>
      <c r="D1985" s="8" t="inlineStr">
        <is>
          <t>CUST-03447</t>
        </is>
      </c>
      <c r="E1985" s="8" t="inlineStr">
        <is>
          <t>PRD-0248</t>
        </is>
      </c>
      <c r="F1985" s="8" t="n">
        <v>1</v>
      </c>
      <c r="G1985" s="9">
        <f>IFERROR(XLOOKUP(E1985, '04_Products'!$A:$A, '04_Products'!$G:$G), 603.58)</f>
        <v/>
      </c>
      <c r="H1985" s="9">
        <f>IFERROR(XLOOKUP(E1985, '04_Products'!$A:$A, '04_Products'!$F:$F), 0)</f>
        <v/>
      </c>
      <c r="I1985" s="9">
        <f>F1985*G1985</f>
        <v/>
      </c>
      <c r="J1985" s="11" t="n">
        <v>0</v>
      </c>
      <c r="K1985" s="9">
        <f>I1985*J1985</f>
        <v/>
      </c>
      <c r="L1985" s="9">
        <f>I1985-K1985</f>
        <v/>
      </c>
      <c r="M1985" s="9">
        <f>F1985*H1985</f>
        <v/>
      </c>
      <c r="N1985" s="9">
        <f>L1985-M1985</f>
        <v/>
      </c>
      <c r="O1985" s="11">
        <f>IFERROR(N1985/L1985, 0)</f>
        <v/>
      </c>
      <c r="P1985" s="8">
        <f>YEAR(C1985)</f>
        <v/>
      </c>
      <c r="Q1985" s="8">
        <f>TEXT(C1985, "yyyy-mm")</f>
        <v/>
      </c>
      <c r="R1985" s="8" t="inlineStr">
        <is>
          <t>B2B Portal</t>
        </is>
      </c>
      <c r="S1985" s="8" t="inlineStr">
        <is>
          <t>REG-APAC</t>
        </is>
      </c>
    </row>
    <row r="1986">
      <c r="A1986" s="8" t="inlineStr">
        <is>
          <t>DTL-0002011</t>
        </is>
      </c>
      <c r="B1986" s="8" t="inlineStr">
        <is>
          <t>ORD-001008</t>
        </is>
      </c>
      <c r="C1986" s="10" t="inlineStr">
        <is>
          <t>2024-05-26</t>
        </is>
      </c>
      <c r="D1986" s="8" t="inlineStr">
        <is>
          <t>CUST-03447</t>
        </is>
      </c>
      <c r="E1986" s="8" t="inlineStr">
        <is>
          <t>PRD-0125</t>
        </is>
      </c>
      <c r="F1986" s="8" t="n">
        <v>3</v>
      </c>
      <c r="G1986" s="9">
        <f>IFERROR(XLOOKUP(E1986, '04_Products'!$A:$A, '04_Products'!$G:$G), 1389.75)</f>
        <v/>
      </c>
      <c r="H1986" s="9">
        <f>IFERROR(XLOOKUP(E1986, '04_Products'!$A:$A, '04_Products'!$F:$F), 0)</f>
        <v/>
      </c>
      <c r="I1986" s="9">
        <f>F1986*G1986</f>
        <v/>
      </c>
      <c r="J1986" s="11" t="n">
        <v>0.1</v>
      </c>
      <c r="K1986" s="9">
        <f>I1986*J1986</f>
        <v/>
      </c>
      <c r="L1986" s="9">
        <f>I1986-K1986</f>
        <v/>
      </c>
      <c r="M1986" s="9">
        <f>F1986*H1986</f>
        <v/>
      </c>
      <c r="N1986" s="9">
        <f>L1986-M1986</f>
        <v/>
      </c>
      <c r="O1986" s="11">
        <f>IFERROR(N1986/L1986, 0)</f>
        <v/>
      </c>
      <c r="P1986" s="8">
        <f>YEAR(C1986)</f>
        <v/>
      </c>
      <c r="Q1986" s="8">
        <f>TEXT(C1986, "yyyy-mm")</f>
        <v/>
      </c>
      <c r="R1986" s="8" t="inlineStr">
        <is>
          <t>B2B Portal</t>
        </is>
      </c>
      <c r="S1986" s="8" t="inlineStr">
        <is>
          <t>REG-APAC</t>
        </is>
      </c>
    </row>
    <row r="1987">
      <c r="A1987" s="8" t="inlineStr">
        <is>
          <t>DTL-0002012</t>
        </is>
      </c>
      <c r="B1987" s="8" t="inlineStr">
        <is>
          <t>ORD-001009</t>
        </is>
      </c>
      <c r="C1987" s="10" t="inlineStr">
        <is>
          <t>2024-06-18</t>
        </is>
      </c>
      <c r="D1987" s="8" t="inlineStr">
        <is>
          <t>CUST-00189</t>
        </is>
      </c>
      <c r="E1987" s="8" t="inlineStr">
        <is>
          <t>PRD-0383</t>
        </is>
      </c>
      <c r="F1987" s="8" t="n">
        <v>2</v>
      </c>
      <c r="G1987" s="9">
        <f>IFERROR(XLOOKUP(E1987, '04_Products'!$A:$A, '04_Products'!$G:$G), 752.81)</f>
        <v/>
      </c>
      <c r="H1987" s="9">
        <f>IFERROR(XLOOKUP(E1987, '04_Products'!$A:$A, '04_Products'!$F:$F), 0)</f>
        <v/>
      </c>
      <c r="I1987" s="9">
        <f>F1987*G1987</f>
        <v/>
      </c>
      <c r="J1987" s="11" t="n">
        <v>0.15</v>
      </c>
      <c r="K1987" s="9">
        <f>I1987*J1987</f>
        <v/>
      </c>
      <c r="L1987" s="9">
        <f>I1987-K1987</f>
        <v/>
      </c>
      <c r="M1987" s="9">
        <f>F1987*H1987</f>
        <v/>
      </c>
      <c r="N1987" s="9">
        <f>L1987-M1987</f>
        <v/>
      </c>
      <c r="O1987" s="11">
        <f>IFERROR(N1987/L1987, 0)</f>
        <v/>
      </c>
      <c r="P1987" s="8">
        <f>YEAR(C1987)</f>
        <v/>
      </c>
      <c r="Q1987" s="8">
        <f>TEXT(C1987, "yyyy-mm")</f>
        <v/>
      </c>
      <c r="R1987" s="8" t="inlineStr">
        <is>
          <t>Direct Web</t>
        </is>
      </c>
      <c r="S1987" s="8" t="inlineStr">
        <is>
          <t>REG-EU</t>
        </is>
      </c>
    </row>
    <row r="1988">
      <c r="A1988" s="8" t="inlineStr">
        <is>
          <t>DTL-0002013</t>
        </is>
      </c>
      <c r="B1988" s="8" t="inlineStr">
        <is>
          <t>ORD-001009</t>
        </is>
      </c>
      <c r="C1988" s="10" t="inlineStr">
        <is>
          <t>2024-06-18</t>
        </is>
      </c>
      <c r="D1988" s="8" t="inlineStr">
        <is>
          <t>CUST-00189</t>
        </is>
      </c>
      <c r="E1988" s="8" t="inlineStr">
        <is>
          <t>PRD-0093</t>
        </is>
      </c>
      <c r="F1988" s="8" t="n">
        <v>1</v>
      </c>
      <c r="G1988" s="9">
        <f>IFERROR(XLOOKUP(E1988, '04_Products'!$A:$A, '04_Products'!$G:$G), 1324.37)</f>
        <v/>
      </c>
      <c r="H1988" s="9">
        <f>IFERROR(XLOOKUP(E1988, '04_Products'!$A:$A, '04_Products'!$F:$F), 0)</f>
        <v/>
      </c>
      <c r="I1988" s="9">
        <f>F1988*G1988</f>
        <v/>
      </c>
      <c r="J1988" s="11" t="n">
        <v>0.05</v>
      </c>
      <c r="K1988" s="9">
        <f>I1988*J1988</f>
        <v/>
      </c>
      <c r="L1988" s="9">
        <f>I1988-K1988</f>
        <v/>
      </c>
      <c r="M1988" s="9">
        <f>F1988*H1988</f>
        <v/>
      </c>
      <c r="N1988" s="9">
        <f>L1988-M1988</f>
        <v/>
      </c>
      <c r="O1988" s="11">
        <f>IFERROR(N1988/L1988, 0)</f>
        <v/>
      </c>
      <c r="P1988" s="8">
        <f>YEAR(C1988)</f>
        <v/>
      </c>
      <c r="Q1988" s="8">
        <f>TEXT(C1988, "yyyy-mm")</f>
        <v/>
      </c>
      <c r="R1988" s="8" t="inlineStr">
        <is>
          <t>Direct Web</t>
        </is>
      </c>
      <c r="S1988" s="8" t="inlineStr">
        <is>
          <t>REG-EU</t>
        </is>
      </c>
    </row>
    <row r="1989">
      <c r="A1989" s="8" t="inlineStr">
        <is>
          <t>DTL-0002014</t>
        </is>
      </c>
      <c r="B1989" s="8" t="inlineStr">
        <is>
          <t>ORD-001009</t>
        </is>
      </c>
      <c r="C1989" s="10" t="inlineStr">
        <is>
          <t>2024-06-18</t>
        </is>
      </c>
      <c r="D1989" s="8" t="inlineStr">
        <is>
          <t>CUST-00189</t>
        </is>
      </c>
      <c r="E1989" s="8" t="inlineStr">
        <is>
          <t>PRD-0323</t>
        </is>
      </c>
      <c r="F1989" s="8" t="n">
        <v>1</v>
      </c>
      <c r="G1989" s="9">
        <f>IFERROR(XLOOKUP(E1989, '04_Products'!$A:$A, '04_Products'!$G:$G), 53.60)</f>
        <v/>
      </c>
      <c r="H1989" s="9">
        <f>IFERROR(XLOOKUP(E1989, '04_Products'!$A:$A, '04_Products'!$F:$F), 0)</f>
        <v/>
      </c>
      <c r="I1989" s="9">
        <f>F1989*G1989</f>
        <v/>
      </c>
      <c r="J1989" s="11" t="n">
        <v>0.05</v>
      </c>
      <c r="K1989" s="9">
        <f>I1989*J1989</f>
        <v/>
      </c>
      <c r="L1989" s="9">
        <f>I1989-K1989</f>
        <v/>
      </c>
      <c r="M1989" s="9">
        <f>F1989*H1989</f>
        <v/>
      </c>
      <c r="N1989" s="9">
        <f>L1989-M1989</f>
        <v/>
      </c>
      <c r="O1989" s="11">
        <f>IFERROR(N1989/L1989, 0)</f>
        <v/>
      </c>
      <c r="P1989" s="8">
        <f>YEAR(C1989)</f>
        <v/>
      </c>
      <c r="Q1989" s="8">
        <f>TEXT(C1989, "yyyy-mm")</f>
        <v/>
      </c>
      <c r="R1989" s="8" t="inlineStr">
        <is>
          <t>Direct Web</t>
        </is>
      </c>
      <c r="S1989" s="8" t="inlineStr">
        <is>
          <t>REG-EU</t>
        </is>
      </c>
    </row>
    <row r="1990">
      <c r="A1990" s="8" t="inlineStr">
        <is>
          <t>DTL-0002015</t>
        </is>
      </c>
      <c r="B1990" s="8" t="inlineStr">
        <is>
          <t>ORD-001010</t>
        </is>
      </c>
      <c r="C1990" s="10" t="inlineStr">
        <is>
          <t>2025-12-09</t>
        </is>
      </c>
      <c r="D1990" s="8" t="inlineStr">
        <is>
          <t>CUST-02138</t>
        </is>
      </c>
      <c r="E1990" s="8" t="inlineStr">
        <is>
          <t>PRD-0329</t>
        </is>
      </c>
      <c r="F1990" s="8" t="n">
        <v>1</v>
      </c>
      <c r="G1990" s="9">
        <f>IFERROR(XLOOKUP(E1990, '04_Products'!$A:$A, '04_Products'!$G:$G), 1014.02)</f>
        <v/>
      </c>
      <c r="H1990" s="9">
        <f>IFERROR(XLOOKUP(E1990, '04_Products'!$A:$A, '04_Products'!$F:$F), 0)</f>
        <v/>
      </c>
      <c r="I1990" s="9">
        <f>F1990*G1990</f>
        <v/>
      </c>
      <c r="J1990" s="11" t="n">
        <v>0.1</v>
      </c>
      <c r="K1990" s="9">
        <f>I1990*J1990</f>
        <v/>
      </c>
      <c r="L1990" s="9">
        <f>I1990-K1990</f>
        <v/>
      </c>
      <c r="M1990" s="9">
        <f>F1990*H1990</f>
        <v/>
      </c>
      <c r="N1990" s="9">
        <f>L1990-M1990</f>
        <v/>
      </c>
      <c r="O1990" s="11">
        <f>IFERROR(N1990/L1990, 0)</f>
        <v/>
      </c>
      <c r="P1990" s="8">
        <f>YEAR(C1990)</f>
        <v/>
      </c>
      <c r="Q1990" s="8">
        <f>TEXT(C1990, "yyyy-mm")</f>
        <v/>
      </c>
      <c r="R1990" s="8" t="inlineStr">
        <is>
          <t>Direct Web</t>
        </is>
      </c>
      <c r="S1990" s="8" t="inlineStr">
        <is>
          <t>REG-EU</t>
        </is>
      </c>
    </row>
    <row r="1991">
      <c r="A1991" s="8" t="inlineStr">
        <is>
          <t>DTL-0002016</t>
        </is>
      </c>
      <c r="B1991" s="8" t="inlineStr">
        <is>
          <t>ORD-001010</t>
        </is>
      </c>
      <c r="C1991" s="10" t="inlineStr">
        <is>
          <t>2025-12-09</t>
        </is>
      </c>
      <c r="D1991" s="8" t="inlineStr">
        <is>
          <t>CUST-02138</t>
        </is>
      </c>
      <c r="E1991" s="8" t="inlineStr">
        <is>
          <t>PRD-0210</t>
        </is>
      </c>
      <c r="F1991" s="8" t="n">
        <v>3</v>
      </c>
      <c r="G1991" s="9">
        <f>IFERROR(XLOOKUP(E1991, '04_Products'!$A:$A, '04_Products'!$G:$G), 920.55)</f>
        <v/>
      </c>
      <c r="H1991" s="9">
        <f>IFERROR(XLOOKUP(E1991, '04_Products'!$A:$A, '04_Products'!$F:$F), 0)</f>
        <v/>
      </c>
      <c r="I1991" s="9">
        <f>F1991*G1991</f>
        <v/>
      </c>
      <c r="J1991" s="11" t="n">
        <v>0.15</v>
      </c>
      <c r="K1991" s="9">
        <f>I1991*J1991</f>
        <v/>
      </c>
      <c r="L1991" s="9">
        <f>I1991-K1991</f>
        <v/>
      </c>
      <c r="M1991" s="9">
        <f>F1991*H1991</f>
        <v/>
      </c>
      <c r="N1991" s="9">
        <f>L1991-M1991</f>
        <v/>
      </c>
      <c r="O1991" s="11">
        <f>IFERROR(N1991/L1991, 0)</f>
        <v/>
      </c>
      <c r="P1991" s="8">
        <f>YEAR(C1991)</f>
        <v/>
      </c>
      <c r="Q1991" s="8">
        <f>TEXT(C1991, "yyyy-mm")</f>
        <v/>
      </c>
      <c r="R1991" s="8" t="inlineStr">
        <is>
          <t>Direct Web</t>
        </is>
      </c>
      <c r="S1991" s="8" t="inlineStr">
        <is>
          <t>REG-EU</t>
        </is>
      </c>
    </row>
    <row r="1992">
      <c r="A1992" s="8" t="inlineStr">
        <is>
          <t>DTL-0002017</t>
        </is>
      </c>
      <c r="B1992" s="8" t="inlineStr">
        <is>
          <t>ORD-001010</t>
        </is>
      </c>
      <c r="C1992" s="10" t="inlineStr">
        <is>
          <t>2025-12-09</t>
        </is>
      </c>
      <c r="D1992" s="8" t="inlineStr">
        <is>
          <t>CUST-02138</t>
        </is>
      </c>
      <c r="E1992" s="8" t="inlineStr">
        <is>
          <t>PRD-0462</t>
        </is>
      </c>
      <c r="F1992" s="8" t="n">
        <v>2</v>
      </c>
      <c r="G1992" s="9">
        <f>IFERROR(XLOOKUP(E1992, '04_Products'!$A:$A, '04_Products'!$G:$G), 643.52)</f>
        <v/>
      </c>
      <c r="H1992" s="9">
        <f>IFERROR(XLOOKUP(E1992, '04_Products'!$A:$A, '04_Products'!$F:$F), 0)</f>
        <v/>
      </c>
      <c r="I1992" s="9">
        <f>F1992*G1992</f>
        <v/>
      </c>
      <c r="J1992" s="11" t="n">
        <v>0.05</v>
      </c>
      <c r="K1992" s="9">
        <f>I1992*J1992</f>
        <v/>
      </c>
      <c r="L1992" s="9">
        <f>I1992-K1992</f>
        <v/>
      </c>
      <c r="M1992" s="9">
        <f>F1992*H1992</f>
        <v/>
      </c>
      <c r="N1992" s="9">
        <f>L1992-M1992</f>
        <v/>
      </c>
      <c r="O1992" s="11">
        <f>IFERROR(N1992/L1992, 0)</f>
        <v/>
      </c>
      <c r="P1992" s="8">
        <f>YEAR(C1992)</f>
        <v/>
      </c>
      <c r="Q1992" s="8">
        <f>TEXT(C1992, "yyyy-mm")</f>
        <v/>
      </c>
      <c r="R1992" s="8" t="inlineStr">
        <is>
          <t>Direct Web</t>
        </is>
      </c>
      <c r="S1992" s="8" t="inlineStr">
        <is>
          <t>REG-EU</t>
        </is>
      </c>
    </row>
    <row r="1993">
      <c r="A1993" s="8" t="inlineStr">
        <is>
          <t>DTL-0002018</t>
        </is>
      </c>
      <c r="B1993" s="8" t="inlineStr">
        <is>
          <t>ORD-001010</t>
        </is>
      </c>
      <c r="C1993" s="10" t="inlineStr">
        <is>
          <t>2025-12-09</t>
        </is>
      </c>
      <c r="D1993" s="8" t="inlineStr">
        <is>
          <t>CUST-02138</t>
        </is>
      </c>
      <c r="E1993" s="8" t="inlineStr">
        <is>
          <t>PRD-0218</t>
        </is>
      </c>
      <c r="F1993" s="8" t="n">
        <v>1</v>
      </c>
      <c r="G1993" s="9">
        <f>IFERROR(XLOOKUP(E1993, '04_Products'!$A:$A, '04_Products'!$G:$G), 468.61)</f>
        <v/>
      </c>
      <c r="H1993" s="9">
        <f>IFERROR(XLOOKUP(E1993, '04_Products'!$A:$A, '04_Products'!$F:$F), 0)</f>
        <v/>
      </c>
      <c r="I1993" s="9">
        <f>F1993*G1993</f>
        <v/>
      </c>
      <c r="J1993" s="11" t="n">
        <v>0.2</v>
      </c>
      <c r="K1993" s="9">
        <f>I1993*J1993</f>
        <v/>
      </c>
      <c r="L1993" s="9">
        <f>I1993-K1993</f>
        <v/>
      </c>
      <c r="M1993" s="9">
        <f>F1993*H1993</f>
        <v/>
      </c>
      <c r="N1993" s="9">
        <f>L1993-M1993</f>
        <v/>
      </c>
      <c r="O1993" s="11">
        <f>IFERROR(N1993/L1993, 0)</f>
        <v/>
      </c>
      <c r="P1993" s="8">
        <f>YEAR(C1993)</f>
        <v/>
      </c>
      <c r="Q1993" s="8">
        <f>TEXT(C1993, "yyyy-mm")</f>
        <v/>
      </c>
      <c r="R1993" s="8" t="inlineStr">
        <is>
          <t>Direct Web</t>
        </is>
      </c>
      <c r="S1993" s="8" t="inlineStr">
        <is>
          <t>REG-EU</t>
        </is>
      </c>
    </row>
    <row r="1994">
      <c r="A1994" s="8" t="inlineStr">
        <is>
          <t>DTL-0002019</t>
        </is>
      </c>
      <c r="B1994" s="8" t="inlineStr">
        <is>
          <t>ORD-001011</t>
        </is>
      </c>
      <c r="C1994" s="10" t="inlineStr">
        <is>
          <t>2024-02-17</t>
        </is>
      </c>
      <c r="D1994" s="8" t="inlineStr">
        <is>
          <t>CUST-02375</t>
        </is>
      </c>
      <c r="E1994" s="8" t="inlineStr">
        <is>
          <t>PRD-0268</t>
        </is>
      </c>
      <c r="F1994" s="8" t="n">
        <v>1</v>
      </c>
      <c r="G1994" s="9">
        <f>IFERROR(XLOOKUP(E1994, '04_Products'!$A:$A, '04_Products'!$G:$G), 69.90)</f>
        <v/>
      </c>
      <c r="H1994" s="9">
        <f>IFERROR(XLOOKUP(E1994, '04_Products'!$A:$A, '04_Products'!$F:$F), 0)</f>
        <v/>
      </c>
      <c r="I1994" s="9">
        <f>F1994*G1994</f>
        <v/>
      </c>
      <c r="J1994" s="11" t="n">
        <v>0</v>
      </c>
      <c r="K1994" s="9">
        <f>I1994*J1994</f>
        <v/>
      </c>
      <c r="L1994" s="9">
        <f>I1994-K1994</f>
        <v/>
      </c>
      <c r="M1994" s="9">
        <f>F1994*H1994</f>
        <v/>
      </c>
      <c r="N1994" s="9">
        <f>L1994-M1994</f>
        <v/>
      </c>
      <c r="O1994" s="11">
        <f>IFERROR(N1994/L1994, 0)</f>
        <v/>
      </c>
      <c r="P1994" s="8">
        <f>YEAR(C1994)</f>
        <v/>
      </c>
      <c r="Q1994" s="8">
        <f>TEXT(C1994, "yyyy-mm")</f>
        <v/>
      </c>
      <c r="R1994" s="8" t="inlineStr">
        <is>
          <t>Mobile App</t>
        </is>
      </c>
      <c r="S1994" s="8" t="inlineStr">
        <is>
          <t>REG-APAC</t>
        </is>
      </c>
    </row>
    <row r="1995">
      <c r="A1995" s="8" t="inlineStr">
        <is>
          <t>DTL-0002020</t>
        </is>
      </c>
      <c r="B1995" s="8" t="inlineStr">
        <is>
          <t>ORD-001011</t>
        </is>
      </c>
      <c r="C1995" s="10" t="inlineStr">
        <is>
          <t>2024-02-17</t>
        </is>
      </c>
      <c r="D1995" s="8" t="inlineStr">
        <is>
          <t>CUST-02375</t>
        </is>
      </c>
      <c r="E1995" s="8" t="inlineStr">
        <is>
          <t>PRD-0385</t>
        </is>
      </c>
      <c r="F1995" s="8" t="n">
        <v>3</v>
      </c>
      <c r="G1995" s="9">
        <f>IFERROR(XLOOKUP(E1995, '04_Products'!$A:$A, '04_Products'!$G:$G), 209.78)</f>
        <v/>
      </c>
      <c r="H1995" s="9">
        <f>IFERROR(XLOOKUP(E1995, '04_Products'!$A:$A, '04_Products'!$F:$F), 0)</f>
        <v/>
      </c>
      <c r="I1995" s="9">
        <f>F1995*G1995</f>
        <v/>
      </c>
      <c r="J1995" s="11" t="n">
        <v>0.05</v>
      </c>
      <c r="K1995" s="9">
        <f>I1995*J1995</f>
        <v/>
      </c>
      <c r="L1995" s="9">
        <f>I1995-K1995</f>
        <v/>
      </c>
      <c r="M1995" s="9">
        <f>F1995*H1995</f>
        <v/>
      </c>
      <c r="N1995" s="9">
        <f>L1995-M1995</f>
        <v/>
      </c>
      <c r="O1995" s="11">
        <f>IFERROR(N1995/L1995, 0)</f>
        <v/>
      </c>
      <c r="P1995" s="8">
        <f>YEAR(C1995)</f>
        <v/>
      </c>
      <c r="Q1995" s="8">
        <f>TEXT(C1995, "yyyy-mm")</f>
        <v/>
      </c>
      <c r="R1995" s="8" t="inlineStr">
        <is>
          <t>Mobile App</t>
        </is>
      </c>
      <c r="S1995" s="8" t="inlineStr">
        <is>
          <t>REG-APAC</t>
        </is>
      </c>
    </row>
    <row r="1996">
      <c r="A1996" s="8" t="inlineStr">
        <is>
          <t>DTL-0002021</t>
        </is>
      </c>
      <c r="B1996" s="8" t="inlineStr">
        <is>
          <t>ORD-001011</t>
        </is>
      </c>
      <c r="C1996" s="10" t="inlineStr">
        <is>
          <t>2024-02-17</t>
        </is>
      </c>
      <c r="D1996" s="8" t="inlineStr">
        <is>
          <t>CUST-02375</t>
        </is>
      </c>
      <c r="E1996" s="8" t="inlineStr">
        <is>
          <t>PRD-0438</t>
        </is>
      </c>
      <c r="F1996" s="8" t="n">
        <v>2</v>
      </c>
      <c r="G1996" s="9">
        <f>IFERROR(XLOOKUP(E1996, '04_Products'!$A:$A, '04_Products'!$G:$G), 981.00)</f>
        <v/>
      </c>
      <c r="H1996" s="9">
        <f>IFERROR(XLOOKUP(E1996, '04_Products'!$A:$A, '04_Products'!$F:$F), 0)</f>
        <v/>
      </c>
      <c r="I1996" s="9">
        <f>F1996*G1996</f>
        <v/>
      </c>
      <c r="J1996" s="11" t="n">
        <v>0.1</v>
      </c>
      <c r="K1996" s="9">
        <f>I1996*J1996</f>
        <v/>
      </c>
      <c r="L1996" s="9">
        <f>I1996-K1996</f>
        <v/>
      </c>
      <c r="M1996" s="9">
        <f>F1996*H1996</f>
        <v/>
      </c>
      <c r="N1996" s="9">
        <f>L1996-M1996</f>
        <v/>
      </c>
      <c r="O1996" s="11">
        <f>IFERROR(N1996/L1996, 0)</f>
        <v/>
      </c>
      <c r="P1996" s="8">
        <f>YEAR(C1996)</f>
        <v/>
      </c>
      <c r="Q1996" s="8">
        <f>TEXT(C1996, "yyyy-mm")</f>
        <v/>
      </c>
      <c r="R1996" s="8" t="inlineStr">
        <is>
          <t>Mobile App</t>
        </is>
      </c>
      <c r="S1996" s="8" t="inlineStr">
        <is>
          <t>REG-APAC</t>
        </is>
      </c>
    </row>
    <row r="1997">
      <c r="A1997" s="8" t="inlineStr">
        <is>
          <t>DTL-0002022</t>
        </is>
      </c>
      <c r="B1997" s="8" t="inlineStr">
        <is>
          <t>ORD-001011</t>
        </is>
      </c>
      <c r="C1997" s="10" t="inlineStr">
        <is>
          <t>2024-02-17</t>
        </is>
      </c>
      <c r="D1997" s="8" t="inlineStr">
        <is>
          <t>CUST-02375</t>
        </is>
      </c>
      <c r="E1997" s="8" t="inlineStr">
        <is>
          <t>PRD-0337</t>
        </is>
      </c>
      <c r="F1997" s="8" t="n">
        <v>4</v>
      </c>
      <c r="G1997" s="9">
        <f>IFERROR(XLOOKUP(E1997, '04_Products'!$A:$A, '04_Products'!$G:$G), 401.03)</f>
        <v/>
      </c>
      <c r="H1997" s="9">
        <f>IFERROR(XLOOKUP(E1997, '04_Products'!$A:$A, '04_Products'!$F:$F), 0)</f>
        <v/>
      </c>
      <c r="I1997" s="9">
        <f>F1997*G1997</f>
        <v/>
      </c>
      <c r="J1997" s="11" t="n">
        <v>0.1</v>
      </c>
      <c r="K1997" s="9">
        <f>I1997*J1997</f>
        <v/>
      </c>
      <c r="L1997" s="9">
        <f>I1997-K1997</f>
        <v/>
      </c>
      <c r="M1997" s="9">
        <f>F1997*H1997</f>
        <v/>
      </c>
      <c r="N1997" s="9">
        <f>L1997-M1997</f>
        <v/>
      </c>
      <c r="O1997" s="11">
        <f>IFERROR(N1997/L1997, 0)</f>
        <v/>
      </c>
      <c r="P1997" s="8">
        <f>YEAR(C1997)</f>
        <v/>
      </c>
      <c r="Q1997" s="8">
        <f>TEXT(C1997, "yyyy-mm")</f>
        <v/>
      </c>
      <c r="R1997" s="8" t="inlineStr">
        <is>
          <t>Mobile App</t>
        </is>
      </c>
      <c r="S1997" s="8" t="inlineStr">
        <is>
          <t>REG-APAC</t>
        </is>
      </c>
    </row>
    <row r="1998">
      <c r="A1998" s="8" t="inlineStr">
        <is>
          <t>DTL-0002023</t>
        </is>
      </c>
      <c r="B1998" s="8" t="inlineStr">
        <is>
          <t>ORD-001012</t>
        </is>
      </c>
      <c r="C1998" s="10" t="inlineStr">
        <is>
          <t>2025-10-16</t>
        </is>
      </c>
      <c r="D1998" s="8" t="inlineStr">
        <is>
          <t>CUST-05874</t>
        </is>
      </c>
      <c r="E1998" s="8" t="inlineStr">
        <is>
          <t>PRD-0110</t>
        </is>
      </c>
      <c r="F1998" s="8" t="n">
        <v>1</v>
      </c>
      <c r="G1998" s="9">
        <f>IFERROR(XLOOKUP(E1998, '04_Products'!$A:$A, '04_Products'!$G:$G), 84.14)</f>
        <v/>
      </c>
      <c r="H1998" s="9">
        <f>IFERROR(XLOOKUP(E1998, '04_Products'!$A:$A, '04_Products'!$F:$F), 0)</f>
        <v/>
      </c>
      <c r="I1998" s="9">
        <f>F1998*G1998</f>
        <v/>
      </c>
      <c r="J1998" s="11" t="n">
        <v>0.2</v>
      </c>
      <c r="K1998" s="9">
        <f>I1998*J1998</f>
        <v/>
      </c>
      <c r="L1998" s="9">
        <f>I1998-K1998</f>
        <v/>
      </c>
      <c r="M1998" s="9">
        <f>F1998*H1998</f>
        <v/>
      </c>
      <c r="N1998" s="9">
        <f>L1998-M1998</f>
        <v/>
      </c>
      <c r="O1998" s="11">
        <f>IFERROR(N1998/L1998, 0)</f>
        <v/>
      </c>
      <c r="P1998" s="8">
        <f>YEAR(C1998)</f>
        <v/>
      </c>
      <c r="Q1998" s="8">
        <f>TEXT(C1998, "yyyy-mm")</f>
        <v/>
      </c>
      <c r="R1998" s="8" t="inlineStr">
        <is>
          <t>Affiliate Partner</t>
        </is>
      </c>
      <c r="S1998" s="8" t="inlineStr">
        <is>
          <t>REG-LATAM</t>
        </is>
      </c>
    </row>
    <row r="1999">
      <c r="A1999" s="8" t="inlineStr">
        <is>
          <t>DTL-0002024</t>
        </is>
      </c>
      <c r="B1999" s="8" t="inlineStr">
        <is>
          <t>ORD-001012</t>
        </is>
      </c>
      <c r="C1999" s="10" t="inlineStr">
        <is>
          <t>2025-10-16</t>
        </is>
      </c>
      <c r="D1999" s="8" t="inlineStr">
        <is>
          <t>CUST-05874</t>
        </is>
      </c>
      <c r="E1999" s="8" t="inlineStr">
        <is>
          <t>PRD-0394</t>
        </is>
      </c>
      <c r="F1999" s="8" t="n">
        <v>1</v>
      </c>
      <c r="G1999" s="9">
        <f>IFERROR(XLOOKUP(E1999, '04_Products'!$A:$A, '04_Products'!$G:$G), 405.61)</f>
        <v/>
      </c>
      <c r="H1999" s="9">
        <f>IFERROR(XLOOKUP(E1999, '04_Products'!$A:$A, '04_Products'!$F:$F), 0)</f>
        <v/>
      </c>
      <c r="I1999" s="9">
        <f>F1999*G1999</f>
        <v/>
      </c>
      <c r="J1999" s="11" t="n">
        <v>0</v>
      </c>
      <c r="K1999" s="9">
        <f>I1999*J1999</f>
        <v/>
      </c>
      <c r="L1999" s="9">
        <f>I1999-K1999</f>
        <v/>
      </c>
      <c r="M1999" s="9">
        <f>F1999*H1999</f>
        <v/>
      </c>
      <c r="N1999" s="9">
        <f>L1999-M1999</f>
        <v/>
      </c>
      <c r="O1999" s="11">
        <f>IFERROR(N1999/L1999, 0)</f>
        <v/>
      </c>
      <c r="P1999" s="8">
        <f>YEAR(C1999)</f>
        <v/>
      </c>
      <c r="Q1999" s="8">
        <f>TEXT(C1999, "yyyy-mm")</f>
        <v/>
      </c>
      <c r="R1999" s="8" t="inlineStr">
        <is>
          <t>Affiliate Partner</t>
        </is>
      </c>
      <c r="S1999" s="8" t="inlineStr">
        <is>
          <t>REG-LATAM</t>
        </is>
      </c>
    </row>
    <row r="2000">
      <c r="A2000" s="8" t="inlineStr">
        <is>
          <t>DTL-0002025</t>
        </is>
      </c>
      <c r="B2000" s="8" t="inlineStr">
        <is>
          <t>ORD-001012</t>
        </is>
      </c>
      <c r="C2000" s="10" t="inlineStr">
        <is>
          <t>2025-10-16</t>
        </is>
      </c>
      <c r="D2000" s="8" t="inlineStr">
        <is>
          <t>CUST-05874</t>
        </is>
      </c>
      <c r="E2000" s="8" t="inlineStr">
        <is>
          <t>PRD-0175</t>
        </is>
      </c>
      <c r="F2000" s="8" t="n">
        <v>4</v>
      </c>
      <c r="G2000" s="9">
        <f>IFERROR(XLOOKUP(E2000, '04_Products'!$A:$A, '04_Products'!$G:$G), 884.72)</f>
        <v/>
      </c>
      <c r="H2000" s="9">
        <f>IFERROR(XLOOKUP(E2000, '04_Products'!$A:$A, '04_Products'!$F:$F), 0)</f>
        <v/>
      </c>
      <c r="I2000" s="9">
        <f>F2000*G2000</f>
        <v/>
      </c>
      <c r="J2000" s="11" t="n">
        <v>0</v>
      </c>
      <c r="K2000" s="9">
        <f>I2000*J2000</f>
        <v/>
      </c>
      <c r="L2000" s="9">
        <f>I2000-K2000</f>
        <v/>
      </c>
      <c r="M2000" s="9">
        <f>F2000*H2000</f>
        <v/>
      </c>
      <c r="N2000" s="9">
        <f>L2000-M2000</f>
        <v/>
      </c>
      <c r="O2000" s="11">
        <f>IFERROR(N2000/L2000, 0)</f>
        <v/>
      </c>
      <c r="P2000" s="8">
        <f>YEAR(C2000)</f>
        <v/>
      </c>
      <c r="Q2000" s="8">
        <f>TEXT(C2000, "yyyy-mm")</f>
        <v/>
      </c>
      <c r="R2000" s="8" t="inlineStr">
        <is>
          <t>Affiliate Partner</t>
        </is>
      </c>
      <c r="S2000" s="8" t="inlineStr">
        <is>
          <t>REG-LATAM</t>
        </is>
      </c>
    </row>
    <row r="2001">
      <c r="A2001" s="8" t="inlineStr">
        <is>
          <t>DTL-0002026</t>
        </is>
      </c>
      <c r="B2001" s="8" t="inlineStr">
        <is>
          <t>ORD-001013</t>
        </is>
      </c>
      <c r="C2001" s="10" t="inlineStr">
        <is>
          <t>2025-06-24</t>
        </is>
      </c>
      <c r="D2001" s="8" t="inlineStr">
        <is>
          <t>CUST-00115</t>
        </is>
      </c>
      <c r="E2001" s="8" t="inlineStr">
        <is>
          <t>PRD-0003</t>
        </is>
      </c>
      <c r="F2001" s="8" t="n">
        <v>1</v>
      </c>
      <c r="G2001" s="9">
        <f>IFERROR(XLOOKUP(E2001, '04_Products'!$A:$A, '04_Products'!$G:$G), 807.39)</f>
        <v/>
      </c>
      <c r="H2001" s="9">
        <f>IFERROR(XLOOKUP(E2001, '04_Products'!$A:$A, '04_Products'!$F:$F), 0)</f>
        <v/>
      </c>
      <c r="I2001" s="9">
        <f>F2001*G2001</f>
        <v/>
      </c>
      <c r="J2001" s="11" t="n">
        <v>0</v>
      </c>
      <c r="K2001" s="9">
        <f>I2001*J2001</f>
        <v/>
      </c>
      <c r="L2001" s="9">
        <f>I2001-K2001</f>
        <v/>
      </c>
      <c r="M2001" s="9">
        <f>F2001*H2001</f>
        <v/>
      </c>
      <c r="N2001" s="9">
        <f>L2001-M2001</f>
        <v/>
      </c>
      <c r="O2001" s="11">
        <f>IFERROR(N2001/L2001, 0)</f>
        <v/>
      </c>
      <c r="P2001" s="8">
        <f>YEAR(C2001)</f>
        <v/>
      </c>
      <c r="Q2001" s="8">
        <f>TEXT(C2001, "yyyy-mm")</f>
        <v/>
      </c>
      <c r="R2001" s="8" t="inlineStr">
        <is>
          <t>Direct Web</t>
        </is>
      </c>
      <c r="S2001" s="8" t="inlineStr">
        <is>
          <t>REG-NA</t>
        </is>
      </c>
    </row>
    <row r="2002">
      <c r="A2002" s="8" t="inlineStr">
        <is>
          <t>DTL-0002027</t>
        </is>
      </c>
      <c r="B2002" s="8" t="inlineStr">
        <is>
          <t>ORD-001014</t>
        </is>
      </c>
      <c r="C2002" s="10" t="inlineStr">
        <is>
          <t>2024-09-29</t>
        </is>
      </c>
      <c r="D2002" s="8" t="inlineStr">
        <is>
          <t>CUST-03184</t>
        </is>
      </c>
      <c r="E2002" s="8" t="inlineStr">
        <is>
          <t>PRD-0177</t>
        </is>
      </c>
      <c r="F2002" s="8" t="n">
        <v>2</v>
      </c>
      <c r="G2002" s="9">
        <f>IFERROR(XLOOKUP(E2002, '04_Products'!$A:$A, '04_Products'!$G:$G), 12.94)</f>
        <v/>
      </c>
      <c r="H2002" s="9">
        <f>IFERROR(XLOOKUP(E2002, '04_Products'!$A:$A, '04_Products'!$F:$F), 0)</f>
        <v/>
      </c>
      <c r="I2002" s="9">
        <f>F2002*G2002</f>
        <v/>
      </c>
      <c r="J2002" s="11" t="n">
        <v>0.1</v>
      </c>
      <c r="K2002" s="9">
        <f>I2002*J2002</f>
        <v/>
      </c>
      <c r="L2002" s="9">
        <f>I2002-K2002</f>
        <v/>
      </c>
      <c r="M2002" s="9">
        <f>F2002*H2002</f>
        <v/>
      </c>
      <c r="N2002" s="9">
        <f>L2002-M2002</f>
        <v/>
      </c>
      <c r="O2002" s="11">
        <f>IFERROR(N2002/L2002, 0)</f>
        <v/>
      </c>
      <c r="P2002" s="8">
        <f>YEAR(C2002)</f>
        <v/>
      </c>
      <c r="Q2002" s="8">
        <f>TEXT(C2002, "yyyy-mm")</f>
        <v/>
      </c>
      <c r="R2002" s="8" t="inlineStr">
        <is>
          <t>Mobile App</t>
        </is>
      </c>
      <c r="S2002" s="8" t="inlineStr">
        <is>
          <t>REG-EU</t>
        </is>
      </c>
    </row>
    <row r="2003">
      <c r="A2003" s="8" t="inlineStr">
        <is>
          <t>DTL-0002028</t>
        </is>
      </c>
      <c r="B2003" s="8" t="inlineStr">
        <is>
          <t>ORD-001015</t>
        </is>
      </c>
      <c r="C2003" s="10" t="inlineStr">
        <is>
          <t>2023-04-25</t>
        </is>
      </c>
      <c r="D2003" s="8" t="inlineStr">
        <is>
          <t>CUST-00607</t>
        </is>
      </c>
      <c r="E2003" s="8" t="inlineStr">
        <is>
          <t>PRD-0449</t>
        </is>
      </c>
      <c r="F2003" s="8" t="n">
        <v>1</v>
      </c>
      <c r="G2003" s="9">
        <f>IFERROR(XLOOKUP(E2003, '04_Products'!$A:$A, '04_Products'!$G:$G), 856.09)</f>
        <v/>
      </c>
      <c r="H2003" s="9">
        <f>IFERROR(XLOOKUP(E2003, '04_Products'!$A:$A, '04_Products'!$F:$F), 0)</f>
        <v/>
      </c>
      <c r="I2003" s="9">
        <f>F2003*G2003</f>
        <v/>
      </c>
      <c r="J2003" s="11" t="n">
        <v>0.1</v>
      </c>
      <c r="K2003" s="9">
        <f>I2003*J2003</f>
        <v/>
      </c>
      <c r="L2003" s="9">
        <f>I2003-K2003</f>
        <v/>
      </c>
      <c r="M2003" s="9">
        <f>F2003*H2003</f>
        <v/>
      </c>
      <c r="N2003" s="9">
        <f>L2003-M2003</f>
        <v/>
      </c>
      <c r="O2003" s="11">
        <f>IFERROR(N2003/L2003, 0)</f>
        <v/>
      </c>
      <c r="P2003" s="8">
        <f>YEAR(C2003)</f>
        <v/>
      </c>
      <c r="Q2003" s="8">
        <f>TEXT(C2003, "yyyy-mm")</f>
        <v/>
      </c>
      <c r="R2003" s="8" t="inlineStr">
        <is>
          <t>Direct Web</t>
        </is>
      </c>
      <c r="S2003" s="8" t="inlineStr">
        <is>
          <t>REG-LATAM</t>
        </is>
      </c>
    </row>
    <row r="2004">
      <c r="A2004" s="8" t="inlineStr">
        <is>
          <t>DTL-0002029</t>
        </is>
      </c>
      <c r="B2004" s="8" t="inlineStr">
        <is>
          <t>ORD-001016</t>
        </is>
      </c>
      <c r="C2004" s="10" t="inlineStr">
        <is>
          <t>2023-04-01</t>
        </is>
      </c>
      <c r="D2004" s="8" t="inlineStr">
        <is>
          <t>CUST-03801</t>
        </is>
      </c>
      <c r="E2004" s="8" t="inlineStr">
        <is>
          <t>PRD-0278</t>
        </is>
      </c>
      <c r="F2004" s="8" t="n">
        <v>1</v>
      </c>
      <c r="G2004" s="9">
        <f>IFERROR(XLOOKUP(E2004, '04_Products'!$A:$A, '04_Products'!$G:$G), 1176.56)</f>
        <v/>
      </c>
      <c r="H2004" s="9">
        <f>IFERROR(XLOOKUP(E2004, '04_Products'!$A:$A, '04_Products'!$F:$F), 0)</f>
        <v/>
      </c>
      <c r="I2004" s="9">
        <f>F2004*G2004</f>
        <v/>
      </c>
      <c r="J2004" s="11" t="n">
        <v>0.05</v>
      </c>
      <c r="K2004" s="9">
        <f>I2004*J2004</f>
        <v/>
      </c>
      <c r="L2004" s="9">
        <f>I2004-K2004</f>
        <v/>
      </c>
      <c r="M2004" s="9">
        <f>F2004*H2004</f>
        <v/>
      </c>
      <c r="N2004" s="9">
        <f>L2004-M2004</f>
        <v/>
      </c>
      <c r="O2004" s="11">
        <f>IFERROR(N2004/L2004, 0)</f>
        <v/>
      </c>
      <c r="P2004" s="8">
        <f>YEAR(C2004)</f>
        <v/>
      </c>
      <c r="Q2004" s="8">
        <f>TEXT(C2004, "yyyy-mm")</f>
        <v/>
      </c>
      <c r="R2004" s="8" t="inlineStr">
        <is>
          <t>Direct Web</t>
        </is>
      </c>
      <c r="S2004" s="8" t="inlineStr">
        <is>
          <t>REG-EU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121" customWidth="1" min="1" max="1"/>
    <col width="70" customWidth="1" min="2" max="2"/>
    <col width="87" customWidth="1" min="3" max="3"/>
    <col width="87" customWidth="1" min="4" max="4"/>
    <col width="53" customWidth="1" min="5" max="5"/>
    <col width="89" customWidth="1" min="6" max="6"/>
    <col width="53" customWidth="1" min="7" max="7"/>
    <col width="53" customWidth="1" min="8" max="8"/>
    <col width="22" customWidth="1" min="9" max="9"/>
    <col width="12" customWidth="1" min="10" max="10"/>
  </cols>
  <sheetData>
    <row r="1">
      <c r="A1" s="1" t="inlineStr">
        <is>
          <t>SAMPLE PIVOT &amp; MULTI-DIMENSIONAL ANALYSIS</t>
        </is>
      </c>
    </row>
    <row r="2">
      <c r="A2" s="2" t="inlineStr">
        <is>
          <t>Formula-based sample analysis of the 2,000 order lines in 05_Orders; see 09_Warehouse_KPIs for full-warehouse totals.</t>
        </is>
      </c>
    </row>
    <row r="3"/>
    <row r="4">
      <c r="A4" s="12" t="inlineStr">
        <is>
          <t>1. ANNUAL REVENUE &amp; PROFIT SUMMARY</t>
        </is>
      </c>
    </row>
    <row r="5" ht="26" customHeight="1">
      <c r="A5" s="3" t="inlineStr">
        <is>
          <t>Fiscal Year</t>
        </is>
      </c>
      <c r="B5" s="3" t="inlineStr">
        <is>
          <t>Total Orders</t>
        </is>
      </c>
      <c r="C5" s="3" t="inlineStr">
        <is>
          <t>Units Sold</t>
        </is>
      </c>
      <c r="D5" s="3" t="inlineStr">
        <is>
          <t>Gross Sales</t>
        </is>
      </c>
      <c r="E5" s="3" t="inlineStr">
        <is>
          <t>Discount Given</t>
        </is>
      </c>
      <c r="F5" s="3" t="inlineStr">
        <is>
          <t>Net Revenue</t>
        </is>
      </c>
      <c r="G5" s="3" t="inlineStr">
        <is>
          <t>Total COGS</t>
        </is>
      </c>
      <c r="H5" s="3" t="inlineStr">
        <is>
          <t>Net Profit</t>
        </is>
      </c>
      <c r="I5" s="3" t="inlineStr">
        <is>
          <t>Profit Margin %</t>
        </is>
      </c>
    </row>
    <row r="6">
      <c r="A6" s="8" t="n">
        <v>2023</v>
      </c>
      <c r="B6" s="13">
        <f>COUNTIFS('05_Orders'!$P:$P, A6)</f>
        <v/>
      </c>
      <c r="C6" s="13">
        <f>SUMIFS('05_Orders'!$F:$F, '05_Orders'!$P:$P, A6)</f>
        <v/>
      </c>
      <c r="D6" s="9">
        <f>SUMIFS('05_Orders'!$I:$I, '05_Orders'!$P:$P, A6)</f>
        <v/>
      </c>
      <c r="E6" s="9">
        <f>SUMIFS('05_Orders'!$K:$K, '05_Orders'!$P:$P, A6)</f>
        <v/>
      </c>
      <c r="F6" s="9">
        <f>SUMIFS('05_Orders'!$L:$L, '05_Orders'!$P:$P, A6)</f>
        <v/>
      </c>
      <c r="G6" s="9">
        <f>SUMIFS('05_Orders'!$M:$M, '05_Orders'!$P:$P, A6)</f>
        <v/>
      </c>
      <c r="H6" s="9">
        <f>SUMIFS('05_Orders'!$N:$N, '05_Orders'!$P:$P, A6)</f>
        <v/>
      </c>
      <c r="I6" s="11">
        <f>IFERROR(H6/F6, 0)</f>
        <v/>
      </c>
    </row>
    <row r="7">
      <c r="A7" s="8" t="n">
        <v>2024</v>
      </c>
      <c r="B7" s="13">
        <f>COUNTIFS('05_Orders'!$P:$P, A7)</f>
        <v/>
      </c>
      <c r="C7" s="13">
        <f>SUMIFS('05_Orders'!$F:$F, '05_Orders'!$P:$P, A7)</f>
        <v/>
      </c>
      <c r="D7" s="9">
        <f>SUMIFS('05_Orders'!$I:$I, '05_Orders'!$P:$P, A7)</f>
        <v/>
      </c>
      <c r="E7" s="9">
        <f>SUMIFS('05_Orders'!$K:$K, '05_Orders'!$P:$P, A7)</f>
        <v/>
      </c>
      <c r="F7" s="9">
        <f>SUMIFS('05_Orders'!$L:$L, '05_Orders'!$P:$P, A7)</f>
        <v/>
      </c>
      <c r="G7" s="9">
        <f>SUMIFS('05_Orders'!$M:$M, '05_Orders'!$P:$P, A7)</f>
        <v/>
      </c>
      <c r="H7" s="9">
        <f>SUMIFS('05_Orders'!$N:$N, '05_Orders'!$P:$P, A7)</f>
        <v/>
      </c>
      <c r="I7" s="11">
        <f>IFERROR(H7/F7, 0)</f>
        <v/>
      </c>
    </row>
    <row r="8">
      <c r="A8" s="8" t="n">
        <v>2025</v>
      </c>
      <c r="B8" s="13">
        <f>COUNTIFS('05_Orders'!$P:$P, A8)</f>
        <v/>
      </c>
      <c r="C8" s="13">
        <f>SUMIFS('05_Orders'!$F:$F, '05_Orders'!$P:$P, A8)</f>
        <v/>
      </c>
      <c r="D8" s="9">
        <f>SUMIFS('05_Orders'!$I:$I, '05_Orders'!$P:$P, A8)</f>
        <v/>
      </c>
      <c r="E8" s="9">
        <f>SUMIFS('05_Orders'!$K:$K, '05_Orders'!$P:$P, A8)</f>
        <v/>
      </c>
      <c r="F8" s="9">
        <f>SUMIFS('05_Orders'!$L:$L, '05_Orders'!$P:$P, A8)</f>
        <v/>
      </c>
      <c r="G8" s="9">
        <f>SUMIFS('05_Orders'!$M:$M, '05_Orders'!$P:$P, A8)</f>
        <v/>
      </c>
      <c r="H8" s="9">
        <f>SUMIFS('05_Orders'!$N:$N, '05_Orders'!$P:$P, A8)</f>
        <v/>
      </c>
      <c r="I8" s="11">
        <f>IFERROR(H8/F8, 0)</f>
        <v/>
      </c>
    </row>
    <row r="9">
      <c r="A9" s="14" t="inlineStr">
        <is>
          <t>Total Enterprise</t>
        </is>
      </c>
      <c r="B9" s="15">
        <f>SUM(B6:B8)</f>
        <v/>
      </c>
      <c r="C9" s="15">
        <f>SUM(C6:C8)</f>
        <v/>
      </c>
      <c r="D9" s="16">
        <f>SUM(D6:D8)</f>
        <v/>
      </c>
      <c r="E9" s="16">
        <f>SUM(E6:E8)</f>
        <v/>
      </c>
      <c r="F9" s="16">
        <f>SUM(F6:F8)</f>
        <v/>
      </c>
      <c r="G9" s="16">
        <f>SUM(G6:G8)</f>
        <v/>
      </c>
      <c r="H9" s="16">
        <f>SUM(H6:H8)</f>
        <v/>
      </c>
      <c r="I9" s="17">
        <f>IFERROR(H9/F9, 0)</f>
        <v/>
      </c>
    </row>
    <row r="10"/>
    <row r="11">
      <c r="A11" s="12" t="inlineStr">
        <is>
          <t>2. REGIONAL PERFORMANCE &amp; MARGIN CONTRIBUTION</t>
        </is>
      </c>
    </row>
    <row r="12" ht="26" customHeight="1">
      <c r="A12" s="3" t="inlineStr">
        <is>
          <t>Region Code</t>
        </is>
      </c>
      <c r="B12" s="3" t="inlineStr">
        <is>
          <t>Region Name</t>
        </is>
      </c>
      <c r="C12" s="3" t="inlineStr">
        <is>
          <t>Net Revenue</t>
        </is>
      </c>
      <c r="D12" s="3" t="inlineStr">
        <is>
          <t>Net Profit</t>
        </is>
      </c>
      <c r="E12" s="3" t="inlineStr">
        <is>
          <t>Profit Margin %</t>
        </is>
      </c>
      <c r="F12" s="3" t="inlineStr">
        <is>
          <t>Revenue Share %</t>
        </is>
      </c>
    </row>
    <row r="13">
      <c r="A13" s="8" t="inlineStr">
        <is>
          <t>REG-NA</t>
        </is>
      </c>
      <c r="B13" s="8" t="inlineStr">
        <is>
          <t>North America</t>
        </is>
      </c>
      <c r="C13" s="9">
        <f>SUMIFS('05_Orders'!$L:$L, '05_Orders'!$S:$S, A13)</f>
        <v/>
      </c>
      <c r="D13" s="9">
        <f>SUMIFS('05_Orders'!$N:$N, '05_Orders'!$S:$S, A13)</f>
        <v/>
      </c>
      <c r="E13" s="11">
        <f>IFERROR(D13/C13, 0)</f>
        <v/>
      </c>
      <c r="F13" s="11">
        <f>IFERROR(C13/$F$9, 0)</f>
        <v/>
      </c>
    </row>
    <row r="14">
      <c r="A14" s="8" t="inlineStr">
        <is>
          <t>REG-EU</t>
        </is>
      </c>
      <c r="B14" s="8" t="inlineStr">
        <is>
          <t>Europe</t>
        </is>
      </c>
      <c r="C14" s="9">
        <f>SUMIFS('05_Orders'!$L:$L, '05_Orders'!$S:$S, A14)</f>
        <v/>
      </c>
      <c r="D14" s="9">
        <f>SUMIFS('05_Orders'!$N:$N, '05_Orders'!$S:$S, A14)</f>
        <v/>
      </c>
      <c r="E14" s="11">
        <f>IFERROR(D14/C14, 0)</f>
        <v/>
      </c>
      <c r="F14" s="11">
        <f>IFERROR(C14/$F$9, 0)</f>
        <v/>
      </c>
    </row>
    <row r="15">
      <c r="A15" s="8" t="inlineStr">
        <is>
          <t>REG-APAC</t>
        </is>
      </c>
      <c r="B15" s="8" t="inlineStr">
        <is>
          <t>Asia-Pacific</t>
        </is>
      </c>
      <c r="C15" s="9">
        <f>SUMIFS('05_Orders'!$L:$L, '05_Orders'!$S:$S, A15)</f>
        <v/>
      </c>
      <c r="D15" s="9">
        <f>SUMIFS('05_Orders'!$N:$N, '05_Orders'!$S:$S, A15)</f>
        <v/>
      </c>
      <c r="E15" s="11">
        <f>IFERROR(D15/C15, 0)</f>
        <v/>
      </c>
      <c r="F15" s="11">
        <f>IFERROR(C15/$F$9, 0)</f>
        <v/>
      </c>
    </row>
    <row r="16">
      <c r="A16" s="8" t="inlineStr">
        <is>
          <t>REG-LATAM</t>
        </is>
      </c>
      <c r="B16" s="8" t="inlineStr">
        <is>
          <t>Latin America</t>
        </is>
      </c>
      <c r="C16" s="9">
        <f>SUMIFS('05_Orders'!$L:$L, '05_Orders'!$S:$S, A16)</f>
        <v/>
      </c>
      <c r="D16" s="9">
        <f>SUMIFS('05_Orders'!$N:$N, '05_Orders'!$S:$S, A16)</f>
        <v/>
      </c>
      <c r="E16" s="11">
        <f>IFERROR(D16/C16, 0)</f>
        <v/>
      </c>
      <c r="F16" s="11">
        <f>IFERROR(C16/$F$9, 0)</f>
        <v/>
      </c>
    </row>
    <row r="17"/>
    <row r="18"/>
    <row r="19">
      <c r="A19" s="12" t="inlineStr">
        <is>
          <t>3. DISCOUNT ELASTICITY &amp; MARGIN EROSION ANALYSIS</t>
        </is>
      </c>
    </row>
    <row r="20" ht="26" customHeight="1">
      <c r="A20" s="3" t="inlineStr">
        <is>
          <t>Discount Tier</t>
        </is>
      </c>
      <c r="B20" s="3" t="inlineStr">
        <is>
          <t>Transaction Count</t>
        </is>
      </c>
      <c r="C20" s="3" t="inlineStr">
        <is>
          <t>Net Revenue</t>
        </is>
      </c>
      <c r="D20" s="3" t="inlineStr">
        <is>
          <t>Total Profit</t>
        </is>
      </c>
      <c r="E20" s="3" t="inlineStr">
        <is>
          <t>Realized Margin %</t>
        </is>
      </c>
      <c r="F20" s="3" t="inlineStr">
        <is>
          <t>Pricing Health</t>
        </is>
      </c>
    </row>
    <row r="21">
      <c r="A21" s="8" t="inlineStr">
        <is>
          <t>0% Full Price</t>
        </is>
      </c>
      <c r="B21" s="13">
        <f>COUNTIFS('05_Orders'!$J:$J, 0)</f>
        <v/>
      </c>
      <c r="C21" s="9">
        <f>SUMIFS('05_Orders'!$L:$L, '05_Orders'!$J:$J, 0)</f>
        <v/>
      </c>
      <c r="D21" s="9">
        <f>SUMIFS('05_Orders'!$N:$N, '05_Orders'!$J:$J, 0)</f>
        <v/>
      </c>
      <c r="E21" s="11">
        <f>IFERROR(D21/C21, 0)</f>
        <v/>
      </c>
      <c r="F21" s="8">
        <f>IF(E21&gt;=0.25, "Highly Profitable", IF(E21&gt;=0.15, "Acceptable", "Margin Drag Alert"))</f>
        <v/>
      </c>
    </row>
    <row r="22">
      <c r="A22" s="8" t="inlineStr">
        <is>
          <t>1% - 10% Low Discount</t>
        </is>
      </c>
      <c r="B22" s="13">
        <f>COUNTIFS('05_Orders'!$J:$J, "&gt;=0.01", '05_Orders'!$J:$J, "&lt;=0.1")</f>
        <v/>
      </c>
      <c r="C22" s="9">
        <f>SUMIFS('05_Orders'!$L:$L, '05_Orders'!$J:$J, "&gt;=0.01", '05_Orders'!$J:$J, "&lt;=0.1")</f>
        <v/>
      </c>
      <c r="D22" s="9">
        <f>SUMIFS('05_Orders'!$N:$N, '05_Orders'!$J:$J, "&gt;=0.01", '05_Orders'!$J:$J, "&lt;=0.1")</f>
        <v/>
      </c>
      <c r="E22" s="11">
        <f>IFERROR(D22/C22, 0)</f>
        <v/>
      </c>
      <c r="F22" s="8">
        <f>IF(E22&gt;=0.25, "Highly Profitable", IF(E22&gt;=0.15, "Acceptable", "Margin Drag Alert"))</f>
        <v/>
      </c>
    </row>
    <row r="23">
      <c r="A23" s="8" t="inlineStr">
        <is>
          <t>11% - 20% Moderate Discount</t>
        </is>
      </c>
      <c r="B23" s="13">
        <f>COUNTIFS('05_Orders'!$J:$J, "&gt;=0.11", '05_Orders'!$J:$J, "&lt;=0.2")</f>
        <v/>
      </c>
      <c r="C23" s="9">
        <f>SUMIFS('05_Orders'!$L:$L, '05_Orders'!$J:$J, "&gt;=0.11", '05_Orders'!$J:$J, "&lt;=0.2")</f>
        <v/>
      </c>
      <c r="D23" s="9">
        <f>SUMIFS('05_Orders'!$N:$N, '05_Orders'!$J:$J, "&gt;=0.11", '05_Orders'!$J:$J, "&lt;=0.2")</f>
        <v/>
      </c>
      <c r="E23" s="11">
        <f>IFERROR(D23/C23, 0)</f>
        <v/>
      </c>
      <c r="F23" s="8">
        <f>IF(E23&gt;=0.25, "Highly Profitable", IF(E23&gt;=0.15, "Acceptable", "Margin Drag Alert"))</f>
        <v/>
      </c>
    </row>
    <row r="24">
      <c r="A24" s="8" t="inlineStr">
        <is>
          <t>&gt; 20% High Discount</t>
        </is>
      </c>
      <c r="B24" s="13">
        <f>COUNTIFS('05_Orders'!$J:$J, "&gt;=0.21", '05_Orders'!$J:$J, "&lt;=1.0")</f>
        <v/>
      </c>
      <c r="C24" s="9">
        <f>SUMIFS('05_Orders'!$L:$L, '05_Orders'!$J:$J, "&gt;=0.21", '05_Orders'!$J:$J, "&lt;=1.0")</f>
        <v/>
      </c>
      <c r="D24" s="9">
        <f>SUMIFS('05_Orders'!$N:$N, '05_Orders'!$J:$J, "&gt;=0.21", '05_Orders'!$J:$J, "&lt;=1.0")</f>
        <v/>
      </c>
      <c r="E24" s="11">
        <f>IFERROR(D24/C24, 0)</f>
        <v/>
      </c>
      <c r="F24" s="8">
        <f>IF(E24&gt;=0.25, "Highly Profitable", IF(E24&gt;=0.15, "Acceptable", "Margin Drag Alert"))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62" customWidth="1" min="2" max="2"/>
    <col width="27" customWidth="1" min="3" max="3"/>
    <col width="12" customWidth="1" min="4" max="4"/>
    <col width="27" customWidth="1" min="5" max="5"/>
    <col width="16" customWidth="1" min="6" max="6"/>
    <col width="27" customWidth="1" min="7" max="7"/>
    <col width="12" customWidth="1" min="8" max="8"/>
    <col width="62" customWidth="1" min="9" max="9"/>
    <col width="12" customWidth="1" min="10" max="10"/>
  </cols>
  <sheetData>
    <row r="1">
      <c r="A1" s="1" t="inlineStr">
        <is>
          <t>SAMPLE KPI FORMULA EXAMPLES</t>
        </is>
      </c>
    </row>
    <row r="2">
      <c r="A2" s="2" t="inlineStr">
        <is>
          <t>Formula examples based on the sample in 05_Orders; official full-warehouse metrics are in 09_Warehouse_KPIs.</t>
        </is>
      </c>
    </row>
    <row r="3"/>
    <row r="4">
      <c r="A4" s="18" t="inlineStr">
        <is>
          <t>TOTAL NET REVENUE</t>
        </is>
      </c>
      <c r="B4" s="19" t="n"/>
      <c r="C4" s="20" t="inlineStr">
        <is>
          <t>SAMPLE LINE-ITEM PROFIT</t>
        </is>
      </c>
      <c r="D4" s="21" t="n"/>
      <c r="E4" s="20" t="inlineStr">
        <is>
          <t>PROFIT MARGIN %</t>
        </is>
      </c>
      <c r="F4" s="21" t="n"/>
      <c r="G4" s="22" t="inlineStr">
        <is>
          <t>TOTAL ORDERS</t>
        </is>
      </c>
      <c r="H4" s="23" t="n"/>
      <c r="I4" s="24" t="inlineStr">
        <is>
          <t>AVERAGE ORDER VALUE (AOV)</t>
        </is>
      </c>
      <c r="J4" s="25" t="n"/>
    </row>
    <row r="5">
      <c r="A5" s="26">
        <f>'06_Pivot_Analysis'!F9</f>
        <v/>
      </c>
      <c r="B5" s="19" t="n"/>
      <c r="C5" s="27">
        <f>'06_Pivot_Analysis'!H9</f>
        <v/>
      </c>
      <c r="D5" s="21" t="n"/>
      <c r="E5" s="28">
        <f>'06_Pivot_Analysis'!I9</f>
        <v/>
      </c>
      <c r="F5" s="21" t="n"/>
      <c r="G5" s="29">
        <f>'06_Pivot_Analysis'!B9</f>
        <v/>
      </c>
      <c r="H5" s="23" t="n"/>
      <c r="I5" s="30">
        <f>IFERROR('06_Pivot_Analysis'!F9/'06_Pivot_Analysis'!B9, 0)</f>
        <v/>
      </c>
      <c r="J5" s="25" t="n"/>
    </row>
    <row r="6">
      <c r="A6" s="19" t="n"/>
      <c r="B6" s="19" t="n"/>
      <c r="C6" s="21" t="n"/>
      <c r="D6" s="21" t="n"/>
      <c r="E6" s="21" t="n"/>
      <c r="F6" s="21" t="n"/>
      <c r="G6" s="23" t="n"/>
      <c r="H6" s="23" t="n"/>
      <c r="I6" s="25" t="n"/>
      <c r="J6" s="25" t="n"/>
    </row>
    <row r="7"/>
    <row r="8">
      <c r="A8" s="12" t="inlineStr">
        <is>
          <t>SAMPLE KPI FORMULAS (NO BUSINESS TARGETS SUPPLIED)</t>
        </is>
      </c>
    </row>
    <row r="9" ht="26" customHeight="1">
      <c r="A9" s="3" t="inlineStr">
        <is>
          <t>Metric Name</t>
        </is>
      </c>
      <c r="B9" s="3" t="inlineStr">
        <is>
          <t>Sample Formula</t>
        </is>
      </c>
      <c r="C9" s="3" t="inlineStr">
        <is>
          <t>Target Supplied</t>
        </is>
      </c>
      <c r="D9" s="3" t="inlineStr">
        <is>
          <t>Variance</t>
        </is>
      </c>
      <c r="E9" s="3" t="inlineStr">
        <is>
          <t>Achievement</t>
        </is>
      </c>
      <c r="F9" s="3" t="inlineStr">
        <is>
          <t>Status</t>
        </is>
      </c>
    </row>
    <row r="10">
      <c r="A10" s="8" t="inlineStr">
        <is>
          <t>Net Revenue</t>
        </is>
      </c>
      <c r="B10" s="9">
        <f>'06_Pivot_Analysis'!F9</f>
        <v/>
      </c>
      <c r="C10" s="8" t="inlineStr">
        <is>
          <t>No</t>
        </is>
      </c>
      <c r="D10" s="8" t="n"/>
      <c r="E10" s="8" t="n"/>
      <c r="F10" s="8" t="inlineStr">
        <is>
          <t>Not assessed</t>
        </is>
      </c>
    </row>
    <row r="11">
      <c r="A11" s="8" t="inlineStr">
        <is>
          <t>Line-item profit</t>
        </is>
      </c>
      <c r="B11" s="9">
        <f>'06_Pivot_Analysis'!H9</f>
        <v/>
      </c>
      <c r="C11" s="8" t="inlineStr">
        <is>
          <t>No</t>
        </is>
      </c>
      <c r="D11" s="8" t="n"/>
      <c r="E11" s="8" t="n"/>
      <c r="F11" s="8" t="inlineStr">
        <is>
          <t>Not assessed</t>
        </is>
      </c>
    </row>
    <row r="12">
      <c r="A12" s="8" t="inlineStr">
        <is>
          <t>Line-item margin %</t>
        </is>
      </c>
      <c r="B12" s="11">
        <f>'06_Pivot_Analysis'!I9</f>
        <v/>
      </c>
      <c r="C12" s="8" t="inlineStr">
        <is>
          <t>No</t>
        </is>
      </c>
      <c r="D12" s="8" t="n"/>
      <c r="E12" s="8" t="n"/>
      <c r="F12" s="8" t="inlineStr">
        <is>
          <t>Not assessed</t>
        </is>
      </c>
    </row>
    <row r="13">
      <c r="A13" s="8" t="inlineStr">
        <is>
          <t>Average Order Value (AOV)</t>
        </is>
      </c>
      <c r="B13" s="9">
        <f>IFERROR('06_Pivot_Analysis'!F9/'06_Pivot_Analysis'!B9, 0)</f>
        <v/>
      </c>
      <c r="C13" s="8" t="inlineStr">
        <is>
          <t>No</t>
        </is>
      </c>
      <c r="D13" s="8" t="n"/>
      <c r="E13" s="8" t="n"/>
      <c r="F13" s="8" t="inlineStr">
        <is>
          <t>Not assessed</t>
        </is>
      </c>
    </row>
    <row r="14">
      <c r="A14" s="8" t="inlineStr">
        <is>
          <t>Discount Rate %</t>
        </is>
      </c>
      <c r="B14" s="11">
        <f>IFERROR('06_Pivot_Analysis'!E9/'06_Pivot_Analysis'!D9, 0)</f>
        <v/>
      </c>
      <c r="C14" s="8" t="inlineStr">
        <is>
          <t>No</t>
        </is>
      </c>
      <c r="D14" s="8" t="n"/>
      <c r="E14" s="8" t="n"/>
      <c r="F14" s="8" t="inlineStr">
        <is>
          <t>Not assessed</t>
        </is>
      </c>
    </row>
  </sheetData>
  <mergeCells count="10">
    <mergeCell ref="A4:B4"/>
    <mergeCell ref="G4:H4"/>
    <mergeCell ref="E4:F4"/>
    <mergeCell ref="I4:J4"/>
    <mergeCell ref="C5:D6"/>
    <mergeCell ref="A5:B6"/>
    <mergeCell ref="G5:H6"/>
    <mergeCell ref="E5:F6"/>
    <mergeCell ref="I5:J6"/>
    <mergeCell ref="C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39" customWidth="1" min="1" max="1"/>
    <col width="19" customWidth="1" min="2" max="2"/>
    <col width="32" customWidth="1" min="3" max="3"/>
    <col width="32" customWidth="1" min="4" max="4"/>
    <col width="30" customWidth="1" min="5" max="5"/>
    <col width="36" customWidth="1" min="6" max="6"/>
  </cols>
  <sheetData>
    <row r="1">
      <c r="A1" s="1" t="inlineStr">
        <is>
          <t>FULL-WAREHOUSE BUSINESS OBSERVATIONS</t>
        </is>
      </c>
    </row>
    <row r="2">
      <c r="A2" s="2" t="inlineStr">
        <is>
          <t>Descriptive patterns from the current full warehouse; observations are not causal estimates, forecasts, or measured financial benefits.</t>
        </is>
      </c>
    </row>
    <row r="3"/>
    <row r="4" ht="26" customHeight="1">
      <c r="A4" s="3" t="inlineStr">
        <is>
          <t>Observation #</t>
        </is>
      </c>
      <c r="B4" s="3" t="inlineStr">
        <is>
          <t>Domain</t>
        </is>
      </c>
      <c r="C4" s="3" t="inlineStr">
        <is>
          <t>Observed Pattern</t>
        </is>
      </c>
      <c r="D4" s="3" t="inlineStr">
        <is>
          <t>Quantitative Evidence</t>
        </is>
      </c>
      <c r="E4" s="3" t="inlineStr">
        <is>
          <t>Interpretation / Limitation</t>
        </is>
      </c>
      <c r="F4" s="3" t="inlineStr">
        <is>
          <t>Suggested Follow-up</t>
        </is>
      </c>
    </row>
    <row r="5">
      <c r="A5" s="31" t="n">
        <v>1</v>
      </c>
      <c r="B5" s="32" t="inlineStr">
        <is>
          <t>Discount bands</t>
        </is>
      </c>
      <c r="C5" s="32" t="inlineStr">
        <is>
          <t>Higher discount bands have lower observed line-item margins.</t>
        </is>
      </c>
      <c r="D5" s="32" t="inlineStr">
        <is>
          <t>&gt;20%: 6.5% across 6,288 lines; 0%: 31.3% across 39,702 lines.</t>
        </is>
      </c>
      <c r="E5" s="32" t="inlineStr">
        <is>
          <t>Association only; product and channel mix differ by discount tier. No incremental volume or causal elasticity was estimated.</t>
        </is>
      </c>
      <c r="F5" s="32" t="inlineStr">
        <is>
          <t>Review high-discount transactions and compare like-for-like products before changing discount policy.</t>
        </is>
      </c>
    </row>
    <row r="6">
      <c r="A6" s="31" t="n">
        <v>2</v>
      </c>
      <c r="B6" s="32" t="inlineStr">
        <is>
          <t>Product mix</t>
        </is>
      </c>
      <c r="C6" s="32" t="inlineStr">
        <is>
          <t>Technology is the largest net-sales category.</t>
        </is>
      </c>
      <c r="D6" s="32" t="inlineStr">
        <is>
          <t>Technology: $41,025,397.18 (57.3% of net sales), 22.9% line margin; Office Supplies margin: 33.3%.</t>
        </is>
      </c>
      <c r="E6" s="32" t="inlineStr">
        <is>
          <t>Category margins describe stored line values before refunds; mix and cost differences are not controlled.</t>
        </is>
      </c>
      <c r="F6" s="32" t="inlineStr">
        <is>
          <t>Review category pricing, cost, and product mix together.</t>
        </is>
      </c>
    </row>
    <row r="7">
      <c r="A7" s="31" t="n">
        <v>3</v>
      </c>
      <c r="B7" s="32" t="inlineStr">
        <is>
          <t>Regional mix</t>
        </is>
      </c>
      <c r="C7" s="32" t="inlineStr">
        <is>
          <t>North America has the highest net sales; regional margins are similar.</t>
        </is>
      </c>
      <c r="D7" s="32" t="inlineStr">
        <is>
          <t>North America: $29,702,500.47; regional line margins range 25.8%–26.1%.</t>
        </is>
      </c>
      <c r="E7" s="32" t="inlineStr">
        <is>
          <t>The current data shows a sales-scale difference, not a clear regional margin gap.</t>
        </is>
      </c>
      <c r="F7" s="32" t="inlineStr">
        <is>
          <t>Investigate market size, volume, and costs before reallocating spend.</t>
        </is>
      </c>
    </row>
    <row r="8">
      <c r="A8" s="31" t="n">
        <v>4</v>
      </c>
      <c r="B8" s="32" t="inlineStr">
        <is>
          <t>Customer orders</t>
        </is>
      </c>
      <c r="C8" s="32" t="inlineStr">
        <is>
          <t>Most customers with order headers have two or more distinct orders.</t>
        </is>
      </c>
      <c r="D8" s="32" t="inlineStr">
        <is>
          <t>7,891 of 7,986 customers (98.81%) have 2+ distinct order headers; 95 have one.</t>
        </is>
      </c>
      <c r="E8" s="32" t="inlineStr">
        <is>
          <t>Counts include every order status, including cancelled orders; this is not a completed-purchase retention rate.</t>
        </is>
      </c>
      <c r="F8" s="32" t="inlineStr">
        <is>
          <t>Recalculate retention using completed orders and a defined cohort window.</t>
        </is>
      </c>
    </row>
    <row r="9">
      <c r="A9" s="31" t="n">
        <v>5</v>
      </c>
      <c r="B9" s="32" t="inlineStr">
        <is>
          <t>Returns</t>
        </is>
      </c>
      <c r="C9" s="32" t="inlineStr">
        <is>
          <t>Recorded returns total more than one and a half million dollars in refunds.</t>
        </is>
      </c>
      <c r="D9" s="32" t="inlineStr">
        <is>
          <t>2,983 incidents, 4,172 units (2.21% of line units), $1,545,024.47 refunded. Most incidents: Damaged in Transit (521); largest refund reason: Size / Fit Mismatch ($286,499.46).</t>
        </is>
      </c>
      <c r="E9" s="32" t="inlineStr">
        <is>
          <t>Refunds are recorded amounts; reverse freight, restocking, and other return costs are not modeled.</t>
        </is>
      </c>
      <c r="F9" s="32" t="inlineStr">
        <is>
          <t>Validate leading return reasons against operational and supplier records.</t>
        </is>
      </c>
    </row>
    <row r="10">
      <c r="A10" s="31" t="n">
        <v>6</v>
      </c>
      <c r="B10" s="32" t="inlineStr">
        <is>
          <t>Inventory</t>
        </is>
      </c>
      <c r="C10" s="32" t="inlineStr">
        <is>
          <t>64 SKUs are at or below their reorder levels in the latest snapshot.</t>
        </is>
      </c>
      <c r="D10" s="32" t="inlineStr">
        <is>
          <t>2025-12-01: 132,045 closing units valued at $37,282,641.98 using product cost.</t>
        </is>
      </c>
      <c r="E10" s="32" t="inlineStr">
        <is>
          <t>Inventory is a monthly snapshot; its values are not attributed to region, sales channel, or customer segment.</t>
        </is>
      </c>
      <c r="F10" s="32" t="inlineStr">
        <is>
          <t>Review the flagged SKUs against lead times and replenishment plans.</t>
        </is>
      </c>
    </row>
    <row r="11">
      <c r="A11" s="31" t="n">
        <v>7</v>
      </c>
      <c r="B11" s="32" t="inlineStr">
        <is>
          <t>Sales targets</t>
        </is>
      </c>
      <c r="C11" s="32" t="inlineStr">
        <is>
          <t>Aggregate net sales exceed the stored aggregate sales target.</t>
        </is>
      </c>
      <c r="D11" s="32" t="inlineStr">
        <is>
          <t>$71,564,192.67 net sales against $34,910,032.51 targets (205.0%); actuals include all order statuses.</t>
        </is>
      </c>
      <c r="E11" s="32" t="inlineStr">
        <is>
          <t>Actuals and targets should be aligned by period, region, and category; the overall ratio is not a channel/segment comparison.</t>
        </is>
      </c>
      <c r="F11" s="32" t="inlineStr">
        <is>
          <t>Validate status and target-scope alignment before using attainment for performance decisions.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74" customWidth="1" min="3" max="3"/>
    <col width="28" customWidth="1" min="5" max="5"/>
    <col width="32" customWidth="1" min="6" max="6"/>
  </cols>
  <sheetData>
    <row r="1">
      <c r="A1" s="1" t="inlineStr">
        <is>
          <t>FULL-WAREHOUSE SQL RESULTS</t>
        </is>
      </c>
    </row>
    <row r="2">
      <c r="A2" s="2" t="inlineStr">
        <is>
          <t>Static values from data/ecommerce_analytics.db at build time. Sales and line-item profit include cancelled orders; refunds are separate.</t>
        </is>
      </c>
    </row>
    <row r="4" ht="26" customHeight="1">
      <c r="A4" s="3" t="inlineStr">
        <is>
          <t>Metric</t>
        </is>
      </c>
      <c r="B4" s="3" t="inlineStr">
        <is>
          <t>Full-warehouse value</t>
        </is>
      </c>
      <c r="C4" s="3" t="inlineStr">
        <is>
          <t>Definition / scope</t>
        </is>
      </c>
      <c r="D4" s="3" t="n"/>
      <c r="E4" s="3" t="inlineStr">
        <is>
          <t>Warehouse table</t>
        </is>
      </c>
      <c r="F4" s="3" t="inlineStr">
        <is>
          <t>Rows</t>
        </is>
      </c>
    </row>
    <row r="5">
      <c r="A5" s="33" t="inlineStr">
        <is>
          <t>Gross sales</t>
        </is>
      </c>
      <c r="B5" s="34" t="n">
        <v>77161511.63</v>
      </c>
      <c r="C5" s="5" t="inlineStr">
        <is>
          <t>Order-line gross sales before discounts.</t>
        </is>
      </c>
      <c r="E5" s="8" t="inlineStr">
        <is>
          <t>dim_category</t>
        </is>
      </c>
      <c r="F5" s="13" t="n">
        <v>15</v>
      </c>
    </row>
    <row r="6">
      <c r="A6" s="33" t="inlineStr">
        <is>
          <t>Discounts</t>
        </is>
      </c>
      <c r="B6" s="34" t="n">
        <v>5597318.96</v>
      </c>
      <c r="C6" s="5" t="inlineStr">
        <is>
          <t>Stored order-line discount amounts.</t>
        </is>
      </c>
      <c r="E6" s="8" t="inlineStr">
        <is>
          <t>dim_customer</t>
        </is>
      </c>
      <c r="F6" s="13" t="n">
        <v>8000</v>
      </c>
    </row>
    <row r="7">
      <c r="A7" s="33" t="inlineStr">
        <is>
          <t>Net sales</t>
        </is>
      </c>
      <c r="B7" s="34" t="n">
        <v>71564192.67</v>
      </c>
      <c r="C7" s="5" t="inlineStr">
        <is>
          <t>Gross sales less line-item discounts.</t>
        </is>
      </c>
      <c r="E7" s="8" t="inlineStr">
        <is>
          <t>dim_date</t>
        </is>
      </c>
      <c r="F7" s="13" t="n">
        <v>1096</v>
      </c>
    </row>
    <row r="8">
      <c r="A8" s="33" t="inlineStr">
        <is>
          <t>COGS</t>
        </is>
      </c>
      <c r="B8" s="34" t="n">
        <v>53032485.66</v>
      </c>
      <c r="C8" s="5" t="inlineStr">
        <is>
          <t>Stored order-line total cost.</t>
        </is>
      </c>
      <c r="E8" s="8" t="inlineStr">
        <is>
          <t>dim_product</t>
        </is>
      </c>
      <c r="F8" s="13" t="n">
        <v>500</v>
      </c>
    </row>
    <row r="9">
      <c r="A9" s="33" t="inlineStr">
        <is>
          <t>Line-item profit</t>
        </is>
      </c>
      <c r="B9" s="34" t="n">
        <v>18531707.01</v>
      </c>
      <c r="C9" s="5" t="inlineStr">
        <is>
          <t>Net sales less stored COGS; before refunds and operating expenses.</t>
        </is>
      </c>
      <c r="E9" s="8" t="inlineStr">
        <is>
          <t>dim_region</t>
        </is>
      </c>
      <c r="F9" s="13" t="n">
        <v>4</v>
      </c>
    </row>
    <row r="10">
      <c r="A10" s="33" t="inlineStr">
        <is>
          <t>Line-item margin</t>
        </is>
      </c>
      <c r="B10" s="35" t="n">
        <v>0.2589522262265185</v>
      </c>
      <c r="C10" s="5" t="inlineStr">
        <is>
          <t>Line-item profit / net sales.</t>
        </is>
      </c>
      <c r="E10" s="8" t="inlineStr">
        <is>
          <t>fact_inventory</t>
        </is>
      </c>
      <c r="F10" s="13" t="n">
        <v>18000</v>
      </c>
    </row>
    <row r="11">
      <c r="A11" s="33" t="inlineStr">
        <is>
          <t>Distinct orders</t>
        </is>
      </c>
      <c r="B11" s="36" t="n">
        <v>51180</v>
      </c>
      <c r="C11" s="5" t="inlineStr">
        <is>
          <t>Distinct order IDs represented by order lines; all statuses.</t>
        </is>
      </c>
      <c r="E11" s="8" t="inlineStr">
        <is>
          <t>fact_order_details</t>
        </is>
      </c>
      <c r="F11" s="13" t="n">
        <v>104673</v>
      </c>
    </row>
    <row r="12">
      <c r="A12" s="33" t="inlineStr">
        <is>
          <t>Order-detail rows</t>
        </is>
      </c>
      <c r="B12" s="36" t="n">
        <v>104673</v>
      </c>
      <c r="C12" s="5" t="inlineStr">
        <is>
          <t>Rows in fact_order_details.</t>
        </is>
      </c>
      <c r="E12" s="8" t="inlineStr">
        <is>
          <t>fact_orders</t>
        </is>
      </c>
      <c r="F12" s="13" t="n">
        <v>51180</v>
      </c>
    </row>
    <row r="13">
      <c r="A13" s="33" t="inlineStr">
        <is>
          <t>Units on order lines</t>
        </is>
      </c>
      <c r="B13" s="36" t="n">
        <v>188832</v>
      </c>
      <c r="C13" s="5" t="inlineStr">
        <is>
          <t>Sum of quantity in fact_order_details.</t>
        </is>
      </c>
      <c r="E13" s="8" t="inlineStr">
        <is>
          <t>fact_returns</t>
        </is>
      </c>
      <c r="F13" s="13" t="n">
        <v>2983</v>
      </c>
    </row>
    <row r="14">
      <c r="A14" s="33" t="inlineStr">
        <is>
          <t>Average order value</t>
        </is>
      </c>
      <c r="B14" s="34" t="n">
        <v>1398.284342907386</v>
      </c>
      <c r="C14" s="5" t="inlineStr">
        <is>
          <t>Net sales / distinct order IDs represented by order lines.</t>
        </is>
      </c>
      <c r="E14" s="8" t="inlineStr">
        <is>
          <t>fact_sales_targets</t>
        </is>
      </c>
      <c r="F14" s="13" t="n">
        <v>576</v>
      </c>
    </row>
    <row r="15">
      <c r="A15" s="33" t="inlineStr">
        <is>
          <t>Customers with order headers</t>
        </is>
      </c>
      <c r="B15" s="36" t="n">
        <v>7986</v>
      </c>
      <c r="C15" s="5" t="inlineStr">
        <is>
          <t>Distinct customers in fact_orders; all statuses.</t>
        </is>
      </c>
    </row>
    <row r="16">
      <c r="A16" s="33" t="inlineStr">
        <is>
          <t>Repeat customers</t>
        </is>
      </c>
      <c r="B16" s="36" t="n">
        <v>7891</v>
      </c>
      <c r="C16" s="5" t="inlineStr">
        <is>
          <t>Customers with 2+ distinct order headers.</t>
        </is>
      </c>
    </row>
    <row r="17">
      <c r="A17" s="33" t="inlineStr">
        <is>
          <t>Repeat-customer rate</t>
        </is>
      </c>
      <c r="B17" s="35" t="n">
        <v>0.9881041823190584</v>
      </c>
      <c r="C17" s="5" t="inlineStr">
        <is>
          <t>Repeat customers / customers with at least one order header.</t>
        </is>
      </c>
      <c r="E17" s="6" t="inlineStr">
        <is>
          <t>Order date range</t>
        </is>
      </c>
      <c r="F17" s="37" t="inlineStr">
        <is>
          <t>2023-01-01 to 2025-12-31</t>
        </is>
      </c>
    </row>
    <row r="18">
      <c r="A18" s="33" t="inlineStr">
        <is>
          <t>One-time customers</t>
        </is>
      </c>
      <c r="B18" s="36" t="n">
        <v>95</v>
      </c>
      <c r="C18" s="5" t="inlineStr">
        <is>
          <t>Customers with exactly one distinct order header.</t>
        </is>
      </c>
    </row>
    <row r="19">
      <c r="A19" s="33" t="inlineStr">
        <is>
          <t>Return incidents</t>
        </is>
      </c>
      <c r="B19" s="36" t="n">
        <v>2983</v>
      </c>
      <c r="C19" s="5" t="inlineStr">
        <is>
          <t>Distinct return IDs.</t>
        </is>
      </c>
    </row>
    <row r="20">
      <c r="A20" s="33" t="inlineStr">
        <is>
          <t>Returned units</t>
        </is>
      </c>
      <c r="B20" s="36" t="n">
        <v>4172</v>
      </c>
      <c r="C20" s="5" t="inlineStr">
        <is>
          <t>Sum of fact_returns.return_quantity.</t>
        </is>
      </c>
    </row>
    <row r="21">
      <c r="A21" s="33" t="inlineStr">
        <is>
          <t>Return-unit rate</t>
        </is>
      </c>
      <c r="B21" s="35" t="n">
        <v>0.02209371293001186</v>
      </c>
      <c r="C21" s="5" t="inlineStr">
        <is>
          <t>Returned units / units on all order-detail lines.</t>
        </is>
      </c>
    </row>
    <row r="22">
      <c r="A22" s="33" t="inlineStr">
        <is>
          <t>Refunds</t>
        </is>
      </c>
      <c r="B22" s="34" t="n">
        <v>1545024.47</v>
      </c>
      <c r="C22" s="5" t="inlineStr">
        <is>
          <t>Recorded refund amounts.</t>
        </is>
      </c>
    </row>
    <row r="23">
      <c r="A23" s="33" t="inlineStr">
        <is>
          <t>Refund-adjusted profit</t>
        </is>
      </c>
      <c r="B23" s="34" t="n">
        <v>16986682.54</v>
      </c>
      <c r="C23" s="5" t="inlineStr">
        <is>
          <t>Line-item profit less recorded refunds; not operating profit or EBITDA.</t>
        </is>
      </c>
    </row>
    <row r="24">
      <c r="A24" s="33" t="inlineStr">
        <is>
          <t>Sales targets</t>
        </is>
      </c>
      <c r="B24" s="34" t="n">
        <v>34910032.51</v>
      </c>
      <c r="C24" s="5" t="inlineStr">
        <is>
          <t>Sum of fact_sales_targets.sales_target.</t>
        </is>
      </c>
    </row>
    <row r="25">
      <c r="A25" s="33" t="inlineStr">
        <is>
          <t>Target attainment</t>
        </is>
      </c>
      <c r="B25" s="35" t="n">
        <v>2.049960642388414</v>
      </c>
      <c r="C25" s="5" t="inlineStr">
        <is>
          <t>Aggregate net sales / aggregate sales target; all order statuses.</t>
        </is>
      </c>
    </row>
    <row r="26">
      <c r="A26" s="33" t="inlineStr">
        <is>
          <t>Latest inventory snapshot</t>
        </is>
      </c>
      <c r="B26" s="33" t="inlineStr">
        <is>
          <t>2025-12-01</t>
        </is>
      </c>
      <c r="C26" s="5" t="inlineStr">
        <is>
          <t>Maximum snapshot_date in fact_inventory.</t>
        </is>
      </c>
    </row>
    <row r="27">
      <c r="A27" s="33" t="inlineStr">
        <is>
          <t>Latest closing units</t>
        </is>
      </c>
      <c r="B27" s="36" t="n">
        <v>132045</v>
      </c>
      <c r="C27" s="5" t="inlineStr">
        <is>
          <t>Closing stock at the latest snapshot.</t>
        </is>
      </c>
    </row>
    <row r="28">
      <c r="A28" s="33" t="inlineStr">
        <is>
          <t>Latest inventory value</t>
        </is>
      </c>
      <c r="B28" s="34" t="n">
        <v>37282641.98</v>
      </c>
      <c r="C28" s="5" t="inlineStr">
        <is>
          <t>Closing units × product cost at the latest snapshot.</t>
        </is>
      </c>
    </row>
    <row r="29">
      <c r="A29" s="33" t="inlineStr">
        <is>
          <t>SKUs at/below reorder</t>
        </is>
      </c>
      <c r="B29" s="36" t="n">
        <v>64</v>
      </c>
      <c r="C29" s="5" t="inlineStr">
        <is>
          <t>Distinct latest-snapshot SKUs at or below product reorder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2026-10-05T10:47:53Z</dcterms:created>
  <dcterms:modified xsi:type="dcterms:W3CDTF">2026-10-05T10:47:56Z</dcterms:modified>
</cp:coreProperties>
</file>